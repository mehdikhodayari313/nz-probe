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ehdi\Downloads\"/>
    </mc:Choice>
  </mc:AlternateContent>
  <xr:revisionPtr revIDLastSave="0" documentId="13_ncr:1_{77C71A6A-39F0-4EED-9354-068A25C90D78}" xr6:coauthVersionLast="47" xr6:coauthVersionMax="47" xr10:uidLastSave="{00000000-0000-0000-0000-000000000000}"/>
  <bookViews>
    <workbookView xWindow="20370" yWindow="-120" windowWidth="24240" windowHeight="13140" tabRatio="500" activeTab="11" xr2:uid="{00000000-000D-0000-FFFF-FFFF00000000}"/>
  </bookViews>
  <sheets>
    <sheet name="Guide" sheetId="1" r:id="rId1"/>
    <sheet name="Executive Dashboard" sheetId="2" r:id="rId2"/>
    <sheet name="Master Database" sheetId="3" r:id="rId3"/>
    <sheet name="Estimator" sheetId="4" r:id="rId4"/>
    <sheet name="Search" sheetId="5" r:id="rId5"/>
    <sheet name="Vendor_Quotes" sheetId="6" r:id="rId6"/>
    <sheet name="Vendor_Register" sheetId="7" r:id="rId7"/>
    <sheet name="Factors_ROT" sheetId="8" r:id="rId8"/>
    <sheet name="Lookup_Codes" sheetId="9" r:id="rId9"/>
    <sheet name="Escalation_Index" sheetId="10" r:id="rId10"/>
    <sheet name="Assumptions &amp; FX Reference" sheetId="11" r:id="rId11"/>
    <sheet name="Verification_Log" sheetId="12" r:id="rId12"/>
    <sheet name="Change_Log" sheetId="13" r:id="rId13"/>
  </sheets>
  <definedNames>
    <definedName name="_xlnm._FilterDatabase" localSheetId="2" hidden="1">'Master Database'!$A$4:$BG$150</definedName>
    <definedName name="_xlnm._FilterDatabase" localSheetId="5" hidden="1">Vendor_Quotes!$A$4:$V$1005</definedName>
    <definedName name="_xlnm._FilterDatabase" localSheetId="11" hidden="1">Verification_Log!$A$11:$H$1503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5" i="11" l="1"/>
  <c r="D25" i="11" s="1"/>
  <c r="D24" i="11"/>
  <c r="D23" i="11"/>
  <c r="D22" i="11"/>
  <c r="D21" i="11"/>
  <c r="D20" i="11"/>
  <c r="D19" i="11"/>
  <c r="D18" i="11"/>
  <c r="D17" i="11"/>
  <c r="D16" i="11"/>
  <c r="I15" i="11"/>
  <c r="D15" i="11"/>
  <c r="D14" i="11"/>
  <c r="D13" i="11"/>
  <c r="I12" i="11"/>
  <c r="D12" i="11"/>
  <c r="D11" i="11"/>
  <c r="D10" i="11"/>
  <c r="I9" i="11"/>
  <c r="I11" i="11" s="1"/>
  <c r="F4" i="2" s="1"/>
  <c r="D9" i="11"/>
  <c r="D8" i="11"/>
  <c r="D7" i="11"/>
  <c r="I6" i="11"/>
  <c r="I8" i="11" s="1"/>
  <c r="D6" i="11"/>
  <c r="D5" i="11"/>
  <c r="G83" i="8"/>
  <c r="F83" i="8"/>
  <c r="A83" i="8"/>
  <c r="G82" i="8"/>
  <c r="F82" i="8"/>
  <c r="A82" i="8"/>
  <c r="G81" i="8"/>
  <c r="F81" i="8"/>
  <c r="A81" i="8"/>
  <c r="G80" i="8"/>
  <c r="F80" i="8"/>
  <c r="A80" i="8"/>
  <c r="G79" i="8"/>
  <c r="F79" i="8"/>
  <c r="A79" i="8"/>
  <c r="G78" i="8"/>
  <c r="F78" i="8"/>
  <c r="A78" i="8"/>
  <c r="G77" i="8"/>
  <c r="F77" i="8"/>
  <c r="A77" i="8"/>
  <c r="G76" i="8"/>
  <c r="F76" i="8"/>
  <c r="A76" i="8"/>
  <c r="G75" i="8"/>
  <c r="F75" i="8"/>
  <c r="A75" i="8"/>
  <c r="G74" i="8"/>
  <c r="F74" i="8"/>
  <c r="A74" i="8"/>
  <c r="G73" i="8"/>
  <c r="F73" i="8"/>
  <c r="A73" i="8"/>
  <c r="G72" i="8"/>
  <c r="F72" i="8"/>
  <c r="A72" i="8"/>
  <c r="G71" i="8"/>
  <c r="F71" i="8"/>
  <c r="A71" i="8"/>
  <c r="G70" i="8"/>
  <c r="F70" i="8"/>
  <c r="A70" i="8"/>
  <c r="G69" i="8"/>
  <c r="F69" i="8"/>
  <c r="A69" i="8"/>
  <c r="G68" i="8"/>
  <c r="F68" i="8"/>
  <c r="A68" i="8"/>
  <c r="G67" i="8"/>
  <c r="F67" i="8"/>
  <c r="A67" i="8"/>
  <c r="G66" i="8"/>
  <c r="F66" i="8"/>
  <c r="A66" i="8"/>
  <c r="G65" i="8"/>
  <c r="F65" i="8"/>
  <c r="A65" i="8"/>
  <c r="G64" i="8"/>
  <c r="F64" i="8"/>
  <c r="A64" i="8"/>
  <c r="G63" i="8"/>
  <c r="F63" i="8"/>
  <c r="A63" i="8"/>
  <c r="G62" i="8"/>
  <c r="F62" i="8"/>
  <c r="A62" i="8"/>
  <c r="G61" i="8"/>
  <c r="F61" i="8"/>
  <c r="A61" i="8"/>
  <c r="G60" i="8"/>
  <c r="F60" i="8"/>
  <c r="A60" i="8"/>
  <c r="G59" i="8"/>
  <c r="F59" i="8"/>
  <c r="A59" i="8"/>
  <c r="G58" i="8"/>
  <c r="F58" i="8"/>
  <c r="A58" i="8"/>
  <c r="G57" i="8"/>
  <c r="F57" i="8"/>
  <c r="A57" i="8"/>
  <c r="G56" i="8"/>
  <c r="F56" i="8"/>
  <c r="A56" i="8"/>
  <c r="G55" i="8"/>
  <c r="F55" i="8"/>
  <c r="A55" i="8"/>
  <c r="G54" i="8"/>
  <c r="F54" i="8"/>
  <c r="A54" i="8"/>
  <c r="G53" i="8"/>
  <c r="F53" i="8"/>
  <c r="A53" i="8"/>
  <c r="G52" i="8"/>
  <c r="F52" i="8"/>
  <c r="A52" i="8"/>
  <c r="G51" i="8"/>
  <c r="F51" i="8"/>
  <c r="A51" i="8"/>
  <c r="G50" i="8"/>
  <c r="F50" i="8"/>
  <c r="A50" i="8"/>
  <c r="G49" i="8"/>
  <c r="F49" i="8"/>
  <c r="A49" i="8"/>
  <c r="G48" i="8"/>
  <c r="F48" i="8"/>
  <c r="A48" i="8"/>
  <c r="G47" i="8"/>
  <c r="F47" i="8"/>
  <c r="A47" i="8"/>
  <c r="G46" i="8"/>
  <c r="F46" i="8"/>
  <c r="A46" i="8"/>
  <c r="G45" i="8"/>
  <c r="F45" i="8"/>
  <c r="A45" i="8"/>
  <c r="G44" i="8"/>
  <c r="F44" i="8"/>
  <c r="A44" i="8"/>
  <c r="G43" i="8"/>
  <c r="F43" i="8"/>
  <c r="A43" i="8"/>
  <c r="G42" i="8"/>
  <c r="F42" i="8"/>
  <c r="A42" i="8"/>
  <c r="G41" i="8"/>
  <c r="F41" i="8"/>
  <c r="A41" i="8"/>
  <c r="G40" i="8"/>
  <c r="F40" i="8"/>
  <c r="A40" i="8"/>
  <c r="G39" i="8"/>
  <c r="F39" i="8"/>
  <c r="A39" i="8"/>
  <c r="G38" i="8"/>
  <c r="F38" i="8"/>
  <c r="A38" i="8"/>
  <c r="G37" i="8"/>
  <c r="F37" i="8"/>
  <c r="A37" i="8"/>
  <c r="G36" i="8"/>
  <c r="F36" i="8"/>
  <c r="A36" i="8"/>
  <c r="G35" i="8"/>
  <c r="F35" i="8"/>
  <c r="A35" i="8"/>
  <c r="G34" i="8"/>
  <c r="F34" i="8"/>
  <c r="A34" i="8"/>
  <c r="G33" i="8"/>
  <c r="F33" i="8"/>
  <c r="A33" i="8"/>
  <c r="G32" i="8"/>
  <c r="F32" i="8"/>
  <c r="A32" i="8"/>
  <c r="G31" i="8"/>
  <c r="F31" i="8"/>
  <c r="A31" i="8"/>
  <c r="G30" i="8"/>
  <c r="F30" i="8"/>
  <c r="A30" i="8"/>
  <c r="G29" i="8"/>
  <c r="F29" i="8"/>
  <c r="A29" i="8"/>
  <c r="G28" i="8"/>
  <c r="F28" i="8"/>
  <c r="A28" i="8"/>
  <c r="G27" i="8"/>
  <c r="F27" i="8"/>
  <c r="A27" i="8"/>
  <c r="G26" i="8"/>
  <c r="F26" i="8"/>
  <c r="A26" i="8"/>
  <c r="G25" i="8"/>
  <c r="F25" i="8"/>
  <c r="A25" i="8"/>
  <c r="G24" i="8"/>
  <c r="F24" i="8"/>
  <c r="A24" i="8"/>
  <c r="G23" i="8"/>
  <c r="F23" i="8"/>
  <c r="A23" i="8"/>
  <c r="G22" i="8"/>
  <c r="F22" i="8"/>
  <c r="A22" i="8"/>
  <c r="G21" i="8"/>
  <c r="F21" i="8"/>
  <c r="A21" i="8"/>
  <c r="G20" i="8"/>
  <c r="F20" i="8"/>
  <c r="A20" i="8"/>
  <c r="G19" i="8"/>
  <c r="F19" i="8"/>
  <c r="A19" i="8"/>
  <c r="G18" i="8"/>
  <c r="F18" i="8"/>
  <c r="A18" i="8"/>
  <c r="G17" i="8"/>
  <c r="F17" i="8"/>
  <c r="A17" i="8"/>
  <c r="G16" i="8"/>
  <c r="F16" i="8"/>
  <c r="A16" i="8"/>
  <c r="G15" i="8"/>
  <c r="F15" i="8"/>
  <c r="A15" i="8"/>
  <c r="G14" i="8"/>
  <c r="F14" i="8"/>
  <c r="A14" i="8"/>
  <c r="G13" i="8"/>
  <c r="F13" i="8"/>
  <c r="A13" i="8"/>
  <c r="G12" i="8"/>
  <c r="F12" i="8"/>
  <c r="A12" i="8"/>
  <c r="G11" i="8"/>
  <c r="F11" i="8"/>
  <c r="A11" i="8"/>
  <c r="G10" i="8"/>
  <c r="F10" i="8"/>
  <c r="A10" i="8"/>
  <c r="G9" i="8"/>
  <c r="F9" i="8"/>
  <c r="A9" i="8"/>
  <c r="G8" i="8"/>
  <c r="F8" i="8"/>
  <c r="A8" i="8"/>
  <c r="G7" i="8"/>
  <c r="F7" i="8"/>
  <c r="A7" i="8"/>
  <c r="G6" i="8"/>
  <c r="F6" i="8"/>
  <c r="A6" i="8"/>
  <c r="G5" i="8"/>
  <c r="F5" i="8"/>
  <c r="A5" i="8"/>
  <c r="O1005" i="6"/>
  <c r="G1005" i="6"/>
  <c r="F1005" i="6"/>
  <c r="D1005" i="6"/>
  <c r="C1005" i="6"/>
  <c r="O1004" i="6"/>
  <c r="G1004" i="6"/>
  <c r="F1004" i="6"/>
  <c r="D1004" i="6"/>
  <c r="C1004" i="6"/>
  <c r="O1003" i="6"/>
  <c r="G1003" i="6"/>
  <c r="F1003" i="6"/>
  <c r="D1003" i="6"/>
  <c r="C1003" i="6"/>
  <c r="O1002" i="6"/>
  <c r="G1002" i="6"/>
  <c r="F1002" i="6"/>
  <c r="D1002" i="6"/>
  <c r="C1002" i="6"/>
  <c r="O1001" i="6"/>
  <c r="G1001" i="6"/>
  <c r="F1001" i="6"/>
  <c r="D1001" i="6"/>
  <c r="C1001" i="6"/>
  <c r="O1000" i="6"/>
  <c r="G1000" i="6"/>
  <c r="F1000" i="6"/>
  <c r="D1000" i="6"/>
  <c r="C1000" i="6"/>
  <c r="O999" i="6"/>
  <c r="G999" i="6"/>
  <c r="F999" i="6"/>
  <c r="D999" i="6"/>
  <c r="C999" i="6"/>
  <c r="O998" i="6"/>
  <c r="G998" i="6"/>
  <c r="F998" i="6"/>
  <c r="D998" i="6"/>
  <c r="C998" i="6"/>
  <c r="O997" i="6"/>
  <c r="G997" i="6"/>
  <c r="F997" i="6"/>
  <c r="D997" i="6"/>
  <c r="C997" i="6"/>
  <c r="O996" i="6"/>
  <c r="G996" i="6"/>
  <c r="F996" i="6"/>
  <c r="D996" i="6"/>
  <c r="C996" i="6"/>
  <c r="O995" i="6"/>
  <c r="G995" i="6"/>
  <c r="F995" i="6"/>
  <c r="D995" i="6"/>
  <c r="C995" i="6"/>
  <c r="O994" i="6"/>
  <c r="G994" i="6"/>
  <c r="F994" i="6"/>
  <c r="D994" i="6"/>
  <c r="C994" i="6"/>
  <c r="O993" i="6"/>
  <c r="G993" i="6"/>
  <c r="F993" i="6"/>
  <c r="D993" i="6"/>
  <c r="C993" i="6"/>
  <c r="O992" i="6"/>
  <c r="G992" i="6"/>
  <c r="F992" i="6"/>
  <c r="D992" i="6"/>
  <c r="C992" i="6"/>
  <c r="O991" i="6"/>
  <c r="G991" i="6"/>
  <c r="F991" i="6"/>
  <c r="D991" i="6"/>
  <c r="C991" i="6"/>
  <c r="O990" i="6"/>
  <c r="G990" i="6"/>
  <c r="F990" i="6"/>
  <c r="D990" i="6"/>
  <c r="C990" i="6"/>
  <c r="O989" i="6"/>
  <c r="G989" i="6"/>
  <c r="F989" i="6"/>
  <c r="D989" i="6"/>
  <c r="C989" i="6"/>
  <c r="O988" i="6"/>
  <c r="G988" i="6"/>
  <c r="F988" i="6"/>
  <c r="D988" i="6"/>
  <c r="C988" i="6"/>
  <c r="O987" i="6"/>
  <c r="G987" i="6"/>
  <c r="F987" i="6"/>
  <c r="D987" i="6"/>
  <c r="C987" i="6"/>
  <c r="O986" i="6"/>
  <c r="G986" i="6"/>
  <c r="F986" i="6"/>
  <c r="D986" i="6"/>
  <c r="C986" i="6"/>
  <c r="O985" i="6"/>
  <c r="G985" i="6"/>
  <c r="F985" i="6"/>
  <c r="D985" i="6"/>
  <c r="C985" i="6"/>
  <c r="O984" i="6"/>
  <c r="G984" i="6"/>
  <c r="F984" i="6"/>
  <c r="D984" i="6"/>
  <c r="C984" i="6"/>
  <c r="O983" i="6"/>
  <c r="G983" i="6"/>
  <c r="F983" i="6"/>
  <c r="D983" i="6"/>
  <c r="C983" i="6"/>
  <c r="O982" i="6"/>
  <c r="G982" i="6"/>
  <c r="F982" i="6"/>
  <c r="D982" i="6"/>
  <c r="C982" i="6"/>
  <c r="O981" i="6"/>
  <c r="G981" i="6"/>
  <c r="F981" i="6"/>
  <c r="D981" i="6"/>
  <c r="C981" i="6"/>
  <c r="O980" i="6"/>
  <c r="G980" i="6"/>
  <c r="F980" i="6"/>
  <c r="D980" i="6"/>
  <c r="C980" i="6"/>
  <c r="O979" i="6"/>
  <c r="G979" i="6"/>
  <c r="F979" i="6"/>
  <c r="D979" i="6"/>
  <c r="C979" i="6"/>
  <c r="O978" i="6"/>
  <c r="G978" i="6"/>
  <c r="F978" i="6"/>
  <c r="D978" i="6"/>
  <c r="C978" i="6"/>
  <c r="O977" i="6"/>
  <c r="G977" i="6"/>
  <c r="F977" i="6"/>
  <c r="D977" i="6"/>
  <c r="C977" i="6"/>
  <c r="O976" i="6"/>
  <c r="G976" i="6"/>
  <c r="F976" i="6"/>
  <c r="D976" i="6"/>
  <c r="C976" i="6"/>
  <c r="O975" i="6"/>
  <c r="G975" i="6"/>
  <c r="F975" i="6"/>
  <c r="D975" i="6"/>
  <c r="C975" i="6"/>
  <c r="O974" i="6"/>
  <c r="G974" i="6"/>
  <c r="F974" i="6"/>
  <c r="D974" i="6"/>
  <c r="C974" i="6"/>
  <c r="O973" i="6"/>
  <c r="G973" i="6"/>
  <c r="F973" i="6"/>
  <c r="D973" i="6"/>
  <c r="C973" i="6"/>
  <c r="O972" i="6"/>
  <c r="G972" i="6"/>
  <c r="F972" i="6"/>
  <c r="D972" i="6"/>
  <c r="C972" i="6"/>
  <c r="O971" i="6"/>
  <c r="G971" i="6"/>
  <c r="F971" i="6"/>
  <c r="D971" i="6"/>
  <c r="C971" i="6"/>
  <c r="O970" i="6"/>
  <c r="G970" i="6"/>
  <c r="F970" i="6"/>
  <c r="D970" i="6"/>
  <c r="C970" i="6"/>
  <c r="O969" i="6"/>
  <c r="G969" i="6"/>
  <c r="F969" i="6"/>
  <c r="D969" i="6"/>
  <c r="C969" i="6"/>
  <c r="O968" i="6"/>
  <c r="G968" i="6"/>
  <c r="F968" i="6"/>
  <c r="D968" i="6"/>
  <c r="C968" i="6"/>
  <c r="O967" i="6"/>
  <c r="G967" i="6"/>
  <c r="F967" i="6"/>
  <c r="D967" i="6"/>
  <c r="C967" i="6"/>
  <c r="O966" i="6"/>
  <c r="G966" i="6"/>
  <c r="F966" i="6"/>
  <c r="D966" i="6"/>
  <c r="C966" i="6"/>
  <c r="O965" i="6"/>
  <c r="G965" i="6"/>
  <c r="F965" i="6"/>
  <c r="D965" i="6"/>
  <c r="C965" i="6"/>
  <c r="O964" i="6"/>
  <c r="G964" i="6"/>
  <c r="F964" i="6"/>
  <c r="D964" i="6"/>
  <c r="C964" i="6"/>
  <c r="O963" i="6"/>
  <c r="G963" i="6"/>
  <c r="F963" i="6"/>
  <c r="D963" i="6"/>
  <c r="C963" i="6"/>
  <c r="O962" i="6"/>
  <c r="G962" i="6"/>
  <c r="F962" i="6"/>
  <c r="D962" i="6"/>
  <c r="C962" i="6"/>
  <c r="O961" i="6"/>
  <c r="G961" i="6"/>
  <c r="F961" i="6"/>
  <c r="D961" i="6"/>
  <c r="C961" i="6"/>
  <c r="O960" i="6"/>
  <c r="G960" i="6"/>
  <c r="F960" i="6"/>
  <c r="D960" i="6"/>
  <c r="C960" i="6"/>
  <c r="O959" i="6"/>
  <c r="G959" i="6"/>
  <c r="F959" i="6"/>
  <c r="D959" i="6"/>
  <c r="C959" i="6"/>
  <c r="O958" i="6"/>
  <c r="G958" i="6"/>
  <c r="F958" i="6"/>
  <c r="D958" i="6"/>
  <c r="C958" i="6"/>
  <c r="O957" i="6"/>
  <c r="G957" i="6"/>
  <c r="F957" i="6"/>
  <c r="D957" i="6"/>
  <c r="C957" i="6"/>
  <c r="O956" i="6"/>
  <c r="G956" i="6"/>
  <c r="F956" i="6"/>
  <c r="D956" i="6"/>
  <c r="C956" i="6"/>
  <c r="O955" i="6"/>
  <c r="G955" i="6"/>
  <c r="F955" i="6"/>
  <c r="D955" i="6"/>
  <c r="C955" i="6"/>
  <c r="O954" i="6"/>
  <c r="G954" i="6"/>
  <c r="F954" i="6"/>
  <c r="D954" i="6"/>
  <c r="C954" i="6"/>
  <c r="O953" i="6"/>
  <c r="G953" i="6"/>
  <c r="F953" i="6"/>
  <c r="D953" i="6"/>
  <c r="C953" i="6"/>
  <c r="O952" i="6"/>
  <c r="G952" i="6"/>
  <c r="F952" i="6"/>
  <c r="D952" i="6"/>
  <c r="C952" i="6"/>
  <c r="O951" i="6"/>
  <c r="G951" i="6"/>
  <c r="F951" i="6"/>
  <c r="D951" i="6"/>
  <c r="C951" i="6"/>
  <c r="O950" i="6"/>
  <c r="G950" i="6"/>
  <c r="F950" i="6"/>
  <c r="D950" i="6"/>
  <c r="C950" i="6"/>
  <c r="O949" i="6"/>
  <c r="G949" i="6"/>
  <c r="F949" i="6"/>
  <c r="D949" i="6"/>
  <c r="C949" i="6"/>
  <c r="O948" i="6"/>
  <c r="G948" i="6"/>
  <c r="F948" i="6"/>
  <c r="D948" i="6"/>
  <c r="C948" i="6"/>
  <c r="O947" i="6"/>
  <c r="G947" i="6"/>
  <c r="F947" i="6"/>
  <c r="D947" i="6"/>
  <c r="C947" i="6"/>
  <c r="O946" i="6"/>
  <c r="G946" i="6"/>
  <c r="F946" i="6"/>
  <c r="D946" i="6"/>
  <c r="C946" i="6"/>
  <c r="O945" i="6"/>
  <c r="G945" i="6"/>
  <c r="F945" i="6"/>
  <c r="D945" i="6"/>
  <c r="C945" i="6"/>
  <c r="O944" i="6"/>
  <c r="G944" i="6"/>
  <c r="F944" i="6"/>
  <c r="D944" i="6"/>
  <c r="C944" i="6"/>
  <c r="O943" i="6"/>
  <c r="G943" i="6"/>
  <c r="F943" i="6"/>
  <c r="D943" i="6"/>
  <c r="C943" i="6"/>
  <c r="O942" i="6"/>
  <c r="G942" i="6"/>
  <c r="F942" i="6"/>
  <c r="D942" i="6"/>
  <c r="C942" i="6"/>
  <c r="O941" i="6"/>
  <c r="G941" i="6"/>
  <c r="F941" i="6"/>
  <c r="D941" i="6"/>
  <c r="C941" i="6"/>
  <c r="O940" i="6"/>
  <c r="G940" i="6"/>
  <c r="F940" i="6"/>
  <c r="D940" i="6"/>
  <c r="C940" i="6"/>
  <c r="O939" i="6"/>
  <c r="G939" i="6"/>
  <c r="F939" i="6"/>
  <c r="D939" i="6"/>
  <c r="C939" i="6"/>
  <c r="O938" i="6"/>
  <c r="G938" i="6"/>
  <c r="F938" i="6"/>
  <c r="D938" i="6"/>
  <c r="C938" i="6"/>
  <c r="O937" i="6"/>
  <c r="G937" i="6"/>
  <c r="F937" i="6"/>
  <c r="D937" i="6"/>
  <c r="C937" i="6"/>
  <c r="O936" i="6"/>
  <c r="G936" i="6"/>
  <c r="F936" i="6"/>
  <c r="D936" i="6"/>
  <c r="C936" i="6"/>
  <c r="O935" i="6"/>
  <c r="G935" i="6"/>
  <c r="F935" i="6"/>
  <c r="D935" i="6"/>
  <c r="C935" i="6"/>
  <c r="O934" i="6"/>
  <c r="G934" i="6"/>
  <c r="F934" i="6"/>
  <c r="D934" i="6"/>
  <c r="C934" i="6"/>
  <c r="O933" i="6"/>
  <c r="G933" i="6"/>
  <c r="F933" i="6"/>
  <c r="D933" i="6"/>
  <c r="C933" i="6"/>
  <c r="O932" i="6"/>
  <c r="G932" i="6"/>
  <c r="F932" i="6"/>
  <c r="D932" i="6"/>
  <c r="C932" i="6"/>
  <c r="O931" i="6"/>
  <c r="G931" i="6"/>
  <c r="F931" i="6"/>
  <c r="D931" i="6"/>
  <c r="C931" i="6"/>
  <c r="O930" i="6"/>
  <c r="G930" i="6"/>
  <c r="F930" i="6"/>
  <c r="D930" i="6"/>
  <c r="C930" i="6"/>
  <c r="O929" i="6"/>
  <c r="G929" i="6"/>
  <c r="F929" i="6"/>
  <c r="D929" i="6"/>
  <c r="C929" i="6"/>
  <c r="O928" i="6"/>
  <c r="G928" i="6"/>
  <c r="F928" i="6"/>
  <c r="D928" i="6"/>
  <c r="C928" i="6"/>
  <c r="O927" i="6"/>
  <c r="G927" i="6"/>
  <c r="F927" i="6"/>
  <c r="D927" i="6"/>
  <c r="C927" i="6"/>
  <c r="O926" i="6"/>
  <c r="G926" i="6"/>
  <c r="F926" i="6"/>
  <c r="D926" i="6"/>
  <c r="C926" i="6"/>
  <c r="O925" i="6"/>
  <c r="G925" i="6"/>
  <c r="F925" i="6"/>
  <c r="D925" i="6"/>
  <c r="C925" i="6"/>
  <c r="O924" i="6"/>
  <c r="G924" i="6"/>
  <c r="F924" i="6"/>
  <c r="D924" i="6"/>
  <c r="C924" i="6"/>
  <c r="O923" i="6"/>
  <c r="G923" i="6"/>
  <c r="F923" i="6"/>
  <c r="D923" i="6"/>
  <c r="C923" i="6"/>
  <c r="O922" i="6"/>
  <c r="G922" i="6"/>
  <c r="F922" i="6"/>
  <c r="D922" i="6"/>
  <c r="C922" i="6"/>
  <c r="O921" i="6"/>
  <c r="G921" i="6"/>
  <c r="F921" i="6"/>
  <c r="D921" i="6"/>
  <c r="C921" i="6"/>
  <c r="O920" i="6"/>
  <c r="G920" i="6"/>
  <c r="F920" i="6"/>
  <c r="D920" i="6"/>
  <c r="C920" i="6"/>
  <c r="O919" i="6"/>
  <c r="G919" i="6"/>
  <c r="F919" i="6"/>
  <c r="D919" i="6"/>
  <c r="C919" i="6"/>
  <c r="O918" i="6"/>
  <c r="G918" i="6"/>
  <c r="F918" i="6"/>
  <c r="D918" i="6"/>
  <c r="C918" i="6"/>
  <c r="O917" i="6"/>
  <c r="G917" i="6"/>
  <c r="F917" i="6"/>
  <c r="D917" i="6"/>
  <c r="C917" i="6"/>
  <c r="O916" i="6"/>
  <c r="G916" i="6"/>
  <c r="F916" i="6"/>
  <c r="D916" i="6"/>
  <c r="C916" i="6"/>
  <c r="O915" i="6"/>
  <c r="G915" i="6"/>
  <c r="F915" i="6"/>
  <c r="D915" i="6"/>
  <c r="C915" i="6"/>
  <c r="O914" i="6"/>
  <c r="G914" i="6"/>
  <c r="F914" i="6"/>
  <c r="D914" i="6"/>
  <c r="C914" i="6"/>
  <c r="O913" i="6"/>
  <c r="G913" i="6"/>
  <c r="F913" i="6"/>
  <c r="D913" i="6"/>
  <c r="C913" i="6"/>
  <c r="O912" i="6"/>
  <c r="G912" i="6"/>
  <c r="F912" i="6"/>
  <c r="D912" i="6"/>
  <c r="C912" i="6"/>
  <c r="O911" i="6"/>
  <c r="G911" i="6"/>
  <c r="F911" i="6"/>
  <c r="D911" i="6"/>
  <c r="C911" i="6"/>
  <c r="O910" i="6"/>
  <c r="G910" i="6"/>
  <c r="F910" i="6"/>
  <c r="D910" i="6"/>
  <c r="C910" i="6"/>
  <c r="O909" i="6"/>
  <c r="G909" i="6"/>
  <c r="F909" i="6"/>
  <c r="D909" i="6"/>
  <c r="C909" i="6"/>
  <c r="O908" i="6"/>
  <c r="G908" i="6"/>
  <c r="F908" i="6"/>
  <c r="D908" i="6"/>
  <c r="C908" i="6"/>
  <c r="O907" i="6"/>
  <c r="G907" i="6"/>
  <c r="F907" i="6"/>
  <c r="D907" i="6"/>
  <c r="C907" i="6"/>
  <c r="O906" i="6"/>
  <c r="G906" i="6"/>
  <c r="F906" i="6"/>
  <c r="D906" i="6"/>
  <c r="C906" i="6"/>
  <c r="O905" i="6"/>
  <c r="G905" i="6"/>
  <c r="F905" i="6"/>
  <c r="D905" i="6"/>
  <c r="C905" i="6"/>
  <c r="O904" i="6"/>
  <c r="G904" i="6"/>
  <c r="F904" i="6"/>
  <c r="D904" i="6"/>
  <c r="C904" i="6"/>
  <c r="O903" i="6"/>
  <c r="G903" i="6"/>
  <c r="F903" i="6"/>
  <c r="D903" i="6"/>
  <c r="C903" i="6"/>
  <c r="O902" i="6"/>
  <c r="G902" i="6"/>
  <c r="F902" i="6"/>
  <c r="D902" i="6"/>
  <c r="C902" i="6"/>
  <c r="O901" i="6"/>
  <c r="G901" i="6"/>
  <c r="F901" i="6"/>
  <c r="D901" i="6"/>
  <c r="C901" i="6"/>
  <c r="O900" i="6"/>
  <c r="G900" i="6"/>
  <c r="F900" i="6"/>
  <c r="D900" i="6"/>
  <c r="C900" i="6"/>
  <c r="O899" i="6"/>
  <c r="G899" i="6"/>
  <c r="F899" i="6"/>
  <c r="D899" i="6"/>
  <c r="C899" i="6"/>
  <c r="O898" i="6"/>
  <c r="G898" i="6"/>
  <c r="F898" i="6"/>
  <c r="D898" i="6"/>
  <c r="C898" i="6"/>
  <c r="O897" i="6"/>
  <c r="G897" i="6"/>
  <c r="F897" i="6"/>
  <c r="D897" i="6"/>
  <c r="C897" i="6"/>
  <c r="O896" i="6"/>
  <c r="G896" i="6"/>
  <c r="F896" i="6"/>
  <c r="D896" i="6"/>
  <c r="C896" i="6"/>
  <c r="O895" i="6"/>
  <c r="G895" i="6"/>
  <c r="F895" i="6"/>
  <c r="D895" i="6"/>
  <c r="C895" i="6"/>
  <c r="O894" i="6"/>
  <c r="G894" i="6"/>
  <c r="F894" i="6"/>
  <c r="D894" i="6"/>
  <c r="C894" i="6"/>
  <c r="O893" i="6"/>
  <c r="G893" i="6"/>
  <c r="F893" i="6"/>
  <c r="D893" i="6"/>
  <c r="C893" i="6"/>
  <c r="O892" i="6"/>
  <c r="G892" i="6"/>
  <c r="F892" i="6"/>
  <c r="D892" i="6"/>
  <c r="C892" i="6"/>
  <c r="O891" i="6"/>
  <c r="G891" i="6"/>
  <c r="F891" i="6"/>
  <c r="D891" i="6"/>
  <c r="C891" i="6"/>
  <c r="O890" i="6"/>
  <c r="G890" i="6"/>
  <c r="F890" i="6"/>
  <c r="D890" i="6"/>
  <c r="C890" i="6"/>
  <c r="O889" i="6"/>
  <c r="G889" i="6"/>
  <c r="F889" i="6"/>
  <c r="D889" i="6"/>
  <c r="C889" i="6"/>
  <c r="O888" i="6"/>
  <c r="G888" i="6"/>
  <c r="F888" i="6"/>
  <c r="D888" i="6"/>
  <c r="C888" i="6"/>
  <c r="O887" i="6"/>
  <c r="G887" i="6"/>
  <c r="F887" i="6"/>
  <c r="D887" i="6"/>
  <c r="C887" i="6"/>
  <c r="O886" i="6"/>
  <c r="G886" i="6"/>
  <c r="F886" i="6"/>
  <c r="D886" i="6"/>
  <c r="C886" i="6"/>
  <c r="O885" i="6"/>
  <c r="G885" i="6"/>
  <c r="F885" i="6"/>
  <c r="D885" i="6"/>
  <c r="C885" i="6"/>
  <c r="O884" i="6"/>
  <c r="G884" i="6"/>
  <c r="F884" i="6"/>
  <c r="D884" i="6"/>
  <c r="C884" i="6"/>
  <c r="O883" i="6"/>
  <c r="G883" i="6"/>
  <c r="F883" i="6"/>
  <c r="D883" i="6"/>
  <c r="C883" i="6"/>
  <c r="O882" i="6"/>
  <c r="G882" i="6"/>
  <c r="F882" i="6"/>
  <c r="D882" i="6"/>
  <c r="C882" i="6"/>
  <c r="O881" i="6"/>
  <c r="G881" i="6"/>
  <c r="F881" i="6"/>
  <c r="D881" i="6"/>
  <c r="C881" i="6"/>
  <c r="O880" i="6"/>
  <c r="G880" i="6"/>
  <c r="F880" i="6"/>
  <c r="D880" i="6"/>
  <c r="C880" i="6"/>
  <c r="O879" i="6"/>
  <c r="G879" i="6"/>
  <c r="F879" i="6"/>
  <c r="D879" i="6"/>
  <c r="C879" i="6"/>
  <c r="O878" i="6"/>
  <c r="G878" i="6"/>
  <c r="F878" i="6"/>
  <c r="D878" i="6"/>
  <c r="C878" i="6"/>
  <c r="O877" i="6"/>
  <c r="G877" i="6"/>
  <c r="F877" i="6"/>
  <c r="D877" i="6"/>
  <c r="C877" i="6"/>
  <c r="O876" i="6"/>
  <c r="G876" i="6"/>
  <c r="F876" i="6"/>
  <c r="D876" i="6"/>
  <c r="C876" i="6"/>
  <c r="O875" i="6"/>
  <c r="G875" i="6"/>
  <c r="F875" i="6"/>
  <c r="D875" i="6"/>
  <c r="C875" i="6"/>
  <c r="O874" i="6"/>
  <c r="G874" i="6"/>
  <c r="F874" i="6"/>
  <c r="D874" i="6"/>
  <c r="C874" i="6"/>
  <c r="O873" i="6"/>
  <c r="G873" i="6"/>
  <c r="F873" i="6"/>
  <c r="D873" i="6"/>
  <c r="C873" i="6"/>
  <c r="O872" i="6"/>
  <c r="G872" i="6"/>
  <c r="F872" i="6"/>
  <c r="D872" i="6"/>
  <c r="C872" i="6"/>
  <c r="O871" i="6"/>
  <c r="G871" i="6"/>
  <c r="F871" i="6"/>
  <c r="D871" i="6"/>
  <c r="C871" i="6"/>
  <c r="O870" i="6"/>
  <c r="G870" i="6"/>
  <c r="F870" i="6"/>
  <c r="D870" i="6"/>
  <c r="C870" i="6"/>
  <c r="O869" i="6"/>
  <c r="G869" i="6"/>
  <c r="F869" i="6"/>
  <c r="D869" i="6"/>
  <c r="C869" i="6"/>
  <c r="O868" i="6"/>
  <c r="G868" i="6"/>
  <c r="F868" i="6"/>
  <c r="D868" i="6"/>
  <c r="C868" i="6"/>
  <c r="O867" i="6"/>
  <c r="G867" i="6"/>
  <c r="F867" i="6"/>
  <c r="D867" i="6"/>
  <c r="C867" i="6"/>
  <c r="O866" i="6"/>
  <c r="G866" i="6"/>
  <c r="F866" i="6"/>
  <c r="D866" i="6"/>
  <c r="C866" i="6"/>
  <c r="O865" i="6"/>
  <c r="G865" i="6"/>
  <c r="F865" i="6"/>
  <c r="D865" i="6"/>
  <c r="C865" i="6"/>
  <c r="O864" i="6"/>
  <c r="G864" i="6"/>
  <c r="F864" i="6"/>
  <c r="D864" i="6"/>
  <c r="C864" i="6"/>
  <c r="O863" i="6"/>
  <c r="G863" i="6"/>
  <c r="F863" i="6"/>
  <c r="D863" i="6"/>
  <c r="C863" i="6"/>
  <c r="O862" i="6"/>
  <c r="G862" i="6"/>
  <c r="F862" i="6"/>
  <c r="D862" i="6"/>
  <c r="C862" i="6"/>
  <c r="O861" i="6"/>
  <c r="G861" i="6"/>
  <c r="F861" i="6"/>
  <c r="D861" i="6"/>
  <c r="C861" i="6"/>
  <c r="O860" i="6"/>
  <c r="G860" i="6"/>
  <c r="F860" i="6"/>
  <c r="D860" i="6"/>
  <c r="C860" i="6"/>
  <c r="O859" i="6"/>
  <c r="G859" i="6"/>
  <c r="F859" i="6"/>
  <c r="D859" i="6"/>
  <c r="C859" i="6"/>
  <c r="O858" i="6"/>
  <c r="G858" i="6"/>
  <c r="F858" i="6"/>
  <c r="D858" i="6"/>
  <c r="C858" i="6"/>
  <c r="O857" i="6"/>
  <c r="G857" i="6"/>
  <c r="F857" i="6"/>
  <c r="D857" i="6"/>
  <c r="C857" i="6"/>
  <c r="O856" i="6"/>
  <c r="G856" i="6"/>
  <c r="F856" i="6"/>
  <c r="D856" i="6"/>
  <c r="C856" i="6"/>
  <c r="O855" i="6"/>
  <c r="G855" i="6"/>
  <c r="F855" i="6"/>
  <c r="D855" i="6"/>
  <c r="C855" i="6"/>
  <c r="O854" i="6"/>
  <c r="G854" i="6"/>
  <c r="F854" i="6"/>
  <c r="D854" i="6"/>
  <c r="C854" i="6"/>
  <c r="O853" i="6"/>
  <c r="G853" i="6"/>
  <c r="F853" i="6"/>
  <c r="D853" i="6"/>
  <c r="C853" i="6"/>
  <c r="O852" i="6"/>
  <c r="G852" i="6"/>
  <c r="F852" i="6"/>
  <c r="D852" i="6"/>
  <c r="C852" i="6"/>
  <c r="O851" i="6"/>
  <c r="G851" i="6"/>
  <c r="F851" i="6"/>
  <c r="D851" i="6"/>
  <c r="C851" i="6"/>
  <c r="O850" i="6"/>
  <c r="G850" i="6"/>
  <c r="F850" i="6"/>
  <c r="D850" i="6"/>
  <c r="C850" i="6"/>
  <c r="O849" i="6"/>
  <c r="G849" i="6"/>
  <c r="F849" i="6"/>
  <c r="D849" i="6"/>
  <c r="C849" i="6"/>
  <c r="O848" i="6"/>
  <c r="G848" i="6"/>
  <c r="F848" i="6"/>
  <c r="D848" i="6"/>
  <c r="C848" i="6"/>
  <c r="O847" i="6"/>
  <c r="G847" i="6"/>
  <c r="F847" i="6"/>
  <c r="D847" i="6"/>
  <c r="C847" i="6"/>
  <c r="O846" i="6"/>
  <c r="G846" i="6"/>
  <c r="F846" i="6"/>
  <c r="D846" i="6"/>
  <c r="C846" i="6"/>
  <c r="O845" i="6"/>
  <c r="G845" i="6"/>
  <c r="F845" i="6"/>
  <c r="D845" i="6"/>
  <c r="C845" i="6"/>
  <c r="O844" i="6"/>
  <c r="G844" i="6"/>
  <c r="F844" i="6"/>
  <c r="D844" i="6"/>
  <c r="C844" i="6"/>
  <c r="O843" i="6"/>
  <c r="G843" i="6"/>
  <c r="F843" i="6"/>
  <c r="D843" i="6"/>
  <c r="C843" i="6"/>
  <c r="O842" i="6"/>
  <c r="G842" i="6"/>
  <c r="F842" i="6"/>
  <c r="D842" i="6"/>
  <c r="C842" i="6"/>
  <c r="O841" i="6"/>
  <c r="G841" i="6"/>
  <c r="F841" i="6"/>
  <c r="D841" i="6"/>
  <c r="C841" i="6"/>
  <c r="O840" i="6"/>
  <c r="G840" i="6"/>
  <c r="F840" i="6"/>
  <c r="D840" i="6"/>
  <c r="C840" i="6"/>
  <c r="O839" i="6"/>
  <c r="G839" i="6"/>
  <c r="F839" i="6"/>
  <c r="D839" i="6"/>
  <c r="C839" i="6"/>
  <c r="O838" i="6"/>
  <c r="G838" i="6"/>
  <c r="F838" i="6"/>
  <c r="D838" i="6"/>
  <c r="C838" i="6"/>
  <c r="O837" i="6"/>
  <c r="G837" i="6"/>
  <c r="F837" i="6"/>
  <c r="D837" i="6"/>
  <c r="C837" i="6"/>
  <c r="O836" i="6"/>
  <c r="G836" i="6"/>
  <c r="F836" i="6"/>
  <c r="D836" i="6"/>
  <c r="C836" i="6"/>
  <c r="O835" i="6"/>
  <c r="G835" i="6"/>
  <c r="F835" i="6"/>
  <c r="D835" i="6"/>
  <c r="C835" i="6"/>
  <c r="O834" i="6"/>
  <c r="G834" i="6"/>
  <c r="F834" i="6"/>
  <c r="D834" i="6"/>
  <c r="C834" i="6"/>
  <c r="O833" i="6"/>
  <c r="G833" i="6"/>
  <c r="F833" i="6"/>
  <c r="D833" i="6"/>
  <c r="C833" i="6"/>
  <c r="O832" i="6"/>
  <c r="G832" i="6"/>
  <c r="F832" i="6"/>
  <c r="D832" i="6"/>
  <c r="C832" i="6"/>
  <c r="O831" i="6"/>
  <c r="G831" i="6"/>
  <c r="F831" i="6"/>
  <c r="D831" i="6"/>
  <c r="C831" i="6"/>
  <c r="O830" i="6"/>
  <c r="G830" i="6"/>
  <c r="F830" i="6"/>
  <c r="D830" i="6"/>
  <c r="C830" i="6"/>
  <c r="O829" i="6"/>
  <c r="G829" i="6"/>
  <c r="F829" i="6"/>
  <c r="D829" i="6"/>
  <c r="C829" i="6"/>
  <c r="O828" i="6"/>
  <c r="G828" i="6"/>
  <c r="F828" i="6"/>
  <c r="D828" i="6"/>
  <c r="C828" i="6"/>
  <c r="O827" i="6"/>
  <c r="G827" i="6"/>
  <c r="F827" i="6"/>
  <c r="D827" i="6"/>
  <c r="C827" i="6"/>
  <c r="O826" i="6"/>
  <c r="G826" i="6"/>
  <c r="F826" i="6"/>
  <c r="D826" i="6"/>
  <c r="C826" i="6"/>
  <c r="O825" i="6"/>
  <c r="G825" i="6"/>
  <c r="F825" i="6"/>
  <c r="D825" i="6"/>
  <c r="C825" i="6"/>
  <c r="O824" i="6"/>
  <c r="G824" i="6"/>
  <c r="F824" i="6"/>
  <c r="D824" i="6"/>
  <c r="C824" i="6"/>
  <c r="O823" i="6"/>
  <c r="G823" i="6"/>
  <c r="F823" i="6"/>
  <c r="D823" i="6"/>
  <c r="C823" i="6"/>
  <c r="O822" i="6"/>
  <c r="G822" i="6"/>
  <c r="F822" i="6"/>
  <c r="D822" i="6"/>
  <c r="C822" i="6"/>
  <c r="O821" i="6"/>
  <c r="G821" i="6"/>
  <c r="F821" i="6"/>
  <c r="D821" i="6"/>
  <c r="C821" i="6"/>
  <c r="O820" i="6"/>
  <c r="G820" i="6"/>
  <c r="F820" i="6"/>
  <c r="D820" i="6"/>
  <c r="C820" i="6"/>
  <c r="O819" i="6"/>
  <c r="G819" i="6"/>
  <c r="F819" i="6"/>
  <c r="D819" i="6"/>
  <c r="C819" i="6"/>
  <c r="O818" i="6"/>
  <c r="G818" i="6"/>
  <c r="F818" i="6"/>
  <c r="D818" i="6"/>
  <c r="C818" i="6"/>
  <c r="O817" i="6"/>
  <c r="G817" i="6"/>
  <c r="F817" i="6"/>
  <c r="D817" i="6"/>
  <c r="C817" i="6"/>
  <c r="O816" i="6"/>
  <c r="G816" i="6"/>
  <c r="F816" i="6"/>
  <c r="D816" i="6"/>
  <c r="C816" i="6"/>
  <c r="O815" i="6"/>
  <c r="G815" i="6"/>
  <c r="F815" i="6"/>
  <c r="D815" i="6"/>
  <c r="C815" i="6"/>
  <c r="O814" i="6"/>
  <c r="G814" i="6"/>
  <c r="F814" i="6"/>
  <c r="D814" i="6"/>
  <c r="C814" i="6"/>
  <c r="O813" i="6"/>
  <c r="G813" i="6"/>
  <c r="F813" i="6"/>
  <c r="D813" i="6"/>
  <c r="C813" i="6"/>
  <c r="O812" i="6"/>
  <c r="G812" i="6"/>
  <c r="F812" i="6"/>
  <c r="D812" i="6"/>
  <c r="C812" i="6"/>
  <c r="O811" i="6"/>
  <c r="G811" i="6"/>
  <c r="F811" i="6"/>
  <c r="D811" i="6"/>
  <c r="C811" i="6"/>
  <c r="O810" i="6"/>
  <c r="G810" i="6"/>
  <c r="F810" i="6"/>
  <c r="D810" i="6"/>
  <c r="C810" i="6"/>
  <c r="O809" i="6"/>
  <c r="G809" i="6"/>
  <c r="F809" i="6"/>
  <c r="D809" i="6"/>
  <c r="C809" i="6"/>
  <c r="O808" i="6"/>
  <c r="G808" i="6"/>
  <c r="F808" i="6"/>
  <c r="D808" i="6"/>
  <c r="C808" i="6"/>
  <c r="O807" i="6"/>
  <c r="G807" i="6"/>
  <c r="F807" i="6"/>
  <c r="D807" i="6"/>
  <c r="C807" i="6"/>
  <c r="O806" i="6"/>
  <c r="G806" i="6"/>
  <c r="F806" i="6"/>
  <c r="D806" i="6"/>
  <c r="C806" i="6"/>
  <c r="O805" i="6"/>
  <c r="G805" i="6"/>
  <c r="F805" i="6"/>
  <c r="D805" i="6"/>
  <c r="C805" i="6"/>
  <c r="O804" i="6"/>
  <c r="G804" i="6"/>
  <c r="F804" i="6"/>
  <c r="D804" i="6"/>
  <c r="C804" i="6"/>
  <c r="O803" i="6"/>
  <c r="G803" i="6"/>
  <c r="F803" i="6"/>
  <c r="D803" i="6"/>
  <c r="C803" i="6"/>
  <c r="O802" i="6"/>
  <c r="G802" i="6"/>
  <c r="F802" i="6"/>
  <c r="D802" i="6"/>
  <c r="C802" i="6"/>
  <c r="O801" i="6"/>
  <c r="G801" i="6"/>
  <c r="F801" i="6"/>
  <c r="D801" i="6"/>
  <c r="C801" i="6"/>
  <c r="O800" i="6"/>
  <c r="G800" i="6"/>
  <c r="F800" i="6"/>
  <c r="D800" i="6"/>
  <c r="C800" i="6"/>
  <c r="O799" i="6"/>
  <c r="G799" i="6"/>
  <c r="F799" i="6"/>
  <c r="D799" i="6"/>
  <c r="C799" i="6"/>
  <c r="O798" i="6"/>
  <c r="G798" i="6"/>
  <c r="F798" i="6"/>
  <c r="D798" i="6"/>
  <c r="C798" i="6"/>
  <c r="O797" i="6"/>
  <c r="G797" i="6"/>
  <c r="F797" i="6"/>
  <c r="D797" i="6"/>
  <c r="C797" i="6"/>
  <c r="O796" i="6"/>
  <c r="G796" i="6"/>
  <c r="F796" i="6"/>
  <c r="D796" i="6"/>
  <c r="C796" i="6"/>
  <c r="O795" i="6"/>
  <c r="G795" i="6"/>
  <c r="F795" i="6"/>
  <c r="D795" i="6"/>
  <c r="C795" i="6"/>
  <c r="O794" i="6"/>
  <c r="G794" i="6"/>
  <c r="F794" i="6"/>
  <c r="D794" i="6"/>
  <c r="C794" i="6"/>
  <c r="O793" i="6"/>
  <c r="G793" i="6"/>
  <c r="F793" i="6"/>
  <c r="D793" i="6"/>
  <c r="C793" i="6"/>
  <c r="O792" i="6"/>
  <c r="G792" i="6"/>
  <c r="F792" i="6"/>
  <c r="D792" i="6"/>
  <c r="C792" i="6"/>
  <c r="O791" i="6"/>
  <c r="G791" i="6"/>
  <c r="F791" i="6"/>
  <c r="D791" i="6"/>
  <c r="C791" i="6"/>
  <c r="O790" i="6"/>
  <c r="G790" i="6"/>
  <c r="F790" i="6"/>
  <c r="D790" i="6"/>
  <c r="C790" i="6"/>
  <c r="O789" i="6"/>
  <c r="G789" i="6"/>
  <c r="F789" i="6"/>
  <c r="D789" i="6"/>
  <c r="C789" i="6"/>
  <c r="O788" i="6"/>
  <c r="G788" i="6"/>
  <c r="F788" i="6"/>
  <c r="D788" i="6"/>
  <c r="C788" i="6"/>
  <c r="O787" i="6"/>
  <c r="G787" i="6"/>
  <c r="F787" i="6"/>
  <c r="D787" i="6"/>
  <c r="C787" i="6"/>
  <c r="O786" i="6"/>
  <c r="G786" i="6"/>
  <c r="F786" i="6"/>
  <c r="D786" i="6"/>
  <c r="C786" i="6"/>
  <c r="O785" i="6"/>
  <c r="G785" i="6"/>
  <c r="F785" i="6"/>
  <c r="D785" i="6"/>
  <c r="C785" i="6"/>
  <c r="O784" i="6"/>
  <c r="G784" i="6"/>
  <c r="F784" i="6"/>
  <c r="D784" i="6"/>
  <c r="C784" i="6"/>
  <c r="O783" i="6"/>
  <c r="G783" i="6"/>
  <c r="F783" i="6"/>
  <c r="D783" i="6"/>
  <c r="C783" i="6"/>
  <c r="O782" i="6"/>
  <c r="G782" i="6"/>
  <c r="F782" i="6"/>
  <c r="D782" i="6"/>
  <c r="C782" i="6"/>
  <c r="O781" i="6"/>
  <c r="G781" i="6"/>
  <c r="F781" i="6"/>
  <c r="D781" i="6"/>
  <c r="C781" i="6"/>
  <c r="O780" i="6"/>
  <c r="G780" i="6"/>
  <c r="F780" i="6"/>
  <c r="D780" i="6"/>
  <c r="C780" i="6"/>
  <c r="O779" i="6"/>
  <c r="G779" i="6"/>
  <c r="F779" i="6"/>
  <c r="D779" i="6"/>
  <c r="C779" i="6"/>
  <c r="O778" i="6"/>
  <c r="G778" i="6"/>
  <c r="F778" i="6"/>
  <c r="D778" i="6"/>
  <c r="C778" i="6"/>
  <c r="O777" i="6"/>
  <c r="G777" i="6"/>
  <c r="F777" i="6"/>
  <c r="D777" i="6"/>
  <c r="C777" i="6"/>
  <c r="O776" i="6"/>
  <c r="G776" i="6"/>
  <c r="F776" i="6"/>
  <c r="D776" i="6"/>
  <c r="C776" i="6"/>
  <c r="O775" i="6"/>
  <c r="G775" i="6"/>
  <c r="F775" i="6"/>
  <c r="D775" i="6"/>
  <c r="C775" i="6"/>
  <c r="O774" i="6"/>
  <c r="G774" i="6"/>
  <c r="F774" i="6"/>
  <c r="D774" i="6"/>
  <c r="C774" i="6"/>
  <c r="O773" i="6"/>
  <c r="G773" i="6"/>
  <c r="F773" i="6"/>
  <c r="D773" i="6"/>
  <c r="C773" i="6"/>
  <c r="O772" i="6"/>
  <c r="G772" i="6"/>
  <c r="F772" i="6"/>
  <c r="D772" i="6"/>
  <c r="C772" i="6"/>
  <c r="O771" i="6"/>
  <c r="G771" i="6"/>
  <c r="F771" i="6"/>
  <c r="D771" i="6"/>
  <c r="C771" i="6"/>
  <c r="O770" i="6"/>
  <c r="G770" i="6"/>
  <c r="F770" i="6"/>
  <c r="D770" i="6"/>
  <c r="C770" i="6"/>
  <c r="O769" i="6"/>
  <c r="G769" i="6"/>
  <c r="F769" i="6"/>
  <c r="D769" i="6"/>
  <c r="C769" i="6"/>
  <c r="O768" i="6"/>
  <c r="G768" i="6"/>
  <c r="F768" i="6"/>
  <c r="D768" i="6"/>
  <c r="C768" i="6"/>
  <c r="O767" i="6"/>
  <c r="G767" i="6"/>
  <c r="F767" i="6"/>
  <c r="D767" i="6"/>
  <c r="C767" i="6"/>
  <c r="O766" i="6"/>
  <c r="G766" i="6"/>
  <c r="F766" i="6"/>
  <c r="D766" i="6"/>
  <c r="C766" i="6"/>
  <c r="O765" i="6"/>
  <c r="G765" i="6"/>
  <c r="F765" i="6"/>
  <c r="D765" i="6"/>
  <c r="C765" i="6"/>
  <c r="O764" i="6"/>
  <c r="G764" i="6"/>
  <c r="F764" i="6"/>
  <c r="D764" i="6"/>
  <c r="C764" i="6"/>
  <c r="O763" i="6"/>
  <c r="G763" i="6"/>
  <c r="F763" i="6"/>
  <c r="D763" i="6"/>
  <c r="C763" i="6"/>
  <c r="O762" i="6"/>
  <c r="G762" i="6"/>
  <c r="F762" i="6"/>
  <c r="D762" i="6"/>
  <c r="C762" i="6"/>
  <c r="O761" i="6"/>
  <c r="G761" i="6"/>
  <c r="F761" i="6"/>
  <c r="D761" i="6"/>
  <c r="C761" i="6"/>
  <c r="O760" i="6"/>
  <c r="G760" i="6"/>
  <c r="F760" i="6"/>
  <c r="D760" i="6"/>
  <c r="C760" i="6"/>
  <c r="O759" i="6"/>
  <c r="G759" i="6"/>
  <c r="F759" i="6"/>
  <c r="D759" i="6"/>
  <c r="C759" i="6"/>
  <c r="O758" i="6"/>
  <c r="G758" i="6"/>
  <c r="F758" i="6"/>
  <c r="D758" i="6"/>
  <c r="C758" i="6"/>
  <c r="O757" i="6"/>
  <c r="G757" i="6"/>
  <c r="F757" i="6"/>
  <c r="D757" i="6"/>
  <c r="C757" i="6"/>
  <c r="O756" i="6"/>
  <c r="G756" i="6"/>
  <c r="F756" i="6"/>
  <c r="D756" i="6"/>
  <c r="C756" i="6"/>
  <c r="O755" i="6"/>
  <c r="G755" i="6"/>
  <c r="F755" i="6"/>
  <c r="D755" i="6"/>
  <c r="C755" i="6"/>
  <c r="O754" i="6"/>
  <c r="G754" i="6"/>
  <c r="F754" i="6"/>
  <c r="D754" i="6"/>
  <c r="C754" i="6"/>
  <c r="O753" i="6"/>
  <c r="G753" i="6"/>
  <c r="F753" i="6"/>
  <c r="D753" i="6"/>
  <c r="C753" i="6"/>
  <c r="O752" i="6"/>
  <c r="G752" i="6"/>
  <c r="F752" i="6"/>
  <c r="D752" i="6"/>
  <c r="C752" i="6"/>
  <c r="O751" i="6"/>
  <c r="G751" i="6"/>
  <c r="F751" i="6"/>
  <c r="D751" i="6"/>
  <c r="C751" i="6"/>
  <c r="O750" i="6"/>
  <c r="G750" i="6"/>
  <c r="F750" i="6"/>
  <c r="D750" i="6"/>
  <c r="C750" i="6"/>
  <c r="O749" i="6"/>
  <c r="G749" i="6"/>
  <c r="F749" i="6"/>
  <c r="D749" i="6"/>
  <c r="C749" i="6"/>
  <c r="O748" i="6"/>
  <c r="G748" i="6"/>
  <c r="F748" i="6"/>
  <c r="D748" i="6"/>
  <c r="C748" i="6"/>
  <c r="O747" i="6"/>
  <c r="G747" i="6"/>
  <c r="F747" i="6"/>
  <c r="D747" i="6"/>
  <c r="C747" i="6"/>
  <c r="O746" i="6"/>
  <c r="G746" i="6"/>
  <c r="F746" i="6"/>
  <c r="D746" i="6"/>
  <c r="C746" i="6"/>
  <c r="O745" i="6"/>
  <c r="G745" i="6"/>
  <c r="F745" i="6"/>
  <c r="D745" i="6"/>
  <c r="C745" i="6"/>
  <c r="O744" i="6"/>
  <c r="G744" i="6"/>
  <c r="F744" i="6"/>
  <c r="D744" i="6"/>
  <c r="C744" i="6"/>
  <c r="O743" i="6"/>
  <c r="G743" i="6"/>
  <c r="F743" i="6"/>
  <c r="D743" i="6"/>
  <c r="C743" i="6"/>
  <c r="O742" i="6"/>
  <c r="G742" i="6"/>
  <c r="F742" i="6"/>
  <c r="D742" i="6"/>
  <c r="C742" i="6"/>
  <c r="O741" i="6"/>
  <c r="G741" i="6"/>
  <c r="F741" i="6"/>
  <c r="D741" i="6"/>
  <c r="C741" i="6"/>
  <c r="O740" i="6"/>
  <c r="G740" i="6"/>
  <c r="F740" i="6"/>
  <c r="D740" i="6"/>
  <c r="C740" i="6"/>
  <c r="O739" i="6"/>
  <c r="G739" i="6"/>
  <c r="F739" i="6"/>
  <c r="D739" i="6"/>
  <c r="C739" i="6"/>
  <c r="O738" i="6"/>
  <c r="G738" i="6"/>
  <c r="F738" i="6"/>
  <c r="D738" i="6"/>
  <c r="C738" i="6"/>
  <c r="O737" i="6"/>
  <c r="G737" i="6"/>
  <c r="F737" i="6"/>
  <c r="D737" i="6"/>
  <c r="C737" i="6"/>
  <c r="O736" i="6"/>
  <c r="G736" i="6"/>
  <c r="F736" i="6"/>
  <c r="D736" i="6"/>
  <c r="C736" i="6"/>
  <c r="O735" i="6"/>
  <c r="G735" i="6"/>
  <c r="F735" i="6"/>
  <c r="D735" i="6"/>
  <c r="C735" i="6"/>
  <c r="O734" i="6"/>
  <c r="G734" i="6"/>
  <c r="F734" i="6"/>
  <c r="D734" i="6"/>
  <c r="C734" i="6"/>
  <c r="O733" i="6"/>
  <c r="G733" i="6"/>
  <c r="F733" i="6"/>
  <c r="D733" i="6"/>
  <c r="C733" i="6"/>
  <c r="O732" i="6"/>
  <c r="G732" i="6"/>
  <c r="F732" i="6"/>
  <c r="D732" i="6"/>
  <c r="C732" i="6"/>
  <c r="O731" i="6"/>
  <c r="G731" i="6"/>
  <c r="F731" i="6"/>
  <c r="D731" i="6"/>
  <c r="C731" i="6"/>
  <c r="O730" i="6"/>
  <c r="G730" i="6"/>
  <c r="F730" i="6"/>
  <c r="D730" i="6"/>
  <c r="C730" i="6"/>
  <c r="O729" i="6"/>
  <c r="G729" i="6"/>
  <c r="F729" i="6"/>
  <c r="D729" i="6"/>
  <c r="C729" i="6"/>
  <c r="O728" i="6"/>
  <c r="G728" i="6"/>
  <c r="F728" i="6"/>
  <c r="D728" i="6"/>
  <c r="C728" i="6"/>
  <c r="O727" i="6"/>
  <c r="G727" i="6"/>
  <c r="F727" i="6"/>
  <c r="D727" i="6"/>
  <c r="C727" i="6"/>
  <c r="O726" i="6"/>
  <c r="G726" i="6"/>
  <c r="F726" i="6"/>
  <c r="D726" i="6"/>
  <c r="C726" i="6"/>
  <c r="O725" i="6"/>
  <c r="G725" i="6"/>
  <c r="F725" i="6"/>
  <c r="D725" i="6"/>
  <c r="C725" i="6"/>
  <c r="O724" i="6"/>
  <c r="G724" i="6"/>
  <c r="F724" i="6"/>
  <c r="D724" i="6"/>
  <c r="C724" i="6"/>
  <c r="O723" i="6"/>
  <c r="G723" i="6"/>
  <c r="F723" i="6"/>
  <c r="D723" i="6"/>
  <c r="C723" i="6"/>
  <c r="O722" i="6"/>
  <c r="G722" i="6"/>
  <c r="F722" i="6"/>
  <c r="D722" i="6"/>
  <c r="C722" i="6"/>
  <c r="O721" i="6"/>
  <c r="G721" i="6"/>
  <c r="F721" i="6"/>
  <c r="D721" i="6"/>
  <c r="C721" i="6"/>
  <c r="O720" i="6"/>
  <c r="G720" i="6"/>
  <c r="F720" i="6"/>
  <c r="D720" i="6"/>
  <c r="C720" i="6"/>
  <c r="O719" i="6"/>
  <c r="G719" i="6"/>
  <c r="F719" i="6"/>
  <c r="D719" i="6"/>
  <c r="C719" i="6"/>
  <c r="O718" i="6"/>
  <c r="G718" i="6"/>
  <c r="F718" i="6"/>
  <c r="D718" i="6"/>
  <c r="C718" i="6"/>
  <c r="O717" i="6"/>
  <c r="G717" i="6"/>
  <c r="F717" i="6"/>
  <c r="D717" i="6"/>
  <c r="C717" i="6"/>
  <c r="O716" i="6"/>
  <c r="G716" i="6"/>
  <c r="F716" i="6"/>
  <c r="D716" i="6"/>
  <c r="C716" i="6"/>
  <c r="O715" i="6"/>
  <c r="G715" i="6"/>
  <c r="F715" i="6"/>
  <c r="D715" i="6"/>
  <c r="C715" i="6"/>
  <c r="O714" i="6"/>
  <c r="G714" i="6"/>
  <c r="F714" i="6"/>
  <c r="D714" i="6"/>
  <c r="C714" i="6"/>
  <c r="O713" i="6"/>
  <c r="G713" i="6"/>
  <c r="F713" i="6"/>
  <c r="D713" i="6"/>
  <c r="C713" i="6"/>
  <c r="O712" i="6"/>
  <c r="G712" i="6"/>
  <c r="F712" i="6"/>
  <c r="D712" i="6"/>
  <c r="C712" i="6"/>
  <c r="O711" i="6"/>
  <c r="G711" i="6"/>
  <c r="F711" i="6"/>
  <c r="D711" i="6"/>
  <c r="C711" i="6"/>
  <c r="O710" i="6"/>
  <c r="G710" i="6"/>
  <c r="F710" i="6"/>
  <c r="D710" i="6"/>
  <c r="C710" i="6"/>
  <c r="O709" i="6"/>
  <c r="G709" i="6"/>
  <c r="F709" i="6"/>
  <c r="D709" i="6"/>
  <c r="C709" i="6"/>
  <c r="O708" i="6"/>
  <c r="G708" i="6"/>
  <c r="F708" i="6"/>
  <c r="D708" i="6"/>
  <c r="C708" i="6"/>
  <c r="O707" i="6"/>
  <c r="G707" i="6"/>
  <c r="F707" i="6"/>
  <c r="D707" i="6"/>
  <c r="C707" i="6"/>
  <c r="O706" i="6"/>
  <c r="G706" i="6"/>
  <c r="F706" i="6"/>
  <c r="D706" i="6"/>
  <c r="C706" i="6"/>
  <c r="O705" i="6"/>
  <c r="G705" i="6"/>
  <c r="F705" i="6"/>
  <c r="D705" i="6"/>
  <c r="C705" i="6"/>
  <c r="O704" i="6"/>
  <c r="G704" i="6"/>
  <c r="F704" i="6"/>
  <c r="D704" i="6"/>
  <c r="C704" i="6"/>
  <c r="O703" i="6"/>
  <c r="G703" i="6"/>
  <c r="F703" i="6"/>
  <c r="D703" i="6"/>
  <c r="C703" i="6"/>
  <c r="O702" i="6"/>
  <c r="G702" i="6"/>
  <c r="F702" i="6"/>
  <c r="D702" i="6"/>
  <c r="C702" i="6"/>
  <c r="O701" i="6"/>
  <c r="G701" i="6"/>
  <c r="F701" i="6"/>
  <c r="D701" i="6"/>
  <c r="C701" i="6"/>
  <c r="O700" i="6"/>
  <c r="G700" i="6"/>
  <c r="F700" i="6"/>
  <c r="D700" i="6"/>
  <c r="C700" i="6"/>
  <c r="O699" i="6"/>
  <c r="G699" i="6"/>
  <c r="F699" i="6"/>
  <c r="D699" i="6"/>
  <c r="C699" i="6"/>
  <c r="O698" i="6"/>
  <c r="G698" i="6"/>
  <c r="F698" i="6"/>
  <c r="D698" i="6"/>
  <c r="C698" i="6"/>
  <c r="O697" i="6"/>
  <c r="G697" i="6"/>
  <c r="F697" i="6"/>
  <c r="D697" i="6"/>
  <c r="C697" i="6"/>
  <c r="O696" i="6"/>
  <c r="G696" i="6"/>
  <c r="F696" i="6"/>
  <c r="D696" i="6"/>
  <c r="C696" i="6"/>
  <c r="O695" i="6"/>
  <c r="G695" i="6"/>
  <c r="F695" i="6"/>
  <c r="D695" i="6"/>
  <c r="C695" i="6"/>
  <c r="O694" i="6"/>
  <c r="G694" i="6"/>
  <c r="F694" i="6"/>
  <c r="D694" i="6"/>
  <c r="C694" i="6"/>
  <c r="O693" i="6"/>
  <c r="G693" i="6"/>
  <c r="F693" i="6"/>
  <c r="D693" i="6"/>
  <c r="C693" i="6"/>
  <c r="O692" i="6"/>
  <c r="G692" i="6"/>
  <c r="F692" i="6"/>
  <c r="D692" i="6"/>
  <c r="C692" i="6"/>
  <c r="O691" i="6"/>
  <c r="G691" i="6"/>
  <c r="F691" i="6"/>
  <c r="D691" i="6"/>
  <c r="C691" i="6"/>
  <c r="O690" i="6"/>
  <c r="G690" i="6"/>
  <c r="F690" i="6"/>
  <c r="D690" i="6"/>
  <c r="C690" i="6"/>
  <c r="O689" i="6"/>
  <c r="G689" i="6"/>
  <c r="F689" i="6"/>
  <c r="D689" i="6"/>
  <c r="C689" i="6"/>
  <c r="O688" i="6"/>
  <c r="G688" i="6"/>
  <c r="F688" i="6"/>
  <c r="D688" i="6"/>
  <c r="C688" i="6"/>
  <c r="O687" i="6"/>
  <c r="G687" i="6"/>
  <c r="F687" i="6"/>
  <c r="D687" i="6"/>
  <c r="C687" i="6"/>
  <c r="O686" i="6"/>
  <c r="G686" i="6"/>
  <c r="F686" i="6"/>
  <c r="D686" i="6"/>
  <c r="C686" i="6"/>
  <c r="O685" i="6"/>
  <c r="G685" i="6"/>
  <c r="F685" i="6"/>
  <c r="D685" i="6"/>
  <c r="C685" i="6"/>
  <c r="O684" i="6"/>
  <c r="G684" i="6"/>
  <c r="F684" i="6"/>
  <c r="D684" i="6"/>
  <c r="C684" i="6"/>
  <c r="O683" i="6"/>
  <c r="G683" i="6"/>
  <c r="F683" i="6"/>
  <c r="D683" i="6"/>
  <c r="C683" i="6"/>
  <c r="O682" i="6"/>
  <c r="G682" i="6"/>
  <c r="F682" i="6"/>
  <c r="D682" i="6"/>
  <c r="C682" i="6"/>
  <c r="O681" i="6"/>
  <c r="G681" i="6"/>
  <c r="F681" i="6"/>
  <c r="D681" i="6"/>
  <c r="C681" i="6"/>
  <c r="O680" i="6"/>
  <c r="G680" i="6"/>
  <c r="F680" i="6"/>
  <c r="D680" i="6"/>
  <c r="C680" i="6"/>
  <c r="O679" i="6"/>
  <c r="G679" i="6"/>
  <c r="F679" i="6"/>
  <c r="D679" i="6"/>
  <c r="C679" i="6"/>
  <c r="O678" i="6"/>
  <c r="G678" i="6"/>
  <c r="F678" i="6"/>
  <c r="D678" i="6"/>
  <c r="C678" i="6"/>
  <c r="O677" i="6"/>
  <c r="G677" i="6"/>
  <c r="F677" i="6"/>
  <c r="D677" i="6"/>
  <c r="C677" i="6"/>
  <c r="O676" i="6"/>
  <c r="G676" i="6"/>
  <c r="F676" i="6"/>
  <c r="D676" i="6"/>
  <c r="C676" i="6"/>
  <c r="O675" i="6"/>
  <c r="G675" i="6"/>
  <c r="F675" i="6"/>
  <c r="D675" i="6"/>
  <c r="C675" i="6"/>
  <c r="O674" i="6"/>
  <c r="G674" i="6"/>
  <c r="F674" i="6"/>
  <c r="D674" i="6"/>
  <c r="C674" i="6"/>
  <c r="O673" i="6"/>
  <c r="G673" i="6"/>
  <c r="F673" i="6"/>
  <c r="D673" i="6"/>
  <c r="C673" i="6"/>
  <c r="O672" i="6"/>
  <c r="G672" i="6"/>
  <c r="F672" i="6"/>
  <c r="D672" i="6"/>
  <c r="C672" i="6"/>
  <c r="O671" i="6"/>
  <c r="G671" i="6"/>
  <c r="F671" i="6"/>
  <c r="D671" i="6"/>
  <c r="C671" i="6"/>
  <c r="O670" i="6"/>
  <c r="G670" i="6"/>
  <c r="F670" i="6"/>
  <c r="D670" i="6"/>
  <c r="C670" i="6"/>
  <c r="O669" i="6"/>
  <c r="G669" i="6"/>
  <c r="F669" i="6"/>
  <c r="D669" i="6"/>
  <c r="C669" i="6"/>
  <c r="O668" i="6"/>
  <c r="G668" i="6"/>
  <c r="F668" i="6"/>
  <c r="D668" i="6"/>
  <c r="C668" i="6"/>
  <c r="O667" i="6"/>
  <c r="G667" i="6"/>
  <c r="F667" i="6"/>
  <c r="D667" i="6"/>
  <c r="C667" i="6"/>
  <c r="O666" i="6"/>
  <c r="G666" i="6"/>
  <c r="F666" i="6"/>
  <c r="D666" i="6"/>
  <c r="C666" i="6"/>
  <c r="O665" i="6"/>
  <c r="G665" i="6"/>
  <c r="F665" i="6"/>
  <c r="D665" i="6"/>
  <c r="C665" i="6"/>
  <c r="O664" i="6"/>
  <c r="G664" i="6"/>
  <c r="F664" i="6"/>
  <c r="D664" i="6"/>
  <c r="C664" i="6"/>
  <c r="O663" i="6"/>
  <c r="G663" i="6"/>
  <c r="F663" i="6"/>
  <c r="D663" i="6"/>
  <c r="C663" i="6"/>
  <c r="O662" i="6"/>
  <c r="G662" i="6"/>
  <c r="F662" i="6"/>
  <c r="D662" i="6"/>
  <c r="C662" i="6"/>
  <c r="O661" i="6"/>
  <c r="G661" i="6"/>
  <c r="F661" i="6"/>
  <c r="D661" i="6"/>
  <c r="C661" i="6"/>
  <c r="O660" i="6"/>
  <c r="G660" i="6"/>
  <c r="F660" i="6"/>
  <c r="D660" i="6"/>
  <c r="C660" i="6"/>
  <c r="O659" i="6"/>
  <c r="G659" i="6"/>
  <c r="F659" i="6"/>
  <c r="D659" i="6"/>
  <c r="C659" i="6"/>
  <c r="O658" i="6"/>
  <c r="G658" i="6"/>
  <c r="F658" i="6"/>
  <c r="D658" i="6"/>
  <c r="C658" i="6"/>
  <c r="O657" i="6"/>
  <c r="G657" i="6"/>
  <c r="F657" i="6"/>
  <c r="D657" i="6"/>
  <c r="C657" i="6"/>
  <c r="O656" i="6"/>
  <c r="G656" i="6"/>
  <c r="F656" i="6"/>
  <c r="D656" i="6"/>
  <c r="C656" i="6"/>
  <c r="O655" i="6"/>
  <c r="G655" i="6"/>
  <c r="F655" i="6"/>
  <c r="D655" i="6"/>
  <c r="C655" i="6"/>
  <c r="O654" i="6"/>
  <c r="G654" i="6"/>
  <c r="F654" i="6"/>
  <c r="D654" i="6"/>
  <c r="C654" i="6"/>
  <c r="O653" i="6"/>
  <c r="G653" i="6"/>
  <c r="F653" i="6"/>
  <c r="D653" i="6"/>
  <c r="C653" i="6"/>
  <c r="O652" i="6"/>
  <c r="G652" i="6"/>
  <c r="F652" i="6"/>
  <c r="D652" i="6"/>
  <c r="C652" i="6"/>
  <c r="O651" i="6"/>
  <c r="G651" i="6"/>
  <c r="F651" i="6"/>
  <c r="D651" i="6"/>
  <c r="C651" i="6"/>
  <c r="O650" i="6"/>
  <c r="G650" i="6"/>
  <c r="F650" i="6"/>
  <c r="D650" i="6"/>
  <c r="C650" i="6"/>
  <c r="O649" i="6"/>
  <c r="G649" i="6"/>
  <c r="F649" i="6"/>
  <c r="D649" i="6"/>
  <c r="C649" i="6"/>
  <c r="O648" i="6"/>
  <c r="G648" i="6"/>
  <c r="F648" i="6"/>
  <c r="D648" i="6"/>
  <c r="C648" i="6"/>
  <c r="O647" i="6"/>
  <c r="G647" i="6"/>
  <c r="F647" i="6"/>
  <c r="D647" i="6"/>
  <c r="C647" i="6"/>
  <c r="O646" i="6"/>
  <c r="G646" i="6"/>
  <c r="F646" i="6"/>
  <c r="D646" i="6"/>
  <c r="C646" i="6"/>
  <c r="O645" i="6"/>
  <c r="G645" i="6"/>
  <c r="F645" i="6"/>
  <c r="D645" i="6"/>
  <c r="C645" i="6"/>
  <c r="O644" i="6"/>
  <c r="G644" i="6"/>
  <c r="F644" i="6"/>
  <c r="D644" i="6"/>
  <c r="C644" i="6"/>
  <c r="O643" i="6"/>
  <c r="G643" i="6"/>
  <c r="F643" i="6"/>
  <c r="D643" i="6"/>
  <c r="C643" i="6"/>
  <c r="O642" i="6"/>
  <c r="G642" i="6"/>
  <c r="F642" i="6"/>
  <c r="D642" i="6"/>
  <c r="C642" i="6"/>
  <c r="O641" i="6"/>
  <c r="G641" i="6"/>
  <c r="F641" i="6"/>
  <c r="D641" i="6"/>
  <c r="C641" i="6"/>
  <c r="O640" i="6"/>
  <c r="G640" i="6"/>
  <c r="F640" i="6"/>
  <c r="D640" i="6"/>
  <c r="C640" i="6"/>
  <c r="O639" i="6"/>
  <c r="G639" i="6"/>
  <c r="F639" i="6"/>
  <c r="D639" i="6"/>
  <c r="C639" i="6"/>
  <c r="O638" i="6"/>
  <c r="G638" i="6"/>
  <c r="F638" i="6"/>
  <c r="D638" i="6"/>
  <c r="C638" i="6"/>
  <c r="O637" i="6"/>
  <c r="G637" i="6"/>
  <c r="F637" i="6"/>
  <c r="D637" i="6"/>
  <c r="C637" i="6"/>
  <c r="O636" i="6"/>
  <c r="G636" i="6"/>
  <c r="F636" i="6"/>
  <c r="D636" i="6"/>
  <c r="C636" i="6"/>
  <c r="O635" i="6"/>
  <c r="G635" i="6"/>
  <c r="F635" i="6"/>
  <c r="D635" i="6"/>
  <c r="C635" i="6"/>
  <c r="O634" i="6"/>
  <c r="G634" i="6"/>
  <c r="F634" i="6"/>
  <c r="D634" i="6"/>
  <c r="C634" i="6"/>
  <c r="O633" i="6"/>
  <c r="G633" i="6"/>
  <c r="F633" i="6"/>
  <c r="D633" i="6"/>
  <c r="C633" i="6"/>
  <c r="O632" i="6"/>
  <c r="G632" i="6"/>
  <c r="F632" i="6"/>
  <c r="D632" i="6"/>
  <c r="C632" i="6"/>
  <c r="O631" i="6"/>
  <c r="G631" i="6"/>
  <c r="F631" i="6"/>
  <c r="D631" i="6"/>
  <c r="C631" i="6"/>
  <c r="O630" i="6"/>
  <c r="G630" i="6"/>
  <c r="F630" i="6"/>
  <c r="D630" i="6"/>
  <c r="C630" i="6"/>
  <c r="O629" i="6"/>
  <c r="G629" i="6"/>
  <c r="F629" i="6"/>
  <c r="D629" i="6"/>
  <c r="C629" i="6"/>
  <c r="O628" i="6"/>
  <c r="G628" i="6"/>
  <c r="F628" i="6"/>
  <c r="D628" i="6"/>
  <c r="C628" i="6"/>
  <c r="O627" i="6"/>
  <c r="G627" i="6"/>
  <c r="F627" i="6"/>
  <c r="D627" i="6"/>
  <c r="C627" i="6"/>
  <c r="O626" i="6"/>
  <c r="G626" i="6"/>
  <c r="F626" i="6"/>
  <c r="D626" i="6"/>
  <c r="C626" i="6"/>
  <c r="O625" i="6"/>
  <c r="G625" i="6"/>
  <c r="F625" i="6"/>
  <c r="D625" i="6"/>
  <c r="C625" i="6"/>
  <c r="O624" i="6"/>
  <c r="G624" i="6"/>
  <c r="F624" i="6"/>
  <c r="D624" i="6"/>
  <c r="C624" i="6"/>
  <c r="O623" i="6"/>
  <c r="G623" i="6"/>
  <c r="F623" i="6"/>
  <c r="D623" i="6"/>
  <c r="C623" i="6"/>
  <c r="O622" i="6"/>
  <c r="G622" i="6"/>
  <c r="F622" i="6"/>
  <c r="D622" i="6"/>
  <c r="C622" i="6"/>
  <c r="O621" i="6"/>
  <c r="G621" i="6"/>
  <c r="F621" i="6"/>
  <c r="D621" i="6"/>
  <c r="C621" i="6"/>
  <c r="O620" i="6"/>
  <c r="G620" i="6"/>
  <c r="F620" i="6"/>
  <c r="D620" i="6"/>
  <c r="C620" i="6"/>
  <c r="O619" i="6"/>
  <c r="G619" i="6"/>
  <c r="F619" i="6"/>
  <c r="D619" i="6"/>
  <c r="C619" i="6"/>
  <c r="O618" i="6"/>
  <c r="G618" i="6"/>
  <c r="F618" i="6"/>
  <c r="D618" i="6"/>
  <c r="C618" i="6"/>
  <c r="O617" i="6"/>
  <c r="G617" i="6"/>
  <c r="F617" i="6"/>
  <c r="D617" i="6"/>
  <c r="C617" i="6"/>
  <c r="O616" i="6"/>
  <c r="G616" i="6"/>
  <c r="F616" i="6"/>
  <c r="D616" i="6"/>
  <c r="C616" i="6"/>
  <c r="O615" i="6"/>
  <c r="G615" i="6"/>
  <c r="F615" i="6"/>
  <c r="D615" i="6"/>
  <c r="C615" i="6"/>
  <c r="O614" i="6"/>
  <c r="G614" i="6"/>
  <c r="F614" i="6"/>
  <c r="D614" i="6"/>
  <c r="C614" i="6"/>
  <c r="O613" i="6"/>
  <c r="G613" i="6"/>
  <c r="F613" i="6"/>
  <c r="D613" i="6"/>
  <c r="C613" i="6"/>
  <c r="O612" i="6"/>
  <c r="G612" i="6"/>
  <c r="F612" i="6"/>
  <c r="D612" i="6"/>
  <c r="C612" i="6"/>
  <c r="O611" i="6"/>
  <c r="G611" i="6"/>
  <c r="F611" i="6"/>
  <c r="D611" i="6"/>
  <c r="C611" i="6"/>
  <c r="O610" i="6"/>
  <c r="G610" i="6"/>
  <c r="F610" i="6"/>
  <c r="D610" i="6"/>
  <c r="C610" i="6"/>
  <c r="O609" i="6"/>
  <c r="G609" i="6"/>
  <c r="F609" i="6"/>
  <c r="D609" i="6"/>
  <c r="C609" i="6"/>
  <c r="O608" i="6"/>
  <c r="G608" i="6"/>
  <c r="F608" i="6"/>
  <c r="D608" i="6"/>
  <c r="C608" i="6"/>
  <c r="O607" i="6"/>
  <c r="G607" i="6"/>
  <c r="F607" i="6"/>
  <c r="D607" i="6"/>
  <c r="C607" i="6"/>
  <c r="O606" i="6"/>
  <c r="G606" i="6"/>
  <c r="F606" i="6"/>
  <c r="D606" i="6"/>
  <c r="C606" i="6"/>
  <c r="O605" i="6"/>
  <c r="G605" i="6"/>
  <c r="F605" i="6"/>
  <c r="D605" i="6"/>
  <c r="C605" i="6"/>
  <c r="O604" i="6"/>
  <c r="G604" i="6"/>
  <c r="F604" i="6"/>
  <c r="D604" i="6"/>
  <c r="C604" i="6"/>
  <c r="O603" i="6"/>
  <c r="G603" i="6"/>
  <c r="F603" i="6"/>
  <c r="D603" i="6"/>
  <c r="C603" i="6"/>
  <c r="O602" i="6"/>
  <c r="G602" i="6"/>
  <c r="F602" i="6"/>
  <c r="D602" i="6"/>
  <c r="C602" i="6"/>
  <c r="O601" i="6"/>
  <c r="G601" i="6"/>
  <c r="F601" i="6"/>
  <c r="D601" i="6"/>
  <c r="C601" i="6"/>
  <c r="O600" i="6"/>
  <c r="G600" i="6"/>
  <c r="F600" i="6"/>
  <c r="D600" i="6"/>
  <c r="C600" i="6"/>
  <c r="O599" i="6"/>
  <c r="G599" i="6"/>
  <c r="F599" i="6"/>
  <c r="D599" i="6"/>
  <c r="C599" i="6"/>
  <c r="O598" i="6"/>
  <c r="G598" i="6"/>
  <c r="F598" i="6"/>
  <c r="D598" i="6"/>
  <c r="C598" i="6"/>
  <c r="O597" i="6"/>
  <c r="G597" i="6"/>
  <c r="F597" i="6"/>
  <c r="D597" i="6"/>
  <c r="C597" i="6"/>
  <c r="O596" i="6"/>
  <c r="G596" i="6"/>
  <c r="F596" i="6"/>
  <c r="D596" i="6"/>
  <c r="C596" i="6"/>
  <c r="O595" i="6"/>
  <c r="G595" i="6"/>
  <c r="F595" i="6"/>
  <c r="D595" i="6"/>
  <c r="C595" i="6"/>
  <c r="O594" i="6"/>
  <c r="G594" i="6"/>
  <c r="F594" i="6"/>
  <c r="D594" i="6"/>
  <c r="C594" i="6"/>
  <c r="O593" i="6"/>
  <c r="G593" i="6"/>
  <c r="F593" i="6"/>
  <c r="D593" i="6"/>
  <c r="C593" i="6"/>
  <c r="O592" i="6"/>
  <c r="G592" i="6"/>
  <c r="F592" i="6"/>
  <c r="D592" i="6"/>
  <c r="C592" i="6"/>
  <c r="O591" i="6"/>
  <c r="G591" i="6"/>
  <c r="F591" i="6"/>
  <c r="D591" i="6"/>
  <c r="C591" i="6"/>
  <c r="O590" i="6"/>
  <c r="G590" i="6"/>
  <c r="F590" i="6"/>
  <c r="D590" i="6"/>
  <c r="C590" i="6"/>
  <c r="O589" i="6"/>
  <c r="G589" i="6"/>
  <c r="F589" i="6"/>
  <c r="D589" i="6"/>
  <c r="C589" i="6"/>
  <c r="O588" i="6"/>
  <c r="G588" i="6"/>
  <c r="F588" i="6"/>
  <c r="D588" i="6"/>
  <c r="C588" i="6"/>
  <c r="O587" i="6"/>
  <c r="G587" i="6"/>
  <c r="F587" i="6"/>
  <c r="D587" i="6"/>
  <c r="C587" i="6"/>
  <c r="O586" i="6"/>
  <c r="G586" i="6"/>
  <c r="F586" i="6"/>
  <c r="D586" i="6"/>
  <c r="C586" i="6"/>
  <c r="O585" i="6"/>
  <c r="G585" i="6"/>
  <c r="F585" i="6"/>
  <c r="D585" i="6"/>
  <c r="C585" i="6"/>
  <c r="O584" i="6"/>
  <c r="G584" i="6"/>
  <c r="F584" i="6"/>
  <c r="D584" i="6"/>
  <c r="C584" i="6"/>
  <c r="O583" i="6"/>
  <c r="G583" i="6"/>
  <c r="F583" i="6"/>
  <c r="D583" i="6"/>
  <c r="C583" i="6"/>
  <c r="O582" i="6"/>
  <c r="G582" i="6"/>
  <c r="F582" i="6"/>
  <c r="D582" i="6"/>
  <c r="C582" i="6"/>
  <c r="O581" i="6"/>
  <c r="G581" i="6"/>
  <c r="F581" i="6"/>
  <c r="D581" i="6"/>
  <c r="C581" i="6"/>
  <c r="O580" i="6"/>
  <c r="G580" i="6"/>
  <c r="F580" i="6"/>
  <c r="D580" i="6"/>
  <c r="C580" i="6"/>
  <c r="O579" i="6"/>
  <c r="G579" i="6"/>
  <c r="F579" i="6"/>
  <c r="D579" i="6"/>
  <c r="C579" i="6"/>
  <c r="O578" i="6"/>
  <c r="G578" i="6"/>
  <c r="F578" i="6"/>
  <c r="D578" i="6"/>
  <c r="C578" i="6"/>
  <c r="O577" i="6"/>
  <c r="G577" i="6"/>
  <c r="F577" i="6"/>
  <c r="D577" i="6"/>
  <c r="C577" i="6"/>
  <c r="O576" i="6"/>
  <c r="G576" i="6"/>
  <c r="F576" i="6"/>
  <c r="D576" i="6"/>
  <c r="C576" i="6"/>
  <c r="O575" i="6"/>
  <c r="G575" i="6"/>
  <c r="F575" i="6"/>
  <c r="D575" i="6"/>
  <c r="C575" i="6"/>
  <c r="O574" i="6"/>
  <c r="G574" i="6"/>
  <c r="F574" i="6"/>
  <c r="D574" i="6"/>
  <c r="C574" i="6"/>
  <c r="O573" i="6"/>
  <c r="G573" i="6"/>
  <c r="F573" i="6"/>
  <c r="D573" i="6"/>
  <c r="C573" i="6"/>
  <c r="O572" i="6"/>
  <c r="G572" i="6"/>
  <c r="F572" i="6"/>
  <c r="D572" i="6"/>
  <c r="C572" i="6"/>
  <c r="O571" i="6"/>
  <c r="G571" i="6"/>
  <c r="F571" i="6"/>
  <c r="D571" i="6"/>
  <c r="C571" i="6"/>
  <c r="O570" i="6"/>
  <c r="G570" i="6"/>
  <c r="F570" i="6"/>
  <c r="D570" i="6"/>
  <c r="C570" i="6"/>
  <c r="O569" i="6"/>
  <c r="G569" i="6"/>
  <c r="F569" i="6"/>
  <c r="D569" i="6"/>
  <c r="C569" i="6"/>
  <c r="O568" i="6"/>
  <c r="G568" i="6"/>
  <c r="F568" i="6"/>
  <c r="D568" i="6"/>
  <c r="C568" i="6"/>
  <c r="O567" i="6"/>
  <c r="G567" i="6"/>
  <c r="F567" i="6"/>
  <c r="D567" i="6"/>
  <c r="C567" i="6"/>
  <c r="O566" i="6"/>
  <c r="G566" i="6"/>
  <c r="F566" i="6"/>
  <c r="D566" i="6"/>
  <c r="C566" i="6"/>
  <c r="O565" i="6"/>
  <c r="G565" i="6"/>
  <c r="F565" i="6"/>
  <c r="D565" i="6"/>
  <c r="C565" i="6"/>
  <c r="O564" i="6"/>
  <c r="G564" i="6"/>
  <c r="F564" i="6"/>
  <c r="D564" i="6"/>
  <c r="C564" i="6"/>
  <c r="O563" i="6"/>
  <c r="G563" i="6"/>
  <c r="F563" i="6"/>
  <c r="D563" i="6"/>
  <c r="C563" i="6"/>
  <c r="O562" i="6"/>
  <c r="G562" i="6"/>
  <c r="F562" i="6"/>
  <c r="D562" i="6"/>
  <c r="C562" i="6"/>
  <c r="O561" i="6"/>
  <c r="G561" i="6"/>
  <c r="F561" i="6"/>
  <c r="D561" i="6"/>
  <c r="C561" i="6"/>
  <c r="O560" i="6"/>
  <c r="G560" i="6"/>
  <c r="F560" i="6"/>
  <c r="D560" i="6"/>
  <c r="C560" i="6"/>
  <c r="O559" i="6"/>
  <c r="G559" i="6"/>
  <c r="F559" i="6"/>
  <c r="D559" i="6"/>
  <c r="C559" i="6"/>
  <c r="O558" i="6"/>
  <c r="G558" i="6"/>
  <c r="F558" i="6"/>
  <c r="D558" i="6"/>
  <c r="C558" i="6"/>
  <c r="O557" i="6"/>
  <c r="G557" i="6"/>
  <c r="F557" i="6"/>
  <c r="D557" i="6"/>
  <c r="C557" i="6"/>
  <c r="O556" i="6"/>
  <c r="G556" i="6"/>
  <c r="F556" i="6"/>
  <c r="D556" i="6"/>
  <c r="C556" i="6"/>
  <c r="O555" i="6"/>
  <c r="G555" i="6"/>
  <c r="F555" i="6"/>
  <c r="D555" i="6"/>
  <c r="C555" i="6"/>
  <c r="O554" i="6"/>
  <c r="G554" i="6"/>
  <c r="F554" i="6"/>
  <c r="D554" i="6"/>
  <c r="C554" i="6"/>
  <c r="O553" i="6"/>
  <c r="G553" i="6"/>
  <c r="F553" i="6"/>
  <c r="D553" i="6"/>
  <c r="C553" i="6"/>
  <c r="O552" i="6"/>
  <c r="G552" i="6"/>
  <c r="F552" i="6"/>
  <c r="D552" i="6"/>
  <c r="C552" i="6"/>
  <c r="O551" i="6"/>
  <c r="G551" i="6"/>
  <c r="F551" i="6"/>
  <c r="D551" i="6"/>
  <c r="C551" i="6"/>
  <c r="O550" i="6"/>
  <c r="G550" i="6"/>
  <c r="F550" i="6"/>
  <c r="D550" i="6"/>
  <c r="C550" i="6"/>
  <c r="O549" i="6"/>
  <c r="G549" i="6"/>
  <c r="F549" i="6"/>
  <c r="D549" i="6"/>
  <c r="C549" i="6"/>
  <c r="O548" i="6"/>
  <c r="G548" i="6"/>
  <c r="F548" i="6"/>
  <c r="D548" i="6"/>
  <c r="C548" i="6"/>
  <c r="O547" i="6"/>
  <c r="G547" i="6"/>
  <c r="F547" i="6"/>
  <c r="D547" i="6"/>
  <c r="C547" i="6"/>
  <c r="O546" i="6"/>
  <c r="G546" i="6"/>
  <c r="F546" i="6"/>
  <c r="D546" i="6"/>
  <c r="C546" i="6"/>
  <c r="O545" i="6"/>
  <c r="G545" i="6"/>
  <c r="F545" i="6"/>
  <c r="D545" i="6"/>
  <c r="C545" i="6"/>
  <c r="O544" i="6"/>
  <c r="G544" i="6"/>
  <c r="F544" i="6"/>
  <c r="D544" i="6"/>
  <c r="C544" i="6"/>
  <c r="O543" i="6"/>
  <c r="G543" i="6"/>
  <c r="F543" i="6"/>
  <c r="D543" i="6"/>
  <c r="C543" i="6"/>
  <c r="O542" i="6"/>
  <c r="G542" i="6"/>
  <c r="F542" i="6"/>
  <c r="D542" i="6"/>
  <c r="C542" i="6"/>
  <c r="O541" i="6"/>
  <c r="G541" i="6"/>
  <c r="F541" i="6"/>
  <c r="D541" i="6"/>
  <c r="C541" i="6"/>
  <c r="O540" i="6"/>
  <c r="G540" i="6"/>
  <c r="F540" i="6"/>
  <c r="D540" i="6"/>
  <c r="C540" i="6"/>
  <c r="O539" i="6"/>
  <c r="G539" i="6"/>
  <c r="F539" i="6"/>
  <c r="D539" i="6"/>
  <c r="C539" i="6"/>
  <c r="O538" i="6"/>
  <c r="G538" i="6"/>
  <c r="F538" i="6"/>
  <c r="D538" i="6"/>
  <c r="C538" i="6"/>
  <c r="O537" i="6"/>
  <c r="G537" i="6"/>
  <c r="F537" i="6"/>
  <c r="D537" i="6"/>
  <c r="C537" i="6"/>
  <c r="O536" i="6"/>
  <c r="G536" i="6"/>
  <c r="F536" i="6"/>
  <c r="D536" i="6"/>
  <c r="C536" i="6"/>
  <c r="O535" i="6"/>
  <c r="G535" i="6"/>
  <c r="F535" i="6"/>
  <c r="D535" i="6"/>
  <c r="C535" i="6"/>
  <c r="O534" i="6"/>
  <c r="G534" i="6"/>
  <c r="F534" i="6"/>
  <c r="D534" i="6"/>
  <c r="C534" i="6"/>
  <c r="O533" i="6"/>
  <c r="G533" i="6"/>
  <c r="F533" i="6"/>
  <c r="D533" i="6"/>
  <c r="C533" i="6"/>
  <c r="O532" i="6"/>
  <c r="G532" i="6"/>
  <c r="F532" i="6"/>
  <c r="D532" i="6"/>
  <c r="C532" i="6"/>
  <c r="O531" i="6"/>
  <c r="G531" i="6"/>
  <c r="F531" i="6"/>
  <c r="D531" i="6"/>
  <c r="C531" i="6"/>
  <c r="O530" i="6"/>
  <c r="G530" i="6"/>
  <c r="F530" i="6"/>
  <c r="D530" i="6"/>
  <c r="C530" i="6"/>
  <c r="O529" i="6"/>
  <c r="G529" i="6"/>
  <c r="F529" i="6"/>
  <c r="D529" i="6"/>
  <c r="C529" i="6"/>
  <c r="O528" i="6"/>
  <c r="G528" i="6"/>
  <c r="F528" i="6"/>
  <c r="D528" i="6"/>
  <c r="C528" i="6"/>
  <c r="O527" i="6"/>
  <c r="G527" i="6"/>
  <c r="F527" i="6"/>
  <c r="D527" i="6"/>
  <c r="C527" i="6"/>
  <c r="O526" i="6"/>
  <c r="G526" i="6"/>
  <c r="F526" i="6"/>
  <c r="D526" i="6"/>
  <c r="C526" i="6"/>
  <c r="O525" i="6"/>
  <c r="G525" i="6"/>
  <c r="F525" i="6"/>
  <c r="D525" i="6"/>
  <c r="C525" i="6"/>
  <c r="O524" i="6"/>
  <c r="G524" i="6"/>
  <c r="F524" i="6"/>
  <c r="D524" i="6"/>
  <c r="C524" i="6"/>
  <c r="O523" i="6"/>
  <c r="G523" i="6"/>
  <c r="F523" i="6"/>
  <c r="D523" i="6"/>
  <c r="C523" i="6"/>
  <c r="O522" i="6"/>
  <c r="G522" i="6"/>
  <c r="F522" i="6"/>
  <c r="D522" i="6"/>
  <c r="C522" i="6"/>
  <c r="O521" i="6"/>
  <c r="G521" i="6"/>
  <c r="F521" i="6"/>
  <c r="D521" i="6"/>
  <c r="C521" i="6"/>
  <c r="O520" i="6"/>
  <c r="G520" i="6"/>
  <c r="F520" i="6"/>
  <c r="D520" i="6"/>
  <c r="C520" i="6"/>
  <c r="O519" i="6"/>
  <c r="G519" i="6"/>
  <c r="F519" i="6"/>
  <c r="D519" i="6"/>
  <c r="C519" i="6"/>
  <c r="O518" i="6"/>
  <c r="G518" i="6"/>
  <c r="F518" i="6"/>
  <c r="D518" i="6"/>
  <c r="C518" i="6"/>
  <c r="O517" i="6"/>
  <c r="G517" i="6"/>
  <c r="F517" i="6"/>
  <c r="D517" i="6"/>
  <c r="C517" i="6"/>
  <c r="O516" i="6"/>
  <c r="G516" i="6"/>
  <c r="F516" i="6"/>
  <c r="D516" i="6"/>
  <c r="C516" i="6"/>
  <c r="O515" i="6"/>
  <c r="G515" i="6"/>
  <c r="F515" i="6"/>
  <c r="D515" i="6"/>
  <c r="C515" i="6"/>
  <c r="O514" i="6"/>
  <c r="G514" i="6"/>
  <c r="F514" i="6"/>
  <c r="D514" i="6"/>
  <c r="C514" i="6"/>
  <c r="O513" i="6"/>
  <c r="G513" i="6"/>
  <c r="F513" i="6"/>
  <c r="D513" i="6"/>
  <c r="C513" i="6"/>
  <c r="O512" i="6"/>
  <c r="G512" i="6"/>
  <c r="F512" i="6"/>
  <c r="D512" i="6"/>
  <c r="C512" i="6"/>
  <c r="O511" i="6"/>
  <c r="G511" i="6"/>
  <c r="F511" i="6"/>
  <c r="D511" i="6"/>
  <c r="C511" i="6"/>
  <c r="O510" i="6"/>
  <c r="G510" i="6"/>
  <c r="F510" i="6"/>
  <c r="D510" i="6"/>
  <c r="C510" i="6"/>
  <c r="O509" i="6"/>
  <c r="G509" i="6"/>
  <c r="F509" i="6"/>
  <c r="D509" i="6"/>
  <c r="C509" i="6"/>
  <c r="O508" i="6"/>
  <c r="G508" i="6"/>
  <c r="F508" i="6"/>
  <c r="D508" i="6"/>
  <c r="C508" i="6"/>
  <c r="O507" i="6"/>
  <c r="G507" i="6"/>
  <c r="F507" i="6"/>
  <c r="D507" i="6"/>
  <c r="C507" i="6"/>
  <c r="O506" i="6"/>
  <c r="G506" i="6"/>
  <c r="F506" i="6"/>
  <c r="D506" i="6"/>
  <c r="C506" i="6"/>
  <c r="O505" i="6"/>
  <c r="G505" i="6"/>
  <c r="F505" i="6"/>
  <c r="D505" i="6"/>
  <c r="C505" i="6"/>
  <c r="O504" i="6"/>
  <c r="G504" i="6"/>
  <c r="F504" i="6"/>
  <c r="D504" i="6"/>
  <c r="C504" i="6"/>
  <c r="O503" i="6"/>
  <c r="G503" i="6"/>
  <c r="F503" i="6"/>
  <c r="D503" i="6"/>
  <c r="C503" i="6"/>
  <c r="O502" i="6"/>
  <c r="G502" i="6"/>
  <c r="F502" i="6"/>
  <c r="D502" i="6"/>
  <c r="C502" i="6"/>
  <c r="O501" i="6"/>
  <c r="G501" i="6"/>
  <c r="F501" i="6"/>
  <c r="D501" i="6"/>
  <c r="C501" i="6"/>
  <c r="O500" i="6"/>
  <c r="G500" i="6"/>
  <c r="F500" i="6"/>
  <c r="D500" i="6"/>
  <c r="C500" i="6"/>
  <c r="O499" i="6"/>
  <c r="G499" i="6"/>
  <c r="F499" i="6"/>
  <c r="D499" i="6"/>
  <c r="C499" i="6"/>
  <c r="O498" i="6"/>
  <c r="G498" i="6"/>
  <c r="F498" i="6"/>
  <c r="D498" i="6"/>
  <c r="C498" i="6"/>
  <c r="O497" i="6"/>
  <c r="G497" i="6"/>
  <c r="F497" i="6"/>
  <c r="D497" i="6"/>
  <c r="C497" i="6"/>
  <c r="O496" i="6"/>
  <c r="G496" i="6"/>
  <c r="F496" i="6"/>
  <c r="D496" i="6"/>
  <c r="C496" i="6"/>
  <c r="O495" i="6"/>
  <c r="G495" i="6"/>
  <c r="F495" i="6"/>
  <c r="D495" i="6"/>
  <c r="C495" i="6"/>
  <c r="O494" i="6"/>
  <c r="G494" i="6"/>
  <c r="F494" i="6"/>
  <c r="D494" i="6"/>
  <c r="C494" i="6"/>
  <c r="O493" i="6"/>
  <c r="G493" i="6"/>
  <c r="F493" i="6"/>
  <c r="D493" i="6"/>
  <c r="C493" i="6"/>
  <c r="O492" i="6"/>
  <c r="G492" i="6"/>
  <c r="F492" i="6"/>
  <c r="D492" i="6"/>
  <c r="C492" i="6"/>
  <c r="O491" i="6"/>
  <c r="G491" i="6"/>
  <c r="F491" i="6"/>
  <c r="D491" i="6"/>
  <c r="C491" i="6"/>
  <c r="O490" i="6"/>
  <c r="G490" i="6"/>
  <c r="F490" i="6"/>
  <c r="D490" i="6"/>
  <c r="C490" i="6"/>
  <c r="O489" i="6"/>
  <c r="G489" i="6"/>
  <c r="F489" i="6"/>
  <c r="D489" i="6"/>
  <c r="C489" i="6"/>
  <c r="O488" i="6"/>
  <c r="G488" i="6"/>
  <c r="F488" i="6"/>
  <c r="D488" i="6"/>
  <c r="C488" i="6"/>
  <c r="O487" i="6"/>
  <c r="G487" i="6"/>
  <c r="F487" i="6"/>
  <c r="D487" i="6"/>
  <c r="C487" i="6"/>
  <c r="O486" i="6"/>
  <c r="G486" i="6"/>
  <c r="F486" i="6"/>
  <c r="D486" i="6"/>
  <c r="C486" i="6"/>
  <c r="O485" i="6"/>
  <c r="G485" i="6"/>
  <c r="F485" i="6"/>
  <c r="D485" i="6"/>
  <c r="C485" i="6"/>
  <c r="O484" i="6"/>
  <c r="G484" i="6"/>
  <c r="F484" i="6"/>
  <c r="D484" i="6"/>
  <c r="C484" i="6"/>
  <c r="O483" i="6"/>
  <c r="G483" i="6"/>
  <c r="F483" i="6"/>
  <c r="D483" i="6"/>
  <c r="C483" i="6"/>
  <c r="O482" i="6"/>
  <c r="G482" i="6"/>
  <c r="F482" i="6"/>
  <c r="D482" i="6"/>
  <c r="C482" i="6"/>
  <c r="O481" i="6"/>
  <c r="G481" i="6"/>
  <c r="F481" i="6"/>
  <c r="D481" i="6"/>
  <c r="C481" i="6"/>
  <c r="O480" i="6"/>
  <c r="G480" i="6"/>
  <c r="F480" i="6"/>
  <c r="D480" i="6"/>
  <c r="C480" i="6"/>
  <c r="O479" i="6"/>
  <c r="G479" i="6"/>
  <c r="F479" i="6"/>
  <c r="D479" i="6"/>
  <c r="C479" i="6"/>
  <c r="O478" i="6"/>
  <c r="G478" i="6"/>
  <c r="F478" i="6"/>
  <c r="D478" i="6"/>
  <c r="C478" i="6"/>
  <c r="O477" i="6"/>
  <c r="G477" i="6"/>
  <c r="F477" i="6"/>
  <c r="D477" i="6"/>
  <c r="C477" i="6"/>
  <c r="O476" i="6"/>
  <c r="G476" i="6"/>
  <c r="F476" i="6"/>
  <c r="D476" i="6"/>
  <c r="C476" i="6"/>
  <c r="O475" i="6"/>
  <c r="G475" i="6"/>
  <c r="F475" i="6"/>
  <c r="D475" i="6"/>
  <c r="C475" i="6"/>
  <c r="O474" i="6"/>
  <c r="G474" i="6"/>
  <c r="F474" i="6"/>
  <c r="D474" i="6"/>
  <c r="C474" i="6"/>
  <c r="O473" i="6"/>
  <c r="G473" i="6"/>
  <c r="F473" i="6"/>
  <c r="D473" i="6"/>
  <c r="C473" i="6"/>
  <c r="O472" i="6"/>
  <c r="G472" i="6"/>
  <c r="F472" i="6"/>
  <c r="D472" i="6"/>
  <c r="C472" i="6"/>
  <c r="O471" i="6"/>
  <c r="G471" i="6"/>
  <c r="F471" i="6"/>
  <c r="D471" i="6"/>
  <c r="C471" i="6"/>
  <c r="O470" i="6"/>
  <c r="G470" i="6"/>
  <c r="F470" i="6"/>
  <c r="D470" i="6"/>
  <c r="C470" i="6"/>
  <c r="O469" i="6"/>
  <c r="G469" i="6"/>
  <c r="F469" i="6"/>
  <c r="D469" i="6"/>
  <c r="C469" i="6"/>
  <c r="O468" i="6"/>
  <c r="G468" i="6"/>
  <c r="F468" i="6"/>
  <c r="D468" i="6"/>
  <c r="C468" i="6"/>
  <c r="O467" i="6"/>
  <c r="G467" i="6"/>
  <c r="F467" i="6"/>
  <c r="D467" i="6"/>
  <c r="C467" i="6"/>
  <c r="O466" i="6"/>
  <c r="G466" i="6"/>
  <c r="F466" i="6"/>
  <c r="D466" i="6"/>
  <c r="C466" i="6"/>
  <c r="O465" i="6"/>
  <c r="G465" i="6"/>
  <c r="F465" i="6"/>
  <c r="D465" i="6"/>
  <c r="C465" i="6"/>
  <c r="O464" i="6"/>
  <c r="G464" i="6"/>
  <c r="F464" i="6"/>
  <c r="D464" i="6"/>
  <c r="C464" i="6"/>
  <c r="O463" i="6"/>
  <c r="G463" i="6"/>
  <c r="F463" i="6"/>
  <c r="D463" i="6"/>
  <c r="C463" i="6"/>
  <c r="O462" i="6"/>
  <c r="G462" i="6"/>
  <c r="F462" i="6"/>
  <c r="D462" i="6"/>
  <c r="C462" i="6"/>
  <c r="O461" i="6"/>
  <c r="G461" i="6"/>
  <c r="F461" i="6"/>
  <c r="D461" i="6"/>
  <c r="C461" i="6"/>
  <c r="O460" i="6"/>
  <c r="G460" i="6"/>
  <c r="F460" i="6"/>
  <c r="D460" i="6"/>
  <c r="C460" i="6"/>
  <c r="O459" i="6"/>
  <c r="G459" i="6"/>
  <c r="F459" i="6"/>
  <c r="D459" i="6"/>
  <c r="C459" i="6"/>
  <c r="O458" i="6"/>
  <c r="G458" i="6"/>
  <c r="F458" i="6"/>
  <c r="D458" i="6"/>
  <c r="C458" i="6"/>
  <c r="O457" i="6"/>
  <c r="G457" i="6"/>
  <c r="F457" i="6"/>
  <c r="D457" i="6"/>
  <c r="C457" i="6"/>
  <c r="O456" i="6"/>
  <c r="G456" i="6"/>
  <c r="F456" i="6"/>
  <c r="D456" i="6"/>
  <c r="C456" i="6"/>
  <c r="O455" i="6"/>
  <c r="G455" i="6"/>
  <c r="F455" i="6"/>
  <c r="D455" i="6"/>
  <c r="C455" i="6"/>
  <c r="O454" i="6"/>
  <c r="G454" i="6"/>
  <c r="F454" i="6"/>
  <c r="D454" i="6"/>
  <c r="C454" i="6"/>
  <c r="O453" i="6"/>
  <c r="G453" i="6"/>
  <c r="F453" i="6"/>
  <c r="D453" i="6"/>
  <c r="C453" i="6"/>
  <c r="O452" i="6"/>
  <c r="G452" i="6"/>
  <c r="F452" i="6"/>
  <c r="D452" i="6"/>
  <c r="C452" i="6"/>
  <c r="O451" i="6"/>
  <c r="G451" i="6"/>
  <c r="F451" i="6"/>
  <c r="D451" i="6"/>
  <c r="C451" i="6"/>
  <c r="O450" i="6"/>
  <c r="G450" i="6"/>
  <c r="F450" i="6"/>
  <c r="D450" i="6"/>
  <c r="C450" i="6"/>
  <c r="O449" i="6"/>
  <c r="G449" i="6"/>
  <c r="F449" i="6"/>
  <c r="D449" i="6"/>
  <c r="C449" i="6"/>
  <c r="O448" i="6"/>
  <c r="G448" i="6"/>
  <c r="F448" i="6"/>
  <c r="D448" i="6"/>
  <c r="C448" i="6"/>
  <c r="O447" i="6"/>
  <c r="G447" i="6"/>
  <c r="F447" i="6"/>
  <c r="D447" i="6"/>
  <c r="C447" i="6"/>
  <c r="O446" i="6"/>
  <c r="G446" i="6"/>
  <c r="F446" i="6"/>
  <c r="D446" i="6"/>
  <c r="C446" i="6"/>
  <c r="O445" i="6"/>
  <c r="G445" i="6"/>
  <c r="F445" i="6"/>
  <c r="D445" i="6"/>
  <c r="C445" i="6"/>
  <c r="O444" i="6"/>
  <c r="G444" i="6"/>
  <c r="F444" i="6"/>
  <c r="D444" i="6"/>
  <c r="C444" i="6"/>
  <c r="O443" i="6"/>
  <c r="G443" i="6"/>
  <c r="F443" i="6"/>
  <c r="D443" i="6"/>
  <c r="C443" i="6"/>
  <c r="O442" i="6"/>
  <c r="G442" i="6"/>
  <c r="F442" i="6"/>
  <c r="D442" i="6"/>
  <c r="C442" i="6"/>
  <c r="O441" i="6"/>
  <c r="G441" i="6"/>
  <c r="F441" i="6"/>
  <c r="D441" i="6"/>
  <c r="C441" i="6"/>
  <c r="O440" i="6"/>
  <c r="G440" i="6"/>
  <c r="F440" i="6"/>
  <c r="D440" i="6"/>
  <c r="C440" i="6"/>
  <c r="O439" i="6"/>
  <c r="G439" i="6"/>
  <c r="F439" i="6"/>
  <c r="D439" i="6"/>
  <c r="C439" i="6"/>
  <c r="O438" i="6"/>
  <c r="G438" i="6"/>
  <c r="F438" i="6"/>
  <c r="D438" i="6"/>
  <c r="C438" i="6"/>
  <c r="O437" i="6"/>
  <c r="G437" i="6"/>
  <c r="F437" i="6"/>
  <c r="D437" i="6"/>
  <c r="C437" i="6"/>
  <c r="O436" i="6"/>
  <c r="G436" i="6"/>
  <c r="F436" i="6"/>
  <c r="D436" i="6"/>
  <c r="C436" i="6"/>
  <c r="O435" i="6"/>
  <c r="G435" i="6"/>
  <c r="F435" i="6"/>
  <c r="D435" i="6"/>
  <c r="C435" i="6"/>
  <c r="O434" i="6"/>
  <c r="G434" i="6"/>
  <c r="F434" i="6"/>
  <c r="D434" i="6"/>
  <c r="C434" i="6"/>
  <c r="O433" i="6"/>
  <c r="G433" i="6"/>
  <c r="F433" i="6"/>
  <c r="D433" i="6"/>
  <c r="C433" i="6"/>
  <c r="O432" i="6"/>
  <c r="G432" i="6"/>
  <c r="F432" i="6"/>
  <c r="D432" i="6"/>
  <c r="C432" i="6"/>
  <c r="O431" i="6"/>
  <c r="G431" i="6"/>
  <c r="F431" i="6"/>
  <c r="D431" i="6"/>
  <c r="C431" i="6"/>
  <c r="O430" i="6"/>
  <c r="G430" i="6"/>
  <c r="F430" i="6"/>
  <c r="D430" i="6"/>
  <c r="C430" i="6"/>
  <c r="O429" i="6"/>
  <c r="G429" i="6"/>
  <c r="F429" i="6"/>
  <c r="D429" i="6"/>
  <c r="C429" i="6"/>
  <c r="O428" i="6"/>
  <c r="G428" i="6"/>
  <c r="F428" i="6"/>
  <c r="D428" i="6"/>
  <c r="C428" i="6"/>
  <c r="O427" i="6"/>
  <c r="G427" i="6"/>
  <c r="F427" i="6"/>
  <c r="D427" i="6"/>
  <c r="C427" i="6"/>
  <c r="O426" i="6"/>
  <c r="G426" i="6"/>
  <c r="F426" i="6"/>
  <c r="D426" i="6"/>
  <c r="C426" i="6"/>
  <c r="O425" i="6"/>
  <c r="G425" i="6"/>
  <c r="F425" i="6"/>
  <c r="D425" i="6"/>
  <c r="C425" i="6"/>
  <c r="O424" i="6"/>
  <c r="G424" i="6"/>
  <c r="F424" i="6"/>
  <c r="D424" i="6"/>
  <c r="C424" i="6"/>
  <c r="O423" i="6"/>
  <c r="G423" i="6"/>
  <c r="F423" i="6"/>
  <c r="D423" i="6"/>
  <c r="C423" i="6"/>
  <c r="O422" i="6"/>
  <c r="G422" i="6"/>
  <c r="F422" i="6"/>
  <c r="D422" i="6"/>
  <c r="C422" i="6"/>
  <c r="O421" i="6"/>
  <c r="G421" i="6"/>
  <c r="F421" i="6"/>
  <c r="D421" i="6"/>
  <c r="C421" i="6"/>
  <c r="O420" i="6"/>
  <c r="G420" i="6"/>
  <c r="F420" i="6"/>
  <c r="D420" i="6"/>
  <c r="C420" i="6"/>
  <c r="O419" i="6"/>
  <c r="G419" i="6"/>
  <c r="F419" i="6"/>
  <c r="D419" i="6"/>
  <c r="C419" i="6"/>
  <c r="O418" i="6"/>
  <c r="G418" i="6"/>
  <c r="F418" i="6"/>
  <c r="D418" i="6"/>
  <c r="C418" i="6"/>
  <c r="O417" i="6"/>
  <c r="G417" i="6"/>
  <c r="F417" i="6"/>
  <c r="D417" i="6"/>
  <c r="C417" i="6"/>
  <c r="O416" i="6"/>
  <c r="G416" i="6"/>
  <c r="F416" i="6"/>
  <c r="D416" i="6"/>
  <c r="C416" i="6"/>
  <c r="O415" i="6"/>
  <c r="G415" i="6"/>
  <c r="F415" i="6"/>
  <c r="D415" i="6"/>
  <c r="C415" i="6"/>
  <c r="O414" i="6"/>
  <c r="G414" i="6"/>
  <c r="F414" i="6"/>
  <c r="D414" i="6"/>
  <c r="C414" i="6"/>
  <c r="O413" i="6"/>
  <c r="G413" i="6"/>
  <c r="F413" i="6"/>
  <c r="D413" i="6"/>
  <c r="C413" i="6"/>
  <c r="O412" i="6"/>
  <c r="G412" i="6"/>
  <c r="F412" i="6"/>
  <c r="D412" i="6"/>
  <c r="C412" i="6"/>
  <c r="O411" i="6"/>
  <c r="G411" i="6"/>
  <c r="F411" i="6"/>
  <c r="D411" i="6"/>
  <c r="C411" i="6"/>
  <c r="O410" i="6"/>
  <c r="G410" i="6"/>
  <c r="F410" i="6"/>
  <c r="D410" i="6"/>
  <c r="C410" i="6"/>
  <c r="O409" i="6"/>
  <c r="G409" i="6"/>
  <c r="F409" i="6"/>
  <c r="D409" i="6"/>
  <c r="C409" i="6"/>
  <c r="O408" i="6"/>
  <c r="G408" i="6"/>
  <c r="F408" i="6"/>
  <c r="D408" i="6"/>
  <c r="C408" i="6"/>
  <c r="O407" i="6"/>
  <c r="G407" i="6"/>
  <c r="F407" i="6"/>
  <c r="D407" i="6"/>
  <c r="C407" i="6"/>
  <c r="O406" i="6"/>
  <c r="G406" i="6"/>
  <c r="F406" i="6"/>
  <c r="D406" i="6"/>
  <c r="C406" i="6"/>
  <c r="O405" i="6"/>
  <c r="G405" i="6"/>
  <c r="F405" i="6"/>
  <c r="D405" i="6"/>
  <c r="C405" i="6"/>
  <c r="O404" i="6"/>
  <c r="G404" i="6"/>
  <c r="F404" i="6"/>
  <c r="D404" i="6"/>
  <c r="C404" i="6"/>
  <c r="O403" i="6"/>
  <c r="G403" i="6"/>
  <c r="F403" i="6"/>
  <c r="D403" i="6"/>
  <c r="C403" i="6"/>
  <c r="O402" i="6"/>
  <c r="G402" i="6"/>
  <c r="F402" i="6"/>
  <c r="D402" i="6"/>
  <c r="C402" i="6"/>
  <c r="O401" i="6"/>
  <c r="G401" i="6"/>
  <c r="F401" i="6"/>
  <c r="D401" i="6"/>
  <c r="C401" i="6"/>
  <c r="O400" i="6"/>
  <c r="G400" i="6"/>
  <c r="F400" i="6"/>
  <c r="D400" i="6"/>
  <c r="C400" i="6"/>
  <c r="O399" i="6"/>
  <c r="G399" i="6"/>
  <c r="F399" i="6"/>
  <c r="D399" i="6"/>
  <c r="C399" i="6"/>
  <c r="O398" i="6"/>
  <c r="G398" i="6"/>
  <c r="F398" i="6"/>
  <c r="D398" i="6"/>
  <c r="C398" i="6"/>
  <c r="O397" i="6"/>
  <c r="G397" i="6"/>
  <c r="F397" i="6"/>
  <c r="D397" i="6"/>
  <c r="C397" i="6"/>
  <c r="O396" i="6"/>
  <c r="G396" i="6"/>
  <c r="F396" i="6"/>
  <c r="D396" i="6"/>
  <c r="C396" i="6"/>
  <c r="O395" i="6"/>
  <c r="G395" i="6"/>
  <c r="F395" i="6"/>
  <c r="D395" i="6"/>
  <c r="C395" i="6"/>
  <c r="O394" i="6"/>
  <c r="G394" i="6"/>
  <c r="F394" i="6"/>
  <c r="D394" i="6"/>
  <c r="C394" i="6"/>
  <c r="O393" i="6"/>
  <c r="G393" i="6"/>
  <c r="F393" i="6"/>
  <c r="D393" i="6"/>
  <c r="C393" i="6"/>
  <c r="O392" i="6"/>
  <c r="G392" i="6"/>
  <c r="F392" i="6"/>
  <c r="D392" i="6"/>
  <c r="C392" i="6"/>
  <c r="O391" i="6"/>
  <c r="G391" i="6"/>
  <c r="F391" i="6"/>
  <c r="D391" i="6"/>
  <c r="C391" i="6"/>
  <c r="O390" i="6"/>
  <c r="G390" i="6"/>
  <c r="F390" i="6"/>
  <c r="D390" i="6"/>
  <c r="C390" i="6"/>
  <c r="O389" i="6"/>
  <c r="G389" i="6"/>
  <c r="F389" i="6"/>
  <c r="D389" i="6"/>
  <c r="C389" i="6"/>
  <c r="O388" i="6"/>
  <c r="G388" i="6"/>
  <c r="F388" i="6"/>
  <c r="D388" i="6"/>
  <c r="C388" i="6"/>
  <c r="O387" i="6"/>
  <c r="G387" i="6"/>
  <c r="F387" i="6"/>
  <c r="D387" i="6"/>
  <c r="C387" i="6"/>
  <c r="O386" i="6"/>
  <c r="G386" i="6"/>
  <c r="F386" i="6"/>
  <c r="D386" i="6"/>
  <c r="C386" i="6"/>
  <c r="O385" i="6"/>
  <c r="G385" i="6"/>
  <c r="F385" i="6"/>
  <c r="D385" i="6"/>
  <c r="C385" i="6"/>
  <c r="O384" i="6"/>
  <c r="G384" i="6"/>
  <c r="F384" i="6"/>
  <c r="D384" i="6"/>
  <c r="C384" i="6"/>
  <c r="O383" i="6"/>
  <c r="G383" i="6"/>
  <c r="F383" i="6"/>
  <c r="D383" i="6"/>
  <c r="C383" i="6"/>
  <c r="O382" i="6"/>
  <c r="G382" i="6"/>
  <c r="F382" i="6"/>
  <c r="D382" i="6"/>
  <c r="C382" i="6"/>
  <c r="O381" i="6"/>
  <c r="G381" i="6"/>
  <c r="F381" i="6"/>
  <c r="D381" i="6"/>
  <c r="C381" i="6"/>
  <c r="O380" i="6"/>
  <c r="G380" i="6"/>
  <c r="F380" i="6"/>
  <c r="D380" i="6"/>
  <c r="C380" i="6"/>
  <c r="O379" i="6"/>
  <c r="G379" i="6"/>
  <c r="F379" i="6"/>
  <c r="D379" i="6"/>
  <c r="C379" i="6"/>
  <c r="O378" i="6"/>
  <c r="G378" i="6"/>
  <c r="F378" i="6"/>
  <c r="D378" i="6"/>
  <c r="C378" i="6"/>
  <c r="O377" i="6"/>
  <c r="G377" i="6"/>
  <c r="F377" i="6"/>
  <c r="D377" i="6"/>
  <c r="C377" i="6"/>
  <c r="O376" i="6"/>
  <c r="G376" i="6"/>
  <c r="F376" i="6"/>
  <c r="D376" i="6"/>
  <c r="C376" i="6"/>
  <c r="O375" i="6"/>
  <c r="G375" i="6"/>
  <c r="F375" i="6"/>
  <c r="D375" i="6"/>
  <c r="C375" i="6"/>
  <c r="O374" i="6"/>
  <c r="G374" i="6"/>
  <c r="F374" i="6"/>
  <c r="D374" i="6"/>
  <c r="C374" i="6"/>
  <c r="O373" i="6"/>
  <c r="G373" i="6"/>
  <c r="F373" i="6"/>
  <c r="D373" i="6"/>
  <c r="C373" i="6"/>
  <c r="O372" i="6"/>
  <c r="G372" i="6"/>
  <c r="F372" i="6"/>
  <c r="D372" i="6"/>
  <c r="C372" i="6"/>
  <c r="O371" i="6"/>
  <c r="G371" i="6"/>
  <c r="F371" i="6"/>
  <c r="D371" i="6"/>
  <c r="C371" i="6"/>
  <c r="O370" i="6"/>
  <c r="G370" i="6"/>
  <c r="F370" i="6"/>
  <c r="D370" i="6"/>
  <c r="C370" i="6"/>
  <c r="O369" i="6"/>
  <c r="G369" i="6"/>
  <c r="F369" i="6"/>
  <c r="D369" i="6"/>
  <c r="C369" i="6"/>
  <c r="O368" i="6"/>
  <c r="G368" i="6"/>
  <c r="F368" i="6"/>
  <c r="D368" i="6"/>
  <c r="C368" i="6"/>
  <c r="O367" i="6"/>
  <c r="G367" i="6"/>
  <c r="F367" i="6"/>
  <c r="D367" i="6"/>
  <c r="C367" i="6"/>
  <c r="O366" i="6"/>
  <c r="G366" i="6"/>
  <c r="F366" i="6"/>
  <c r="D366" i="6"/>
  <c r="C366" i="6"/>
  <c r="O365" i="6"/>
  <c r="G365" i="6"/>
  <c r="F365" i="6"/>
  <c r="D365" i="6"/>
  <c r="C365" i="6"/>
  <c r="O364" i="6"/>
  <c r="G364" i="6"/>
  <c r="F364" i="6"/>
  <c r="D364" i="6"/>
  <c r="C364" i="6"/>
  <c r="O363" i="6"/>
  <c r="G363" i="6"/>
  <c r="F363" i="6"/>
  <c r="D363" i="6"/>
  <c r="C363" i="6"/>
  <c r="O362" i="6"/>
  <c r="G362" i="6"/>
  <c r="F362" i="6"/>
  <c r="D362" i="6"/>
  <c r="C362" i="6"/>
  <c r="O361" i="6"/>
  <c r="G361" i="6"/>
  <c r="F361" i="6"/>
  <c r="D361" i="6"/>
  <c r="C361" i="6"/>
  <c r="O360" i="6"/>
  <c r="G360" i="6"/>
  <c r="F360" i="6"/>
  <c r="D360" i="6"/>
  <c r="C360" i="6"/>
  <c r="O359" i="6"/>
  <c r="G359" i="6"/>
  <c r="F359" i="6"/>
  <c r="D359" i="6"/>
  <c r="C359" i="6"/>
  <c r="O358" i="6"/>
  <c r="G358" i="6"/>
  <c r="F358" i="6"/>
  <c r="D358" i="6"/>
  <c r="C358" i="6"/>
  <c r="O357" i="6"/>
  <c r="G357" i="6"/>
  <c r="F357" i="6"/>
  <c r="D357" i="6"/>
  <c r="C357" i="6"/>
  <c r="O356" i="6"/>
  <c r="G356" i="6"/>
  <c r="F356" i="6"/>
  <c r="D356" i="6"/>
  <c r="C356" i="6"/>
  <c r="O355" i="6"/>
  <c r="G355" i="6"/>
  <c r="F355" i="6"/>
  <c r="D355" i="6"/>
  <c r="C355" i="6"/>
  <c r="O354" i="6"/>
  <c r="G354" i="6"/>
  <c r="F354" i="6"/>
  <c r="D354" i="6"/>
  <c r="C354" i="6"/>
  <c r="O353" i="6"/>
  <c r="G353" i="6"/>
  <c r="F353" i="6"/>
  <c r="D353" i="6"/>
  <c r="C353" i="6"/>
  <c r="O352" i="6"/>
  <c r="G352" i="6"/>
  <c r="F352" i="6"/>
  <c r="D352" i="6"/>
  <c r="C352" i="6"/>
  <c r="O351" i="6"/>
  <c r="G351" i="6"/>
  <c r="F351" i="6"/>
  <c r="D351" i="6"/>
  <c r="C351" i="6"/>
  <c r="O350" i="6"/>
  <c r="G350" i="6"/>
  <c r="F350" i="6"/>
  <c r="D350" i="6"/>
  <c r="C350" i="6"/>
  <c r="O349" i="6"/>
  <c r="G349" i="6"/>
  <c r="F349" i="6"/>
  <c r="D349" i="6"/>
  <c r="C349" i="6"/>
  <c r="O348" i="6"/>
  <c r="G348" i="6"/>
  <c r="F348" i="6"/>
  <c r="D348" i="6"/>
  <c r="C348" i="6"/>
  <c r="O347" i="6"/>
  <c r="G347" i="6"/>
  <c r="F347" i="6"/>
  <c r="D347" i="6"/>
  <c r="C347" i="6"/>
  <c r="O346" i="6"/>
  <c r="G346" i="6"/>
  <c r="F346" i="6"/>
  <c r="D346" i="6"/>
  <c r="C346" i="6"/>
  <c r="O345" i="6"/>
  <c r="G345" i="6"/>
  <c r="F345" i="6"/>
  <c r="D345" i="6"/>
  <c r="C345" i="6"/>
  <c r="O344" i="6"/>
  <c r="G344" i="6"/>
  <c r="F344" i="6"/>
  <c r="D344" i="6"/>
  <c r="C344" i="6"/>
  <c r="O343" i="6"/>
  <c r="G343" i="6"/>
  <c r="F343" i="6"/>
  <c r="D343" i="6"/>
  <c r="C343" i="6"/>
  <c r="O342" i="6"/>
  <c r="G342" i="6"/>
  <c r="F342" i="6"/>
  <c r="D342" i="6"/>
  <c r="C342" i="6"/>
  <c r="O341" i="6"/>
  <c r="G341" i="6"/>
  <c r="F341" i="6"/>
  <c r="D341" i="6"/>
  <c r="C341" i="6"/>
  <c r="O340" i="6"/>
  <c r="G340" i="6"/>
  <c r="F340" i="6"/>
  <c r="D340" i="6"/>
  <c r="C340" i="6"/>
  <c r="O339" i="6"/>
  <c r="G339" i="6"/>
  <c r="F339" i="6"/>
  <c r="D339" i="6"/>
  <c r="C339" i="6"/>
  <c r="O338" i="6"/>
  <c r="G338" i="6"/>
  <c r="F338" i="6"/>
  <c r="D338" i="6"/>
  <c r="C338" i="6"/>
  <c r="O337" i="6"/>
  <c r="G337" i="6"/>
  <c r="F337" i="6"/>
  <c r="D337" i="6"/>
  <c r="C337" i="6"/>
  <c r="O336" i="6"/>
  <c r="G336" i="6"/>
  <c r="F336" i="6"/>
  <c r="D336" i="6"/>
  <c r="C336" i="6"/>
  <c r="O335" i="6"/>
  <c r="G335" i="6"/>
  <c r="F335" i="6"/>
  <c r="D335" i="6"/>
  <c r="C335" i="6"/>
  <c r="O334" i="6"/>
  <c r="G334" i="6"/>
  <c r="F334" i="6"/>
  <c r="D334" i="6"/>
  <c r="C334" i="6"/>
  <c r="O333" i="6"/>
  <c r="G333" i="6"/>
  <c r="F333" i="6"/>
  <c r="D333" i="6"/>
  <c r="C333" i="6"/>
  <c r="O332" i="6"/>
  <c r="G332" i="6"/>
  <c r="F332" i="6"/>
  <c r="D332" i="6"/>
  <c r="C332" i="6"/>
  <c r="O331" i="6"/>
  <c r="G331" i="6"/>
  <c r="F331" i="6"/>
  <c r="D331" i="6"/>
  <c r="C331" i="6"/>
  <c r="O330" i="6"/>
  <c r="G330" i="6"/>
  <c r="F330" i="6"/>
  <c r="D330" i="6"/>
  <c r="C330" i="6"/>
  <c r="O329" i="6"/>
  <c r="G329" i="6"/>
  <c r="F329" i="6"/>
  <c r="D329" i="6"/>
  <c r="C329" i="6"/>
  <c r="O328" i="6"/>
  <c r="G328" i="6"/>
  <c r="F328" i="6"/>
  <c r="D328" i="6"/>
  <c r="C328" i="6"/>
  <c r="O327" i="6"/>
  <c r="G327" i="6"/>
  <c r="F327" i="6"/>
  <c r="D327" i="6"/>
  <c r="C327" i="6"/>
  <c r="O326" i="6"/>
  <c r="G326" i="6"/>
  <c r="F326" i="6"/>
  <c r="D326" i="6"/>
  <c r="C326" i="6"/>
  <c r="O325" i="6"/>
  <c r="G325" i="6"/>
  <c r="F325" i="6"/>
  <c r="D325" i="6"/>
  <c r="C325" i="6"/>
  <c r="O324" i="6"/>
  <c r="G324" i="6"/>
  <c r="F324" i="6"/>
  <c r="D324" i="6"/>
  <c r="C324" i="6"/>
  <c r="O323" i="6"/>
  <c r="G323" i="6"/>
  <c r="F323" i="6"/>
  <c r="D323" i="6"/>
  <c r="C323" i="6"/>
  <c r="O322" i="6"/>
  <c r="G322" i="6"/>
  <c r="F322" i="6"/>
  <c r="D322" i="6"/>
  <c r="C322" i="6"/>
  <c r="O321" i="6"/>
  <c r="G321" i="6"/>
  <c r="F321" i="6"/>
  <c r="D321" i="6"/>
  <c r="C321" i="6"/>
  <c r="O320" i="6"/>
  <c r="G320" i="6"/>
  <c r="F320" i="6"/>
  <c r="D320" i="6"/>
  <c r="C320" i="6"/>
  <c r="O319" i="6"/>
  <c r="G319" i="6"/>
  <c r="F319" i="6"/>
  <c r="D319" i="6"/>
  <c r="C319" i="6"/>
  <c r="O318" i="6"/>
  <c r="G318" i="6"/>
  <c r="F318" i="6"/>
  <c r="D318" i="6"/>
  <c r="C318" i="6"/>
  <c r="O317" i="6"/>
  <c r="G317" i="6"/>
  <c r="F317" i="6"/>
  <c r="D317" i="6"/>
  <c r="C317" i="6"/>
  <c r="O316" i="6"/>
  <c r="G316" i="6"/>
  <c r="F316" i="6"/>
  <c r="D316" i="6"/>
  <c r="C316" i="6"/>
  <c r="O315" i="6"/>
  <c r="G315" i="6"/>
  <c r="F315" i="6"/>
  <c r="D315" i="6"/>
  <c r="C315" i="6"/>
  <c r="O314" i="6"/>
  <c r="G314" i="6"/>
  <c r="F314" i="6"/>
  <c r="D314" i="6"/>
  <c r="C314" i="6"/>
  <c r="O313" i="6"/>
  <c r="G313" i="6"/>
  <c r="F313" i="6"/>
  <c r="D313" i="6"/>
  <c r="C313" i="6"/>
  <c r="O312" i="6"/>
  <c r="G312" i="6"/>
  <c r="F312" i="6"/>
  <c r="D312" i="6"/>
  <c r="C312" i="6"/>
  <c r="O311" i="6"/>
  <c r="G311" i="6"/>
  <c r="F311" i="6"/>
  <c r="D311" i="6"/>
  <c r="C311" i="6"/>
  <c r="O310" i="6"/>
  <c r="G310" i="6"/>
  <c r="F310" i="6"/>
  <c r="D310" i="6"/>
  <c r="C310" i="6"/>
  <c r="O309" i="6"/>
  <c r="G309" i="6"/>
  <c r="F309" i="6"/>
  <c r="D309" i="6"/>
  <c r="C309" i="6"/>
  <c r="O308" i="6"/>
  <c r="G308" i="6"/>
  <c r="F308" i="6"/>
  <c r="D308" i="6"/>
  <c r="C308" i="6"/>
  <c r="O307" i="6"/>
  <c r="G307" i="6"/>
  <c r="F307" i="6"/>
  <c r="D307" i="6"/>
  <c r="C307" i="6"/>
  <c r="O306" i="6"/>
  <c r="G306" i="6"/>
  <c r="F306" i="6"/>
  <c r="D306" i="6"/>
  <c r="C306" i="6"/>
  <c r="O305" i="6"/>
  <c r="G305" i="6"/>
  <c r="F305" i="6"/>
  <c r="D305" i="6"/>
  <c r="C305" i="6"/>
  <c r="O304" i="6"/>
  <c r="G304" i="6"/>
  <c r="F304" i="6"/>
  <c r="D304" i="6"/>
  <c r="C304" i="6"/>
  <c r="O303" i="6"/>
  <c r="G303" i="6"/>
  <c r="F303" i="6"/>
  <c r="D303" i="6"/>
  <c r="C303" i="6"/>
  <c r="O302" i="6"/>
  <c r="G302" i="6"/>
  <c r="F302" i="6"/>
  <c r="D302" i="6"/>
  <c r="C302" i="6"/>
  <c r="O301" i="6"/>
  <c r="G301" i="6"/>
  <c r="F301" i="6"/>
  <c r="D301" i="6"/>
  <c r="C301" i="6"/>
  <c r="O300" i="6"/>
  <c r="G300" i="6"/>
  <c r="F300" i="6"/>
  <c r="D300" i="6"/>
  <c r="C300" i="6"/>
  <c r="O299" i="6"/>
  <c r="G299" i="6"/>
  <c r="F299" i="6"/>
  <c r="D299" i="6"/>
  <c r="C299" i="6"/>
  <c r="O298" i="6"/>
  <c r="G298" i="6"/>
  <c r="F298" i="6"/>
  <c r="D298" i="6"/>
  <c r="C298" i="6"/>
  <c r="O297" i="6"/>
  <c r="G297" i="6"/>
  <c r="F297" i="6"/>
  <c r="D297" i="6"/>
  <c r="C297" i="6"/>
  <c r="O296" i="6"/>
  <c r="G296" i="6"/>
  <c r="F296" i="6"/>
  <c r="D296" i="6"/>
  <c r="C296" i="6"/>
  <c r="O295" i="6"/>
  <c r="G295" i="6"/>
  <c r="F295" i="6"/>
  <c r="D295" i="6"/>
  <c r="C295" i="6"/>
  <c r="O294" i="6"/>
  <c r="G294" i="6"/>
  <c r="F294" i="6"/>
  <c r="D294" i="6"/>
  <c r="C294" i="6"/>
  <c r="O293" i="6"/>
  <c r="G293" i="6"/>
  <c r="F293" i="6"/>
  <c r="D293" i="6"/>
  <c r="C293" i="6"/>
  <c r="O292" i="6"/>
  <c r="G292" i="6"/>
  <c r="F292" i="6"/>
  <c r="D292" i="6"/>
  <c r="C292" i="6"/>
  <c r="O291" i="6"/>
  <c r="G291" i="6"/>
  <c r="F291" i="6"/>
  <c r="D291" i="6"/>
  <c r="C291" i="6"/>
  <c r="O290" i="6"/>
  <c r="G290" i="6"/>
  <c r="F290" i="6"/>
  <c r="D290" i="6"/>
  <c r="C290" i="6"/>
  <c r="O289" i="6"/>
  <c r="G289" i="6"/>
  <c r="F289" i="6"/>
  <c r="D289" i="6"/>
  <c r="C289" i="6"/>
  <c r="O288" i="6"/>
  <c r="G288" i="6"/>
  <c r="F288" i="6"/>
  <c r="D288" i="6"/>
  <c r="C288" i="6"/>
  <c r="O287" i="6"/>
  <c r="G287" i="6"/>
  <c r="F287" i="6"/>
  <c r="D287" i="6"/>
  <c r="C287" i="6"/>
  <c r="O286" i="6"/>
  <c r="G286" i="6"/>
  <c r="F286" i="6"/>
  <c r="D286" i="6"/>
  <c r="C286" i="6"/>
  <c r="O285" i="6"/>
  <c r="G285" i="6"/>
  <c r="F285" i="6"/>
  <c r="D285" i="6"/>
  <c r="C285" i="6"/>
  <c r="O284" i="6"/>
  <c r="G284" i="6"/>
  <c r="F284" i="6"/>
  <c r="D284" i="6"/>
  <c r="C284" i="6"/>
  <c r="O283" i="6"/>
  <c r="G283" i="6"/>
  <c r="F283" i="6"/>
  <c r="D283" i="6"/>
  <c r="C283" i="6"/>
  <c r="O282" i="6"/>
  <c r="G282" i="6"/>
  <c r="F282" i="6"/>
  <c r="D282" i="6"/>
  <c r="C282" i="6"/>
  <c r="O281" i="6"/>
  <c r="G281" i="6"/>
  <c r="F281" i="6"/>
  <c r="D281" i="6"/>
  <c r="C281" i="6"/>
  <c r="O280" i="6"/>
  <c r="G280" i="6"/>
  <c r="F280" i="6"/>
  <c r="D280" i="6"/>
  <c r="C280" i="6"/>
  <c r="O279" i="6"/>
  <c r="G279" i="6"/>
  <c r="F279" i="6"/>
  <c r="D279" i="6"/>
  <c r="C279" i="6"/>
  <c r="O278" i="6"/>
  <c r="G278" i="6"/>
  <c r="F278" i="6"/>
  <c r="D278" i="6"/>
  <c r="C278" i="6"/>
  <c r="O277" i="6"/>
  <c r="G277" i="6"/>
  <c r="F277" i="6"/>
  <c r="D277" i="6"/>
  <c r="C277" i="6"/>
  <c r="O276" i="6"/>
  <c r="G276" i="6"/>
  <c r="F276" i="6"/>
  <c r="D276" i="6"/>
  <c r="C276" i="6"/>
  <c r="O275" i="6"/>
  <c r="G275" i="6"/>
  <c r="F275" i="6"/>
  <c r="D275" i="6"/>
  <c r="C275" i="6"/>
  <c r="O274" i="6"/>
  <c r="G274" i="6"/>
  <c r="F274" i="6"/>
  <c r="D274" i="6"/>
  <c r="C274" i="6"/>
  <c r="O273" i="6"/>
  <c r="G273" i="6"/>
  <c r="F273" i="6"/>
  <c r="D273" i="6"/>
  <c r="C273" i="6"/>
  <c r="O272" i="6"/>
  <c r="G272" i="6"/>
  <c r="F272" i="6"/>
  <c r="D272" i="6"/>
  <c r="C272" i="6"/>
  <c r="O271" i="6"/>
  <c r="G271" i="6"/>
  <c r="F271" i="6"/>
  <c r="D271" i="6"/>
  <c r="C271" i="6"/>
  <c r="O270" i="6"/>
  <c r="G270" i="6"/>
  <c r="F270" i="6"/>
  <c r="D270" i="6"/>
  <c r="C270" i="6"/>
  <c r="O269" i="6"/>
  <c r="G269" i="6"/>
  <c r="F269" i="6"/>
  <c r="D269" i="6"/>
  <c r="C269" i="6"/>
  <c r="O268" i="6"/>
  <c r="G268" i="6"/>
  <c r="F268" i="6"/>
  <c r="D268" i="6"/>
  <c r="C268" i="6"/>
  <c r="O267" i="6"/>
  <c r="G267" i="6"/>
  <c r="F267" i="6"/>
  <c r="D267" i="6"/>
  <c r="C267" i="6"/>
  <c r="O266" i="6"/>
  <c r="G266" i="6"/>
  <c r="F266" i="6"/>
  <c r="D266" i="6"/>
  <c r="C266" i="6"/>
  <c r="O265" i="6"/>
  <c r="G265" i="6"/>
  <c r="F265" i="6"/>
  <c r="D265" i="6"/>
  <c r="C265" i="6"/>
  <c r="O264" i="6"/>
  <c r="G264" i="6"/>
  <c r="F264" i="6"/>
  <c r="D264" i="6"/>
  <c r="C264" i="6"/>
  <c r="O263" i="6"/>
  <c r="G263" i="6"/>
  <c r="F263" i="6"/>
  <c r="D263" i="6"/>
  <c r="C263" i="6"/>
  <c r="O262" i="6"/>
  <c r="G262" i="6"/>
  <c r="F262" i="6"/>
  <c r="D262" i="6"/>
  <c r="C262" i="6"/>
  <c r="O261" i="6"/>
  <c r="G261" i="6"/>
  <c r="F261" i="6"/>
  <c r="D261" i="6"/>
  <c r="C261" i="6"/>
  <c r="O260" i="6"/>
  <c r="G260" i="6"/>
  <c r="F260" i="6"/>
  <c r="D260" i="6"/>
  <c r="C260" i="6"/>
  <c r="O259" i="6"/>
  <c r="G259" i="6"/>
  <c r="F259" i="6"/>
  <c r="D259" i="6"/>
  <c r="C259" i="6"/>
  <c r="O258" i="6"/>
  <c r="G258" i="6"/>
  <c r="F258" i="6"/>
  <c r="D258" i="6"/>
  <c r="C258" i="6"/>
  <c r="O257" i="6"/>
  <c r="G257" i="6"/>
  <c r="F257" i="6"/>
  <c r="D257" i="6"/>
  <c r="C257" i="6"/>
  <c r="O256" i="6"/>
  <c r="G256" i="6"/>
  <c r="F256" i="6"/>
  <c r="D256" i="6"/>
  <c r="C256" i="6"/>
  <c r="O255" i="6"/>
  <c r="G255" i="6"/>
  <c r="F255" i="6"/>
  <c r="D255" i="6"/>
  <c r="C255" i="6"/>
  <c r="O254" i="6"/>
  <c r="G254" i="6"/>
  <c r="F254" i="6"/>
  <c r="D254" i="6"/>
  <c r="C254" i="6"/>
  <c r="O253" i="6"/>
  <c r="G253" i="6"/>
  <c r="F253" i="6"/>
  <c r="D253" i="6"/>
  <c r="C253" i="6"/>
  <c r="O252" i="6"/>
  <c r="G252" i="6"/>
  <c r="F252" i="6"/>
  <c r="D252" i="6"/>
  <c r="C252" i="6"/>
  <c r="O251" i="6"/>
  <c r="G251" i="6"/>
  <c r="F251" i="6"/>
  <c r="D251" i="6"/>
  <c r="C251" i="6"/>
  <c r="O250" i="6"/>
  <c r="G250" i="6"/>
  <c r="F250" i="6"/>
  <c r="D250" i="6"/>
  <c r="C250" i="6"/>
  <c r="O249" i="6"/>
  <c r="G249" i="6"/>
  <c r="F249" i="6"/>
  <c r="D249" i="6"/>
  <c r="C249" i="6"/>
  <c r="O248" i="6"/>
  <c r="G248" i="6"/>
  <c r="F248" i="6"/>
  <c r="D248" i="6"/>
  <c r="C248" i="6"/>
  <c r="O247" i="6"/>
  <c r="G247" i="6"/>
  <c r="F247" i="6"/>
  <c r="D247" i="6"/>
  <c r="C247" i="6"/>
  <c r="O246" i="6"/>
  <c r="G246" i="6"/>
  <c r="F246" i="6"/>
  <c r="D246" i="6"/>
  <c r="C246" i="6"/>
  <c r="O245" i="6"/>
  <c r="G245" i="6"/>
  <c r="F245" i="6"/>
  <c r="D245" i="6"/>
  <c r="C245" i="6"/>
  <c r="O244" i="6"/>
  <c r="G244" i="6"/>
  <c r="F244" i="6"/>
  <c r="D244" i="6"/>
  <c r="C244" i="6"/>
  <c r="O243" i="6"/>
  <c r="G243" i="6"/>
  <c r="F243" i="6"/>
  <c r="D243" i="6"/>
  <c r="C243" i="6"/>
  <c r="O242" i="6"/>
  <c r="G242" i="6"/>
  <c r="F242" i="6"/>
  <c r="D242" i="6"/>
  <c r="C242" i="6"/>
  <c r="O241" i="6"/>
  <c r="G241" i="6"/>
  <c r="F241" i="6"/>
  <c r="D241" i="6"/>
  <c r="C241" i="6"/>
  <c r="O240" i="6"/>
  <c r="G240" i="6"/>
  <c r="F240" i="6"/>
  <c r="D240" i="6"/>
  <c r="C240" i="6"/>
  <c r="O239" i="6"/>
  <c r="G239" i="6"/>
  <c r="F239" i="6"/>
  <c r="D239" i="6"/>
  <c r="C239" i="6"/>
  <c r="O238" i="6"/>
  <c r="G238" i="6"/>
  <c r="F238" i="6"/>
  <c r="D238" i="6"/>
  <c r="C238" i="6"/>
  <c r="O237" i="6"/>
  <c r="G237" i="6"/>
  <c r="F237" i="6"/>
  <c r="D237" i="6"/>
  <c r="C237" i="6"/>
  <c r="O236" i="6"/>
  <c r="G236" i="6"/>
  <c r="F236" i="6"/>
  <c r="D236" i="6"/>
  <c r="C236" i="6"/>
  <c r="O235" i="6"/>
  <c r="G235" i="6"/>
  <c r="F235" i="6"/>
  <c r="D235" i="6"/>
  <c r="C235" i="6"/>
  <c r="O234" i="6"/>
  <c r="G234" i="6"/>
  <c r="F234" i="6"/>
  <c r="D234" i="6"/>
  <c r="C234" i="6"/>
  <c r="O233" i="6"/>
  <c r="G233" i="6"/>
  <c r="F233" i="6"/>
  <c r="D233" i="6"/>
  <c r="C233" i="6"/>
  <c r="O232" i="6"/>
  <c r="G232" i="6"/>
  <c r="F232" i="6"/>
  <c r="D232" i="6"/>
  <c r="C232" i="6"/>
  <c r="O231" i="6"/>
  <c r="G231" i="6"/>
  <c r="F231" i="6"/>
  <c r="D231" i="6"/>
  <c r="C231" i="6"/>
  <c r="O230" i="6"/>
  <c r="G230" i="6"/>
  <c r="F230" i="6"/>
  <c r="D230" i="6"/>
  <c r="C230" i="6"/>
  <c r="O229" i="6"/>
  <c r="G229" i="6"/>
  <c r="F229" i="6"/>
  <c r="D229" i="6"/>
  <c r="C229" i="6"/>
  <c r="O228" i="6"/>
  <c r="G228" i="6"/>
  <c r="F228" i="6"/>
  <c r="D228" i="6"/>
  <c r="C228" i="6"/>
  <c r="O227" i="6"/>
  <c r="G227" i="6"/>
  <c r="F227" i="6"/>
  <c r="D227" i="6"/>
  <c r="C227" i="6"/>
  <c r="O226" i="6"/>
  <c r="G226" i="6"/>
  <c r="F226" i="6"/>
  <c r="D226" i="6"/>
  <c r="C226" i="6"/>
  <c r="O225" i="6"/>
  <c r="G225" i="6"/>
  <c r="F225" i="6"/>
  <c r="D225" i="6"/>
  <c r="C225" i="6"/>
  <c r="O224" i="6"/>
  <c r="G224" i="6"/>
  <c r="F224" i="6"/>
  <c r="D224" i="6"/>
  <c r="C224" i="6"/>
  <c r="O223" i="6"/>
  <c r="G223" i="6"/>
  <c r="F223" i="6"/>
  <c r="D223" i="6"/>
  <c r="C223" i="6"/>
  <c r="O222" i="6"/>
  <c r="G222" i="6"/>
  <c r="F222" i="6"/>
  <c r="D222" i="6"/>
  <c r="C222" i="6"/>
  <c r="O221" i="6"/>
  <c r="G221" i="6"/>
  <c r="F221" i="6"/>
  <c r="D221" i="6"/>
  <c r="C221" i="6"/>
  <c r="O220" i="6"/>
  <c r="G220" i="6"/>
  <c r="F220" i="6"/>
  <c r="D220" i="6"/>
  <c r="C220" i="6"/>
  <c r="O219" i="6"/>
  <c r="G219" i="6"/>
  <c r="F219" i="6"/>
  <c r="D219" i="6"/>
  <c r="C219" i="6"/>
  <c r="O218" i="6"/>
  <c r="G218" i="6"/>
  <c r="F218" i="6"/>
  <c r="D218" i="6"/>
  <c r="C218" i="6"/>
  <c r="O217" i="6"/>
  <c r="G217" i="6"/>
  <c r="F217" i="6"/>
  <c r="D217" i="6"/>
  <c r="C217" i="6"/>
  <c r="O216" i="6"/>
  <c r="G216" i="6"/>
  <c r="F216" i="6"/>
  <c r="D216" i="6"/>
  <c r="C216" i="6"/>
  <c r="O215" i="6"/>
  <c r="G215" i="6"/>
  <c r="F215" i="6"/>
  <c r="D215" i="6"/>
  <c r="C215" i="6"/>
  <c r="O214" i="6"/>
  <c r="G214" i="6"/>
  <c r="F214" i="6"/>
  <c r="D214" i="6"/>
  <c r="C214" i="6"/>
  <c r="O213" i="6"/>
  <c r="G213" i="6"/>
  <c r="F213" i="6"/>
  <c r="D213" i="6"/>
  <c r="C213" i="6"/>
  <c r="O212" i="6"/>
  <c r="G212" i="6"/>
  <c r="F212" i="6"/>
  <c r="D212" i="6"/>
  <c r="C212" i="6"/>
  <c r="O211" i="6"/>
  <c r="G211" i="6"/>
  <c r="F211" i="6"/>
  <c r="D211" i="6"/>
  <c r="C211" i="6"/>
  <c r="O210" i="6"/>
  <c r="G210" i="6"/>
  <c r="F210" i="6"/>
  <c r="D210" i="6"/>
  <c r="C210" i="6"/>
  <c r="O209" i="6"/>
  <c r="G209" i="6"/>
  <c r="F209" i="6"/>
  <c r="D209" i="6"/>
  <c r="C209" i="6"/>
  <c r="O208" i="6"/>
  <c r="G208" i="6"/>
  <c r="F208" i="6"/>
  <c r="D208" i="6"/>
  <c r="C208" i="6"/>
  <c r="O207" i="6"/>
  <c r="G207" i="6"/>
  <c r="F207" i="6"/>
  <c r="D207" i="6"/>
  <c r="C207" i="6"/>
  <c r="O206" i="6"/>
  <c r="G206" i="6"/>
  <c r="F206" i="6"/>
  <c r="D206" i="6"/>
  <c r="C206" i="6"/>
  <c r="O205" i="6"/>
  <c r="G205" i="6"/>
  <c r="F205" i="6"/>
  <c r="D205" i="6"/>
  <c r="C205" i="6"/>
  <c r="O204" i="6"/>
  <c r="G204" i="6"/>
  <c r="F204" i="6"/>
  <c r="D204" i="6"/>
  <c r="C204" i="6"/>
  <c r="O203" i="6"/>
  <c r="G203" i="6"/>
  <c r="F203" i="6"/>
  <c r="D203" i="6"/>
  <c r="C203" i="6"/>
  <c r="O202" i="6"/>
  <c r="G202" i="6"/>
  <c r="F202" i="6"/>
  <c r="D202" i="6"/>
  <c r="C202" i="6"/>
  <c r="O201" i="6"/>
  <c r="G201" i="6"/>
  <c r="F201" i="6"/>
  <c r="D201" i="6"/>
  <c r="C201" i="6"/>
  <c r="O200" i="6"/>
  <c r="G200" i="6"/>
  <c r="F200" i="6"/>
  <c r="D200" i="6"/>
  <c r="C200" i="6"/>
  <c r="O199" i="6"/>
  <c r="G199" i="6"/>
  <c r="F199" i="6"/>
  <c r="D199" i="6"/>
  <c r="C199" i="6"/>
  <c r="O198" i="6"/>
  <c r="G198" i="6"/>
  <c r="F198" i="6"/>
  <c r="D198" i="6"/>
  <c r="C198" i="6"/>
  <c r="O197" i="6"/>
  <c r="G197" i="6"/>
  <c r="F197" i="6"/>
  <c r="D197" i="6"/>
  <c r="C197" i="6"/>
  <c r="O196" i="6"/>
  <c r="G196" i="6"/>
  <c r="F196" i="6"/>
  <c r="D196" i="6"/>
  <c r="C196" i="6"/>
  <c r="O195" i="6"/>
  <c r="G195" i="6"/>
  <c r="F195" i="6"/>
  <c r="D195" i="6"/>
  <c r="C195" i="6"/>
  <c r="O194" i="6"/>
  <c r="G194" i="6"/>
  <c r="F194" i="6"/>
  <c r="D194" i="6"/>
  <c r="C194" i="6"/>
  <c r="O193" i="6"/>
  <c r="G193" i="6"/>
  <c r="F193" i="6"/>
  <c r="D193" i="6"/>
  <c r="C193" i="6"/>
  <c r="O192" i="6"/>
  <c r="G192" i="6"/>
  <c r="F192" i="6"/>
  <c r="D192" i="6"/>
  <c r="C192" i="6"/>
  <c r="O191" i="6"/>
  <c r="G191" i="6"/>
  <c r="F191" i="6"/>
  <c r="D191" i="6"/>
  <c r="C191" i="6"/>
  <c r="O190" i="6"/>
  <c r="G190" i="6"/>
  <c r="F190" i="6"/>
  <c r="D190" i="6"/>
  <c r="C190" i="6"/>
  <c r="O189" i="6"/>
  <c r="G189" i="6"/>
  <c r="F189" i="6"/>
  <c r="D189" i="6"/>
  <c r="C189" i="6"/>
  <c r="O188" i="6"/>
  <c r="G188" i="6"/>
  <c r="F188" i="6"/>
  <c r="D188" i="6"/>
  <c r="C188" i="6"/>
  <c r="O187" i="6"/>
  <c r="G187" i="6"/>
  <c r="F187" i="6"/>
  <c r="D187" i="6"/>
  <c r="C187" i="6"/>
  <c r="O186" i="6"/>
  <c r="G186" i="6"/>
  <c r="F186" i="6"/>
  <c r="D186" i="6"/>
  <c r="C186" i="6"/>
  <c r="O185" i="6"/>
  <c r="G185" i="6"/>
  <c r="F185" i="6"/>
  <c r="D185" i="6"/>
  <c r="C185" i="6"/>
  <c r="O184" i="6"/>
  <c r="G184" i="6"/>
  <c r="F184" i="6"/>
  <c r="D184" i="6"/>
  <c r="C184" i="6"/>
  <c r="O183" i="6"/>
  <c r="G183" i="6"/>
  <c r="F183" i="6"/>
  <c r="D183" i="6"/>
  <c r="C183" i="6"/>
  <c r="O182" i="6"/>
  <c r="G182" i="6"/>
  <c r="F182" i="6"/>
  <c r="D182" i="6"/>
  <c r="C182" i="6"/>
  <c r="O181" i="6"/>
  <c r="G181" i="6"/>
  <c r="F181" i="6"/>
  <c r="D181" i="6"/>
  <c r="C181" i="6"/>
  <c r="O180" i="6"/>
  <c r="G180" i="6"/>
  <c r="F180" i="6"/>
  <c r="D180" i="6"/>
  <c r="C180" i="6"/>
  <c r="O179" i="6"/>
  <c r="G179" i="6"/>
  <c r="F179" i="6"/>
  <c r="D179" i="6"/>
  <c r="C179" i="6"/>
  <c r="O178" i="6"/>
  <c r="G178" i="6"/>
  <c r="F178" i="6"/>
  <c r="D178" i="6"/>
  <c r="C178" i="6"/>
  <c r="O177" i="6"/>
  <c r="G177" i="6"/>
  <c r="F177" i="6"/>
  <c r="D177" i="6"/>
  <c r="C177" i="6"/>
  <c r="O176" i="6"/>
  <c r="G176" i="6"/>
  <c r="F176" i="6"/>
  <c r="D176" i="6"/>
  <c r="C176" i="6"/>
  <c r="O175" i="6"/>
  <c r="G175" i="6"/>
  <c r="F175" i="6"/>
  <c r="D175" i="6"/>
  <c r="C175" i="6"/>
  <c r="O174" i="6"/>
  <c r="G174" i="6"/>
  <c r="F174" i="6"/>
  <c r="D174" i="6"/>
  <c r="C174" i="6"/>
  <c r="O173" i="6"/>
  <c r="G173" i="6"/>
  <c r="F173" i="6"/>
  <c r="D173" i="6"/>
  <c r="C173" i="6"/>
  <c r="O172" i="6"/>
  <c r="G172" i="6"/>
  <c r="F172" i="6"/>
  <c r="D172" i="6"/>
  <c r="C172" i="6"/>
  <c r="O171" i="6"/>
  <c r="G171" i="6"/>
  <c r="F171" i="6"/>
  <c r="D171" i="6"/>
  <c r="C171" i="6"/>
  <c r="O170" i="6"/>
  <c r="G170" i="6"/>
  <c r="F170" i="6"/>
  <c r="D170" i="6"/>
  <c r="C170" i="6"/>
  <c r="O169" i="6"/>
  <c r="G169" i="6"/>
  <c r="F169" i="6"/>
  <c r="D169" i="6"/>
  <c r="C169" i="6"/>
  <c r="O168" i="6"/>
  <c r="G168" i="6"/>
  <c r="F168" i="6"/>
  <c r="D168" i="6"/>
  <c r="C168" i="6"/>
  <c r="O167" i="6"/>
  <c r="G167" i="6"/>
  <c r="F167" i="6"/>
  <c r="D167" i="6"/>
  <c r="C167" i="6"/>
  <c r="O166" i="6"/>
  <c r="G166" i="6"/>
  <c r="F166" i="6"/>
  <c r="D166" i="6"/>
  <c r="C166" i="6"/>
  <c r="O165" i="6"/>
  <c r="G165" i="6"/>
  <c r="F165" i="6"/>
  <c r="D165" i="6"/>
  <c r="C165" i="6"/>
  <c r="O164" i="6"/>
  <c r="G164" i="6"/>
  <c r="F164" i="6"/>
  <c r="D164" i="6"/>
  <c r="C164" i="6"/>
  <c r="O163" i="6"/>
  <c r="G163" i="6"/>
  <c r="F163" i="6"/>
  <c r="D163" i="6"/>
  <c r="C163" i="6"/>
  <c r="O162" i="6"/>
  <c r="G162" i="6"/>
  <c r="F162" i="6"/>
  <c r="D162" i="6"/>
  <c r="C162" i="6"/>
  <c r="O161" i="6"/>
  <c r="G161" i="6"/>
  <c r="F161" i="6"/>
  <c r="D161" i="6"/>
  <c r="C161" i="6"/>
  <c r="O160" i="6"/>
  <c r="G160" i="6"/>
  <c r="F160" i="6"/>
  <c r="D160" i="6"/>
  <c r="C160" i="6"/>
  <c r="O159" i="6"/>
  <c r="G159" i="6"/>
  <c r="F159" i="6"/>
  <c r="D159" i="6"/>
  <c r="C159" i="6"/>
  <c r="O158" i="6"/>
  <c r="G158" i="6"/>
  <c r="F158" i="6"/>
  <c r="D158" i="6"/>
  <c r="C158" i="6"/>
  <c r="O157" i="6"/>
  <c r="G157" i="6"/>
  <c r="F157" i="6"/>
  <c r="D157" i="6"/>
  <c r="C157" i="6"/>
  <c r="O156" i="6"/>
  <c r="G156" i="6"/>
  <c r="F156" i="6"/>
  <c r="D156" i="6"/>
  <c r="C156" i="6"/>
  <c r="O155" i="6"/>
  <c r="G155" i="6"/>
  <c r="F155" i="6"/>
  <c r="D155" i="6"/>
  <c r="C155" i="6"/>
  <c r="O154" i="6"/>
  <c r="G154" i="6"/>
  <c r="F154" i="6"/>
  <c r="D154" i="6"/>
  <c r="C154" i="6"/>
  <c r="O153" i="6"/>
  <c r="G153" i="6"/>
  <c r="F153" i="6"/>
  <c r="D153" i="6"/>
  <c r="C153" i="6"/>
  <c r="O152" i="6"/>
  <c r="G152" i="6"/>
  <c r="F152" i="6"/>
  <c r="D152" i="6"/>
  <c r="C152" i="6"/>
  <c r="O151" i="6"/>
  <c r="G151" i="6"/>
  <c r="F151" i="6"/>
  <c r="D151" i="6"/>
  <c r="C151" i="6"/>
  <c r="O150" i="6"/>
  <c r="G150" i="6"/>
  <c r="F150" i="6"/>
  <c r="D150" i="6"/>
  <c r="C150" i="6"/>
  <c r="O149" i="6"/>
  <c r="G149" i="6"/>
  <c r="F149" i="6"/>
  <c r="D149" i="6"/>
  <c r="C149" i="6"/>
  <c r="O148" i="6"/>
  <c r="G148" i="6"/>
  <c r="F148" i="6"/>
  <c r="D148" i="6"/>
  <c r="C148" i="6"/>
  <c r="O147" i="6"/>
  <c r="G147" i="6"/>
  <c r="F147" i="6"/>
  <c r="D147" i="6"/>
  <c r="C147" i="6"/>
  <c r="O146" i="6"/>
  <c r="G146" i="6"/>
  <c r="F146" i="6"/>
  <c r="D146" i="6"/>
  <c r="C146" i="6"/>
  <c r="O145" i="6"/>
  <c r="G145" i="6"/>
  <c r="F145" i="6"/>
  <c r="D145" i="6"/>
  <c r="C145" i="6"/>
  <c r="O144" i="6"/>
  <c r="G144" i="6"/>
  <c r="F144" i="6"/>
  <c r="D144" i="6"/>
  <c r="C144" i="6"/>
  <c r="O143" i="6"/>
  <c r="G143" i="6"/>
  <c r="F143" i="6"/>
  <c r="D143" i="6"/>
  <c r="C143" i="6"/>
  <c r="O142" i="6"/>
  <c r="G142" i="6"/>
  <c r="F142" i="6"/>
  <c r="D142" i="6"/>
  <c r="C142" i="6"/>
  <c r="O141" i="6"/>
  <c r="G141" i="6"/>
  <c r="F141" i="6"/>
  <c r="D141" i="6"/>
  <c r="C141" i="6"/>
  <c r="O140" i="6"/>
  <c r="G140" i="6"/>
  <c r="F140" i="6"/>
  <c r="D140" i="6"/>
  <c r="C140" i="6"/>
  <c r="O139" i="6"/>
  <c r="G139" i="6"/>
  <c r="F139" i="6"/>
  <c r="D139" i="6"/>
  <c r="C139" i="6"/>
  <c r="O138" i="6"/>
  <c r="G138" i="6"/>
  <c r="F138" i="6"/>
  <c r="D138" i="6"/>
  <c r="C138" i="6"/>
  <c r="O137" i="6"/>
  <c r="G137" i="6"/>
  <c r="F137" i="6"/>
  <c r="D137" i="6"/>
  <c r="C137" i="6"/>
  <c r="O136" i="6"/>
  <c r="G136" i="6"/>
  <c r="F136" i="6"/>
  <c r="D136" i="6"/>
  <c r="C136" i="6"/>
  <c r="O135" i="6"/>
  <c r="G135" i="6"/>
  <c r="F135" i="6"/>
  <c r="D135" i="6"/>
  <c r="C135" i="6"/>
  <c r="O134" i="6"/>
  <c r="G134" i="6"/>
  <c r="F134" i="6"/>
  <c r="D134" i="6"/>
  <c r="C134" i="6"/>
  <c r="O133" i="6"/>
  <c r="G133" i="6"/>
  <c r="F133" i="6"/>
  <c r="D133" i="6"/>
  <c r="C133" i="6"/>
  <c r="O132" i="6"/>
  <c r="G132" i="6"/>
  <c r="F132" i="6"/>
  <c r="D132" i="6"/>
  <c r="C132" i="6"/>
  <c r="O131" i="6"/>
  <c r="G131" i="6"/>
  <c r="F131" i="6"/>
  <c r="D131" i="6"/>
  <c r="C131" i="6"/>
  <c r="O130" i="6"/>
  <c r="G130" i="6"/>
  <c r="F130" i="6"/>
  <c r="D130" i="6"/>
  <c r="C130" i="6"/>
  <c r="O129" i="6"/>
  <c r="G129" i="6"/>
  <c r="F129" i="6"/>
  <c r="D129" i="6"/>
  <c r="C129" i="6"/>
  <c r="O128" i="6"/>
  <c r="G128" i="6"/>
  <c r="F128" i="6"/>
  <c r="D128" i="6"/>
  <c r="C128" i="6"/>
  <c r="O127" i="6"/>
  <c r="G127" i="6"/>
  <c r="F127" i="6"/>
  <c r="D127" i="6"/>
  <c r="C127" i="6"/>
  <c r="O126" i="6"/>
  <c r="G126" i="6"/>
  <c r="F126" i="6"/>
  <c r="D126" i="6"/>
  <c r="C126" i="6"/>
  <c r="O125" i="6"/>
  <c r="G125" i="6"/>
  <c r="F125" i="6"/>
  <c r="D125" i="6"/>
  <c r="C125" i="6"/>
  <c r="O124" i="6"/>
  <c r="G124" i="6"/>
  <c r="F124" i="6"/>
  <c r="D124" i="6"/>
  <c r="C124" i="6"/>
  <c r="O123" i="6"/>
  <c r="G123" i="6"/>
  <c r="F123" i="6"/>
  <c r="D123" i="6"/>
  <c r="C123" i="6"/>
  <c r="O122" i="6"/>
  <c r="G122" i="6"/>
  <c r="F122" i="6"/>
  <c r="D122" i="6"/>
  <c r="C122" i="6"/>
  <c r="O121" i="6"/>
  <c r="G121" i="6"/>
  <c r="F121" i="6"/>
  <c r="D121" i="6"/>
  <c r="C121" i="6"/>
  <c r="O120" i="6"/>
  <c r="G120" i="6"/>
  <c r="F120" i="6"/>
  <c r="D120" i="6"/>
  <c r="C120" i="6"/>
  <c r="O119" i="6"/>
  <c r="G119" i="6"/>
  <c r="F119" i="6"/>
  <c r="D119" i="6"/>
  <c r="C119" i="6"/>
  <c r="O118" i="6"/>
  <c r="G118" i="6"/>
  <c r="F118" i="6"/>
  <c r="D118" i="6"/>
  <c r="C118" i="6"/>
  <c r="O117" i="6"/>
  <c r="G117" i="6"/>
  <c r="F117" i="6"/>
  <c r="D117" i="6"/>
  <c r="C117" i="6"/>
  <c r="O116" i="6"/>
  <c r="G116" i="6"/>
  <c r="F116" i="6"/>
  <c r="D116" i="6"/>
  <c r="C116" i="6"/>
  <c r="O115" i="6"/>
  <c r="G115" i="6"/>
  <c r="F115" i="6"/>
  <c r="D115" i="6"/>
  <c r="C115" i="6"/>
  <c r="O114" i="6"/>
  <c r="G114" i="6"/>
  <c r="F114" i="6"/>
  <c r="D114" i="6"/>
  <c r="C114" i="6"/>
  <c r="O113" i="6"/>
  <c r="G113" i="6"/>
  <c r="F113" i="6"/>
  <c r="D113" i="6"/>
  <c r="C113" i="6"/>
  <c r="O112" i="6"/>
  <c r="G112" i="6"/>
  <c r="F112" i="6"/>
  <c r="D112" i="6"/>
  <c r="C112" i="6"/>
  <c r="O111" i="6"/>
  <c r="G111" i="6"/>
  <c r="F111" i="6"/>
  <c r="D111" i="6"/>
  <c r="C111" i="6"/>
  <c r="O110" i="6"/>
  <c r="G110" i="6"/>
  <c r="F110" i="6"/>
  <c r="D110" i="6"/>
  <c r="C110" i="6"/>
  <c r="O109" i="6"/>
  <c r="G109" i="6"/>
  <c r="F109" i="6"/>
  <c r="D109" i="6"/>
  <c r="C109" i="6"/>
  <c r="O108" i="6"/>
  <c r="G108" i="6"/>
  <c r="F108" i="6"/>
  <c r="D108" i="6"/>
  <c r="C108" i="6"/>
  <c r="O107" i="6"/>
  <c r="G107" i="6"/>
  <c r="F107" i="6"/>
  <c r="D107" i="6"/>
  <c r="C107" i="6"/>
  <c r="O106" i="6"/>
  <c r="G106" i="6"/>
  <c r="F106" i="6"/>
  <c r="D106" i="6"/>
  <c r="C106" i="6"/>
  <c r="O105" i="6"/>
  <c r="G105" i="6"/>
  <c r="F105" i="6"/>
  <c r="D105" i="6"/>
  <c r="C105" i="6"/>
  <c r="O104" i="6"/>
  <c r="G104" i="6"/>
  <c r="F104" i="6"/>
  <c r="D104" i="6"/>
  <c r="C104" i="6"/>
  <c r="O103" i="6"/>
  <c r="G103" i="6"/>
  <c r="F103" i="6"/>
  <c r="D103" i="6"/>
  <c r="C103" i="6"/>
  <c r="O102" i="6"/>
  <c r="G102" i="6"/>
  <c r="F102" i="6"/>
  <c r="D102" i="6"/>
  <c r="C102" i="6"/>
  <c r="O101" i="6"/>
  <c r="G101" i="6"/>
  <c r="F101" i="6"/>
  <c r="D101" i="6"/>
  <c r="C101" i="6"/>
  <c r="O100" i="6"/>
  <c r="G100" i="6"/>
  <c r="F100" i="6"/>
  <c r="D100" i="6"/>
  <c r="C100" i="6"/>
  <c r="O99" i="6"/>
  <c r="G99" i="6"/>
  <c r="F99" i="6"/>
  <c r="D99" i="6"/>
  <c r="C99" i="6"/>
  <c r="O98" i="6"/>
  <c r="G98" i="6"/>
  <c r="F98" i="6"/>
  <c r="D98" i="6"/>
  <c r="C98" i="6"/>
  <c r="O97" i="6"/>
  <c r="G97" i="6"/>
  <c r="F97" i="6"/>
  <c r="D97" i="6"/>
  <c r="C97" i="6"/>
  <c r="O96" i="6"/>
  <c r="G96" i="6"/>
  <c r="F96" i="6"/>
  <c r="D96" i="6"/>
  <c r="C96" i="6"/>
  <c r="O95" i="6"/>
  <c r="G95" i="6"/>
  <c r="F95" i="6"/>
  <c r="D95" i="6"/>
  <c r="C95" i="6"/>
  <c r="O94" i="6"/>
  <c r="G94" i="6"/>
  <c r="F94" i="6"/>
  <c r="D94" i="6"/>
  <c r="C94" i="6"/>
  <c r="O93" i="6"/>
  <c r="G93" i="6"/>
  <c r="F93" i="6"/>
  <c r="D93" i="6"/>
  <c r="C93" i="6"/>
  <c r="O92" i="6"/>
  <c r="G92" i="6"/>
  <c r="F92" i="6"/>
  <c r="D92" i="6"/>
  <c r="C92" i="6"/>
  <c r="O91" i="6"/>
  <c r="G91" i="6"/>
  <c r="F91" i="6"/>
  <c r="D91" i="6"/>
  <c r="C91" i="6"/>
  <c r="O90" i="6"/>
  <c r="G90" i="6"/>
  <c r="F90" i="6"/>
  <c r="D90" i="6"/>
  <c r="C90" i="6"/>
  <c r="O89" i="6"/>
  <c r="G89" i="6"/>
  <c r="F89" i="6"/>
  <c r="D89" i="6"/>
  <c r="C89" i="6"/>
  <c r="O88" i="6"/>
  <c r="G88" i="6"/>
  <c r="F88" i="6"/>
  <c r="D88" i="6"/>
  <c r="C88" i="6"/>
  <c r="O87" i="6"/>
  <c r="G87" i="6"/>
  <c r="F87" i="6"/>
  <c r="D87" i="6"/>
  <c r="C87" i="6"/>
  <c r="O86" i="6"/>
  <c r="G86" i="6"/>
  <c r="F86" i="6"/>
  <c r="D86" i="6"/>
  <c r="C86" i="6"/>
  <c r="O85" i="6"/>
  <c r="G85" i="6"/>
  <c r="F85" i="6"/>
  <c r="D85" i="6"/>
  <c r="C85" i="6"/>
  <c r="O84" i="6"/>
  <c r="G84" i="6"/>
  <c r="F84" i="6"/>
  <c r="D84" i="6"/>
  <c r="C84" i="6"/>
  <c r="O83" i="6"/>
  <c r="G83" i="6"/>
  <c r="F83" i="6"/>
  <c r="D83" i="6"/>
  <c r="C83" i="6"/>
  <c r="O82" i="6"/>
  <c r="G82" i="6"/>
  <c r="F82" i="6"/>
  <c r="D82" i="6"/>
  <c r="C82" i="6"/>
  <c r="O81" i="6"/>
  <c r="G81" i="6"/>
  <c r="F81" i="6"/>
  <c r="D81" i="6"/>
  <c r="C81" i="6"/>
  <c r="O80" i="6"/>
  <c r="G80" i="6"/>
  <c r="F80" i="6"/>
  <c r="D80" i="6"/>
  <c r="C80" i="6"/>
  <c r="O79" i="6"/>
  <c r="G79" i="6"/>
  <c r="F79" i="6"/>
  <c r="D79" i="6"/>
  <c r="C79" i="6"/>
  <c r="O78" i="6"/>
  <c r="G78" i="6"/>
  <c r="F78" i="6"/>
  <c r="D78" i="6"/>
  <c r="C78" i="6"/>
  <c r="O77" i="6"/>
  <c r="G77" i="6"/>
  <c r="F77" i="6"/>
  <c r="D77" i="6"/>
  <c r="C77" i="6"/>
  <c r="O76" i="6"/>
  <c r="G76" i="6"/>
  <c r="F76" i="6"/>
  <c r="D76" i="6"/>
  <c r="C76" i="6"/>
  <c r="O75" i="6"/>
  <c r="G75" i="6"/>
  <c r="F75" i="6"/>
  <c r="D75" i="6"/>
  <c r="C75" i="6"/>
  <c r="O74" i="6"/>
  <c r="G74" i="6"/>
  <c r="F74" i="6"/>
  <c r="D74" i="6"/>
  <c r="C74" i="6"/>
  <c r="O73" i="6"/>
  <c r="G73" i="6"/>
  <c r="F73" i="6"/>
  <c r="D73" i="6"/>
  <c r="C73" i="6"/>
  <c r="O72" i="6"/>
  <c r="G72" i="6"/>
  <c r="F72" i="6"/>
  <c r="D72" i="6"/>
  <c r="C72" i="6"/>
  <c r="O71" i="6"/>
  <c r="G71" i="6"/>
  <c r="F71" i="6"/>
  <c r="D71" i="6"/>
  <c r="C71" i="6"/>
  <c r="O70" i="6"/>
  <c r="G70" i="6"/>
  <c r="F70" i="6"/>
  <c r="D70" i="6"/>
  <c r="C70" i="6"/>
  <c r="O69" i="6"/>
  <c r="G69" i="6"/>
  <c r="F69" i="6"/>
  <c r="D69" i="6"/>
  <c r="C69" i="6"/>
  <c r="O68" i="6"/>
  <c r="G68" i="6"/>
  <c r="F68" i="6"/>
  <c r="D68" i="6"/>
  <c r="C68" i="6"/>
  <c r="O67" i="6"/>
  <c r="G67" i="6"/>
  <c r="F67" i="6"/>
  <c r="D67" i="6"/>
  <c r="C67" i="6"/>
  <c r="O66" i="6"/>
  <c r="G66" i="6"/>
  <c r="F66" i="6"/>
  <c r="D66" i="6"/>
  <c r="C66" i="6"/>
  <c r="O65" i="6"/>
  <c r="G65" i="6"/>
  <c r="F65" i="6"/>
  <c r="D65" i="6"/>
  <c r="C65" i="6"/>
  <c r="O64" i="6"/>
  <c r="G64" i="6"/>
  <c r="F64" i="6"/>
  <c r="D64" i="6"/>
  <c r="C64" i="6"/>
  <c r="O63" i="6"/>
  <c r="G63" i="6"/>
  <c r="F63" i="6"/>
  <c r="D63" i="6"/>
  <c r="C63" i="6"/>
  <c r="O62" i="6"/>
  <c r="G62" i="6"/>
  <c r="F62" i="6"/>
  <c r="D62" i="6"/>
  <c r="C62" i="6"/>
  <c r="O61" i="6"/>
  <c r="G61" i="6"/>
  <c r="F61" i="6"/>
  <c r="D61" i="6"/>
  <c r="C61" i="6"/>
  <c r="O60" i="6"/>
  <c r="G60" i="6"/>
  <c r="F60" i="6"/>
  <c r="D60" i="6"/>
  <c r="C60" i="6"/>
  <c r="O59" i="6"/>
  <c r="G59" i="6"/>
  <c r="F59" i="6"/>
  <c r="D59" i="6"/>
  <c r="C59" i="6"/>
  <c r="O58" i="6"/>
  <c r="G58" i="6"/>
  <c r="F58" i="6"/>
  <c r="D58" i="6"/>
  <c r="C58" i="6"/>
  <c r="O57" i="6"/>
  <c r="G57" i="6"/>
  <c r="F57" i="6"/>
  <c r="D57" i="6"/>
  <c r="C57" i="6"/>
  <c r="O56" i="6"/>
  <c r="G56" i="6"/>
  <c r="F56" i="6"/>
  <c r="D56" i="6"/>
  <c r="C56" i="6"/>
  <c r="O55" i="6"/>
  <c r="G55" i="6"/>
  <c r="F55" i="6"/>
  <c r="D55" i="6"/>
  <c r="C55" i="6"/>
  <c r="O54" i="6"/>
  <c r="G54" i="6"/>
  <c r="F54" i="6"/>
  <c r="D54" i="6"/>
  <c r="C54" i="6"/>
  <c r="O53" i="6"/>
  <c r="G53" i="6"/>
  <c r="F53" i="6"/>
  <c r="D53" i="6"/>
  <c r="C53" i="6"/>
  <c r="O52" i="6"/>
  <c r="G52" i="6"/>
  <c r="F52" i="6"/>
  <c r="D52" i="6"/>
  <c r="C52" i="6"/>
  <c r="O51" i="6"/>
  <c r="G51" i="6"/>
  <c r="F51" i="6"/>
  <c r="D51" i="6"/>
  <c r="C51" i="6"/>
  <c r="O50" i="6"/>
  <c r="G50" i="6"/>
  <c r="F50" i="6"/>
  <c r="D50" i="6"/>
  <c r="C50" i="6"/>
  <c r="O49" i="6"/>
  <c r="G49" i="6"/>
  <c r="F49" i="6"/>
  <c r="D49" i="6"/>
  <c r="C49" i="6"/>
  <c r="O48" i="6"/>
  <c r="G48" i="6"/>
  <c r="F48" i="6"/>
  <c r="D48" i="6"/>
  <c r="C48" i="6"/>
  <c r="O47" i="6"/>
  <c r="G47" i="6"/>
  <c r="F47" i="6"/>
  <c r="D47" i="6"/>
  <c r="C47" i="6"/>
  <c r="O46" i="6"/>
  <c r="G46" i="6"/>
  <c r="F46" i="6"/>
  <c r="D46" i="6"/>
  <c r="C46" i="6"/>
  <c r="O45" i="6"/>
  <c r="G45" i="6"/>
  <c r="F45" i="6"/>
  <c r="D45" i="6"/>
  <c r="C45" i="6"/>
  <c r="O44" i="6"/>
  <c r="G44" i="6"/>
  <c r="F44" i="6"/>
  <c r="D44" i="6"/>
  <c r="C44" i="6"/>
  <c r="O43" i="6"/>
  <c r="G43" i="6"/>
  <c r="F43" i="6"/>
  <c r="D43" i="6"/>
  <c r="C43" i="6"/>
  <c r="O42" i="6"/>
  <c r="G42" i="6"/>
  <c r="F42" i="6"/>
  <c r="D42" i="6"/>
  <c r="C42" i="6"/>
  <c r="O41" i="6"/>
  <c r="G41" i="6"/>
  <c r="F41" i="6"/>
  <c r="D41" i="6"/>
  <c r="C41" i="6"/>
  <c r="O40" i="6"/>
  <c r="G40" i="6"/>
  <c r="F40" i="6"/>
  <c r="D40" i="6"/>
  <c r="C40" i="6"/>
  <c r="O39" i="6"/>
  <c r="G39" i="6"/>
  <c r="F39" i="6"/>
  <c r="D39" i="6"/>
  <c r="C39" i="6"/>
  <c r="O38" i="6"/>
  <c r="G38" i="6"/>
  <c r="F38" i="6"/>
  <c r="D38" i="6"/>
  <c r="C38" i="6"/>
  <c r="O37" i="6"/>
  <c r="G37" i="6"/>
  <c r="F37" i="6"/>
  <c r="D37" i="6"/>
  <c r="C37" i="6"/>
  <c r="O36" i="6"/>
  <c r="G36" i="6"/>
  <c r="F36" i="6"/>
  <c r="D36" i="6"/>
  <c r="C36" i="6"/>
  <c r="O35" i="6"/>
  <c r="G35" i="6"/>
  <c r="F35" i="6"/>
  <c r="D35" i="6"/>
  <c r="C35" i="6"/>
  <c r="O34" i="6"/>
  <c r="G34" i="6"/>
  <c r="F34" i="6"/>
  <c r="D34" i="6"/>
  <c r="C34" i="6"/>
  <c r="O33" i="6"/>
  <c r="G33" i="6"/>
  <c r="F33" i="6"/>
  <c r="D33" i="6"/>
  <c r="C33" i="6"/>
  <c r="O32" i="6"/>
  <c r="G32" i="6"/>
  <c r="F32" i="6"/>
  <c r="D32" i="6"/>
  <c r="C32" i="6"/>
  <c r="O31" i="6"/>
  <c r="G31" i="6"/>
  <c r="F31" i="6"/>
  <c r="D31" i="6"/>
  <c r="C31" i="6"/>
  <c r="O30" i="6"/>
  <c r="G30" i="6"/>
  <c r="F30" i="6"/>
  <c r="D30" i="6"/>
  <c r="C30" i="6"/>
  <c r="O29" i="6"/>
  <c r="G29" i="6"/>
  <c r="F29" i="6"/>
  <c r="D29" i="6"/>
  <c r="C29" i="6"/>
  <c r="O28" i="6"/>
  <c r="G28" i="6"/>
  <c r="F28" i="6"/>
  <c r="D28" i="6"/>
  <c r="C28" i="6"/>
  <c r="O27" i="6"/>
  <c r="G27" i="6"/>
  <c r="F27" i="6"/>
  <c r="D27" i="6"/>
  <c r="C27" i="6"/>
  <c r="O26" i="6"/>
  <c r="G26" i="6"/>
  <c r="F26" i="6"/>
  <c r="D26" i="6"/>
  <c r="C26" i="6"/>
  <c r="O25" i="6"/>
  <c r="G25" i="6"/>
  <c r="F25" i="6"/>
  <c r="D25" i="6"/>
  <c r="C25" i="6"/>
  <c r="O24" i="6"/>
  <c r="G24" i="6"/>
  <c r="F24" i="6"/>
  <c r="D24" i="6"/>
  <c r="C24" i="6"/>
  <c r="O23" i="6"/>
  <c r="G23" i="6"/>
  <c r="F23" i="6"/>
  <c r="D23" i="6"/>
  <c r="C23" i="6"/>
  <c r="O22" i="6"/>
  <c r="G22" i="6"/>
  <c r="F22" i="6"/>
  <c r="D22" i="6"/>
  <c r="C22" i="6"/>
  <c r="O21" i="6"/>
  <c r="G21" i="6"/>
  <c r="F21" i="6"/>
  <c r="D21" i="6"/>
  <c r="C21" i="6"/>
  <c r="O20" i="6"/>
  <c r="G20" i="6"/>
  <c r="F20" i="6"/>
  <c r="D20" i="6"/>
  <c r="C20" i="6"/>
  <c r="O19" i="6"/>
  <c r="G19" i="6"/>
  <c r="F19" i="6"/>
  <c r="D19" i="6"/>
  <c r="C19" i="6"/>
  <c r="O18" i="6"/>
  <c r="G18" i="6"/>
  <c r="F18" i="6"/>
  <c r="D18" i="6"/>
  <c r="C18" i="6"/>
  <c r="O17" i="6"/>
  <c r="G17" i="6"/>
  <c r="F17" i="6"/>
  <c r="D17" i="6"/>
  <c r="C17" i="6"/>
  <c r="O16" i="6"/>
  <c r="G16" i="6"/>
  <c r="F16" i="6"/>
  <c r="D16" i="6"/>
  <c r="C16" i="6"/>
  <c r="O15" i="6"/>
  <c r="G15" i="6"/>
  <c r="F15" i="6"/>
  <c r="D15" i="6"/>
  <c r="C15" i="6"/>
  <c r="O14" i="6"/>
  <c r="G14" i="6"/>
  <c r="F14" i="6"/>
  <c r="D14" i="6"/>
  <c r="C14" i="6"/>
  <c r="O13" i="6"/>
  <c r="G13" i="6"/>
  <c r="F13" i="6"/>
  <c r="D13" i="6"/>
  <c r="C13" i="6"/>
  <c r="O12" i="6"/>
  <c r="G12" i="6"/>
  <c r="F12" i="6"/>
  <c r="D12" i="6"/>
  <c r="C12" i="6"/>
  <c r="O11" i="6"/>
  <c r="G11" i="6"/>
  <c r="F11" i="6"/>
  <c r="D11" i="6"/>
  <c r="C11" i="6"/>
  <c r="O10" i="6"/>
  <c r="G10" i="6"/>
  <c r="F10" i="6"/>
  <c r="D10" i="6"/>
  <c r="C10" i="6"/>
  <c r="O9" i="6"/>
  <c r="G9" i="6"/>
  <c r="F9" i="6"/>
  <c r="D9" i="6"/>
  <c r="C9" i="6"/>
  <c r="O8" i="6"/>
  <c r="G8" i="6"/>
  <c r="F8" i="6"/>
  <c r="D8" i="6"/>
  <c r="C8" i="6"/>
  <c r="O7" i="6"/>
  <c r="G7" i="6"/>
  <c r="F7" i="6"/>
  <c r="D7" i="6"/>
  <c r="C7" i="6"/>
  <c r="O6" i="6"/>
  <c r="G6" i="6"/>
  <c r="F6" i="6"/>
  <c r="D6" i="6"/>
  <c r="C6" i="6"/>
  <c r="O5" i="6"/>
  <c r="G5" i="6"/>
  <c r="F5" i="6"/>
  <c r="BA600" i="5"/>
  <c r="BB600" i="5" s="1"/>
  <c r="BA599" i="5"/>
  <c r="BB599" i="5" s="1"/>
  <c r="BA598" i="5"/>
  <c r="BB598" i="5" s="1"/>
  <c r="BA597" i="5"/>
  <c r="BB597" i="5" s="1"/>
  <c r="BA596" i="5"/>
  <c r="BB596" i="5" s="1"/>
  <c r="BA595" i="5"/>
  <c r="BB595" i="5" s="1"/>
  <c r="BA594" i="5"/>
  <c r="BB594" i="5" s="1"/>
  <c r="BA593" i="5"/>
  <c r="BB593" i="5" s="1"/>
  <c r="BA592" i="5"/>
  <c r="BB592" i="5" s="1"/>
  <c r="BA591" i="5"/>
  <c r="BB591" i="5" s="1"/>
  <c r="BA590" i="5"/>
  <c r="BB590" i="5" s="1"/>
  <c r="BA589" i="5"/>
  <c r="BB589" i="5" s="1"/>
  <c r="BA588" i="5"/>
  <c r="BB588" i="5" s="1"/>
  <c r="BA587" i="5"/>
  <c r="BB587" i="5" s="1"/>
  <c r="BA586" i="5"/>
  <c r="BB586" i="5" s="1"/>
  <c r="BA585" i="5"/>
  <c r="BB585" i="5" s="1"/>
  <c r="BA584" i="5"/>
  <c r="BB584" i="5" s="1"/>
  <c r="BA583" i="5"/>
  <c r="BB583" i="5" s="1"/>
  <c r="BA582" i="5"/>
  <c r="BB582" i="5" s="1"/>
  <c r="BA581" i="5"/>
  <c r="BB581" i="5" s="1"/>
  <c r="BA580" i="5"/>
  <c r="BB580" i="5" s="1"/>
  <c r="BA579" i="5"/>
  <c r="BB579" i="5" s="1"/>
  <c r="BA578" i="5"/>
  <c r="BB578" i="5" s="1"/>
  <c r="BA577" i="5"/>
  <c r="BB577" i="5" s="1"/>
  <c r="BA576" i="5"/>
  <c r="BB576" i="5" s="1"/>
  <c r="BA575" i="5"/>
  <c r="BB575" i="5" s="1"/>
  <c r="BA574" i="5"/>
  <c r="BB574" i="5" s="1"/>
  <c r="BA573" i="5"/>
  <c r="BB573" i="5" s="1"/>
  <c r="BA572" i="5"/>
  <c r="BB572" i="5" s="1"/>
  <c r="BA571" i="5"/>
  <c r="BB571" i="5" s="1"/>
  <c r="BA570" i="5"/>
  <c r="BB570" i="5" s="1"/>
  <c r="BA569" i="5"/>
  <c r="BB569" i="5" s="1"/>
  <c r="BA568" i="5"/>
  <c r="BB568" i="5" s="1"/>
  <c r="BA567" i="5"/>
  <c r="BB567" i="5" s="1"/>
  <c r="BA566" i="5"/>
  <c r="BB566" i="5" s="1"/>
  <c r="BA565" i="5"/>
  <c r="BB565" i="5" s="1"/>
  <c r="BA564" i="5"/>
  <c r="BB564" i="5" s="1"/>
  <c r="BA563" i="5"/>
  <c r="BB563" i="5" s="1"/>
  <c r="BA562" i="5"/>
  <c r="BB562" i="5" s="1"/>
  <c r="BA561" i="5"/>
  <c r="BB561" i="5" s="1"/>
  <c r="BA560" i="5"/>
  <c r="BB560" i="5" s="1"/>
  <c r="BA559" i="5"/>
  <c r="BB559" i="5" s="1"/>
  <c r="BA558" i="5"/>
  <c r="BB558" i="5" s="1"/>
  <c r="BA557" i="5"/>
  <c r="BB557" i="5" s="1"/>
  <c r="BA556" i="5"/>
  <c r="BB556" i="5" s="1"/>
  <c r="BA555" i="5"/>
  <c r="BB555" i="5" s="1"/>
  <c r="BA554" i="5"/>
  <c r="BB554" i="5" s="1"/>
  <c r="BA553" i="5"/>
  <c r="BB553" i="5" s="1"/>
  <c r="BA552" i="5"/>
  <c r="BB552" i="5" s="1"/>
  <c r="BA551" i="5"/>
  <c r="BB551" i="5" s="1"/>
  <c r="BA550" i="5"/>
  <c r="BB550" i="5" s="1"/>
  <c r="BA549" i="5"/>
  <c r="BB549" i="5" s="1"/>
  <c r="BA548" i="5"/>
  <c r="BB548" i="5" s="1"/>
  <c r="BA547" i="5"/>
  <c r="BB547" i="5" s="1"/>
  <c r="BA546" i="5"/>
  <c r="BB546" i="5" s="1"/>
  <c r="BA545" i="5"/>
  <c r="BB545" i="5" s="1"/>
  <c r="BA544" i="5"/>
  <c r="BB544" i="5" s="1"/>
  <c r="BA543" i="5"/>
  <c r="BB543" i="5" s="1"/>
  <c r="BA542" i="5"/>
  <c r="BB542" i="5" s="1"/>
  <c r="BA541" i="5"/>
  <c r="BB541" i="5" s="1"/>
  <c r="BA540" i="5"/>
  <c r="BB540" i="5" s="1"/>
  <c r="BA539" i="5"/>
  <c r="BB539" i="5" s="1"/>
  <c r="BA538" i="5"/>
  <c r="BB538" i="5" s="1"/>
  <c r="BA537" i="5"/>
  <c r="BB537" i="5" s="1"/>
  <c r="BA536" i="5"/>
  <c r="BB536" i="5" s="1"/>
  <c r="BA535" i="5"/>
  <c r="BB535" i="5" s="1"/>
  <c r="BA534" i="5"/>
  <c r="BB534" i="5" s="1"/>
  <c r="BA533" i="5"/>
  <c r="BB533" i="5" s="1"/>
  <c r="BA532" i="5"/>
  <c r="BB532" i="5" s="1"/>
  <c r="BA531" i="5"/>
  <c r="BB531" i="5" s="1"/>
  <c r="BA530" i="5"/>
  <c r="BB530" i="5" s="1"/>
  <c r="BA529" i="5"/>
  <c r="BB529" i="5" s="1"/>
  <c r="BA528" i="5"/>
  <c r="BB528" i="5" s="1"/>
  <c r="BA527" i="5"/>
  <c r="BB527" i="5" s="1"/>
  <c r="BA526" i="5"/>
  <c r="BB526" i="5" s="1"/>
  <c r="BA525" i="5"/>
  <c r="BB525" i="5" s="1"/>
  <c r="BA524" i="5"/>
  <c r="BB524" i="5" s="1"/>
  <c r="BA523" i="5"/>
  <c r="BB523" i="5" s="1"/>
  <c r="BA522" i="5"/>
  <c r="BB522" i="5" s="1"/>
  <c r="BA521" i="5"/>
  <c r="BB521" i="5" s="1"/>
  <c r="BA520" i="5"/>
  <c r="BB520" i="5" s="1"/>
  <c r="BA519" i="5"/>
  <c r="BB519" i="5" s="1"/>
  <c r="BA518" i="5"/>
  <c r="BB518" i="5" s="1"/>
  <c r="BA517" i="5"/>
  <c r="BB517" i="5" s="1"/>
  <c r="BA516" i="5"/>
  <c r="BB516" i="5" s="1"/>
  <c r="BA515" i="5"/>
  <c r="BB515" i="5" s="1"/>
  <c r="BA514" i="5"/>
  <c r="BB514" i="5" s="1"/>
  <c r="BA513" i="5"/>
  <c r="BB513" i="5" s="1"/>
  <c r="BA512" i="5"/>
  <c r="BB512" i="5" s="1"/>
  <c r="BA511" i="5"/>
  <c r="BB511" i="5" s="1"/>
  <c r="BA510" i="5"/>
  <c r="BB510" i="5" s="1"/>
  <c r="BA509" i="5"/>
  <c r="BB509" i="5" s="1"/>
  <c r="BA508" i="5"/>
  <c r="BB508" i="5" s="1"/>
  <c r="BA507" i="5"/>
  <c r="BB507" i="5" s="1"/>
  <c r="BA506" i="5"/>
  <c r="BB506" i="5" s="1"/>
  <c r="BA505" i="5"/>
  <c r="BB505" i="5" s="1"/>
  <c r="BA504" i="5"/>
  <c r="BB504" i="5" s="1"/>
  <c r="BA503" i="5"/>
  <c r="BB503" i="5" s="1"/>
  <c r="BA502" i="5"/>
  <c r="BB502" i="5" s="1"/>
  <c r="BA501" i="5"/>
  <c r="BB501" i="5" s="1"/>
  <c r="BA500" i="5"/>
  <c r="BB500" i="5" s="1"/>
  <c r="BA499" i="5"/>
  <c r="BB499" i="5" s="1"/>
  <c r="BA498" i="5"/>
  <c r="BB498" i="5" s="1"/>
  <c r="BA497" i="5"/>
  <c r="BB497" i="5" s="1"/>
  <c r="BA496" i="5"/>
  <c r="BB496" i="5" s="1"/>
  <c r="BA495" i="5"/>
  <c r="BB495" i="5" s="1"/>
  <c r="BA494" i="5"/>
  <c r="BB494" i="5" s="1"/>
  <c r="BA493" i="5"/>
  <c r="BB493" i="5" s="1"/>
  <c r="BA492" i="5"/>
  <c r="BB492" i="5" s="1"/>
  <c r="BA491" i="5"/>
  <c r="BB491" i="5" s="1"/>
  <c r="BA490" i="5"/>
  <c r="BB490" i="5" s="1"/>
  <c r="BA489" i="5"/>
  <c r="BB489" i="5" s="1"/>
  <c r="BA488" i="5"/>
  <c r="BB488" i="5" s="1"/>
  <c r="BA487" i="5"/>
  <c r="BB487" i="5" s="1"/>
  <c r="BA486" i="5"/>
  <c r="BB486" i="5" s="1"/>
  <c r="BA485" i="5"/>
  <c r="BB485" i="5" s="1"/>
  <c r="BA484" i="5"/>
  <c r="BB484" i="5" s="1"/>
  <c r="BA483" i="5"/>
  <c r="BB483" i="5" s="1"/>
  <c r="BA482" i="5"/>
  <c r="BB482" i="5" s="1"/>
  <c r="BA481" i="5"/>
  <c r="BB481" i="5" s="1"/>
  <c r="BA480" i="5"/>
  <c r="BB480" i="5" s="1"/>
  <c r="BA479" i="5"/>
  <c r="BB479" i="5" s="1"/>
  <c r="BA478" i="5"/>
  <c r="BB478" i="5" s="1"/>
  <c r="BA477" i="5"/>
  <c r="BB477" i="5" s="1"/>
  <c r="BA476" i="5"/>
  <c r="BB476" i="5" s="1"/>
  <c r="BA475" i="5"/>
  <c r="BB475" i="5" s="1"/>
  <c r="BA474" i="5"/>
  <c r="BB474" i="5" s="1"/>
  <c r="BA473" i="5"/>
  <c r="BB473" i="5" s="1"/>
  <c r="BA472" i="5"/>
  <c r="BB472" i="5" s="1"/>
  <c r="BA471" i="5"/>
  <c r="BB471" i="5" s="1"/>
  <c r="BA470" i="5"/>
  <c r="BB470" i="5" s="1"/>
  <c r="BA469" i="5"/>
  <c r="BB469" i="5" s="1"/>
  <c r="BA468" i="5"/>
  <c r="BB468" i="5" s="1"/>
  <c r="BA467" i="5"/>
  <c r="BB467" i="5" s="1"/>
  <c r="BA466" i="5"/>
  <c r="BB466" i="5" s="1"/>
  <c r="BA465" i="5"/>
  <c r="BB465" i="5" s="1"/>
  <c r="BA464" i="5"/>
  <c r="BB464" i="5" s="1"/>
  <c r="BA463" i="5"/>
  <c r="BB463" i="5" s="1"/>
  <c r="BA462" i="5"/>
  <c r="BB462" i="5" s="1"/>
  <c r="BA461" i="5"/>
  <c r="BB461" i="5" s="1"/>
  <c r="BA460" i="5"/>
  <c r="BB460" i="5" s="1"/>
  <c r="BA459" i="5"/>
  <c r="BB459" i="5" s="1"/>
  <c r="BA458" i="5"/>
  <c r="BB458" i="5" s="1"/>
  <c r="BA457" i="5"/>
  <c r="BB457" i="5" s="1"/>
  <c r="BA456" i="5"/>
  <c r="BB456" i="5" s="1"/>
  <c r="BA455" i="5"/>
  <c r="BB455" i="5" s="1"/>
  <c r="BA454" i="5"/>
  <c r="BB454" i="5" s="1"/>
  <c r="BA453" i="5"/>
  <c r="BB453" i="5" s="1"/>
  <c r="BA452" i="5"/>
  <c r="BB452" i="5" s="1"/>
  <c r="BA451" i="5"/>
  <c r="BB451" i="5" s="1"/>
  <c r="BA450" i="5"/>
  <c r="BB450" i="5" s="1"/>
  <c r="BA449" i="5"/>
  <c r="BB449" i="5" s="1"/>
  <c r="BA448" i="5"/>
  <c r="BB448" i="5" s="1"/>
  <c r="BA447" i="5"/>
  <c r="BB447" i="5" s="1"/>
  <c r="BA446" i="5"/>
  <c r="BB446" i="5" s="1"/>
  <c r="BA445" i="5"/>
  <c r="BB445" i="5" s="1"/>
  <c r="BA444" i="5"/>
  <c r="BB444" i="5" s="1"/>
  <c r="BA443" i="5"/>
  <c r="BB443" i="5" s="1"/>
  <c r="BA442" i="5"/>
  <c r="BB442" i="5" s="1"/>
  <c r="BA441" i="5"/>
  <c r="BB441" i="5" s="1"/>
  <c r="BA440" i="5"/>
  <c r="BB440" i="5" s="1"/>
  <c r="BA439" i="5"/>
  <c r="BB439" i="5" s="1"/>
  <c r="BA438" i="5"/>
  <c r="BB438" i="5" s="1"/>
  <c r="BA437" i="5"/>
  <c r="BB437" i="5" s="1"/>
  <c r="BA436" i="5"/>
  <c r="BB436" i="5" s="1"/>
  <c r="BA435" i="5"/>
  <c r="BB435" i="5" s="1"/>
  <c r="BA434" i="5"/>
  <c r="BB434" i="5" s="1"/>
  <c r="BA433" i="5"/>
  <c r="BB433" i="5" s="1"/>
  <c r="BA432" i="5"/>
  <c r="BB432" i="5" s="1"/>
  <c r="BA431" i="5"/>
  <c r="BB431" i="5" s="1"/>
  <c r="BA430" i="5"/>
  <c r="BB430" i="5" s="1"/>
  <c r="BA429" i="5"/>
  <c r="BB429" i="5" s="1"/>
  <c r="BA428" i="5"/>
  <c r="BB428" i="5" s="1"/>
  <c r="BA427" i="5"/>
  <c r="BB427" i="5" s="1"/>
  <c r="BA426" i="5"/>
  <c r="BB426" i="5" s="1"/>
  <c r="BA425" i="5"/>
  <c r="BB425" i="5" s="1"/>
  <c r="BA424" i="5"/>
  <c r="BB424" i="5" s="1"/>
  <c r="BA423" i="5"/>
  <c r="BB423" i="5" s="1"/>
  <c r="BA422" i="5"/>
  <c r="BB422" i="5" s="1"/>
  <c r="BA421" i="5"/>
  <c r="BB421" i="5" s="1"/>
  <c r="BA420" i="5"/>
  <c r="BB420" i="5" s="1"/>
  <c r="BA419" i="5"/>
  <c r="BB419" i="5" s="1"/>
  <c r="BA418" i="5"/>
  <c r="BB418" i="5" s="1"/>
  <c r="BA417" i="5"/>
  <c r="BB417" i="5" s="1"/>
  <c r="BA416" i="5"/>
  <c r="BB416" i="5" s="1"/>
  <c r="BA415" i="5"/>
  <c r="BB415" i="5" s="1"/>
  <c r="BA414" i="5"/>
  <c r="BB414" i="5" s="1"/>
  <c r="BA413" i="5"/>
  <c r="BB413" i="5" s="1"/>
  <c r="BA412" i="5"/>
  <c r="BB412" i="5" s="1"/>
  <c r="BA411" i="5"/>
  <c r="BB411" i="5" s="1"/>
  <c r="BA410" i="5"/>
  <c r="BB410" i="5" s="1"/>
  <c r="BA409" i="5"/>
  <c r="BB409" i="5" s="1"/>
  <c r="BA408" i="5"/>
  <c r="BB408" i="5" s="1"/>
  <c r="BA407" i="5"/>
  <c r="BB407" i="5" s="1"/>
  <c r="BA406" i="5"/>
  <c r="BB406" i="5" s="1"/>
  <c r="BA405" i="5"/>
  <c r="BB405" i="5" s="1"/>
  <c r="BA404" i="5"/>
  <c r="BB404" i="5" s="1"/>
  <c r="BA403" i="5"/>
  <c r="BB403" i="5" s="1"/>
  <c r="BA402" i="5"/>
  <c r="BB402" i="5" s="1"/>
  <c r="BA401" i="5"/>
  <c r="BB401" i="5" s="1"/>
  <c r="BA400" i="5"/>
  <c r="BB400" i="5" s="1"/>
  <c r="BA399" i="5"/>
  <c r="BB399" i="5" s="1"/>
  <c r="BA398" i="5"/>
  <c r="BB398" i="5" s="1"/>
  <c r="BA397" i="5"/>
  <c r="BB397" i="5" s="1"/>
  <c r="BA396" i="5"/>
  <c r="BB396" i="5" s="1"/>
  <c r="BA395" i="5"/>
  <c r="BB395" i="5" s="1"/>
  <c r="BA394" i="5"/>
  <c r="BB394" i="5" s="1"/>
  <c r="BA393" i="5"/>
  <c r="BB393" i="5" s="1"/>
  <c r="BA392" i="5"/>
  <c r="BB392" i="5" s="1"/>
  <c r="BA391" i="5"/>
  <c r="BB391" i="5" s="1"/>
  <c r="BA390" i="5"/>
  <c r="BB390" i="5" s="1"/>
  <c r="BA389" i="5"/>
  <c r="BB389" i="5" s="1"/>
  <c r="BA388" i="5"/>
  <c r="BB388" i="5" s="1"/>
  <c r="BA387" i="5"/>
  <c r="BB387" i="5" s="1"/>
  <c r="BA386" i="5"/>
  <c r="BB386" i="5" s="1"/>
  <c r="BA385" i="5"/>
  <c r="BB385" i="5" s="1"/>
  <c r="BA384" i="5"/>
  <c r="BB384" i="5" s="1"/>
  <c r="BA383" i="5"/>
  <c r="BB383" i="5" s="1"/>
  <c r="BA382" i="5"/>
  <c r="BB382" i="5" s="1"/>
  <c r="BA381" i="5"/>
  <c r="BB381" i="5" s="1"/>
  <c r="BA380" i="5"/>
  <c r="BB380" i="5" s="1"/>
  <c r="BA379" i="5"/>
  <c r="BB379" i="5" s="1"/>
  <c r="BA378" i="5"/>
  <c r="BB378" i="5" s="1"/>
  <c r="BA377" i="5"/>
  <c r="BB377" i="5" s="1"/>
  <c r="BA376" i="5"/>
  <c r="BB376" i="5" s="1"/>
  <c r="BA375" i="5"/>
  <c r="BB375" i="5" s="1"/>
  <c r="BA374" i="5"/>
  <c r="BB374" i="5" s="1"/>
  <c r="BA373" i="5"/>
  <c r="BB373" i="5" s="1"/>
  <c r="BA372" i="5"/>
  <c r="BB372" i="5" s="1"/>
  <c r="BA371" i="5"/>
  <c r="BB371" i="5" s="1"/>
  <c r="BA370" i="5"/>
  <c r="BB370" i="5" s="1"/>
  <c r="BA369" i="5"/>
  <c r="BB369" i="5" s="1"/>
  <c r="BA368" i="5"/>
  <c r="BB368" i="5" s="1"/>
  <c r="BA367" i="5"/>
  <c r="BB367" i="5" s="1"/>
  <c r="BA366" i="5"/>
  <c r="BB366" i="5" s="1"/>
  <c r="BA365" i="5"/>
  <c r="BB365" i="5" s="1"/>
  <c r="BA364" i="5"/>
  <c r="BB364" i="5" s="1"/>
  <c r="BA363" i="5"/>
  <c r="BB363" i="5" s="1"/>
  <c r="BA362" i="5"/>
  <c r="BB362" i="5" s="1"/>
  <c r="BA361" i="5"/>
  <c r="BB361" i="5" s="1"/>
  <c r="BA360" i="5"/>
  <c r="BB360" i="5" s="1"/>
  <c r="BA359" i="5"/>
  <c r="BB359" i="5" s="1"/>
  <c r="BA358" i="5"/>
  <c r="BB358" i="5" s="1"/>
  <c r="BA357" i="5"/>
  <c r="BB357" i="5" s="1"/>
  <c r="BA356" i="5"/>
  <c r="BB356" i="5" s="1"/>
  <c r="BA355" i="5"/>
  <c r="BB355" i="5" s="1"/>
  <c r="BA354" i="5"/>
  <c r="BB354" i="5" s="1"/>
  <c r="BA353" i="5"/>
  <c r="BB353" i="5" s="1"/>
  <c r="BA352" i="5"/>
  <c r="BB352" i="5" s="1"/>
  <c r="BA351" i="5"/>
  <c r="BB351" i="5" s="1"/>
  <c r="BA350" i="5"/>
  <c r="BB350" i="5" s="1"/>
  <c r="BA349" i="5"/>
  <c r="BB349" i="5" s="1"/>
  <c r="BA348" i="5"/>
  <c r="BB348" i="5" s="1"/>
  <c r="BA347" i="5"/>
  <c r="BB347" i="5" s="1"/>
  <c r="BA346" i="5"/>
  <c r="BB346" i="5" s="1"/>
  <c r="BA345" i="5"/>
  <c r="BB345" i="5" s="1"/>
  <c r="BA344" i="5"/>
  <c r="BB344" i="5" s="1"/>
  <c r="BA343" i="5"/>
  <c r="BB343" i="5" s="1"/>
  <c r="BA342" i="5"/>
  <c r="BB342" i="5" s="1"/>
  <c r="BA341" i="5"/>
  <c r="BB341" i="5" s="1"/>
  <c r="BA340" i="5"/>
  <c r="BB340" i="5" s="1"/>
  <c r="BA339" i="5"/>
  <c r="BB339" i="5" s="1"/>
  <c r="BA338" i="5"/>
  <c r="BB338" i="5" s="1"/>
  <c r="BA337" i="5"/>
  <c r="BB337" i="5" s="1"/>
  <c r="BA336" i="5"/>
  <c r="BB336" i="5" s="1"/>
  <c r="BA335" i="5"/>
  <c r="BB335" i="5" s="1"/>
  <c r="BA334" i="5"/>
  <c r="BB334" i="5" s="1"/>
  <c r="BA333" i="5"/>
  <c r="BB333" i="5" s="1"/>
  <c r="BA332" i="5"/>
  <c r="BB332" i="5" s="1"/>
  <c r="BA331" i="5"/>
  <c r="BB331" i="5" s="1"/>
  <c r="BA330" i="5"/>
  <c r="BB330" i="5" s="1"/>
  <c r="BA329" i="5"/>
  <c r="BB329" i="5" s="1"/>
  <c r="BA328" i="5"/>
  <c r="BB328" i="5" s="1"/>
  <c r="BA327" i="5"/>
  <c r="BB327" i="5" s="1"/>
  <c r="BA326" i="5"/>
  <c r="BB326" i="5" s="1"/>
  <c r="BA325" i="5"/>
  <c r="BB325" i="5" s="1"/>
  <c r="BA324" i="5"/>
  <c r="BB324" i="5" s="1"/>
  <c r="BA323" i="5"/>
  <c r="BB323" i="5" s="1"/>
  <c r="BA322" i="5"/>
  <c r="BB322" i="5" s="1"/>
  <c r="BA321" i="5"/>
  <c r="BB321" i="5" s="1"/>
  <c r="BA320" i="5"/>
  <c r="BB320" i="5" s="1"/>
  <c r="BA319" i="5"/>
  <c r="BB319" i="5" s="1"/>
  <c r="BA318" i="5"/>
  <c r="BB318" i="5" s="1"/>
  <c r="BA317" i="5"/>
  <c r="BB317" i="5" s="1"/>
  <c r="BA316" i="5"/>
  <c r="BB316" i="5" s="1"/>
  <c r="BA315" i="5"/>
  <c r="BB315" i="5" s="1"/>
  <c r="BA314" i="5"/>
  <c r="BB314" i="5" s="1"/>
  <c r="BA313" i="5"/>
  <c r="BB313" i="5" s="1"/>
  <c r="BA312" i="5"/>
  <c r="BB312" i="5" s="1"/>
  <c r="BA311" i="5"/>
  <c r="BB311" i="5" s="1"/>
  <c r="BA310" i="5"/>
  <c r="BB310" i="5" s="1"/>
  <c r="BA309" i="5"/>
  <c r="BB309" i="5" s="1"/>
  <c r="BA308" i="5"/>
  <c r="BB308" i="5" s="1"/>
  <c r="BA307" i="5"/>
  <c r="BB307" i="5" s="1"/>
  <c r="BA306" i="5"/>
  <c r="BB306" i="5" s="1"/>
  <c r="BA305" i="5"/>
  <c r="BB305" i="5" s="1"/>
  <c r="BA304" i="5"/>
  <c r="BB304" i="5" s="1"/>
  <c r="BA303" i="5"/>
  <c r="BB303" i="5" s="1"/>
  <c r="BA302" i="5"/>
  <c r="BB302" i="5" s="1"/>
  <c r="BA301" i="5"/>
  <c r="BB301" i="5" s="1"/>
  <c r="BA300" i="5"/>
  <c r="BB300" i="5" s="1"/>
  <c r="BA299" i="5"/>
  <c r="BB299" i="5" s="1"/>
  <c r="BA298" i="5"/>
  <c r="BB298" i="5" s="1"/>
  <c r="BA297" i="5"/>
  <c r="BB297" i="5" s="1"/>
  <c r="BA296" i="5"/>
  <c r="BB296" i="5" s="1"/>
  <c r="BA295" i="5"/>
  <c r="BB295" i="5" s="1"/>
  <c r="BA294" i="5"/>
  <c r="BB294" i="5" s="1"/>
  <c r="BA293" i="5"/>
  <c r="BB293" i="5" s="1"/>
  <c r="BA292" i="5"/>
  <c r="BB292" i="5" s="1"/>
  <c r="BA291" i="5"/>
  <c r="BB291" i="5" s="1"/>
  <c r="BA290" i="5"/>
  <c r="BB290" i="5" s="1"/>
  <c r="BA289" i="5"/>
  <c r="BB289" i="5" s="1"/>
  <c r="BA288" i="5"/>
  <c r="BB288" i="5" s="1"/>
  <c r="BA287" i="5"/>
  <c r="BB287" i="5" s="1"/>
  <c r="BA286" i="5"/>
  <c r="BB286" i="5" s="1"/>
  <c r="BA285" i="5"/>
  <c r="BB285" i="5" s="1"/>
  <c r="BA284" i="5"/>
  <c r="BB284" i="5" s="1"/>
  <c r="BA283" i="5"/>
  <c r="BB283" i="5" s="1"/>
  <c r="BA282" i="5"/>
  <c r="BB282" i="5" s="1"/>
  <c r="BA281" i="5"/>
  <c r="BB281" i="5" s="1"/>
  <c r="BA280" i="5"/>
  <c r="BB280" i="5" s="1"/>
  <c r="BA279" i="5"/>
  <c r="BB279" i="5" s="1"/>
  <c r="BA278" i="5"/>
  <c r="BB278" i="5" s="1"/>
  <c r="BA277" i="5"/>
  <c r="BB277" i="5" s="1"/>
  <c r="BA276" i="5"/>
  <c r="BB276" i="5" s="1"/>
  <c r="BA275" i="5"/>
  <c r="BB275" i="5" s="1"/>
  <c r="BA274" i="5"/>
  <c r="BB274" i="5" s="1"/>
  <c r="BA273" i="5"/>
  <c r="BB273" i="5" s="1"/>
  <c r="BA272" i="5"/>
  <c r="BB272" i="5" s="1"/>
  <c r="BA271" i="5"/>
  <c r="BB271" i="5" s="1"/>
  <c r="BA270" i="5"/>
  <c r="BB270" i="5" s="1"/>
  <c r="BA269" i="5"/>
  <c r="BB269" i="5" s="1"/>
  <c r="BA268" i="5"/>
  <c r="BB268" i="5" s="1"/>
  <c r="BA267" i="5"/>
  <c r="BB267" i="5" s="1"/>
  <c r="BA266" i="5"/>
  <c r="BB266" i="5" s="1"/>
  <c r="BA265" i="5"/>
  <c r="BB265" i="5" s="1"/>
  <c r="BA264" i="5"/>
  <c r="BB264" i="5" s="1"/>
  <c r="BA263" i="5"/>
  <c r="BB263" i="5" s="1"/>
  <c r="BA262" i="5"/>
  <c r="BB262" i="5" s="1"/>
  <c r="BA261" i="5"/>
  <c r="BB261" i="5" s="1"/>
  <c r="BA260" i="5"/>
  <c r="BB260" i="5" s="1"/>
  <c r="BA259" i="5"/>
  <c r="BB259" i="5" s="1"/>
  <c r="BA258" i="5"/>
  <c r="BB258" i="5" s="1"/>
  <c r="BA257" i="5"/>
  <c r="BB257" i="5" s="1"/>
  <c r="BA256" i="5"/>
  <c r="BB256" i="5" s="1"/>
  <c r="BA255" i="5"/>
  <c r="BB255" i="5" s="1"/>
  <c r="BA254" i="5"/>
  <c r="BB254" i="5" s="1"/>
  <c r="BA253" i="5"/>
  <c r="BB253" i="5" s="1"/>
  <c r="BA252" i="5"/>
  <c r="BB252" i="5" s="1"/>
  <c r="BA251" i="5"/>
  <c r="BB251" i="5" s="1"/>
  <c r="BA250" i="5"/>
  <c r="BB250" i="5" s="1"/>
  <c r="BA249" i="5"/>
  <c r="BB249" i="5" s="1"/>
  <c r="BA248" i="5"/>
  <c r="BB248" i="5" s="1"/>
  <c r="BA247" i="5"/>
  <c r="BB247" i="5" s="1"/>
  <c r="BA246" i="5"/>
  <c r="BB246" i="5" s="1"/>
  <c r="BA245" i="5"/>
  <c r="BB245" i="5" s="1"/>
  <c r="BA244" i="5"/>
  <c r="BB244" i="5" s="1"/>
  <c r="BA243" i="5"/>
  <c r="BB243" i="5" s="1"/>
  <c r="BA242" i="5"/>
  <c r="BB242" i="5" s="1"/>
  <c r="BA241" i="5"/>
  <c r="BB241" i="5" s="1"/>
  <c r="BA240" i="5"/>
  <c r="BB240" i="5" s="1"/>
  <c r="BA239" i="5"/>
  <c r="BB239" i="5" s="1"/>
  <c r="BA238" i="5"/>
  <c r="BB238" i="5" s="1"/>
  <c r="BA237" i="5"/>
  <c r="BB237" i="5" s="1"/>
  <c r="BA236" i="5"/>
  <c r="BB236" i="5" s="1"/>
  <c r="BA235" i="5"/>
  <c r="BB235" i="5" s="1"/>
  <c r="BA234" i="5"/>
  <c r="BB234" i="5" s="1"/>
  <c r="BA233" i="5"/>
  <c r="BB233" i="5" s="1"/>
  <c r="BA232" i="5"/>
  <c r="BB232" i="5" s="1"/>
  <c r="BA231" i="5"/>
  <c r="BB231" i="5" s="1"/>
  <c r="BA230" i="5"/>
  <c r="BB230" i="5" s="1"/>
  <c r="BA229" i="5"/>
  <c r="BB229" i="5" s="1"/>
  <c r="BA228" i="5"/>
  <c r="BB228" i="5" s="1"/>
  <c r="BA227" i="5"/>
  <c r="BB227" i="5" s="1"/>
  <c r="BA226" i="5"/>
  <c r="BB226" i="5" s="1"/>
  <c r="BA225" i="5"/>
  <c r="BB225" i="5" s="1"/>
  <c r="BA224" i="5"/>
  <c r="BB224" i="5" s="1"/>
  <c r="BA223" i="5"/>
  <c r="BB223" i="5" s="1"/>
  <c r="BA222" i="5"/>
  <c r="BB222" i="5" s="1"/>
  <c r="BA221" i="5"/>
  <c r="BB221" i="5" s="1"/>
  <c r="BA220" i="5"/>
  <c r="BB220" i="5" s="1"/>
  <c r="BA219" i="5"/>
  <c r="BB219" i="5" s="1"/>
  <c r="BA218" i="5"/>
  <c r="BB218" i="5" s="1"/>
  <c r="BA217" i="5"/>
  <c r="BB217" i="5" s="1"/>
  <c r="BA216" i="5"/>
  <c r="BB216" i="5" s="1"/>
  <c r="BA215" i="5"/>
  <c r="BB215" i="5" s="1"/>
  <c r="BA214" i="5"/>
  <c r="BB214" i="5" s="1"/>
  <c r="BA213" i="5"/>
  <c r="BB213" i="5" s="1"/>
  <c r="BA212" i="5"/>
  <c r="BB212" i="5" s="1"/>
  <c r="BA211" i="5"/>
  <c r="BB211" i="5" s="1"/>
  <c r="BA210" i="5"/>
  <c r="BB210" i="5" s="1"/>
  <c r="BA209" i="5"/>
  <c r="BB209" i="5" s="1"/>
  <c r="BA208" i="5"/>
  <c r="BB208" i="5" s="1"/>
  <c r="BA207" i="5"/>
  <c r="BB207" i="5" s="1"/>
  <c r="BA206" i="5"/>
  <c r="BB206" i="5" s="1"/>
  <c r="BA205" i="5"/>
  <c r="BB205" i="5" s="1"/>
  <c r="BA204" i="5"/>
  <c r="BB204" i="5" s="1"/>
  <c r="BA203" i="5"/>
  <c r="BB203" i="5" s="1"/>
  <c r="BA202" i="5"/>
  <c r="BB202" i="5" s="1"/>
  <c r="BA201" i="5"/>
  <c r="BB201" i="5" s="1"/>
  <c r="BA200" i="5"/>
  <c r="BB200" i="5" s="1"/>
  <c r="BA199" i="5"/>
  <c r="BB199" i="5" s="1"/>
  <c r="BA198" i="5"/>
  <c r="BB198" i="5" s="1"/>
  <c r="BA197" i="5"/>
  <c r="BB197" i="5" s="1"/>
  <c r="BA196" i="5"/>
  <c r="BB196" i="5" s="1"/>
  <c r="BA195" i="5"/>
  <c r="BB195" i="5" s="1"/>
  <c r="BA194" i="5"/>
  <c r="BB194" i="5" s="1"/>
  <c r="BA193" i="5"/>
  <c r="BB193" i="5" s="1"/>
  <c r="BA192" i="5"/>
  <c r="BB192" i="5" s="1"/>
  <c r="BA191" i="5"/>
  <c r="BB191" i="5" s="1"/>
  <c r="BA190" i="5"/>
  <c r="BB190" i="5" s="1"/>
  <c r="BA189" i="5"/>
  <c r="BB189" i="5" s="1"/>
  <c r="BA188" i="5"/>
  <c r="BB188" i="5" s="1"/>
  <c r="BA187" i="5"/>
  <c r="BB187" i="5" s="1"/>
  <c r="BA186" i="5"/>
  <c r="BB186" i="5" s="1"/>
  <c r="BA185" i="5"/>
  <c r="BB185" i="5" s="1"/>
  <c r="BA184" i="5"/>
  <c r="BB184" i="5" s="1"/>
  <c r="BA183" i="5"/>
  <c r="BB183" i="5" s="1"/>
  <c r="BA182" i="5"/>
  <c r="BB182" i="5" s="1"/>
  <c r="BA181" i="5"/>
  <c r="BB181" i="5" s="1"/>
  <c r="BA180" i="5"/>
  <c r="BB180" i="5" s="1"/>
  <c r="BA179" i="5"/>
  <c r="BB179" i="5" s="1"/>
  <c r="BA178" i="5"/>
  <c r="BB178" i="5" s="1"/>
  <c r="BA177" i="5"/>
  <c r="BB177" i="5" s="1"/>
  <c r="BA176" i="5"/>
  <c r="BB176" i="5" s="1"/>
  <c r="BA175" i="5"/>
  <c r="BB175" i="5" s="1"/>
  <c r="BA174" i="5"/>
  <c r="BB174" i="5" s="1"/>
  <c r="BA173" i="5"/>
  <c r="BB173" i="5" s="1"/>
  <c r="BA172" i="5"/>
  <c r="BB172" i="5" s="1"/>
  <c r="BA171" i="5"/>
  <c r="BB171" i="5" s="1"/>
  <c r="BA170" i="5"/>
  <c r="BB170" i="5" s="1"/>
  <c r="BA169" i="5"/>
  <c r="BB169" i="5" s="1"/>
  <c r="BA168" i="5"/>
  <c r="BB168" i="5" s="1"/>
  <c r="BA167" i="5"/>
  <c r="BB167" i="5" s="1"/>
  <c r="BA166" i="5"/>
  <c r="BB166" i="5" s="1"/>
  <c r="BA165" i="5"/>
  <c r="BB165" i="5" s="1"/>
  <c r="BA164" i="5"/>
  <c r="BB164" i="5" s="1"/>
  <c r="BA163" i="5"/>
  <c r="BB163" i="5" s="1"/>
  <c r="BA162" i="5"/>
  <c r="BB162" i="5" s="1"/>
  <c r="BA161" i="5"/>
  <c r="BB161" i="5" s="1"/>
  <c r="BA160" i="5"/>
  <c r="BB160" i="5" s="1"/>
  <c r="BA159" i="5"/>
  <c r="BB159" i="5" s="1"/>
  <c r="BA158" i="5"/>
  <c r="BB158" i="5" s="1"/>
  <c r="BA157" i="5"/>
  <c r="BB157" i="5" s="1"/>
  <c r="BA156" i="5"/>
  <c r="BB156" i="5" s="1"/>
  <c r="BA155" i="5"/>
  <c r="BB155" i="5" s="1"/>
  <c r="BA154" i="5"/>
  <c r="BB154" i="5" s="1"/>
  <c r="BA153" i="5"/>
  <c r="BB153" i="5" s="1"/>
  <c r="BA152" i="5"/>
  <c r="BB152" i="5" s="1"/>
  <c r="BA151" i="5"/>
  <c r="BB151" i="5" s="1"/>
  <c r="H13" i="5"/>
  <c r="C22" i="4"/>
  <c r="C21" i="4"/>
  <c r="C20" i="4"/>
  <c r="C19" i="4"/>
  <c r="C18" i="4"/>
  <c r="C17" i="4"/>
  <c r="F16" i="4"/>
  <c r="C16" i="4"/>
  <c r="F15" i="4"/>
  <c r="C15" i="4"/>
  <c r="C14" i="4"/>
  <c r="C13" i="4"/>
  <c r="C12" i="4"/>
  <c r="C11" i="4"/>
  <c r="F7" i="4" s="1"/>
  <c r="C10" i="4"/>
  <c r="F6" i="4" s="1"/>
  <c r="F10" i="4" s="1"/>
  <c r="F9" i="4"/>
  <c r="F8" i="4"/>
  <c r="F5" i="4"/>
  <c r="BB150" i="3"/>
  <c r="BA150" i="3"/>
  <c r="AZ150" i="3"/>
  <c r="AW150" i="3"/>
  <c r="AV150" i="3"/>
  <c r="AU150" i="3"/>
  <c r="AT150" i="3"/>
  <c r="AD150" i="3"/>
  <c r="AC150" i="3"/>
  <c r="AB150" i="3"/>
  <c r="L150" i="3"/>
  <c r="K150" i="3"/>
  <c r="AS150" i="3" s="1"/>
  <c r="BB149" i="3"/>
  <c r="BA149" i="3"/>
  <c r="AZ149" i="3"/>
  <c r="AW149" i="3"/>
  <c r="AV149" i="3"/>
  <c r="AU149" i="3"/>
  <c r="AT149" i="3"/>
  <c r="AD149" i="3"/>
  <c r="AC149" i="3"/>
  <c r="AB149" i="3"/>
  <c r="L149" i="3"/>
  <c r="K149" i="3"/>
  <c r="AS149" i="3" s="1"/>
  <c r="BB148" i="3"/>
  <c r="BA148" i="3"/>
  <c r="AZ148" i="3"/>
  <c r="AW148" i="3"/>
  <c r="AV148" i="3"/>
  <c r="AU148" i="3"/>
  <c r="AT148" i="3"/>
  <c r="AD148" i="3"/>
  <c r="AC148" i="3"/>
  <c r="AB148" i="3"/>
  <c r="L148" i="3"/>
  <c r="K148" i="3"/>
  <c r="AS148" i="3" s="1"/>
  <c r="BB147" i="3"/>
  <c r="BA147" i="3"/>
  <c r="AZ147" i="3"/>
  <c r="AW147" i="3"/>
  <c r="AV147" i="3"/>
  <c r="AU147" i="3"/>
  <c r="AT147" i="3"/>
  <c r="AD147" i="3"/>
  <c r="AC147" i="3"/>
  <c r="AB147" i="3"/>
  <c r="L147" i="3"/>
  <c r="K147" i="3"/>
  <c r="AS147" i="3" s="1"/>
  <c r="BB146" i="3"/>
  <c r="BA146" i="3"/>
  <c r="AZ146" i="3"/>
  <c r="AW146" i="3"/>
  <c r="AV146" i="3"/>
  <c r="AU146" i="3"/>
  <c r="AT146" i="3"/>
  <c r="AD146" i="3"/>
  <c r="AC146" i="3"/>
  <c r="AB146" i="3"/>
  <c r="L146" i="3"/>
  <c r="K146" i="3"/>
  <c r="AS146" i="3" s="1"/>
  <c r="BB145" i="3"/>
  <c r="BA145" i="3"/>
  <c r="AZ145" i="3"/>
  <c r="AW145" i="3"/>
  <c r="AV145" i="3"/>
  <c r="AU145" i="3"/>
  <c r="AT145" i="3"/>
  <c r="AD145" i="3"/>
  <c r="AC145" i="3"/>
  <c r="AB145" i="3"/>
  <c r="L145" i="3"/>
  <c r="K145" i="3"/>
  <c r="AS145" i="3" s="1"/>
  <c r="BB144" i="3"/>
  <c r="BA144" i="3"/>
  <c r="AZ144" i="3"/>
  <c r="AW144" i="3"/>
  <c r="AV144" i="3"/>
  <c r="AU144" i="3"/>
  <c r="AT144" i="3"/>
  <c r="AD144" i="3"/>
  <c r="AC144" i="3"/>
  <c r="AB144" i="3"/>
  <c r="L144" i="3"/>
  <c r="K144" i="3"/>
  <c r="AS144" i="3" s="1"/>
  <c r="BB143" i="3"/>
  <c r="BA143" i="3"/>
  <c r="AZ143" i="3"/>
  <c r="AW143" i="3"/>
  <c r="AV143" i="3"/>
  <c r="AU143" i="3"/>
  <c r="AT143" i="3"/>
  <c r="AD143" i="3"/>
  <c r="AC143" i="3"/>
  <c r="AB143" i="3"/>
  <c r="L143" i="3"/>
  <c r="K143" i="3"/>
  <c r="AS143" i="3" s="1"/>
  <c r="BB142" i="3"/>
  <c r="BA142" i="3"/>
  <c r="AZ142" i="3"/>
  <c r="AW142" i="3"/>
  <c r="AV142" i="3"/>
  <c r="AU142" i="3"/>
  <c r="AT142" i="3"/>
  <c r="AD142" i="3"/>
  <c r="AC142" i="3"/>
  <c r="AB142" i="3"/>
  <c r="L142" i="3"/>
  <c r="K142" i="3"/>
  <c r="AS142" i="3" s="1"/>
  <c r="BB141" i="3"/>
  <c r="BA141" i="3"/>
  <c r="AZ141" i="3"/>
  <c r="AW141" i="3"/>
  <c r="AV141" i="3"/>
  <c r="AU141" i="3"/>
  <c r="AT141" i="3"/>
  <c r="AD141" i="3"/>
  <c r="AC141" i="3"/>
  <c r="AB141" i="3"/>
  <c r="L141" i="3"/>
  <c r="K141" i="3"/>
  <c r="AS141" i="3" s="1"/>
  <c r="BB140" i="3"/>
  <c r="BA140" i="3"/>
  <c r="AZ140" i="3"/>
  <c r="AW140" i="3"/>
  <c r="AV140" i="3"/>
  <c r="AU140" i="3"/>
  <c r="AT140" i="3"/>
  <c r="AD140" i="3"/>
  <c r="AC140" i="3"/>
  <c r="AB140" i="3"/>
  <c r="L140" i="3"/>
  <c r="K140" i="3"/>
  <c r="AS140" i="3" s="1"/>
  <c r="BB139" i="3"/>
  <c r="BA139" i="3"/>
  <c r="AZ139" i="3"/>
  <c r="AW139" i="3"/>
  <c r="AV139" i="3"/>
  <c r="AU139" i="3"/>
  <c r="AT139" i="3"/>
  <c r="AD139" i="3"/>
  <c r="AC139" i="3"/>
  <c r="AB139" i="3"/>
  <c r="L139" i="3"/>
  <c r="K139" i="3"/>
  <c r="AS139" i="3" s="1"/>
  <c r="BB138" i="3"/>
  <c r="BA138" i="3"/>
  <c r="AZ138" i="3"/>
  <c r="AW138" i="3"/>
  <c r="AV138" i="3"/>
  <c r="AU138" i="3"/>
  <c r="AT138" i="3"/>
  <c r="AD138" i="3"/>
  <c r="AC138" i="3"/>
  <c r="AB138" i="3"/>
  <c r="L138" i="3"/>
  <c r="K138" i="3"/>
  <c r="AS138" i="3" s="1"/>
  <c r="BB137" i="3"/>
  <c r="BA137" i="3"/>
  <c r="AZ137" i="3"/>
  <c r="AW137" i="3"/>
  <c r="AV137" i="3"/>
  <c r="AU137" i="3"/>
  <c r="AT137" i="3"/>
  <c r="AD137" i="3"/>
  <c r="AC137" i="3"/>
  <c r="AB137" i="3"/>
  <c r="L137" i="3"/>
  <c r="K137" i="3"/>
  <c r="AS137" i="3" s="1"/>
  <c r="BB136" i="3"/>
  <c r="BA136" i="3"/>
  <c r="AZ136" i="3"/>
  <c r="AW136" i="3"/>
  <c r="AV136" i="3"/>
  <c r="AU136" i="3"/>
  <c r="AT136" i="3"/>
  <c r="AD136" i="3"/>
  <c r="AC136" i="3"/>
  <c r="AB136" i="3"/>
  <c r="L136" i="3"/>
  <c r="K136" i="3"/>
  <c r="AS136" i="3" s="1"/>
  <c r="BB135" i="3"/>
  <c r="BA135" i="3"/>
  <c r="AZ135" i="3"/>
  <c r="AW135" i="3"/>
  <c r="AV135" i="3"/>
  <c r="AU135" i="3"/>
  <c r="AT135" i="3"/>
  <c r="AD135" i="3"/>
  <c r="AC135" i="3"/>
  <c r="AB135" i="3"/>
  <c r="L135" i="3"/>
  <c r="K135" i="3"/>
  <c r="AS135" i="3" s="1"/>
  <c r="BB134" i="3"/>
  <c r="BA134" i="3"/>
  <c r="AZ134" i="3"/>
  <c r="AW134" i="3"/>
  <c r="AV134" i="3"/>
  <c r="AU134" i="3"/>
  <c r="AT134" i="3"/>
  <c r="AD134" i="3"/>
  <c r="AC134" i="3"/>
  <c r="AB134" i="3"/>
  <c r="L134" i="3"/>
  <c r="K134" i="3"/>
  <c r="AS134" i="3" s="1"/>
  <c r="BB133" i="3"/>
  <c r="BA133" i="3"/>
  <c r="AZ133" i="3"/>
  <c r="AW133" i="3"/>
  <c r="AV133" i="3"/>
  <c r="AU133" i="3"/>
  <c r="AT133" i="3"/>
  <c r="AD133" i="3"/>
  <c r="AC133" i="3"/>
  <c r="AB133" i="3"/>
  <c r="L133" i="3"/>
  <c r="K133" i="3"/>
  <c r="AS133" i="3" s="1"/>
  <c r="BB132" i="3"/>
  <c r="BA132" i="3"/>
  <c r="AZ132" i="3"/>
  <c r="AW132" i="3"/>
  <c r="AV132" i="3"/>
  <c r="AU132" i="3"/>
  <c r="AT132" i="3"/>
  <c r="AD132" i="3"/>
  <c r="AC132" i="3"/>
  <c r="AB132" i="3"/>
  <c r="L132" i="3"/>
  <c r="K132" i="3"/>
  <c r="AS132" i="3" s="1"/>
  <c r="BB131" i="3"/>
  <c r="BA131" i="3"/>
  <c r="AZ131" i="3"/>
  <c r="AW131" i="3"/>
  <c r="AV131" i="3"/>
  <c r="AU131" i="3"/>
  <c r="AT131" i="3"/>
  <c r="AD131" i="3"/>
  <c r="AC131" i="3"/>
  <c r="AB131" i="3"/>
  <c r="L131" i="3"/>
  <c r="K131" i="3"/>
  <c r="AS131" i="3" s="1"/>
  <c r="BB130" i="3"/>
  <c r="BA130" i="3"/>
  <c r="AZ130" i="3"/>
  <c r="AW130" i="3"/>
  <c r="AV130" i="3"/>
  <c r="AU130" i="3"/>
  <c r="AT130" i="3"/>
  <c r="AD130" i="3"/>
  <c r="AC130" i="3"/>
  <c r="AB130" i="3"/>
  <c r="L130" i="3"/>
  <c r="K130" i="3"/>
  <c r="AS130" i="3" s="1"/>
  <c r="BB129" i="3"/>
  <c r="BA129" i="3"/>
  <c r="AZ129" i="3"/>
  <c r="AW129" i="3"/>
  <c r="AV129" i="3"/>
  <c r="AU129" i="3"/>
  <c r="AT129" i="3"/>
  <c r="AD129" i="3"/>
  <c r="AC129" i="3"/>
  <c r="AB129" i="3"/>
  <c r="L129" i="3"/>
  <c r="K129" i="3"/>
  <c r="AS129" i="3" s="1"/>
  <c r="BB128" i="3"/>
  <c r="BA128" i="3"/>
  <c r="AZ128" i="3"/>
  <c r="AW128" i="3"/>
  <c r="AV128" i="3"/>
  <c r="AU128" i="3"/>
  <c r="AT128" i="3"/>
  <c r="AD128" i="3"/>
  <c r="AC128" i="3"/>
  <c r="AB128" i="3"/>
  <c r="L128" i="3"/>
  <c r="K128" i="3"/>
  <c r="AS128" i="3" s="1"/>
  <c r="BB127" i="3"/>
  <c r="BA127" i="3"/>
  <c r="AZ127" i="3"/>
  <c r="AW127" i="3"/>
  <c r="AV127" i="3"/>
  <c r="AU127" i="3"/>
  <c r="AT127" i="3"/>
  <c r="AD127" i="3"/>
  <c r="AC127" i="3"/>
  <c r="AB127" i="3"/>
  <c r="L127" i="3"/>
  <c r="K127" i="3"/>
  <c r="AS127" i="3" s="1"/>
  <c r="BB126" i="3"/>
  <c r="BA126" i="3"/>
  <c r="AZ126" i="3"/>
  <c r="AW126" i="3"/>
  <c r="AV126" i="3"/>
  <c r="AU126" i="3"/>
  <c r="AT126" i="3"/>
  <c r="AD126" i="3"/>
  <c r="AC126" i="3"/>
  <c r="AB126" i="3"/>
  <c r="L126" i="3"/>
  <c r="K126" i="3"/>
  <c r="AS126" i="3" s="1"/>
  <c r="BB125" i="3"/>
  <c r="BA125" i="3"/>
  <c r="AZ125" i="3"/>
  <c r="AW125" i="3"/>
  <c r="AV125" i="3"/>
  <c r="AU125" i="3"/>
  <c r="AT125" i="3"/>
  <c r="AD125" i="3"/>
  <c r="AC125" i="3"/>
  <c r="AB125" i="3"/>
  <c r="L125" i="3"/>
  <c r="K125" i="3"/>
  <c r="AS125" i="3" s="1"/>
  <c r="BB124" i="3"/>
  <c r="BA124" i="3"/>
  <c r="AZ124" i="3"/>
  <c r="AW124" i="3"/>
  <c r="AV124" i="3"/>
  <c r="AU124" i="3"/>
  <c r="AT124" i="3"/>
  <c r="AD124" i="3"/>
  <c r="AC124" i="3"/>
  <c r="AB124" i="3"/>
  <c r="L124" i="3"/>
  <c r="K124" i="3"/>
  <c r="AS124" i="3" s="1"/>
  <c r="BB123" i="3"/>
  <c r="BA123" i="3"/>
  <c r="AZ123" i="3"/>
  <c r="AW123" i="3"/>
  <c r="AV123" i="3"/>
  <c r="AU123" i="3"/>
  <c r="AT123" i="3"/>
  <c r="AD123" i="3"/>
  <c r="AC123" i="3"/>
  <c r="AB123" i="3"/>
  <c r="L123" i="3"/>
  <c r="K123" i="3"/>
  <c r="AS123" i="3" s="1"/>
  <c r="BB122" i="3"/>
  <c r="BA122" i="3"/>
  <c r="AZ122" i="3"/>
  <c r="AW122" i="3"/>
  <c r="AV122" i="3"/>
  <c r="AU122" i="3"/>
  <c r="AT122" i="3"/>
  <c r="AD122" i="3"/>
  <c r="AC122" i="3"/>
  <c r="AB122" i="3"/>
  <c r="L122" i="3"/>
  <c r="K122" i="3"/>
  <c r="AS122" i="3" s="1"/>
  <c r="BB121" i="3"/>
  <c r="BA121" i="3"/>
  <c r="AZ121" i="3"/>
  <c r="AW121" i="3"/>
  <c r="AV121" i="3"/>
  <c r="AU121" i="3"/>
  <c r="AT121" i="3"/>
  <c r="AD121" i="3"/>
  <c r="AC121" i="3"/>
  <c r="AB121" i="3"/>
  <c r="L121" i="3"/>
  <c r="K121" i="3"/>
  <c r="AS121" i="3" s="1"/>
  <c r="BB120" i="3"/>
  <c r="BA120" i="3"/>
  <c r="AZ120" i="3"/>
  <c r="AW120" i="3"/>
  <c r="AV120" i="3"/>
  <c r="AU120" i="3"/>
  <c r="AT120" i="3"/>
  <c r="AD120" i="3"/>
  <c r="AC120" i="3"/>
  <c r="AB120" i="3"/>
  <c r="L120" i="3"/>
  <c r="K120" i="3"/>
  <c r="AS120" i="3" s="1"/>
  <c r="BB119" i="3"/>
  <c r="BA119" i="3"/>
  <c r="AZ119" i="3"/>
  <c r="AW119" i="3"/>
  <c r="AV119" i="3"/>
  <c r="AU119" i="3"/>
  <c r="AT119" i="3"/>
  <c r="AD119" i="3"/>
  <c r="AC119" i="3"/>
  <c r="AB119" i="3"/>
  <c r="L119" i="3"/>
  <c r="K119" i="3"/>
  <c r="AS119" i="3" s="1"/>
  <c r="BB118" i="3"/>
  <c r="BA118" i="3"/>
  <c r="AZ118" i="3"/>
  <c r="AW118" i="3"/>
  <c r="AV118" i="3"/>
  <c r="AU118" i="3"/>
  <c r="AT118" i="3"/>
  <c r="AD118" i="3"/>
  <c r="AC118" i="3"/>
  <c r="AB118" i="3"/>
  <c r="L118" i="3"/>
  <c r="K118" i="3"/>
  <c r="AS118" i="3" s="1"/>
  <c r="BB117" i="3"/>
  <c r="BA117" i="3"/>
  <c r="AZ117" i="3"/>
  <c r="AW117" i="3"/>
  <c r="AV117" i="3"/>
  <c r="AU117" i="3"/>
  <c r="AT117" i="3"/>
  <c r="AD117" i="3"/>
  <c r="AC117" i="3"/>
  <c r="AB117" i="3"/>
  <c r="L117" i="3"/>
  <c r="K117" i="3"/>
  <c r="AS117" i="3" s="1"/>
  <c r="BB116" i="3"/>
  <c r="BA116" i="3"/>
  <c r="AZ116" i="3"/>
  <c r="AW116" i="3"/>
  <c r="AV116" i="3"/>
  <c r="AU116" i="3"/>
  <c r="AT116" i="3"/>
  <c r="AD116" i="3"/>
  <c r="AC116" i="3"/>
  <c r="AB116" i="3"/>
  <c r="L116" i="3"/>
  <c r="K116" i="3"/>
  <c r="AS116" i="3" s="1"/>
  <c r="BB115" i="3"/>
  <c r="BA115" i="3"/>
  <c r="AZ115" i="3"/>
  <c r="AW115" i="3"/>
  <c r="AV115" i="3"/>
  <c r="AU115" i="3"/>
  <c r="AT115" i="3"/>
  <c r="AD115" i="3"/>
  <c r="AC115" i="3"/>
  <c r="AB115" i="3"/>
  <c r="L115" i="3"/>
  <c r="K115" i="3"/>
  <c r="AS115" i="3" s="1"/>
  <c r="BB114" i="3"/>
  <c r="BA114" i="3"/>
  <c r="AZ114" i="3"/>
  <c r="AW114" i="3"/>
  <c r="AV114" i="3"/>
  <c r="AU114" i="3"/>
  <c r="AT114" i="3"/>
  <c r="AD114" i="3"/>
  <c r="AC114" i="3"/>
  <c r="AB114" i="3"/>
  <c r="L114" i="3"/>
  <c r="K114" i="3"/>
  <c r="AS114" i="3" s="1"/>
  <c r="BB113" i="3"/>
  <c r="BA113" i="3"/>
  <c r="AZ113" i="3"/>
  <c r="AW113" i="3"/>
  <c r="AV113" i="3"/>
  <c r="AU113" i="3"/>
  <c r="AT113" i="3"/>
  <c r="AD113" i="3"/>
  <c r="AC113" i="3"/>
  <c r="AB113" i="3"/>
  <c r="L113" i="3"/>
  <c r="K113" i="3"/>
  <c r="AS113" i="3" s="1"/>
  <c r="BB112" i="3"/>
  <c r="BA112" i="3"/>
  <c r="AZ112" i="3"/>
  <c r="AW112" i="3"/>
  <c r="AV112" i="3"/>
  <c r="AU112" i="3"/>
  <c r="AT112" i="3"/>
  <c r="AD112" i="3"/>
  <c r="AC112" i="3"/>
  <c r="AB112" i="3"/>
  <c r="L112" i="3"/>
  <c r="K112" i="3"/>
  <c r="AS112" i="3" s="1"/>
  <c r="BB111" i="3"/>
  <c r="BA111" i="3"/>
  <c r="AZ111" i="3"/>
  <c r="AW111" i="3"/>
  <c r="AV111" i="3"/>
  <c r="AU111" i="3"/>
  <c r="AT111" i="3"/>
  <c r="AD111" i="3"/>
  <c r="AC111" i="3"/>
  <c r="AB111" i="3"/>
  <c r="L111" i="3"/>
  <c r="K111" i="3"/>
  <c r="AS111" i="3" s="1"/>
  <c r="BB110" i="3"/>
  <c r="BA110" i="3"/>
  <c r="AZ110" i="3"/>
  <c r="AW110" i="3"/>
  <c r="AV110" i="3"/>
  <c r="AU110" i="3"/>
  <c r="AT110" i="3"/>
  <c r="AD110" i="3"/>
  <c r="AC110" i="3"/>
  <c r="AB110" i="3"/>
  <c r="L110" i="3"/>
  <c r="K110" i="3"/>
  <c r="AS110" i="3" s="1"/>
  <c r="BB109" i="3"/>
  <c r="BA109" i="3"/>
  <c r="AZ109" i="3"/>
  <c r="AW109" i="3"/>
  <c r="AV109" i="3"/>
  <c r="AU109" i="3"/>
  <c r="AT109" i="3"/>
  <c r="AD109" i="3"/>
  <c r="AC109" i="3"/>
  <c r="AB109" i="3"/>
  <c r="L109" i="3"/>
  <c r="K109" i="3"/>
  <c r="AS109" i="3" s="1"/>
  <c r="BB108" i="3"/>
  <c r="BA108" i="3"/>
  <c r="AZ108" i="3"/>
  <c r="AW108" i="3"/>
  <c r="AV108" i="3"/>
  <c r="AU108" i="3"/>
  <c r="AT108" i="3"/>
  <c r="AD108" i="3"/>
  <c r="AC108" i="3"/>
  <c r="AB108" i="3"/>
  <c r="L108" i="3"/>
  <c r="K108" i="3"/>
  <c r="AS108" i="3" s="1"/>
  <c r="BB107" i="3"/>
  <c r="BA107" i="3"/>
  <c r="AZ107" i="3"/>
  <c r="AW107" i="3"/>
  <c r="AV107" i="3"/>
  <c r="AU107" i="3"/>
  <c r="AT107" i="3"/>
  <c r="AD107" i="3"/>
  <c r="AC107" i="3"/>
  <c r="AB107" i="3"/>
  <c r="L107" i="3"/>
  <c r="K107" i="3"/>
  <c r="AS107" i="3" s="1"/>
  <c r="BB106" i="3"/>
  <c r="BA106" i="3"/>
  <c r="AZ106" i="3"/>
  <c r="AW106" i="3"/>
  <c r="AV106" i="3"/>
  <c r="AU106" i="3"/>
  <c r="AT106" i="3"/>
  <c r="AD106" i="3"/>
  <c r="AC106" i="3"/>
  <c r="AB106" i="3"/>
  <c r="L106" i="3"/>
  <c r="K106" i="3"/>
  <c r="AS106" i="3" s="1"/>
  <c r="BB105" i="3"/>
  <c r="BA105" i="3"/>
  <c r="AZ105" i="3"/>
  <c r="AW105" i="3"/>
  <c r="AV105" i="3"/>
  <c r="AU105" i="3"/>
  <c r="AT105" i="3"/>
  <c r="AD105" i="3"/>
  <c r="AC105" i="3"/>
  <c r="AB105" i="3"/>
  <c r="L105" i="3"/>
  <c r="K105" i="3"/>
  <c r="AS105" i="3" s="1"/>
  <c r="BB104" i="3"/>
  <c r="BA104" i="3"/>
  <c r="AZ104" i="3"/>
  <c r="AW104" i="3"/>
  <c r="AV104" i="3"/>
  <c r="AU104" i="3"/>
  <c r="AT104" i="3"/>
  <c r="AD104" i="3"/>
  <c r="AC104" i="3"/>
  <c r="AB104" i="3"/>
  <c r="L104" i="3"/>
  <c r="K104" i="3"/>
  <c r="AS104" i="3" s="1"/>
  <c r="BB103" i="3"/>
  <c r="BA103" i="3"/>
  <c r="AZ103" i="3"/>
  <c r="AW103" i="3"/>
  <c r="AV103" i="3"/>
  <c r="AU103" i="3"/>
  <c r="AT103" i="3"/>
  <c r="AD103" i="3"/>
  <c r="AC103" i="3"/>
  <c r="AB103" i="3"/>
  <c r="L103" i="3"/>
  <c r="K103" i="3"/>
  <c r="AS103" i="3" s="1"/>
  <c r="BB102" i="3"/>
  <c r="BA102" i="3"/>
  <c r="AZ102" i="3"/>
  <c r="AW102" i="3"/>
  <c r="AV102" i="3"/>
  <c r="AU102" i="3"/>
  <c r="AT102" i="3"/>
  <c r="AD102" i="3"/>
  <c r="AC102" i="3"/>
  <c r="AB102" i="3"/>
  <c r="L102" i="3"/>
  <c r="K102" i="3"/>
  <c r="AS102" i="3" s="1"/>
  <c r="BB101" i="3"/>
  <c r="BA101" i="3"/>
  <c r="AZ101" i="3"/>
  <c r="AW101" i="3"/>
  <c r="AV101" i="3"/>
  <c r="AU101" i="3"/>
  <c r="AT101" i="3"/>
  <c r="AD101" i="3"/>
  <c r="AC101" i="3"/>
  <c r="AB101" i="3"/>
  <c r="L101" i="3"/>
  <c r="K101" i="3"/>
  <c r="AS101" i="3" s="1"/>
  <c r="BB100" i="3"/>
  <c r="BA100" i="3"/>
  <c r="AZ100" i="3"/>
  <c r="AW100" i="3"/>
  <c r="AV100" i="3"/>
  <c r="AU100" i="3"/>
  <c r="AT100" i="3"/>
  <c r="AD100" i="3"/>
  <c r="AC100" i="3"/>
  <c r="AB100" i="3"/>
  <c r="L100" i="3"/>
  <c r="K100" i="3"/>
  <c r="AS100" i="3" s="1"/>
  <c r="BB99" i="3"/>
  <c r="BA99" i="3"/>
  <c r="AZ99" i="3"/>
  <c r="AW99" i="3"/>
  <c r="AV99" i="3"/>
  <c r="AU99" i="3"/>
  <c r="AT99" i="3"/>
  <c r="AD99" i="3"/>
  <c r="AC99" i="3"/>
  <c r="AB99" i="3"/>
  <c r="L99" i="3"/>
  <c r="K99" i="3"/>
  <c r="AS99" i="3" s="1"/>
  <c r="BB98" i="3"/>
  <c r="BA98" i="3"/>
  <c r="AZ98" i="3"/>
  <c r="AW98" i="3"/>
  <c r="AV98" i="3"/>
  <c r="AU98" i="3"/>
  <c r="AT98" i="3"/>
  <c r="AD98" i="3"/>
  <c r="AC98" i="3"/>
  <c r="AB98" i="3"/>
  <c r="L98" i="3"/>
  <c r="K98" i="3"/>
  <c r="AS98" i="3" s="1"/>
  <c r="BB97" i="3"/>
  <c r="BA97" i="3"/>
  <c r="AZ97" i="3"/>
  <c r="AW97" i="3"/>
  <c r="AV97" i="3"/>
  <c r="AU97" i="3"/>
  <c r="AT97" i="3"/>
  <c r="AD97" i="3"/>
  <c r="AC97" i="3"/>
  <c r="AB97" i="3"/>
  <c r="L97" i="3"/>
  <c r="K97" i="3"/>
  <c r="AS97" i="3" s="1"/>
  <c r="BB96" i="3"/>
  <c r="BA96" i="3"/>
  <c r="AZ96" i="3"/>
  <c r="AW96" i="3"/>
  <c r="AV96" i="3"/>
  <c r="AU96" i="3"/>
  <c r="AT96" i="3"/>
  <c r="AD96" i="3"/>
  <c r="AC96" i="3"/>
  <c r="AB96" i="3"/>
  <c r="L96" i="3"/>
  <c r="K96" i="3"/>
  <c r="AS96" i="3" s="1"/>
  <c r="BB95" i="3"/>
  <c r="BA95" i="3"/>
  <c r="AZ95" i="3"/>
  <c r="AW95" i="3"/>
  <c r="AV95" i="3"/>
  <c r="AU95" i="3"/>
  <c r="AT95" i="3"/>
  <c r="AD95" i="3"/>
  <c r="AC95" i="3"/>
  <c r="AB95" i="3"/>
  <c r="L95" i="3"/>
  <c r="K95" i="3"/>
  <c r="AS95" i="3" s="1"/>
  <c r="BB94" i="3"/>
  <c r="BA94" i="3"/>
  <c r="AZ94" i="3"/>
  <c r="AW94" i="3"/>
  <c r="AV94" i="3"/>
  <c r="AU94" i="3"/>
  <c r="AT94" i="3"/>
  <c r="AD94" i="3"/>
  <c r="AC94" i="3"/>
  <c r="AB94" i="3"/>
  <c r="L94" i="3"/>
  <c r="K94" i="3"/>
  <c r="AS94" i="3" s="1"/>
  <c r="BB93" i="3"/>
  <c r="BA93" i="3"/>
  <c r="AZ93" i="3"/>
  <c r="AW93" i="3"/>
  <c r="AV93" i="3"/>
  <c r="AU93" i="3"/>
  <c r="AT93" i="3"/>
  <c r="AD93" i="3"/>
  <c r="AC93" i="3"/>
  <c r="AB93" i="3"/>
  <c r="L93" i="3"/>
  <c r="K93" i="3"/>
  <c r="AS93" i="3" s="1"/>
  <c r="BB92" i="3"/>
  <c r="BA92" i="3"/>
  <c r="AZ92" i="3"/>
  <c r="AW92" i="3"/>
  <c r="AV92" i="3"/>
  <c r="AU92" i="3"/>
  <c r="AT92" i="3"/>
  <c r="AD92" i="3"/>
  <c r="AC92" i="3"/>
  <c r="AB92" i="3"/>
  <c r="L92" i="3"/>
  <c r="K92" i="3"/>
  <c r="AS92" i="3" s="1"/>
  <c r="BB91" i="3"/>
  <c r="BA91" i="3"/>
  <c r="AZ91" i="3"/>
  <c r="AW91" i="3"/>
  <c r="AV91" i="3"/>
  <c r="AU91" i="3"/>
  <c r="AT91" i="3"/>
  <c r="AD91" i="3"/>
  <c r="AC91" i="3"/>
  <c r="AB91" i="3"/>
  <c r="L91" i="3"/>
  <c r="K91" i="3"/>
  <c r="AS91" i="3" s="1"/>
  <c r="BB90" i="3"/>
  <c r="BA90" i="3"/>
  <c r="AZ90" i="3"/>
  <c r="AW90" i="3"/>
  <c r="AV90" i="3"/>
  <c r="AU90" i="3"/>
  <c r="AT90" i="3"/>
  <c r="AD90" i="3"/>
  <c r="AC90" i="3"/>
  <c r="AB90" i="3"/>
  <c r="L90" i="3"/>
  <c r="K90" i="3"/>
  <c r="AS90" i="3" s="1"/>
  <c r="BB89" i="3"/>
  <c r="BA89" i="3"/>
  <c r="AZ89" i="3"/>
  <c r="AW89" i="3"/>
  <c r="AV89" i="3"/>
  <c r="AU89" i="3"/>
  <c r="AT89" i="3"/>
  <c r="AD89" i="3"/>
  <c r="AC89" i="3"/>
  <c r="AB89" i="3"/>
  <c r="L89" i="3"/>
  <c r="K89" i="3"/>
  <c r="AS89" i="3" s="1"/>
  <c r="BB88" i="3"/>
  <c r="BA88" i="3"/>
  <c r="AZ88" i="3"/>
  <c r="AW88" i="3"/>
  <c r="AV88" i="3"/>
  <c r="AU88" i="3"/>
  <c r="AT88" i="3"/>
  <c r="AD88" i="3"/>
  <c r="AC88" i="3"/>
  <c r="AB88" i="3"/>
  <c r="L88" i="3"/>
  <c r="K88" i="3"/>
  <c r="AS88" i="3" s="1"/>
  <c r="BB87" i="3"/>
  <c r="BA87" i="3"/>
  <c r="AZ87" i="3"/>
  <c r="AW87" i="3"/>
  <c r="AV87" i="3"/>
  <c r="AU87" i="3"/>
  <c r="AT87" i="3"/>
  <c r="AD87" i="3"/>
  <c r="AC87" i="3"/>
  <c r="AB87" i="3"/>
  <c r="L87" i="3"/>
  <c r="K87" i="3"/>
  <c r="AS87" i="3" s="1"/>
  <c r="BB86" i="3"/>
  <c r="BA86" i="3"/>
  <c r="AZ86" i="3"/>
  <c r="AW86" i="3"/>
  <c r="AV86" i="3"/>
  <c r="AU86" i="3"/>
  <c r="AT86" i="3"/>
  <c r="AD86" i="3"/>
  <c r="AC86" i="3"/>
  <c r="AB86" i="3"/>
  <c r="L86" i="3"/>
  <c r="K86" i="3"/>
  <c r="AS86" i="3" s="1"/>
  <c r="BB85" i="3"/>
  <c r="BA85" i="3"/>
  <c r="AZ85" i="3"/>
  <c r="AW85" i="3"/>
  <c r="AV85" i="3"/>
  <c r="AU85" i="3"/>
  <c r="AT85" i="3"/>
  <c r="AD85" i="3"/>
  <c r="AC85" i="3"/>
  <c r="AB85" i="3"/>
  <c r="L85" i="3"/>
  <c r="K85" i="3"/>
  <c r="AS85" i="3" s="1"/>
  <c r="BB84" i="3"/>
  <c r="BA84" i="3"/>
  <c r="AZ84" i="3"/>
  <c r="AW84" i="3"/>
  <c r="AV84" i="3"/>
  <c r="AU84" i="3"/>
  <c r="AT84" i="3"/>
  <c r="AD84" i="3"/>
  <c r="AC84" i="3"/>
  <c r="AB84" i="3"/>
  <c r="L84" i="3"/>
  <c r="K84" i="3"/>
  <c r="AS84" i="3" s="1"/>
  <c r="BB83" i="3"/>
  <c r="BA83" i="3"/>
  <c r="AZ83" i="3"/>
  <c r="AW83" i="3"/>
  <c r="AV83" i="3"/>
  <c r="AU83" i="3"/>
  <c r="AT83" i="3"/>
  <c r="AD83" i="3"/>
  <c r="AC83" i="3"/>
  <c r="AB83" i="3"/>
  <c r="L83" i="3"/>
  <c r="K83" i="3"/>
  <c r="AS83" i="3" s="1"/>
  <c r="BB82" i="3"/>
  <c r="BA82" i="3"/>
  <c r="AZ82" i="3"/>
  <c r="AW82" i="3"/>
  <c r="AV82" i="3"/>
  <c r="AU82" i="3"/>
  <c r="AT82" i="3"/>
  <c r="AD82" i="3"/>
  <c r="AC82" i="3"/>
  <c r="AB82" i="3"/>
  <c r="L82" i="3"/>
  <c r="K82" i="3"/>
  <c r="AS82" i="3" s="1"/>
  <c r="BB81" i="3"/>
  <c r="BA81" i="3"/>
  <c r="AZ81" i="3"/>
  <c r="AW81" i="3"/>
  <c r="AV81" i="3"/>
  <c r="AU81" i="3"/>
  <c r="AT81" i="3"/>
  <c r="AD81" i="3"/>
  <c r="AC81" i="3"/>
  <c r="AB81" i="3"/>
  <c r="L81" i="3"/>
  <c r="K81" i="3"/>
  <c r="AS81" i="3" s="1"/>
  <c r="BB80" i="3"/>
  <c r="BA80" i="3"/>
  <c r="AZ80" i="3"/>
  <c r="AW80" i="3"/>
  <c r="AV80" i="3"/>
  <c r="AU80" i="3"/>
  <c r="AT80" i="3"/>
  <c r="AD80" i="3"/>
  <c r="AC80" i="3"/>
  <c r="AB80" i="3"/>
  <c r="L80" i="3"/>
  <c r="K80" i="3"/>
  <c r="AS80" i="3" s="1"/>
  <c r="BB79" i="3"/>
  <c r="BA79" i="3"/>
  <c r="AZ79" i="3"/>
  <c r="AW79" i="3"/>
  <c r="AV79" i="3"/>
  <c r="AU79" i="3"/>
  <c r="AT79" i="3"/>
  <c r="AD79" i="3"/>
  <c r="AC79" i="3"/>
  <c r="AB79" i="3"/>
  <c r="L79" i="3"/>
  <c r="K79" i="3"/>
  <c r="AS79" i="3" s="1"/>
  <c r="BB78" i="3"/>
  <c r="BA78" i="3"/>
  <c r="AZ78" i="3"/>
  <c r="AW78" i="3"/>
  <c r="AV78" i="3"/>
  <c r="AU78" i="3"/>
  <c r="AT78" i="3"/>
  <c r="AD78" i="3"/>
  <c r="AC78" i="3"/>
  <c r="AB78" i="3"/>
  <c r="L78" i="3"/>
  <c r="K78" i="3"/>
  <c r="AS78" i="3" s="1"/>
  <c r="BB77" i="3"/>
  <c r="BA77" i="3"/>
  <c r="AZ77" i="3"/>
  <c r="AW77" i="3"/>
  <c r="AV77" i="3"/>
  <c r="AU77" i="3"/>
  <c r="AT77" i="3"/>
  <c r="AD77" i="3"/>
  <c r="AC77" i="3"/>
  <c r="AB77" i="3"/>
  <c r="L77" i="3"/>
  <c r="K77" i="3"/>
  <c r="AS77" i="3" s="1"/>
  <c r="BB76" i="3"/>
  <c r="BA76" i="3"/>
  <c r="AZ76" i="3"/>
  <c r="AW76" i="3"/>
  <c r="AV76" i="3"/>
  <c r="AU76" i="3"/>
  <c r="AT76" i="3"/>
  <c r="AD76" i="3"/>
  <c r="AC76" i="3"/>
  <c r="AB76" i="3"/>
  <c r="L76" i="3"/>
  <c r="K76" i="3"/>
  <c r="BB75" i="3"/>
  <c r="BA75" i="3"/>
  <c r="AZ75" i="3"/>
  <c r="AW75" i="3"/>
  <c r="AV75" i="3"/>
  <c r="AU75" i="3"/>
  <c r="AT75" i="3"/>
  <c r="AX75" i="3" s="1"/>
  <c r="AD75" i="3"/>
  <c r="AC75" i="3"/>
  <c r="AB75" i="3"/>
  <c r="L75" i="3"/>
  <c r="K75" i="3"/>
  <c r="AS75" i="3" s="1"/>
  <c r="BB74" i="3"/>
  <c r="BA74" i="3"/>
  <c r="AZ74" i="3"/>
  <c r="AW74" i="3"/>
  <c r="AV74" i="3"/>
  <c r="AU74" i="3"/>
  <c r="AT74" i="3"/>
  <c r="AX74" i="3" s="1"/>
  <c r="AD74" i="3"/>
  <c r="AC74" i="3"/>
  <c r="AB74" i="3"/>
  <c r="L74" i="3"/>
  <c r="K74" i="3"/>
  <c r="AS74" i="3" s="1"/>
  <c r="BB73" i="3"/>
  <c r="BA73" i="3"/>
  <c r="AZ73" i="3"/>
  <c r="AW73" i="3"/>
  <c r="AV73" i="3"/>
  <c r="AU73" i="3"/>
  <c r="AT73" i="3"/>
  <c r="AX73" i="3" s="1"/>
  <c r="AD73" i="3"/>
  <c r="AC73" i="3"/>
  <c r="AB73" i="3"/>
  <c r="L73" i="3"/>
  <c r="K73" i="3"/>
  <c r="AS73" i="3" s="1"/>
  <c r="BB72" i="3"/>
  <c r="BA72" i="3"/>
  <c r="AZ72" i="3"/>
  <c r="AW72" i="3"/>
  <c r="AV72" i="3"/>
  <c r="AU72" i="3"/>
  <c r="AT72" i="3"/>
  <c r="AX72" i="3" s="1"/>
  <c r="AD72" i="3"/>
  <c r="AC72" i="3"/>
  <c r="AB72" i="3"/>
  <c r="L72" i="3"/>
  <c r="K72" i="3"/>
  <c r="AS72" i="3" s="1"/>
  <c r="BB71" i="3"/>
  <c r="BA71" i="3"/>
  <c r="AZ71" i="3"/>
  <c r="AW71" i="3"/>
  <c r="AV71" i="3"/>
  <c r="AU71" i="3"/>
  <c r="AT71" i="3"/>
  <c r="AX71" i="3" s="1"/>
  <c r="AD71" i="3"/>
  <c r="AC71" i="3"/>
  <c r="AB71" i="3"/>
  <c r="L71" i="3"/>
  <c r="K71" i="3"/>
  <c r="AS71" i="3" s="1"/>
  <c r="BB70" i="3"/>
  <c r="BA70" i="3"/>
  <c r="AZ70" i="3"/>
  <c r="AW70" i="3"/>
  <c r="AV70" i="3"/>
  <c r="AU70" i="3"/>
  <c r="AT70" i="3"/>
  <c r="AX70" i="3" s="1"/>
  <c r="AD70" i="3"/>
  <c r="AC70" i="3"/>
  <c r="AB70" i="3"/>
  <c r="L70" i="3"/>
  <c r="K70" i="3"/>
  <c r="AS70" i="3" s="1"/>
  <c r="BB69" i="3"/>
  <c r="BA69" i="3"/>
  <c r="AZ69" i="3"/>
  <c r="AW69" i="3"/>
  <c r="AV69" i="3"/>
  <c r="AU69" i="3"/>
  <c r="AT69" i="3"/>
  <c r="AX69" i="3" s="1"/>
  <c r="AD69" i="3"/>
  <c r="AC69" i="3"/>
  <c r="AB69" i="3"/>
  <c r="L69" i="3"/>
  <c r="K69" i="3"/>
  <c r="AS69" i="3" s="1"/>
  <c r="BB68" i="3"/>
  <c r="BA68" i="3"/>
  <c r="AZ68" i="3"/>
  <c r="AW68" i="3"/>
  <c r="AV68" i="3"/>
  <c r="AU68" i="3"/>
  <c r="AT68" i="3"/>
  <c r="AX68" i="3" s="1"/>
  <c r="AD68" i="3"/>
  <c r="AC68" i="3"/>
  <c r="AB68" i="3"/>
  <c r="L68" i="3"/>
  <c r="K68" i="3"/>
  <c r="AS68" i="3" s="1"/>
  <c r="BB67" i="3"/>
  <c r="BA67" i="3"/>
  <c r="AZ67" i="3"/>
  <c r="AW67" i="3"/>
  <c r="AV67" i="3"/>
  <c r="AU67" i="3"/>
  <c r="AT67" i="3"/>
  <c r="AX67" i="3" s="1"/>
  <c r="AD67" i="3"/>
  <c r="AC67" i="3"/>
  <c r="AB67" i="3"/>
  <c r="L67" i="3"/>
  <c r="K67" i="3"/>
  <c r="AS67" i="3" s="1"/>
  <c r="BB66" i="3"/>
  <c r="BA66" i="3"/>
  <c r="AZ66" i="3"/>
  <c r="AW66" i="3"/>
  <c r="AV66" i="3"/>
  <c r="AU66" i="3"/>
  <c r="AT66" i="3"/>
  <c r="AX66" i="3" s="1"/>
  <c r="AD66" i="3"/>
  <c r="AC66" i="3"/>
  <c r="AB66" i="3"/>
  <c r="L66" i="3"/>
  <c r="K66" i="3"/>
  <c r="AS66" i="3" s="1"/>
  <c r="BB65" i="3"/>
  <c r="BA65" i="3"/>
  <c r="AZ65" i="3"/>
  <c r="AW65" i="3"/>
  <c r="AV65" i="3"/>
  <c r="AU65" i="3"/>
  <c r="AT65" i="3"/>
  <c r="AX65" i="3" s="1"/>
  <c r="AD65" i="3"/>
  <c r="AC65" i="3"/>
  <c r="AB65" i="3"/>
  <c r="L65" i="3"/>
  <c r="K65" i="3"/>
  <c r="AS65" i="3" s="1"/>
  <c r="BB64" i="3"/>
  <c r="BA64" i="3"/>
  <c r="AZ64" i="3"/>
  <c r="AW64" i="3"/>
  <c r="AV64" i="3"/>
  <c r="AU64" i="3"/>
  <c r="AT64" i="3"/>
  <c r="AX64" i="3" s="1"/>
  <c r="AD64" i="3"/>
  <c r="AC64" i="3"/>
  <c r="AB64" i="3"/>
  <c r="L64" i="3"/>
  <c r="K64" i="3"/>
  <c r="AS64" i="3" s="1"/>
  <c r="BB63" i="3"/>
  <c r="BA63" i="3"/>
  <c r="AZ63" i="3"/>
  <c r="AW63" i="3"/>
  <c r="AV63" i="3"/>
  <c r="AU63" i="3"/>
  <c r="AT63" i="3"/>
  <c r="AX63" i="3" s="1"/>
  <c r="AD63" i="3"/>
  <c r="AC63" i="3"/>
  <c r="AB63" i="3"/>
  <c r="L63" i="3"/>
  <c r="K63" i="3"/>
  <c r="AS63" i="3" s="1"/>
  <c r="BB62" i="3"/>
  <c r="BA62" i="3"/>
  <c r="AZ62" i="3"/>
  <c r="AW62" i="3"/>
  <c r="AV62" i="3"/>
  <c r="AU62" i="3"/>
  <c r="AT62" i="3"/>
  <c r="AX62" i="3" s="1"/>
  <c r="AD62" i="3"/>
  <c r="AC62" i="3"/>
  <c r="AB62" i="3"/>
  <c r="L62" i="3"/>
  <c r="K62" i="3"/>
  <c r="AS62" i="3" s="1"/>
  <c r="BB61" i="3"/>
  <c r="BA61" i="3"/>
  <c r="AZ61" i="3"/>
  <c r="AW61" i="3"/>
  <c r="AV61" i="3"/>
  <c r="AU61" i="3"/>
  <c r="AT61" i="3"/>
  <c r="AD61" i="3"/>
  <c r="AC61" i="3"/>
  <c r="AB61" i="3"/>
  <c r="L61" i="3"/>
  <c r="K61" i="3"/>
  <c r="AS61" i="3" s="1"/>
  <c r="BB60" i="3"/>
  <c r="BA60" i="3"/>
  <c r="AZ60" i="3"/>
  <c r="AW60" i="3"/>
  <c r="AV60" i="3"/>
  <c r="AU60" i="3"/>
  <c r="AT60" i="3"/>
  <c r="AD60" i="3"/>
  <c r="AC60" i="3"/>
  <c r="AB60" i="3"/>
  <c r="L60" i="3"/>
  <c r="K60" i="3"/>
  <c r="AS60" i="3" s="1"/>
  <c r="BB59" i="3"/>
  <c r="BA59" i="3"/>
  <c r="AZ59" i="3"/>
  <c r="AW59" i="3"/>
  <c r="AV59" i="3"/>
  <c r="AU59" i="3"/>
  <c r="AT59" i="3"/>
  <c r="AD59" i="3"/>
  <c r="AC59" i="3"/>
  <c r="AB59" i="3"/>
  <c r="L59" i="3"/>
  <c r="K59" i="3"/>
  <c r="AS59" i="3" s="1"/>
  <c r="BB58" i="3"/>
  <c r="BA58" i="3"/>
  <c r="AZ58" i="3"/>
  <c r="AW58" i="3"/>
  <c r="AV58" i="3"/>
  <c r="AU58" i="3"/>
  <c r="AT58" i="3"/>
  <c r="AD58" i="3"/>
  <c r="AC58" i="3"/>
  <c r="AB58" i="3"/>
  <c r="L58" i="3"/>
  <c r="K58" i="3"/>
  <c r="AS58" i="3" s="1"/>
  <c r="BB57" i="3"/>
  <c r="BA57" i="3"/>
  <c r="AZ57" i="3"/>
  <c r="AW57" i="3"/>
  <c r="AV57" i="3"/>
  <c r="AU57" i="3"/>
  <c r="AT57" i="3"/>
  <c r="AD57" i="3"/>
  <c r="AC57" i="3"/>
  <c r="AB57" i="3"/>
  <c r="L57" i="3"/>
  <c r="K57" i="3"/>
  <c r="AS57" i="3" s="1"/>
  <c r="BB56" i="3"/>
  <c r="BA56" i="3"/>
  <c r="AZ56" i="3"/>
  <c r="AW56" i="3"/>
  <c r="AV56" i="3"/>
  <c r="AU56" i="3"/>
  <c r="AT56" i="3"/>
  <c r="AD56" i="3"/>
  <c r="AC56" i="3"/>
  <c r="AB56" i="3"/>
  <c r="L56" i="3"/>
  <c r="K56" i="3"/>
  <c r="AS56" i="3" s="1"/>
  <c r="BB55" i="3"/>
  <c r="BA55" i="3"/>
  <c r="AZ55" i="3"/>
  <c r="AW55" i="3"/>
  <c r="AV55" i="3"/>
  <c r="AU55" i="3"/>
  <c r="AT55" i="3"/>
  <c r="AD55" i="3"/>
  <c r="AC55" i="3"/>
  <c r="AB55" i="3"/>
  <c r="L55" i="3"/>
  <c r="K55" i="3"/>
  <c r="AS55" i="3" s="1"/>
  <c r="BB54" i="3"/>
  <c r="BA54" i="3"/>
  <c r="AZ54" i="3"/>
  <c r="AW54" i="3"/>
  <c r="AV54" i="3"/>
  <c r="AU54" i="3"/>
  <c r="AT54" i="3"/>
  <c r="AD54" i="3"/>
  <c r="AC54" i="3"/>
  <c r="AB54" i="3"/>
  <c r="L54" i="3"/>
  <c r="K54" i="3"/>
  <c r="AS54" i="3" s="1"/>
  <c r="BB53" i="3"/>
  <c r="BA53" i="3"/>
  <c r="AZ53" i="3"/>
  <c r="AW53" i="3"/>
  <c r="AV53" i="3"/>
  <c r="AU53" i="3"/>
  <c r="AT53" i="3"/>
  <c r="AD53" i="3"/>
  <c r="AC53" i="3"/>
  <c r="AB53" i="3"/>
  <c r="L53" i="3"/>
  <c r="K53" i="3"/>
  <c r="AS53" i="3" s="1"/>
  <c r="BB52" i="3"/>
  <c r="BA52" i="3"/>
  <c r="AZ52" i="3"/>
  <c r="AW52" i="3"/>
  <c r="AV52" i="3"/>
  <c r="AU52" i="3"/>
  <c r="AT52" i="3"/>
  <c r="AD52" i="3"/>
  <c r="AC52" i="3"/>
  <c r="AB52" i="3"/>
  <c r="L52" i="3"/>
  <c r="K52" i="3"/>
  <c r="AS52" i="3" s="1"/>
  <c r="BB51" i="3"/>
  <c r="BA51" i="3"/>
  <c r="AZ51" i="3"/>
  <c r="AW51" i="3"/>
  <c r="AV51" i="3"/>
  <c r="AU51" i="3"/>
  <c r="AT51" i="3"/>
  <c r="AD51" i="3"/>
  <c r="AC51" i="3"/>
  <c r="AB51" i="3"/>
  <c r="L51" i="3"/>
  <c r="K51" i="3"/>
  <c r="AS51" i="3" s="1"/>
  <c r="BB50" i="3"/>
  <c r="BA50" i="3"/>
  <c r="AZ50" i="3"/>
  <c r="AW50" i="3"/>
  <c r="AV50" i="3"/>
  <c r="AU50" i="3"/>
  <c r="AT50" i="3"/>
  <c r="AD50" i="3"/>
  <c r="AC50" i="3"/>
  <c r="AB50" i="3"/>
  <c r="L50" i="3"/>
  <c r="K50" i="3"/>
  <c r="AS50" i="3" s="1"/>
  <c r="BB49" i="3"/>
  <c r="BA49" i="3"/>
  <c r="AZ49" i="3"/>
  <c r="AW49" i="3"/>
  <c r="AV49" i="3"/>
  <c r="AU49" i="3"/>
  <c r="AT49" i="3"/>
  <c r="AD49" i="3"/>
  <c r="AC49" i="3"/>
  <c r="AB49" i="3"/>
  <c r="L49" i="3"/>
  <c r="K49" i="3"/>
  <c r="AS49" i="3" s="1"/>
  <c r="BB48" i="3"/>
  <c r="BA48" i="3"/>
  <c r="AZ48" i="3"/>
  <c r="AW48" i="3"/>
  <c r="AV48" i="3"/>
  <c r="AU48" i="3"/>
  <c r="AT48" i="3"/>
  <c r="AD48" i="3"/>
  <c r="AC48" i="3"/>
  <c r="AB48" i="3"/>
  <c r="L48" i="3"/>
  <c r="K48" i="3"/>
  <c r="AS48" i="3" s="1"/>
  <c r="BB47" i="3"/>
  <c r="BA47" i="3"/>
  <c r="AZ47" i="3"/>
  <c r="AW47" i="3"/>
  <c r="AV47" i="3"/>
  <c r="AU47" i="3"/>
  <c r="AT47" i="3"/>
  <c r="AD47" i="3"/>
  <c r="AC47" i="3"/>
  <c r="AB47" i="3"/>
  <c r="L47" i="3"/>
  <c r="K47" i="3"/>
  <c r="AS47" i="3" s="1"/>
  <c r="BB46" i="3"/>
  <c r="BA46" i="3"/>
  <c r="AZ46" i="3"/>
  <c r="AW46" i="3"/>
  <c r="AV46" i="3"/>
  <c r="AU46" i="3"/>
  <c r="AT46" i="3"/>
  <c r="AD46" i="3"/>
  <c r="AC46" i="3"/>
  <c r="AB46" i="3"/>
  <c r="L46" i="3"/>
  <c r="K46" i="3"/>
  <c r="AS46" i="3" s="1"/>
  <c r="BB45" i="3"/>
  <c r="BA45" i="3"/>
  <c r="AZ45" i="3"/>
  <c r="AW45" i="3"/>
  <c r="AV45" i="3"/>
  <c r="AU45" i="3"/>
  <c r="AT45" i="3"/>
  <c r="AD45" i="3"/>
  <c r="AC45" i="3"/>
  <c r="AB45" i="3"/>
  <c r="L45" i="3"/>
  <c r="K45" i="3"/>
  <c r="AS45" i="3" s="1"/>
  <c r="BB44" i="3"/>
  <c r="BA44" i="3"/>
  <c r="AZ44" i="3"/>
  <c r="AW44" i="3"/>
  <c r="AV44" i="3"/>
  <c r="AU44" i="3"/>
  <c r="AT44" i="3"/>
  <c r="AD44" i="3"/>
  <c r="AC44" i="3"/>
  <c r="AB44" i="3"/>
  <c r="L44" i="3"/>
  <c r="K44" i="3"/>
  <c r="AS44" i="3" s="1"/>
  <c r="BB43" i="3"/>
  <c r="BA43" i="3"/>
  <c r="AZ43" i="3"/>
  <c r="AW43" i="3"/>
  <c r="AV43" i="3"/>
  <c r="AU43" i="3"/>
  <c r="AT43" i="3"/>
  <c r="AD43" i="3"/>
  <c r="AC43" i="3"/>
  <c r="AB43" i="3"/>
  <c r="L43" i="3"/>
  <c r="K43" i="3"/>
  <c r="AS43" i="3" s="1"/>
  <c r="BB42" i="3"/>
  <c r="BA42" i="3"/>
  <c r="AZ42" i="3"/>
  <c r="AW42" i="3"/>
  <c r="AV42" i="3"/>
  <c r="AU42" i="3"/>
  <c r="AT42" i="3"/>
  <c r="AD42" i="3"/>
  <c r="AC42" i="3"/>
  <c r="AB42" i="3"/>
  <c r="L42" i="3"/>
  <c r="K42" i="3"/>
  <c r="AS42" i="3" s="1"/>
  <c r="BB41" i="3"/>
  <c r="BA41" i="3"/>
  <c r="AZ41" i="3"/>
  <c r="AW41" i="3"/>
  <c r="AV41" i="3"/>
  <c r="AU41" i="3"/>
  <c r="AT41" i="3"/>
  <c r="AD41" i="3"/>
  <c r="AC41" i="3"/>
  <c r="AB41" i="3"/>
  <c r="L41" i="3"/>
  <c r="K41" i="3"/>
  <c r="AS41" i="3" s="1"/>
  <c r="BB40" i="3"/>
  <c r="BA40" i="3"/>
  <c r="AZ40" i="3"/>
  <c r="AW40" i="3"/>
  <c r="AV40" i="3"/>
  <c r="AU40" i="3"/>
  <c r="AT40" i="3"/>
  <c r="AD40" i="3"/>
  <c r="AC40" i="3"/>
  <c r="AB40" i="3"/>
  <c r="L40" i="3"/>
  <c r="K40" i="3"/>
  <c r="AS40" i="3" s="1"/>
  <c r="BB39" i="3"/>
  <c r="BA39" i="3"/>
  <c r="AZ39" i="3"/>
  <c r="AW39" i="3"/>
  <c r="AV39" i="3"/>
  <c r="AU39" i="3"/>
  <c r="AT39" i="3"/>
  <c r="AD39" i="3"/>
  <c r="AC39" i="3"/>
  <c r="AB39" i="3"/>
  <c r="L39" i="3"/>
  <c r="K39" i="3"/>
  <c r="AS39" i="3" s="1"/>
  <c r="BB38" i="3"/>
  <c r="BA38" i="3"/>
  <c r="AZ38" i="3"/>
  <c r="AW38" i="3"/>
  <c r="AV38" i="3"/>
  <c r="AU38" i="3"/>
  <c r="AT38" i="3"/>
  <c r="AD38" i="3"/>
  <c r="AC38" i="3"/>
  <c r="AB38" i="3"/>
  <c r="L38" i="3"/>
  <c r="K38" i="3"/>
  <c r="AS38" i="3" s="1"/>
  <c r="BB37" i="3"/>
  <c r="BA37" i="3"/>
  <c r="AZ37" i="3"/>
  <c r="AW37" i="3"/>
  <c r="AV37" i="3"/>
  <c r="AU37" i="3"/>
  <c r="AT37" i="3"/>
  <c r="AD37" i="3"/>
  <c r="AC37" i="3"/>
  <c r="AB37" i="3"/>
  <c r="L37" i="3"/>
  <c r="K37" i="3"/>
  <c r="AS37" i="3" s="1"/>
  <c r="BB36" i="3"/>
  <c r="BA36" i="3"/>
  <c r="AZ36" i="3"/>
  <c r="AW36" i="3"/>
  <c r="AV36" i="3"/>
  <c r="AU36" i="3"/>
  <c r="AT36" i="3"/>
  <c r="AD36" i="3"/>
  <c r="AC36" i="3"/>
  <c r="AB36" i="3"/>
  <c r="L36" i="3"/>
  <c r="K36" i="3"/>
  <c r="AS36" i="3" s="1"/>
  <c r="BB35" i="3"/>
  <c r="BA35" i="3"/>
  <c r="AZ35" i="3"/>
  <c r="AW35" i="3"/>
  <c r="AV35" i="3"/>
  <c r="AU35" i="3"/>
  <c r="AT35" i="3"/>
  <c r="AD35" i="3"/>
  <c r="AC35" i="3"/>
  <c r="AB35" i="3"/>
  <c r="L35" i="3"/>
  <c r="K35" i="3"/>
  <c r="AS35" i="3" s="1"/>
  <c r="BB34" i="3"/>
  <c r="BA34" i="3"/>
  <c r="AZ34" i="3"/>
  <c r="AW34" i="3"/>
  <c r="AV34" i="3"/>
  <c r="AU34" i="3"/>
  <c r="AT34" i="3"/>
  <c r="AD34" i="3"/>
  <c r="AC34" i="3"/>
  <c r="AB34" i="3"/>
  <c r="L34" i="3"/>
  <c r="K34" i="3"/>
  <c r="AS34" i="3" s="1"/>
  <c r="BB33" i="3"/>
  <c r="BA33" i="3"/>
  <c r="AZ33" i="3"/>
  <c r="AW33" i="3"/>
  <c r="AV33" i="3"/>
  <c r="AU33" i="3"/>
  <c r="AT33" i="3"/>
  <c r="AD33" i="3"/>
  <c r="AC33" i="3"/>
  <c r="AB33" i="3"/>
  <c r="L33" i="3"/>
  <c r="K33" i="3"/>
  <c r="AS33" i="3" s="1"/>
  <c r="BB32" i="3"/>
  <c r="BA32" i="3"/>
  <c r="AZ32" i="3"/>
  <c r="AW32" i="3"/>
  <c r="AV32" i="3"/>
  <c r="AU32" i="3"/>
  <c r="AT32" i="3"/>
  <c r="AD32" i="3"/>
  <c r="AC32" i="3"/>
  <c r="AB32" i="3"/>
  <c r="L32" i="3"/>
  <c r="K32" i="3"/>
  <c r="AS32" i="3" s="1"/>
  <c r="BB31" i="3"/>
  <c r="BA31" i="3"/>
  <c r="AZ31" i="3"/>
  <c r="AW31" i="3"/>
  <c r="AV31" i="3"/>
  <c r="AU31" i="3"/>
  <c r="AT31" i="3"/>
  <c r="AD31" i="3"/>
  <c r="AC31" i="3"/>
  <c r="AB31" i="3"/>
  <c r="L31" i="3"/>
  <c r="K31" i="3"/>
  <c r="AS31" i="3" s="1"/>
  <c r="BB30" i="3"/>
  <c r="BA30" i="3"/>
  <c r="AZ30" i="3"/>
  <c r="AW30" i="3"/>
  <c r="AV30" i="3"/>
  <c r="AU30" i="3"/>
  <c r="AT30" i="3"/>
  <c r="AD30" i="3"/>
  <c r="AC30" i="3"/>
  <c r="AB30" i="3"/>
  <c r="L30" i="3"/>
  <c r="K30" i="3"/>
  <c r="AS30" i="3" s="1"/>
  <c r="BB29" i="3"/>
  <c r="BA29" i="3"/>
  <c r="AZ29" i="3"/>
  <c r="AW29" i="3"/>
  <c r="AV29" i="3"/>
  <c r="AU29" i="3"/>
  <c r="AT29" i="3"/>
  <c r="AD29" i="3"/>
  <c r="AC29" i="3"/>
  <c r="AB29" i="3"/>
  <c r="L29" i="3"/>
  <c r="K29" i="3"/>
  <c r="AS29" i="3" s="1"/>
  <c r="BB28" i="3"/>
  <c r="BA28" i="3"/>
  <c r="AZ28" i="3"/>
  <c r="AW28" i="3"/>
  <c r="AV28" i="3"/>
  <c r="AU28" i="3"/>
  <c r="AT28" i="3"/>
  <c r="AD28" i="3"/>
  <c r="AC28" i="3"/>
  <c r="AB28" i="3"/>
  <c r="L28" i="3"/>
  <c r="K28" i="3"/>
  <c r="AS28" i="3" s="1"/>
  <c r="BB27" i="3"/>
  <c r="BA27" i="3"/>
  <c r="AZ27" i="3"/>
  <c r="AW27" i="3"/>
  <c r="AV27" i="3"/>
  <c r="AU27" i="3"/>
  <c r="AT27" i="3"/>
  <c r="AD27" i="3"/>
  <c r="AC27" i="3"/>
  <c r="AB27" i="3"/>
  <c r="L27" i="3"/>
  <c r="K27" i="3"/>
  <c r="AS27" i="3" s="1"/>
  <c r="BB26" i="3"/>
  <c r="BA26" i="3"/>
  <c r="AZ26" i="3"/>
  <c r="AW26" i="3"/>
  <c r="AV26" i="3"/>
  <c r="AU26" i="3"/>
  <c r="AT26" i="3"/>
  <c r="AD26" i="3"/>
  <c r="AC26" i="3"/>
  <c r="AB26" i="3"/>
  <c r="L26" i="3"/>
  <c r="K26" i="3"/>
  <c r="AS26" i="3" s="1"/>
  <c r="BB25" i="3"/>
  <c r="BA25" i="3"/>
  <c r="AZ25" i="3"/>
  <c r="AW25" i="3"/>
  <c r="AV25" i="3"/>
  <c r="AU25" i="3"/>
  <c r="AT25" i="3"/>
  <c r="AD25" i="3"/>
  <c r="AC25" i="3"/>
  <c r="AB25" i="3"/>
  <c r="L25" i="3"/>
  <c r="K25" i="3"/>
  <c r="AS25" i="3" s="1"/>
  <c r="BB24" i="3"/>
  <c r="BA24" i="3"/>
  <c r="AZ24" i="3"/>
  <c r="AW24" i="3"/>
  <c r="AV24" i="3"/>
  <c r="AU24" i="3"/>
  <c r="AT24" i="3"/>
  <c r="AD24" i="3"/>
  <c r="AC24" i="3"/>
  <c r="AB24" i="3"/>
  <c r="L24" i="3"/>
  <c r="K24" i="3"/>
  <c r="AS24" i="3" s="1"/>
  <c r="BB23" i="3"/>
  <c r="BA23" i="3"/>
  <c r="AZ23" i="3"/>
  <c r="AW23" i="3"/>
  <c r="AV23" i="3"/>
  <c r="AU23" i="3"/>
  <c r="AT23" i="3"/>
  <c r="AD23" i="3"/>
  <c r="AC23" i="3"/>
  <c r="AB23" i="3"/>
  <c r="L23" i="3"/>
  <c r="K23" i="3"/>
  <c r="AS23" i="3" s="1"/>
  <c r="BB22" i="3"/>
  <c r="BA22" i="3"/>
  <c r="AZ22" i="3"/>
  <c r="AW22" i="3"/>
  <c r="AV22" i="3"/>
  <c r="AU22" i="3"/>
  <c r="AT22" i="3"/>
  <c r="AD22" i="3"/>
  <c r="AC22" i="3"/>
  <c r="AB22" i="3"/>
  <c r="L22" i="3"/>
  <c r="K22" i="3"/>
  <c r="AS22" i="3" s="1"/>
  <c r="BB21" i="3"/>
  <c r="BA21" i="3"/>
  <c r="AZ21" i="3"/>
  <c r="AW21" i="3"/>
  <c r="AV21" i="3"/>
  <c r="AU21" i="3"/>
  <c r="AT21" i="3"/>
  <c r="AD21" i="3"/>
  <c r="AC21" i="3"/>
  <c r="AB21" i="3"/>
  <c r="L21" i="3"/>
  <c r="K21" i="3"/>
  <c r="AS21" i="3" s="1"/>
  <c r="BB20" i="3"/>
  <c r="BA20" i="3"/>
  <c r="AZ20" i="3"/>
  <c r="AW20" i="3"/>
  <c r="AV20" i="3"/>
  <c r="AU20" i="3"/>
  <c r="AT20" i="3"/>
  <c r="AD20" i="3"/>
  <c r="AC20" i="3"/>
  <c r="AB20" i="3"/>
  <c r="L20" i="3"/>
  <c r="K20" i="3"/>
  <c r="AS20" i="3" s="1"/>
  <c r="BB19" i="3"/>
  <c r="BA19" i="3"/>
  <c r="AZ19" i="3"/>
  <c r="AW19" i="3"/>
  <c r="AV19" i="3"/>
  <c r="AU19" i="3"/>
  <c r="AT19" i="3"/>
  <c r="AD19" i="3"/>
  <c r="AC19" i="3"/>
  <c r="AB19" i="3"/>
  <c r="L19" i="3"/>
  <c r="K19" i="3"/>
  <c r="AS19" i="3" s="1"/>
  <c r="BB18" i="3"/>
  <c r="BA18" i="3"/>
  <c r="AZ18" i="3"/>
  <c r="AW18" i="3"/>
  <c r="AV18" i="3"/>
  <c r="AU18" i="3"/>
  <c r="AT18" i="3"/>
  <c r="AD18" i="3"/>
  <c r="AC18" i="3"/>
  <c r="AB18" i="3"/>
  <c r="L18" i="3"/>
  <c r="K18" i="3"/>
  <c r="AS18" i="3" s="1"/>
  <c r="BB17" i="3"/>
  <c r="BA17" i="3"/>
  <c r="AZ17" i="3"/>
  <c r="AW17" i="3"/>
  <c r="AV17" i="3"/>
  <c r="AU17" i="3"/>
  <c r="AT17" i="3"/>
  <c r="AD17" i="3"/>
  <c r="AC17" i="3"/>
  <c r="AB17" i="3"/>
  <c r="L17" i="3"/>
  <c r="K17" i="3"/>
  <c r="AS17" i="3" s="1"/>
  <c r="BB16" i="3"/>
  <c r="BA16" i="3"/>
  <c r="AZ16" i="3"/>
  <c r="AW16" i="3"/>
  <c r="AV16" i="3"/>
  <c r="AU16" i="3"/>
  <c r="AT16" i="3"/>
  <c r="AD16" i="3"/>
  <c r="AC16" i="3"/>
  <c r="AB16" i="3"/>
  <c r="L16" i="3"/>
  <c r="K16" i="3"/>
  <c r="AS16" i="3" s="1"/>
  <c r="BB15" i="3"/>
  <c r="BA15" i="3"/>
  <c r="AZ15" i="3"/>
  <c r="AW15" i="3"/>
  <c r="AV15" i="3"/>
  <c r="AU15" i="3"/>
  <c r="AT15" i="3"/>
  <c r="AD15" i="3"/>
  <c r="AC15" i="3"/>
  <c r="AB15" i="3"/>
  <c r="L15" i="3"/>
  <c r="K15" i="3"/>
  <c r="AS15" i="3" s="1"/>
  <c r="BB14" i="3"/>
  <c r="BA14" i="3"/>
  <c r="AZ14" i="3"/>
  <c r="AW14" i="3"/>
  <c r="AV14" i="3"/>
  <c r="AU14" i="3"/>
  <c r="AT14" i="3"/>
  <c r="AD14" i="3"/>
  <c r="AC14" i="3"/>
  <c r="AB14" i="3"/>
  <c r="L14" i="3"/>
  <c r="K14" i="3"/>
  <c r="AS14" i="3" s="1"/>
  <c r="BB13" i="3"/>
  <c r="BA13" i="3"/>
  <c r="AZ13" i="3"/>
  <c r="AW13" i="3"/>
  <c r="AV13" i="3"/>
  <c r="AU13" i="3"/>
  <c r="AT13" i="3"/>
  <c r="AD13" i="3"/>
  <c r="AC13" i="3"/>
  <c r="AB13" i="3"/>
  <c r="L13" i="3"/>
  <c r="K13" i="3"/>
  <c r="AS13" i="3" s="1"/>
  <c r="BB12" i="3"/>
  <c r="BA12" i="3"/>
  <c r="AZ12" i="3"/>
  <c r="AW12" i="3"/>
  <c r="AV12" i="3"/>
  <c r="AU12" i="3"/>
  <c r="AT12" i="3"/>
  <c r="AD12" i="3"/>
  <c r="AC12" i="3"/>
  <c r="AB12" i="3"/>
  <c r="L12" i="3"/>
  <c r="K12" i="3"/>
  <c r="AS12" i="3" s="1"/>
  <c r="BB11" i="3"/>
  <c r="BA11" i="3"/>
  <c r="AZ11" i="3"/>
  <c r="AW11" i="3"/>
  <c r="AV11" i="3"/>
  <c r="AU11" i="3"/>
  <c r="AT11" i="3"/>
  <c r="AD11" i="3"/>
  <c r="AC11" i="3"/>
  <c r="AB11" i="3"/>
  <c r="L11" i="3"/>
  <c r="K11" i="3"/>
  <c r="AS11" i="3" s="1"/>
  <c r="BB10" i="3"/>
  <c r="BA10" i="3"/>
  <c r="AZ10" i="3"/>
  <c r="AW10" i="3"/>
  <c r="AV10" i="3"/>
  <c r="AU10" i="3"/>
  <c r="AT10" i="3"/>
  <c r="AD10" i="3"/>
  <c r="AC10" i="3"/>
  <c r="AB10" i="3"/>
  <c r="L10" i="3"/>
  <c r="K10" i="3"/>
  <c r="AS10" i="3" s="1"/>
  <c r="BB9" i="3"/>
  <c r="BA9" i="3"/>
  <c r="AZ9" i="3"/>
  <c r="AW9" i="3"/>
  <c r="AV9" i="3"/>
  <c r="AU9" i="3"/>
  <c r="AT9" i="3"/>
  <c r="AD9" i="3"/>
  <c r="AC9" i="3"/>
  <c r="AB9" i="3"/>
  <c r="L9" i="3"/>
  <c r="K9" i="3"/>
  <c r="AS9" i="3" s="1"/>
  <c r="BB8" i="3"/>
  <c r="BA8" i="3"/>
  <c r="AZ8" i="3"/>
  <c r="AW8" i="3"/>
  <c r="AV8" i="3"/>
  <c r="AU8" i="3"/>
  <c r="AT8" i="3"/>
  <c r="AD8" i="3"/>
  <c r="AC8" i="3"/>
  <c r="AB8" i="3"/>
  <c r="L8" i="3"/>
  <c r="K8" i="3"/>
  <c r="AS8" i="3" s="1"/>
  <c r="BB7" i="3"/>
  <c r="BA7" i="3"/>
  <c r="AZ7" i="3"/>
  <c r="AW7" i="3"/>
  <c r="AV7" i="3"/>
  <c r="AU7" i="3"/>
  <c r="AT7" i="3"/>
  <c r="AD7" i="3"/>
  <c r="AC7" i="3"/>
  <c r="AB7" i="3"/>
  <c r="L7" i="3"/>
  <c r="K7" i="3"/>
  <c r="AS7" i="3" s="1"/>
  <c r="BB6" i="3"/>
  <c r="BA6" i="3"/>
  <c r="AZ6" i="3"/>
  <c r="AW6" i="3"/>
  <c r="AV6" i="3"/>
  <c r="AU6" i="3"/>
  <c r="AT6" i="3"/>
  <c r="AD6" i="3"/>
  <c r="AC6" i="3"/>
  <c r="AB6" i="3"/>
  <c r="L6" i="3"/>
  <c r="K6" i="3"/>
  <c r="AS6" i="3" s="1"/>
  <c r="BB5" i="3"/>
  <c r="BA5" i="3"/>
  <c r="AZ5" i="3"/>
  <c r="AW5" i="3"/>
  <c r="AV5" i="3"/>
  <c r="AU5" i="3"/>
  <c r="AT5" i="3"/>
  <c r="AD5" i="3"/>
  <c r="AC5" i="3"/>
  <c r="AB5" i="3"/>
  <c r="L5" i="3"/>
  <c r="K5" i="3"/>
  <c r="AS5" i="3" s="1"/>
  <c r="D14" i="2"/>
  <c r="D13" i="2"/>
  <c r="D12" i="2"/>
  <c r="D11" i="2"/>
  <c r="D10" i="2"/>
  <c r="D9" i="2"/>
  <c r="D8" i="2"/>
  <c r="H4" i="2"/>
  <c r="B4" i="2"/>
  <c r="AX150" i="3" l="1"/>
  <c r="AS76" i="3"/>
  <c r="AX142" i="3"/>
  <c r="AX136" i="3"/>
  <c r="AX133" i="3"/>
  <c r="AX123" i="3"/>
  <c r="AX118" i="3"/>
  <c r="AX108" i="3"/>
  <c r="AX107" i="3"/>
  <c r="AX102" i="3"/>
  <c r="AX97" i="3"/>
  <c r="AX92" i="3"/>
  <c r="AX87" i="3"/>
  <c r="AX80" i="3"/>
  <c r="AX77" i="3"/>
  <c r="AX61" i="3"/>
  <c r="AX36" i="3"/>
  <c r="AX35" i="3"/>
  <c r="AX27" i="3"/>
  <c r="AX24" i="3"/>
  <c r="AX20" i="3"/>
  <c r="AY20" i="3" s="1"/>
  <c r="AX10" i="3"/>
  <c r="AX7" i="3"/>
  <c r="AX23" i="3"/>
  <c r="AX21" i="3"/>
  <c r="AY21" i="3" s="1"/>
  <c r="AX17" i="3"/>
  <c r="AX144" i="3"/>
  <c r="AX131" i="3"/>
  <c r="AX113" i="3"/>
  <c r="AX101" i="3"/>
  <c r="AX96" i="3"/>
  <c r="AX95" i="3"/>
  <c r="AX90" i="3"/>
  <c r="AX86" i="3"/>
  <c r="AX82" i="3"/>
  <c r="AX54" i="3"/>
  <c r="AX49" i="3"/>
  <c r="AX40" i="3"/>
  <c r="AX25" i="3"/>
  <c r="AX18" i="3"/>
  <c r="AX146" i="3"/>
  <c r="AX138" i="3"/>
  <c r="AX132" i="3"/>
  <c r="AX125" i="3"/>
  <c r="AX121" i="3"/>
  <c r="AX117" i="3"/>
  <c r="AX111" i="3"/>
  <c r="AX105" i="3"/>
  <c r="AX100" i="3"/>
  <c r="AX89" i="3"/>
  <c r="AX85" i="3"/>
  <c r="AX78" i="3"/>
  <c r="AX58" i="3"/>
  <c r="AX51" i="3"/>
  <c r="AX48" i="3"/>
  <c r="AX41" i="3"/>
  <c r="AX29" i="3"/>
  <c r="AX26" i="3"/>
  <c r="AX22" i="3"/>
  <c r="AX14" i="3"/>
  <c r="AX9" i="3"/>
  <c r="AX8" i="3"/>
  <c r="AX76" i="3"/>
  <c r="AX59" i="3"/>
  <c r="AX42" i="3"/>
  <c r="AX37" i="3"/>
  <c r="AX31" i="3"/>
  <c r="AX148" i="3"/>
  <c r="AX143" i="3"/>
  <c r="AX127" i="3"/>
  <c r="AX114" i="3"/>
  <c r="AX110" i="3"/>
  <c r="AX106" i="3"/>
  <c r="AX98" i="3"/>
  <c r="AX93" i="3"/>
  <c r="AX83" i="3"/>
  <c r="AX79" i="3"/>
  <c r="AX60" i="3"/>
  <c r="AX56" i="3"/>
  <c r="AX50" i="3"/>
  <c r="AX44" i="3"/>
  <c r="AX39" i="3"/>
  <c r="AX34" i="3"/>
  <c r="AX11" i="3"/>
  <c r="AX6" i="3"/>
  <c r="AX147" i="3"/>
  <c r="AX145" i="3"/>
  <c r="AX140" i="3"/>
  <c r="AX134" i="3"/>
  <c r="AX126" i="3"/>
  <c r="AX122" i="3"/>
  <c r="AX119" i="3"/>
  <c r="AX115" i="3"/>
  <c r="AX112" i="3"/>
  <c r="AX91" i="3"/>
  <c r="AX81" i="3"/>
  <c r="AX55" i="3"/>
  <c r="AX53" i="3"/>
  <c r="AX52" i="3"/>
  <c r="AX47" i="3"/>
  <c r="AX46" i="3"/>
  <c r="AX45" i="3"/>
  <c r="AX32" i="3"/>
  <c r="AX19" i="3"/>
  <c r="AY19" i="3" s="1"/>
  <c r="AX16" i="3"/>
  <c r="AX13" i="3"/>
  <c r="AX5" i="3"/>
  <c r="AX149" i="3"/>
  <c r="AX141" i="3"/>
  <c r="AX139" i="3"/>
  <c r="AX137" i="3"/>
  <c r="AX135" i="3"/>
  <c r="AX130" i="3"/>
  <c r="AX129" i="3"/>
  <c r="AX128" i="3"/>
  <c r="AX124" i="3"/>
  <c r="AX120" i="3"/>
  <c r="AX116" i="3"/>
  <c r="AX109" i="3"/>
  <c r="AX104" i="3"/>
  <c r="AX103" i="3"/>
  <c r="AX99" i="3"/>
  <c r="AX94" i="3"/>
  <c r="AX88" i="3"/>
  <c r="AX84" i="3"/>
  <c r="AX57" i="3"/>
  <c r="AX43" i="3"/>
  <c r="AX38" i="3"/>
  <c r="AX33" i="3"/>
  <c r="AX30" i="3"/>
  <c r="AX28" i="3"/>
  <c r="AX15" i="3"/>
  <c r="AX12" i="3"/>
  <c r="D4" i="2"/>
  <c r="F24" i="4"/>
  <c r="AG150" i="3"/>
  <c r="AY150" i="3"/>
  <c r="AG149" i="3"/>
  <c r="AY149" i="3"/>
  <c r="AG148" i="3"/>
  <c r="AY148" i="3"/>
  <c r="AY147" i="3"/>
  <c r="AG147" i="3"/>
  <c r="AG146" i="3"/>
  <c r="AY146" i="3"/>
  <c r="AY145" i="3"/>
  <c r="AG145" i="3"/>
  <c r="AG144" i="3"/>
  <c r="AY144" i="3"/>
  <c r="AG143" i="3"/>
  <c r="AY143" i="3"/>
  <c r="AY142" i="3"/>
  <c r="AG142" i="3"/>
  <c r="AY141" i="3"/>
  <c r="AG141" i="3"/>
  <c r="AY140" i="3"/>
  <c r="AG140" i="3"/>
  <c r="AG139" i="3"/>
  <c r="AY139" i="3"/>
  <c r="AG138" i="3"/>
  <c r="AY138" i="3"/>
  <c r="AY137" i="3"/>
  <c r="AG137" i="3"/>
  <c r="AY136" i="3"/>
  <c r="AG136" i="3"/>
  <c r="AG135" i="3"/>
  <c r="AY135" i="3"/>
  <c r="AY134" i="3"/>
  <c r="AG134" i="3"/>
  <c r="AY133" i="3"/>
  <c r="AG133" i="3"/>
  <c r="AY132" i="3"/>
  <c r="AG132" i="3"/>
  <c r="AG131" i="3"/>
  <c r="AY131" i="3"/>
  <c r="AY130" i="3"/>
  <c r="AG130" i="3"/>
  <c r="AG129" i="3"/>
  <c r="AY129" i="3"/>
  <c r="AY128" i="3"/>
  <c r="AG128" i="3"/>
  <c r="AG127" i="3"/>
  <c r="AY127" i="3"/>
  <c r="AY126" i="3"/>
  <c r="AG126" i="3"/>
  <c r="AG125" i="3"/>
  <c r="AY125" i="3"/>
  <c r="AY124" i="3"/>
  <c r="AG124" i="3"/>
  <c r="AY123" i="3"/>
  <c r="AG123" i="3"/>
  <c r="AG122" i="3"/>
  <c r="AY122" i="3"/>
  <c r="AG121" i="3"/>
  <c r="AY121" i="3"/>
  <c r="AG120" i="3"/>
  <c r="AY120" i="3"/>
  <c r="AY119" i="3"/>
  <c r="AG119" i="3"/>
  <c r="AG118" i="3"/>
  <c r="AY118" i="3"/>
  <c r="AY117" i="3"/>
  <c r="AG117" i="3"/>
  <c r="AG116" i="3"/>
  <c r="AY116" i="3"/>
  <c r="AG115" i="3"/>
  <c r="AY115" i="3"/>
  <c r="AY114" i="3"/>
  <c r="AG114" i="3"/>
  <c r="AY113" i="3"/>
  <c r="AG113" i="3"/>
  <c r="AY112" i="3"/>
  <c r="AG112" i="3"/>
  <c r="AG111" i="3"/>
  <c r="AY111" i="3"/>
  <c r="AG110" i="3"/>
  <c r="AY110" i="3"/>
  <c r="AG109" i="3"/>
  <c r="AY109" i="3"/>
  <c r="AY108" i="3"/>
  <c r="AG108" i="3"/>
  <c r="AY107" i="3"/>
  <c r="AG107" i="3"/>
  <c r="AG106" i="3"/>
  <c r="AY106" i="3"/>
  <c r="AG105" i="3"/>
  <c r="AY105" i="3"/>
  <c r="AG104" i="3"/>
  <c r="AY104" i="3"/>
  <c r="AG103" i="3"/>
  <c r="AY103" i="3"/>
  <c r="AG102" i="3"/>
  <c r="AY102" i="3"/>
  <c r="AG101" i="3"/>
  <c r="AY101" i="3"/>
  <c r="AG100" i="3"/>
  <c r="AY100" i="3"/>
  <c r="AY99" i="3"/>
  <c r="AG99" i="3"/>
  <c r="AY98" i="3"/>
  <c r="AG98" i="3"/>
  <c r="AG97" i="3"/>
  <c r="AY97" i="3"/>
  <c r="AG96" i="3"/>
  <c r="AY96" i="3"/>
  <c r="AY95" i="3"/>
  <c r="AG95" i="3"/>
  <c r="AG94" i="3"/>
  <c r="AY94" i="3"/>
  <c r="AG93" i="3"/>
  <c r="AY93" i="3"/>
  <c r="AY92" i="3"/>
  <c r="AG92" i="3"/>
  <c r="AY91" i="3"/>
  <c r="AG91" i="3"/>
  <c r="AG90" i="3"/>
  <c r="AY90" i="3"/>
  <c r="AG89" i="3"/>
  <c r="AY89" i="3"/>
  <c r="AY88" i="3"/>
  <c r="AG88" i="3"/>
  <c r="AG87" i="3"/>
  <c r="AY87" i="3"/>
  <c r="AG86" i="3"/>
  <c r="AY86" i="3"/>
  <c r="AG85" i="3"/>
  <c r="AY85" i="3"/>
  <c r="AG84" i="3"/>
  <c r="AY84" i="3"/>
  <c r="AY83" i="3"/>
  <c r="AG83" i="3"/>
  <c r="AY82" i="3"/>
  <c r="AG82" i="3"/>
  <c r="AG81" i="3"/>
  <c r="AY81" i="3"/>
  <c r="AG80" i="3"/>
  <c r="AY80" i="3"/>
  <c r="AG79" i="3"/>
  <c r="AY79" i="3"/>
  <c r="AY78" i="3"/>
  <c r="AG78" i="3"/>
  <c r="AG77" i="3"/>
  <c r="AY77" i="3"/>
  <c r="AG76" i="3"/>
  <c r="AY76" i="3"/>
  <c r="AY75" i="3"/>
  <c r="AG75" i="3"/>
  <c r="AY74" i="3"/>
  <c r="AG74" i="3"/>
  <c r="AY73" i="3"/>
  <c r="AG73" i="3"/>
  <c r="AY72" i="3"/>
  <c r="AG72" i="3"/>
  <c r="AG71" i="3"/>
  <c r="AY71" i="3"/>
  <c r="AY70" i="3"/>
  <c r="AG70" i="3"/>
  <c r="AG69" i="3"/>
  <c r="AY69" i="3"/>
  <c r="AY68" i="3"/>
  <c r="AG68" i="3"/>
  <c r="AG67" i="3"/>
  <c r="AY67" i="3"/>
  <c r="AG66" i="3"/>
  <c r="AY66" i="3"/>
  <c r="AY65" i="3"/>
  <c r="AG65" i="3"/>
  <c r="AY64" i="3"/>
  <c r="AG64" i="3"/>
  <c r="AG63" i="3"/>
  <c r="AY63" i="3"/>
  <c r="AY62" i="3"/>
  <c r="AG62" i="3"/>
  <c r="AY61" i="3"/>
  <c r="AG61" i="3"/>
  <c r="AY60" i="3"/>
  <c r="AG60" i="3"/>
  <c r="AG59" i="3"/>
  <c r="AY59" i="3"/>
  <c r="AY58" i="3"/>
  <c r="AG58" i="3"/>
  <c r="AG57" i="3"/>
  <c r="AY57" i="3"/>
  <c r="AY56" i="3"/>
  <c r="AG56" i="3"/>
  <c r="AG55" i="3"/>
  <c r="AY55" i="3"/>
  <c r="AG54" i="3"/>
  <c r="AY54" i="3"/>
  <c r="AG53" i="3"/>
  <c r="AY53" i="3"/>
  <c r="AG52" i="3"/>
  <c r="AY52" i="3"/>
  <c r="AG51" i="3"/>
  <c r="AY51" i="3"/>
  <c r="AY50" i="3"/>
  <c r="AG50" i="3"/>
  <c r="AY49" i="3"/>
  <c r="AG49" i="3"/>
  <c r="AY48" i="3"/>
  <c r="AG48" i="3"/>
  <c r="AY47" i="3"/>
  <c r="AG47" i="3"/>
  <c r="AG46" i="3"/>
  <c r="AY46" i="3"/>
  <c r="AY45" i="3"/>
  <c r="AG45" i="3"/>
  <c r="AG44" i="3"/>
  <c r="AY44" i="3"/>
  <c r="AY43" i="3"/>
  <c r="AG43" i="3"/>
  <c r="AY42" i="3"/>
  <c r="AG42" i="3"/>
  <c r="AG41" i="3"/>
  <c r="AY41" i="3"/>
  <c r="AY40" i="3"/>
  <c r="AG40" i="3"/>
  <c r="AY39" i="3"/>
  <c r="AG39" i="3"/>
  <c r="AY38" i="3"/>
  <c r="AG38" i="3"/>
  <c r="AY37" i="3"/>
  <c r="AG37" i="3"/>
  <c r="AY36" i="3"/>
  <c r="AG36" i="3"/>
  <c r="AG35" i="3"/>
  <c r="AY35" i="3"/>
  <c r="AG34" i="3"/>
  <c r="AY34" i="3"/>
  <c r="AY33" i="3"/>
  <c r="AG33" i="3"/>
  <c r="AY32" i="3"/>
  <c r="AG32" i="3"/>
  <c r="AG31" i="3"/>
  <c r="AY31" i="3"/>
  <c r="AG30" i="3"/>
  <c r="AY30" i="3"/>
  <c r="AY29" i="3"/>
  <c r="AG29" i="3"/>
  <c r="AY28" i="3"/>
  <c r="AG28" i="3"/>
  <c r="AY27" i="3"/>
  <c r="AG27" i="3"/>
  <c r="AY26" i="3"/>
  <c r="AG26" i="3"/>
  <c r="AG25" i="3"/>
  <c r="AY25" i="3"/>
  <c r="AG24" i="3"/>
  <c r="AY24" i="3"/>
  <c r="AY23" i="3"/>
  <c r="AG23" i="3"/>
  <c r="AY22" i="3"/>
  <c r="AG22" i="3"/>
  <c r="AG21" i="3"/>
  <c r="AG20" i="3"/>
  <c r="AG19" i="3"/>
  <c r="AG18" i="3"/>
  <c r="AY18" i="3"/>
  <c r="AY17" i="3"/>
  <c r="AG17" i="3"/>
  <c r="AY16" i="3"/>
  <c r="AG16" i="3"/>
  <c r="AY15" i="3"/>
  <c r="AG15" i="3"/>
  <c r="AY14" i="3"/>
  <c r="AG14" i="3"/>
  <c r="AG13" i="3"/>
  <c r="AY13" i="3"/>
  <c r="AG12" i="3"/>
  <c r="AY12" i="3"/>
  <c r="AG11" i="3"/>
  <c r="AY11" i="3"/>
  <c r="AG10" i="3"/>
  <c r="AY10" i="3"/>
  <c r="AY9" i="3"/>
  <c r="AG9" i="3"/>
  <c r="AG8" i="3"/>
  <c r="AY8" i="3"/>
  <c r="AY7" i="3"/>
  <c r="AG7" i="3"/>
  <c r="AY6" i="3"/>
  <c r="AG6" i="3"/>
  <c r="AY5" i="3"/>
  <c r="AG5" i="3"/>
  <c r="G14" i="2"/>
  <c r="F14" i="2"/>
  <c r="H14" i="2"/>
  <c r="F13" i="2"/>
  <c r="G13" i="2"/>
  <c r="H13" i="2"/>
  <c r="H12" i="2"/>
  <c r="G12" i="2"/>
  <c r="F12" i="2"/>
  <c r="F11" i="2"/>
  <c r="G11" i="2"/>
  <c r="H11" i="2"/>
  <c r="F10" i="2"/>
  <c r="G10" i="2"/>
  <c r="H10" i="2"/>
  <c r="G9" i="2"/>
  <c r="F9" i="2"/>
  <c r="H9" i="2"/>
  <c r="H8" i="2"/>
  <c r="G8" i="2"/>
  <c r="F8" i="2"/>
  <c r="AH150" i="3" l="1"/>
  <c r="AI150" i="3"/>
  <c r="BA150" i="5"/>
  <c r="BC150" i="3"/>
  <c r="BD150" i="3" s="1"/>
  <c r="AH149" i="3"/>
  <c r="AI149" i="3"/>
  <c r="BC149" i="3"/>
  <c r="BD149" i="3" s="1"/>
  <c r="BA149" i="5"/>
  <c r="AH148" i="3"/>
  <c r="AI148" i="3"/>
  <c r="BC148" i="3"/>
  <c r="BD148" i="3" s="1"/>
  <c r="BA148" i="5"/>
  <c r="AH147" i="3"/>
  <c r="AI147" i="3"/>
  <c r="BC147" i="3"/>
  <c r="BD147" i="3" s="1"/>
  <c r="BA147" i="5"/>
  <c r="AH146" i="3"/>
  <c r="AI146" i="3"/>
  <c r="BA146" i="5"/>
  <c r="BC146" i="3"/>
  <c r="BD146" i="3" s="1"/>
  <c r="AH145" i="3"/>
  <c r="AI145" i="3"/>
  <c r="BC145" i="3"/>
  <c r="BD145" i="3" s="1"/>
  <c r="BA145" i="5"/>
  <c r="AH144" i="3"/>
  <c r="AI144" i="3"/>
  <c r="BA144" i="5"/>
  <c r="BC144" i="3"/>
  <c r="BD144" i="3" s="1"/>
  <c r="AH143" i="3"/>
  <c r="AI143" i="3"/>
  <c r="BC143" i="3"/>
  <c r="BD143" i="3" s="1"/>
  <c r="BA143" i="5"/>
  <c r="AH142" i="3"/>
  <c r="AI142" i="3"/>
  <c r="BC142" i="3"/>
  <c r="BD142" i="3" s="1"/>
  <c r="BA142" i="5"/>
  <c r="AH141" i="3"/>
  <c r="AI141" i="3"/>
  <c r="BC141" i="3"/>
  <c r="BD141" i="3" s="1"/>
  <c r="BA141" i="5"/>
  <c r="AH140" i="3"/>
  <c r="AI140" i="3"/>
  <c r="BC140" i="3"/>
  <c r="BD140" i="3" s="1"/>
  <c r="BA140" i="5"/>
  <c r="AH139" i="3"/>
  <c r="AI139" i="3"/>
  <c r="BC139" i="3"/>
  <c r="BD139" i="3" s="1"/>
  <c r="BA139" i="5"/>
  <c r="AH138" i="3"/>
  <c r="AI138" i="3"/>
  <c r="BA138" i="5"/>
  <c r="BC138" i="3"/>
  <c r="BD138" i="3" s="1"/>
  <c r="AH137" i="3"/>
  <c r="AI137" i="3"/>
  <c r="BC137" i="3"/>
  <c r="BD137" i="3" s="1"/>
  <c r="BA137" i="5"/>
  <c r="AH136" i="3"/>
  <c r="AI136" i="3"/>
  <c r="BC136" i="3"/>
  <c r="BD136" i="3" s="1"/>
  <c r="BA136" i="5"/>
  <c r="AH135" i="3"/>
  <c r="AI135" i="3"/>
  <c r="BC135" i="3"/>
  <c r="BD135" i="3" s="1"/>
  <c r="BA135" i="5"/>
  <c r="AH134" i="3"/>
  <c r="AI134" i="3"/>
  <c r="BC134" i="3"/>
  <c r="BD134" i="3" s="1"/>
  <c r="BA134" i="5"/>
  <c r="AH133" i="3"/>
  <c r="AI133" i="3"/>
  <c r="BA133" i="5"/>
  <c r="BC133" i="3"/>
  <c r="BD133" i="3" s="1"/>
  <c r="AH132" i="3"/>
  <c r="AI132" i="3"/>
  <c r="BC132" i="3"/>
  <c r="BD132" i="3" s="1"/>
  <c r="BA132" i="5"/>
  <c r="AH131" i="3"/>
  <c r="AI131" i="3"/>
  <c r="BA131" i="5"/>
  <c r="BC131" i="3"/>
  <c r="BD131" i="3" s="1"/>
  <c r="AH130" i="3"/>
  <c r="AI130" i="3"/>
  <c r="BC130" i="3"/>
  <c r="BD130" i="3" s="1"/>
  <c r="BA130" i="5"/>
  <c r="AH129" i="3"/>
  <c r="AI129" i="3"/>
  <c r="BC129" i="3"/>
  <c r="BD129" i="3" s="1"/>
  <c r="BA129" i="5"/>
  <c r="AH128" i="3"/>
  <c r="AI128" i="3"/>
  <c r="BC128" i="3"/>
  <c r="BD128" i="3" s="1"/>
  <c r="BA128" i="5"/>
  <c r="AH127" i="3"/>
  <c r="AI127" i="3"/>
  <c r="BA127" i="5"/>
  <c r="BC127" i="3"/>
  <c r="BD127" i="3" s="1"/>
  <c r="AH126" i="3"/>
  <c r="AI126" i="3"/>
  <c r="BA126" i="5"/>
  <c r="BC126" i="3"/>
  <c r="BD126" i="3" s="1"/>
  <c r="AH125" i="3"/>
  <c r="AI125" i="3"/>
  <c r="BA125" i="5"/>
  <c r="BC125" i="3"/>
  <c r="BD125" i="3" s="1"/>
  <c r="AH124" i="3"/>
  <c r="AI124" i="3"/>
  <c r="BA124" i="5"/>
  <c r="BC124" i="3"/>
  <c r="BD124" i="3" s="1"/>
  <c r="AH123" i="3"/>
  <c r="AI123" i="3"/>
  <c r="BC123" i="3"/>
  <c r="BD123" i="3" s="1"/>
  <c r="BA123" i="5"/>
  <c r="AH122" i="3"/>
  <c r="AI122" i="3"/>
  <c r="BC122" i="3"/>
  <c r="BD122" i="3" s="1"/>
  <c r="BA122" i="5"/>
  <c r="AH121" i="3"/>
  <c r="AI121" i="3"/>
  <c r="BA121" i="5"/>
  <c r="BC121" i="3"/>
  <c r="BD121" i="3" s="1"/>
  <c r="AH120" i="3"/>
  <c r="AI120" i="3"/>
  <c r="BC120" i="3"/>
  <c r="BD120" i="3" s="1"/>
  <c r="BA120" i="5"/>
  <c r="AH119" i="3"/>
  <c r="AI119" i="3"/>
  <c r="BA119" i="5"/>
  <c r="BC119" i="3"/>
  <c r="BD119" i="3" s="1"/>
  <c r="AI118" i="3"/>
  <c r="BC118" i="3"/>
  <c r="BD118" i="3" s="1"/>
  <c r="BA118" i="5"/>
  <c r="AH118" i="3"/>
  <c r="AH117" i="3"/>
  <c r="AI117" i="3"/>
  <c r="BA117" i="5"/>
  <c r="BC117" i="3"/>
  <c r="BD117" i="3" s="1"/>
  <c r="AH116" i="3"/>
  <c r="AI116" i="3"/>
  <c r="BC116" i="3"/>
  <c r="BD116" i="3" s="1"/>
  <c r="BA116" i="5"/>
  <c r="AH115" i="3"/>
  <c r="BC115" i="3"/>
  <c r="BD115" i="3" s="1"/>
  <c r="AI115" i="3"/>
  <c r="BA115" i="5"/>
  <c r="AH114" i="3"/>
  <c r="AI114" i="3"/>
  <c r="BC114" i="3"/>
  <c r="BD114" i="3" s="1"/>
  <c r="BA114" i="5"/>
  <c r="AH113" i="3"/>
  <c r="AI113" i="3"/>
  <c r="BA113" i="5"/>
  <c r="BC113" i="3"/>
  <c r="BD113" i="3" s="1"/>
  <c r="AH112" i="3"/>
  <c r="AI112" i="3"/>
  <c r="BA112" i="5"/>
  <c r="BC112" i="3"/>
  <c r="BD112" i="3" s="1"/>
  <c r="AH111" i="3"/>
  <c r="AI111" i="3"/>
  <c r="BA111" i="5"/>
  <c r="BC111" i="3"/>
  <c r="BD111" i="3" s="1"/>
  <c r="AH110" i="3"/>
  <c r="AI110" i="3"/>
  <c r="BA110" i="5"/>
  <c r="BC110" i="3"/>
  <c r="BD110" i="3" s="1"/>
  <c r="AH109" i="3"/>
  <c r="AI109" i="3"/>
  <c r="BC109" i="3"/>
  <c r="BD109" i="3" s="1"/>
  <c r="BA109" i="5"/>
  <c r="AH108" i="3"/>
  <c r="AI108" i="3"/>
  <c r="BA108" i="5"/>
  <c r="BC108" i="3"/>
  <c r="BD108" i="3" s="1"/>
  <c r="AH107" i="3"/>
  <c r="AI107" i="3"/>
  <c r="BA107" i="5"/>
  <c r="BC107" i="3"/>
  <c r="BD107" i="3" s="1"/>
  <c r="AH106" i="3"/>
  <c r="AI106" i="3"/>
  <c r="BC106" i="3"/>
  <c r="BD106" i="3" s="1"/>
  <c r="BA106" i="5"/>
  <c r="AH105" i="3"/>
  <c r="AI105" i="3"/>
  <c r="BA105" i="5"/>
  <c r="BC105" i="3"/>
  <c r="BD105" i="3" s="1"/>
  <c r="AH104" i="3"/>
  <c r="AI104" i="3"/>
  <c r="BA104" i="5"/>
  <c r="BC104" i="3"/>
  <c r="BD104" i="3" s="1"/>
  <c r="AH103" i="3"/>
  <c r="AI103" i="3"/>
  <c r="BC103" i="3"/>
  <c r="BD103" i="3" s="1"/>
  <c r="BA103" i="5"/>
  <c r="AH102" i="3"/>
  <c r="AI102" i="3"/>
  <c r="BC102" i="3"/>
  <c r="BD102" i="3" s="1"/>
  <c r="BA102" i="5"/>
  <c r="AH101" i="3"/>
  <c r="AI101" i="3"/>
  <c r="BC101" i="3"/>
  <c r="BD101" i="3" s="1"/>
  <c r="BA101" i="5"/>
  <c r="AH100" i="3"/>
  <c r="AI100" i="3"/>
  <c r="BA100" i="5"/>
  <c r="BC100" i="3"/>
  <c r="BD100" i="3" s="1"/>
  <c r="AH99" i="3"/>
  <c r="AI99" i="3"/>
  <c r="BA99" i="5"/>
  <c r="BC99" i="3"/>
  <c r="BD99" i="3" s="1"/>
  <c r="AH98" i="3"/>
  <c r="AI98" i="3"/>
  <c r="BC98" i="3"/>
  <c r="BD98" i="3" s="1"/>
  <c r="BA98" i="5"/>
  <c r="AH97" i="3"/>
  <c r="AI97" i="3"/>
  <c r="BA97" i="5"/>
  <c r="BC97" i="3"/>
  <c r="BD97" i="3" s="1"/>
  <c r="AH96" i="3"/>
  <c r="AI96" i="3"/>
  <c r="BA96" i="5"/>
  <c r="BC96" i="3"/>
  <c r="BD96" i="3" s="1"/>
  <c r="AH95" i="3"/>
  <c r="AI95" i="3"/>
  <c r="BC95" i="3"/>
  <c r="BD95" i="3" s="1"/>
  <c r="BA95" i="5"/>
  <c r="AH94" i="3"/>
  <c r="AI94" i="3"/>
  <c r="BC94" i="3"/>
  <c r="BD94" i="3" s="1"/>
  <c r="BA94" i="5"/>
  <c r="AH93" i="3"/>
  <c r="AI93" i="3"/>
  <c r="BA93" i="5"/>
  <c r="BC93" i="3"/>
  <c r="BD93" i="3" s="1"/>
  <c r="AH92" i="3"/>
  <c r="AI92" i="3"/>
  <c r="BC92" i="3"/>
  <c r="BD92" i="3" s="1"/>
  <c r="BA92" i="5"/>
  <c r="AH91" i="3"/>
  <c r="AI91" i="3"/>
  <c r="BC91" i="3"/>
  <c r="BD91" i="3" s="1"/>
  <c r="BA91" i="5"/>
  <c r="AH90" i="3"/>
  <c r="AI90" i="3"/>
  <c r="BC90" i="3"/>
  <c r="BD90" i="3" s="1"/>
  <c r="BA90" i="5"/>
  <c r="AH89" i="3"/>
  <c r="AI89" i="3"/>
  <c r="BC89" i="3"/>
  <c r="BD89" i="3" s="1"/>
  <c r="BA89" i="5"/>
  <c r="AH88" i="3"/>
  <c r="AI88" i="3"/>
  <c r="BC88" i="3"/>
  <c r="BD88" i="3" s="1"/>
  <c r="BA88" i="5"/>
  <c r="AH87" i="3"/>
  <c r="AI87" i="3"/>
  <c r="BC87" i="3"/>
  <c r="BD87" i="3" s="1"/>
  <c r="BA87" i="5"/>
  <c r="AH86" i="3"/>
  <c r="AI86" i="3"/>
  <c r="BC86" i="3"/>
  <c r="BD86" i="3" s="1"/>
  <c r="BA86" i="5"/>
  <c r="AH85" i="3"/>
  <c r="AI85" i="3"/>
  <c r="BA85" i="5"/>
  <c r="BC85" i="3"/>
  <c r="BD85" i="3" s="1"/>
  <c r="AH84" i="3"/>
  <c r="AI84" i="3"/>
  <c r="BA84" i="5"/>
  <c r="BC84" i="3"/>
  <c r="BD84" i="3" s="1"/>
  <c r="AH83" i="3"/>
  <c r="AI83" i="3"/>
  <c r="BA83" i="5"/>
  <c r="BC83" i="3"/>
  <c r="BD83" i="3" s="1"/>
  <c r="AH82" i="3"/>
  <c r="AI82" i="3"/>
  <c r="BC82" i="3"/>
  <c r="BD82" i="3" s="1"/>
  <c r="BA82" i="5"/>
  <c r="AH81" i="3"/>
  <c r="AI81" i="3"/>
  <c r="BC81" i="3"/>
  <c r="BD81" i="3" s="1"/>
  <c r="BA81" i="5"/>
  <c r="AH80" i="3"/>
  <c r="AI80" i="3"/>
  <c r="BA80" i="5"/>
  <c r="BC80" i="3"/>
  <c r="BD80" i="3" s="1"/>
  <c r="AI79" i="3"/>
  <c r="BC79" i="3"/>
  <c r="BD79" i="3" s="1"/>
  <c r="BA79" i="5"/>
  <c r="AH79" i="3"/>
  <c r="AH78" i="3"/>
  <c r="AI78" i="3"/>
  <c r="BA78" i="5"/>
  <c r="BC78" i="3"/>
  <c r="BD78" i="3" s="1"/>
  <c r="AH77" i="3"/>
  <c r="AI77" i="3"/>
  <c r="BC77" i="3"/>
  <c r="BD77" i="3" s="1"/>
  <c r="BA77" i="5"/>
  <c r="AH76" i="3"/>
  <c r="AI76" i="3"/>
  <c r="BC76" i="3"/>
  <c r="BD76" i="3" s="1"/>
  <c r="BA76" i="5"/>
  <c r="AH75" i="3"/>
  <c r="AI75" i="3"/>
  <c r="BC75" i="3"/>
  <c r="BD75" i="3" s="1"/>
  <c r="BA75" i="5"/>
  <c r="AH74" i="3"/>
  <c r="AI74" i="3"/>
  <c r="BC74" i="3"/>
  <c r="BD74" i="3" s="1"/>
  <c r="BA74" i="5"/>
  <c r="AH73" i="3"/>
  <c r="AI73" i="3"/>
  <c r="BC73" i="3"/>
  <c r="BD73" i="3" s="1"/>
  <c r="BA73" i="5"/>
  <c r="AH72" i="3"/>
  <c r="AI72" i="3"/>
  <c r="BC72" i="3"/>
  <c r="BD72" i="3" s="1"/>
  <c r="BA72" i="5"/>
  <c r="AH71" i="3"/>
  <c r="AI71" i="3"/>
  <c r="BC71" i="3"/>
  <c r="BD71" i="3" s="1"/>
  <c r="BA71" i="5"/>
  <c r="AH70" i="3"/>
  <c r="AI70" i="3"/>
  <c r="BC70" i="3"/>
  <c r="BD70" i="3" s="1"/>
  <c r="BA70" i="5"/>
  <c r="AH69" i="3"/>
  <c r="AI69" i="3"/>
  <c r="BC69" i="3"/>
  <c r="BD69" i="3" s="1"/>
  <c r="BA69" i="5"/>
  <c r="AH68" i="3"/>
  <c r="AI68" i="3"/>
  <c r="BC68" i="3"/>
  <c r="BD68" i="3" s="1"/>
  <c r="BA68" i="5"/>
  <c r="AH67" i="3"/>
  <c r="AI67" i="3"/>
  <c r="BC67" i="3"/>
  <c r="BD67" i="3" s="1"/>
  <c r="BA67" i="5"/>
  <c r="AH66" i="3"/>
  <c r="AI66" i="3"/>
  <c r="BC66" i="3"/>
  <c r="BD66" i="3" s="1"/>
  <c r="BA66" i="5"/>
  <c r="AH65" i="3"/>
  <c r="AI65" i="3"/>
  <c r="BC65" i="3"/>
  <c r="BD65" i="3" s="1"/>
  <c r="BA65" i="5"/>
  <c r="AH64" i="3"/>
  <c r="AI64" i="3"/>
  <c r="BC64" i="3"/>
  <c r="BD64" i="3" s="1"/>
  <c r="BA64" i="5"/>
  <c r="AH63" i="3"/>
  <c r="AI63" i="3"/>
  <c r="BC63" i="3"/>
  <c r="BD63" i="3" s="1"/>
  <c r="BA63" i="5"/>
  <c r="AH62" i="3"/>
  <c r="AI62" i="3"/>
  <c r="BC62" i="3"/>
  <c r="BD62" i="3" s="1"/>
  <c r="BA62" i="5"/>
  <c r="AH61" i="3"/>
  <c r="AI61" i="3"/>
  <c r="BC61" i="3"/>
  <c r="BD61" i="3" s="1"/>
  <c r="BA61" i="5"/>
  <c r="AH60" i="3"/>
  <c r="AI60" i="3"/>
  <c r="BC60" i="3"/>
  <c r="BD60" i="3" s="1"/>
  <c r="BA60" i="5"/>
  <c r="AH59" i="3"/>
  <c r="AI59" i="3"/>
  <c r="BC59" i="3"/>
  <c r="BD59" i="3" s="1"/>
  <c r="BA59" i="5"/>
  <c r="AH58" i="3"/>
  <c r="AI58" i="3"/>
  <c r="BC58" i="3"/>
  <c r="BD58" i="3" s="1"/>
  <c r="BA58" i="5"/>
  <c r="AH57" i="3"/>
  <c r="AI57" i="3"/>
  <c r="BC57" i="3"/>
  <c r="BD57" i="3" s="1"/>
  <c r="BA57" i="5"/>
  <c r="AH56" i="3"/>
  <c r="AI56" i="3"/>
  <c r="BC56" i="3"/>
  <c r="BD56" i="3" s="1"/>
  <c r="BA56" i="5"/>
  <c r="BA55" i="5"/>
  <c r="AH55" i="3"/>
  <c r="AI55" i="3"/>
  <c r="BC55" i="3"/>
  <c r="BD55" i="3" s="1"/>
  <c r="AH54" i="3"/>
  <c r="AI54" i="3"/>
  <c r="BC54" i="3"/>
  <c r="BD54" i="3" s="1"/>
  <c r="BA54" i="5"/>
  <c r="AH53" i="3"/>
  <c r="AI53" i="3"/>
  <c r="BC53" i="3"/>
  <c r="BD53" i="3" s="1"/>
  <c r="BA53" i="5"/>
  <c r="AH52" i="3"/>
  <c r="AI52" i="3"/>
  <c r="BA52" i="5"/>
  <c r="BC52" i="3"/>
  <c r="BD52" i="3" s="1"/>
  <c r="AH51" i="3"/>
  <c r="AI51" i="3"/>
  <c r="BA51" i="5"/>
  <c r="BC51" i="3"/>
  <c r="BD51" i="3" s="1"/>
  <c r="AH50" i="3"/>
  <c r="AI50" i="3"/>
  <c r="BA50" i="5"/>
  <c r="BC50" i="3"/>
  <c r="BD50" i="3" s="1"/>
  <c r="AH49" i="3"/>
  <c r="AI49" i="3"/>
  <c r="BC49" i="3"/>
  <c r="BD49" i="3" s="1"/>
  <c r="BA49" i="5"/>
  <c r="AH48" i="3"/>
  <c r="AI48" i="3"/>
  <c r="BC48" i="3"/>
  <c r="BD48" i="3" s="1"/>
  <c r="BA48" i="5"/>
  <c r="AH47" i="3"/>
  <c r="AI47" i="3"/>
  <c r="BC47" i="3"/>
  <c r="BD47" i="3" s="1"/>
  <c r="BA47" i="5"/>
  <c r="AH46" i="3"/>
  <c r="AI46" i="3"/>
  <c r="BC46" i="3"/>
  <c r="BD46" i="3" s="1"/>
  <c r="BA46" i="5"/>
  <c r="AH45" i="3"/>
  <c r="AI45" i="3"/>
  <c r="BC45" i="3"/>
  <c r="BD45" i="3" s="1"/>
  <c r="BA45" i="5"/>
  <c r="AH44" i="3"/>
  <c r="AI44" i="3"/>
  <c r="BC44" i="3"/>
  <c r="BD44" i="3" s="1"/>
  <c r="BA44" i="5"/>
  <c r="AH43" i="3"/>
  <c r="AI43" i="3"/>
  <c r="BC43" i="3"/>
  <c r="BD43" i="3" s="1"/>
  <c r="BA43" i="5"/>
  <c r="AH42" i="3"/>
  <c r="AI42" i="3"/>
  <c r="BA42" i="5"/>
  <c r="BC42" i="3"/>
  <c r="BD42" i="3" s="1"/>
  <c r="AH41" i="3"/>
  <c r="AI41" i="3"/>
  <c r="BC41" i="3"/>
  <c r="BD41" i="3" s="1"/>
  <c r="BA41" i="5"/>
  <c r="AH40" i="3"/>
  <c r="AI40" i="3"/>
  <c r="BC40" i="3"/>
  <c r="BD40" i="3" s="1"/>
  <c r="BA40" i="5"/>
  <c r="E13" i="2"/>
  <c r="AH39" i="3"/>
  <c r="AI39" i="3"/>
  <c r="BC39" i="3"/>
  <c r="BD39" i="3" s="1"/>
  <c r="BA39" i="5"/>
  <c r="AH38" i="3"/>
  <c r="BA38" i="5"/>
  <c r="AI38" i="3"/>
  <c r="BC38" i="3"/>
  <c r="BD38" i="3" s="1"/>
  <c r="AH37" i="3"/>
  <c r="AI37" i="3"/>
  <c r="BC37" i="3"/>
  <c r="BD37" i="3" s="1"/>
  <c r="BA37" i="5"/>
  <c r="AH36" i="3"/>
  <c r="AI36" i="3"/>
  <c r="BA36" i="5"/>
  <c r="BC36" i="3"/>
  <c r="BD36" i="3" s="1"/>
  <c r="AH35" i="3"/>
  <c r="AI35" i="3"/>
  <c r="BC35" i="3"/>
  <c r="BD35" i="3" s="1"/>
  <c r="BA35" i="5"/>
  <c r="AH34" i="3"/>
  <c r="AI34" i="3"/>
  <c r="BC34" i="3"/>
  <c r="BD34" i="3" s="1"/>
  <c r="BA34" i="5"/>
  <c r="AH33" i="3"/>
  <c r="AI33" i="3"/>
  <c r="BA33" i="5"/>
  <c r="BC33" i="3"/>
  <c r="BD33" i="3" s="1"/>
  <c r="AH32" i="3"/>
  <c r="AI32" i="3"/>
  <c r="BC32" i="3"/>
  <c r="BD32" i="3" s="1"/>
  <c r="BA32" i="5"/>
  <c r="AH31" i="3"/>
  <c r="AI31" i="3"/>
  <c r="BC31" i="3"/>
  <c r="BD31" i="3" s="1"/>
  <c r="E11" i="2"/>
  <c r="BA31" i="5"/>
  <c r="AH30" i="3"/>
  <c r="AI30" i="3"/>
  <c r="BA30" i="5"/>
  <c r="BC30" i="3"/>
  <c r="BD30" i="3" s="1"/>
  <c r="E12" i="2"/>
  <c r="AH29" i="3"/>
  <c r="AI29" i="3"/>
  <c r="BC29" i="3"/>
  <c r="BD29" i="3" s="1"/>
  <c r="BA29" i="5"/>
  <c r="AH28" i="3"/>
  <c r="AI28" i="3"/>
  <c r="BC28" i="3"/>
  <c r="BD28" i="3" s="1"/>
  <c r="BA28" i="5"/>
  <c r="E10" i="2"/>
  <c r="AH27" i="3"/>
  <c r="AI27" i="3"/>
  <c r="BA27" i="5"/>
  <c r="BC27" i="3"/>
  <c r="BD27" i="3" s="1"/>
  <c r="AH26" i="3"/>
  <c r="AI26" i="3"/>
  <c r="BC26" i="3"/>
  <c r="BD26" i="3" s="1"/>
  <c r="BA26" i="5"/>
  <c r="AH25" i="3"/>
  <c r="AI25" i="3"/>
  <c r="BA25" i="5"/>
  <c r="BC25" i="3"/>
  <c r="BD25" i="3" s="1"/>
  <c r="AH24" i="3"/>
  <c r="AI24" i="3"/>
  <c r="BC24" i="3"/>
  <c r="BD24" i="3" s="1"/>
  <c r="BA24" i="5"/>
  <c r="AH23" i="3"/>
  <c r="AI23" i="3"/>
  <c r="BA23" i="5"/>
  <c r="BC23" i="3"/>
  <c r="BD23" i="3" s="1"/>
  <c r="AH22" i="3"/>
  <c r="AI22" i="3"/>
  <c r="BA22" i="5"/>
  <c r="E9" i="2"/>
  <c r="BC22" i="3"/>
  <c r="BD22" i="3" s="1"/>
  <c r="AH21" i="3"/>
  <c r="AI21" i="3"/>
  <c r="BC21" i="3"/>
  <c r="BD21" i="3" s="1"/>
  <c r="BA21" i="5"/>
  <c r="AH20" i="3"/>
  <c r="AI20" i="3"/>
  <c r="BA20" i="5"/>
  <c r="BC20" i="3"/>
  <c r="BD20" i="3" s="1"/>
  <c r="AH19" i="3"/>
  <c r="AI19" i="3"/>
  <c r="E8" i="2"/>
  <c r="E14" i="2"/>
  <c r="BA19" i="5"/>
  <c r="BC19" i="3"/>
  <c r="BD19" i="3" s="1"/>
  <c r="AH18" i="3"/>
  <c r="AI18" i="3"/>
  <c r="BA18" i="5"/>
  <c r="BC18" i="3"/>
  <c r="BD18" i="3" s="1"/>
  <c r="AH17" i="3"/>
  <c r="AI17" i="3"/>
  <c r="BC17" i="3"/>
  <c r="BD17" i="3" s="1"/>
  <c r="BA17" i="5"/>
  <c r="AH16" i="3"/>
  <c r="AI16" i="3"/>
  <c r="BA16" i="5"/>
  <c r="BC16" i="3"/>
  <c r="BD16" i="3" s="1"/>
  <c r="AH15" i="3"/>
  <c r="AI15" i="3"/>
  <c r="BC15" i="3"/>
  <c r="BD15" i="3" s="1"/>
  <c r="BA15" i="5"/>
  <c r="AH14" i="3"/>
  <c r="AI14" i="3"/>
  <c r="BA14" i="5"/>
  <c r="BC14" i="3"/>
  <c r="BD14" i="3" s="1"/>
  <c r="AH13" i="3"/>
  <c r="AI13" i="3"/>
  <c r="BA13" i="5"/>
  <c r="BC13" i="3"/>
  <c r="BD13" i="3" s="1"/>
  <c r="AH12" i="3"/>
  <c r="AI12" i="3"/>
  <c r="BC12" i="3"/>
  <c r="BD12" i="3" s="1"/>
  <c r="BA12" i="5"/>
  <c r="AH11" i="3"/>
  <c r="AI11" i="3"/>
  <c r="BA11" i="5"/>
  <c r="BC11" i="3"/>
  <c r="BD11" i="3" s="1"/>
  <c r="AH10" i="3"/>
  <c r="AI10" i="3"/>
  <c r="BC10" i="3"/>
  <c r="BD10" i="3" s="1"/>
  <c r="BA10" i="5"/>
  <c r="AH9" i="3"/>
  <c r="AI9" i="3"/>
  <c r="BA9" i="5"/>
  <c r="BC9" i="3"/>
  <c r="BD9" i="3" s="1"/>
  <c r="AH8" i="3"/>
  <c r="AI8" i="3"/>
  <c r="BC8" i="3"/>
  <c r="BD8" i="3" s="1"/>
  <c r="BA8" i="5"/>
  <c r="AH7" i="3"/>
  <c r="AI7" i="3"/>
  <c r="BC7" i="3"/>
  <c r="BD7" i="3" s="1"/>
  <c r="BA7" i="5"/>
  <c r="AH6" i="3"/>
  <c r="AI6" i="3"/>
  <c r="BC6" i="3"/>
  <c r="BD6" i="3" s="1"/>
  <c r="BA6" i="5"/>
  <c r="AH5" i="3"/>
  <c r="AI5" i="3"/>
  <c r="BA5" i="5"/>
  <c r="BC5" i="3"/>
  <c r="BD5" i="3" s="1"/>
  <c r="BB5" i="5" l="1"/>
  <c r="B12" i="5"/>
  <c r="E12" i="5"/>
  <c r="H12" i="5"/>
  <c r="B13" i="5"/>
  <c r="E13"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62" i="5"/>
  <c r="A68" i="5"/>
  <c r="A78" i="5"/>
  <c r="A83" i="5"/>
  <c r="A84" i="5"/>
  <c r="A93" i="5"/>
  <c r="A94" i="5"/>
  <c r="A95" i="5"/>
  <c r="A101" i="5"/>
  <c r="A120" i="5"/>
  <c r="A125" i="5"/>
  <c r="A126" i="5"/>
  <c r="A127" i="5"/>
  <c r="A135" i="5"/>
  <c r="A136" i="5"/>
  <c r="A145" i="5"/>
  <c r="A150" i="5"/>
  <c r="A153" i="5"/>
  <c r="A154" i="5"/>
  <c r="A155" i="5"/>
  <c r="A156" i="5"/>
  <c r="A157" i="5"/>
  <c r="A158" i="5"/>
  <c r="A159" i="5"/>
  <c r="A160" i="5"/>
  <c r="A161" i="5"/>
  <c r="A162" i="5"/>
  <c r="B162" i="5" s="1"/>
  <c r="A163" i="5"/>
  <c r="B163" i="5" s="1"/>
  <c r="A164" i="5"/>
  <c r="B164" i="5" s="1"/>
  <c r="A165" i="5"/>
  <c r="B165" i="5" s="1"/>
  <c r="A166" i="5"/>
  <c r="B166" i="5" s="1"/>
  <c r="A167" i="5"/>
  <c r="B167" i="5" s="1"/>
  <c r="A168" i="5"/>
  <c r="B168" i="5" s="1"/>
  <c r="A169" i="5"/>
  <c r="B169" i="5" s="1"/>
  <c r="A170" i="5"/>
  <c r="B170" i="5" s="1"/>
  <c r="A171" i="5"/>
  <c r="B171" i="5" s="1"/>
  <c r="A172" i="5"/>
  <c r="B172" i="5" s="1"/>
  <c r="A173" i="5"/>
  <c r="B173" i="5" s="1"/>
  <c r="A174" i="5"/>
  <c r="B174" i="5" s="1"/>
  <c r="A175" i="5"/>
  <c r="B175" i="5" s="1"/>
  <c r="A176" i="5"/>
  <c r="B176" i="5" s="1"/>
  <c r="A177" i="5"/>
  <c r="B177" i="5" s="1"/>
  <c r="A178" i="5"/>
  <c r="B178" i="5" s="1"/>
  <c r="A179" i="5"/>
  <c r="B179" i="5" s="1"/>
  <c r="A180" i="5"/>
  <c r="B180" i="5" s="1"/>
  <c r="A181" i="5"/>
  <c r="B181" i="5" s="1"/>
  <c r="A182" i="5"/>
  <c r="B182" i="5" s="1"/>
  <c r="A183" i="5"/>
  <c r="B183" i="5" s="1"/>
  <c r="A184" i="5"/>
  <c r="B184" i="5" s="1"/>
  <c r="A185" i="5"/>
  <c r="B185" i="5" s="1"/>
  <c r="A186" i="5"/>
  <c r="B186" i="5" s="1"/>
  <c r="A187" i="5"/>
  <c r="B187" i="5" s="1"/>
  <c r="A188" i="5"/>
  <c r="B188" i="5" s="1"/>
  <c r="A189" i="5"/>
  <c r="B189" i="5" s="1"/>
  <c r="A190" i="5"/>
  <c r="B190" i="5" s="1"/>
  <c r="A191" i="5"/>
  <c r="B191" i="5" s="1"/>
  <c r="A192" i="5"/>
  <c r="B192" i="5" s="1"/>
  <c r="A193" i="5"/>
  <c r="B193" i="5" s="1"/>
  <c r="A194" i="5"/>
  <c r="B194" i="5" s="1"/>
  <c r="A195" i="5"/>
  <c r="B195" i="5" s="1"/>
  <c r="A196" i="5"/>
  <c r="B196" i="5" s="1"/>
  <c r="A197" i="5"/>
  <c r="B197" i="5" s="1"/>
  <c r="A198" i="5"/>
  <c r="B198" i="5" s="1"/>
  <c r="A199" i="5"/>
  <c r="B199" i="5" s="1"/>
  <c r="A200" i="5"/>
  <c r="B200" i="5" s="1"/>
  <c r="A201" i="5"/>
  <c r="B201" i="5" s="1"/>
  <c r="A202" i="5"/>
  <c r="B202" i="5" s="1"/>
  <c r="A203" i="5"/>
  <c r="B203" i="5" s="1"/>
  <c r="A204" i="5"/>
  <c r="B204" i="5" s="1"/>
  <c r="A205" i="5"/>
  <c r="B205" i="5" s="1"/>
  <c r="A206" i="5"/>
  <c r="B206" i="5" s="1"/>
  <c r="A207" i="5"/>
  <c r="B207" i="5" s="1"/>
  <c r="A208" i="5"/>
  <c r="B208" i="5" s="1"/>
  <c r="A209" i="5"/>
  <c r="B209" i="5" s="1"/>
  <c r="A210" i="5"/>
  <c r="B210" i="5" s="1"/>
  <c r="A211" i="5"/>
  <c r="B211" i="5" s="1"/>
  <c r="A212" i="5"/>
  <c r="B212" i="5" s="1"/>
  <c r="A213" i="5"/>
  <c r="B213" i="5" s="1"/>
  <c r="A214" i="5"/>
  <c r="B214" i="5" s="1"/>
  <c r="A215" i="5"/>
  <c r="B215" i="5" s="1"/>
  <c r="A55" i="5"/>
  <c r="A59" i="5"/>
  <c r="A60" i="5"/>
  <c r="A61" i="5"/>
  <c r="A66" i="5"/>
  <c r="A70" i="5"/>
  <c r="A71" i="5"/>
  <c r="A72" i="5"/>
  <c r="A73" i="5"/>
  <c r="A77" i="5"/>
  <c r="A85" i="5"/>
  <c r="A86" i="5"/>
  <c r="A91" i="5"/>
  <c r="A102" i="5"/>
  <c r="A114" i="5"/>
  <c r="A115" i="5"/>
  <c r="A116" i="5"/>
  <c r="A118" i="5"/>
  <c r="A129" i="5"/>
  <c r="A134" i="5"/>
  <c r="A143" i="5"/>
  <c r="A144" i="5"/>
  <c r="A149" i="5"/>
  <c r="A151" i="5"/>
  <c r="A152" i="5"/>
  <c r="A63" i="5"/>
  <c r="A67" i="5"/>
  <c r="A81" i="5"/>
  <c r="A82" i="5"/>
  <c r="A87" i="5"/>
  <c r="A92" i="5"/>
  <c r="A99" i="5"/>
  <c r="A103" i="5"/>
  <c r="A104" i="5"/>
  <c r="A105" i="5"/>
  <c r="A106" i="5"/>
  <c r="A107" i="5"/>
  <c r="A121" i="5"/>
  <c r="A122" i="5"/>
  <c r="A123" i="5"/>
  <c r="A128" i="5"/>
  <c r="A130" i="5"/>
  <c r="A146" i="5"/>
  <c r="A56" i="5"/>
  <c r="A57" i="5"/>
  <c r="A58" i="5"/>
  <c r="A69" i="5"/>
  <c r="A79" i="5"/>
  <c r="A80" i="5"/>
  <c r="A97" i="5"/>
  <c r="A98" i="5"/>
  <c r="A108" i="5"/>
  <c r="A109" i="5"/>
  <c r="A110" i="5"/>
  <c r="A111" i="5"/>
  <c r="A112" i="5"/>
  <c r="A113" i="5"/>
  <c r="A131" i="5"/>
  <c r="A133" i="5"/>
  <c r="A139" i="5"/>
  <c r="A140" i="5"/>
  <c r="A141" i="5"/>
  <c r="A64" i="5"/>
  <c r="A65" i="5"/>
  <c r="A74" i="5"/>
  <c r="A75" i="5"/>
  <c r="A76" i="5"/>
  <c r="A88" i="5"/>
  <c r="A89" i="5"/>
  <c r="A90" i="5"/>
  <c r="A96" i="5"/>
  <c r="A100" i="5"/>
  <c r="A117" i="5"/>
  <c r="A119" i="5"/>
  <c r="A124" i="5"/>
  <c r="A132" i="5"/>
  <c r="A137" i="5"/>
  <c r="A138" i="5"/>
  <c r="A142" i="5"/>
  <c r="A147" i="5"/>
  <c r="A148" i="5"/>
  <c r="F11" i="4"/>
  <c r="F12" i="4"/>
  <c r="F18" i="4" s="1"/>
  <c r="BB148" i="5"/>
  <c r="BB146" i="5"/>
  <c r="BB142" i="5"/>
  <c r="BB140" i="5"/>
  <c r="BB136" i="5"/>
  <c r="BB133" i="5"/>
  <c r="BB130" i="5"/>
  <c r="BB128" i="5"/>
  <c r="BB126" i="5"/>
  <c r="BB122" i="5"/>
  <c r="BB119" i="5"/>
  <c r="BB105" i="5"/>
  <c r="BB102" i="5"/>
  <c r="BB95" i="5"/>
  <c r="BB91" i="5"/>
  <c r="BB87" i="5"/>
  <c r="BB67" i="5"/>
  <c r="BB62" i="5"/>
  <c r="BB57" i="5"/>
  <c r="BB53" i="5"/>
  <c r="BB30" i="5"/>
  <c r="BB116" i="5"/>
  <c r="BB115" i="5"/>
  <c r="BB114" i="5"/>
  <c r="BB113" i="5"/>
  <c r="BB112" i="5"/>
  <c r="BB111" i="5"/>
  <c r="BB110" i="5"/>
  <c r="BB109" i="5"/>
  <c r="BB108" i="5"/>
  <c r="BB107" i="5"/>
  <c r="BB106" i="5"/>
  <c r="BB104" i="5"/>
  <c r="BB100" i="5"/>
  <c r="BB97" i="5"/>
  <c r="BB94" i="5"/>
  <c r="BB90" i="5"/>
  <c r="BB85" i="5"/>
  <c r="BB64" i="5"/>
  <c r="BB58" i="5"/>
  <c r="BB54" i="5"/>
  <c r="BB24" i="5"/>
  <c r="BB20" i="5"/>
  <c r="BB18" i="5"/>
  <c r="BB83" i="5"/>
  <c r="BB82" i="5"/>
  <c r="BB81" i="5"/>
  <c r="BB80" i="5"/>
  <c r="BB79" i="5"/>
  <c r="BB78" i="5"/>
  <c r="BB77" i="5"/>
  <c r="BB76" i="5"/>
  <c r="BB75" i="5"/>
  <c r="BB74" i="5"/>
  <c r="BB73" i="5"/>
  <c r="BB72" i="5"/>
  <c r="BB71" i="5"/>
  <c r="BB70" i="5"/>
  <c r="BB69" i="5"/>
  <c r="BB68" i="5"/>
  <c r="BB65" i="5"/>
  <c r="BB60" i="5"/>
  <c r="BB55" i="5"/>
  <c r="BB50" i="5"/>
  <c r="BB28" i="5"/>
  <c r="BB25" i="5"/>
  <c r="BB21" i="5"/>
  <c r="BB19" i="5"/>
  <c r="BB49" i="5"/>
  <c r="BB48" i="5"/>
  <c r="BB47" i="5"/>
  <c r="BB46" i="5"/>
  <c r="BB45" i="5"/>
  <c r="BB44" i="5"/>
  <c r="BB43" i="5"/>
  <c r="BB42" i="5"/>
  <c r="BB41" i="5"/>
  <c r="BB40" i="5"/>
  <c r="BB39" i="5"/>
  <c r="BB38" i="5"/>
  <c r="BB37" i="5"/>
  <c r="BB36" i="5"/>
  <c r="BB35" i="5"/>
  <c r="BB34" i="5"/>
  <c r="BB33" i="5"/>
  <c r="BB32" i="5"/>
  <c r="BB31" i="5"/>
  <c r="BB27" i="5"/>
  <c r="BB23" i="5"/>
  <c r="BB17" i="5"/>
  <c r="BB16" i="5"/>
  <c r="BB15" i="5"/>
  <c r="BB14" i="5"/>
  <c r="BB13" i="5"/>
  <c r="BB12" i="5"/>
  <c r="BB11" i="5"/>
  <c r="BB10" i="5"/>
  <c r="BB9" i="5"/>
  <c r="BB8" i="5"/>
  <c r="BB7" i="5"/>
  <c r="BB6" i="5"/>
  <c r="BB150" i="5"/>
  <c r="BB147" i="5"/>
  <c r="BB144" i="5"/>
  <c r="BB141" i="5"/>
  <c r="BB138" i="5"/>
  <c r="BB135" i="5"/>
  <c r="BB132" i="5"/>
  <c r="BB129" i="5"/>
  <c r="BB125" i="5"/>
  <c r="BB123" i="5"/>
  <c r="BB120" i="5"/>
  <c r="BB117" i="5"/>
  <c r="BB101" i="5"/>
  <c r="BB98" i="5"/>
  <c r="BB92" i="5"/>
  <c r="BB88" i="5"/>
  <c r="BB84" i="5"/>
  <c r="BB63" i="5"/>
  <c r="BB59" i="5"/>
  <c r="BB52" i="5"/>
  <c r="BB29" i="5"/>
  <c r="BB26" i="5"/>
  <c r="BB149" i="5"/>
  <c r="BB145" i="5"/>
  <c r="BB143" i="5"/>
  <c r="BB139" i="5"/>
  <c r="BB137" i="5"/>
  <c r="BB134" i="5"/>
  <c r="BB131" i="5"/>
  <c r="BB127" i="5"/>
  <c r="BB124" i="5"/>
  <c r="BB121" i="5"/>
  <c r="BB118" i="5"/>
  <c r="BB103" i="5"/>
  <c r="BB99" i="5"/>
  <c r="BB96" i="5"/>
  <c r="BB93" i="5"/>
  <c r="BB89" i="5"/>
  <c r="BB86" i="5"/>
  <c r="BB66" i="5"/>
  <c r="BB61" i="5"/>
  <c r="BB56" i="5"/>
  <c r="BB51" i="5"/>
  <c r="BB22" i="5"/>
  <c r="B16" i="5" l="1"/>
  <c r="B17" i="5"/>
  <c r="B22" i="5"/>
  <c r="B25" i="5"/>
  <c r="B20" i="5"/>
  <c r="B26" i="5"/>
  <c r="B18" i="5"/>
  <c r="B21" i="5"/>
  <c r="B24" i="5"/>
  <c r="B28" i="5"/>
  <c r="B19" i="5"/>
  <c r="B23" i="5"/>
  <c r="B27" i="5"/>
  <c r="C16" i="5"/>
  <c r="D16" i="5"/>
  <c r="E16" i="5"/>
  <c r="F16" i="5"/>
  <c r="G16" i="5"/>
  <c r="H16" i="5"/>
  <c r="I16" i="5"/>
  <c r="J16" i="5"/>
  <c r="K16" i="5"/>
  <c r="L16" i="5"/>
  <c r="M16" i="5"/>
  <c r="N16" i="5"/>
  <c r="O16" i="5"/>
  <c r="P16" i="5"/>
  <c r="Q16" i="5"/>
  <c r="R16" i="5"/>
  <c r="S16" i="5"/>
  <c r="T16" i="5"/>
  <c r="U16" i="5"/>
  <c r="V16" i="5"/>
  <c r="W16" i="5"/>
  <c r="X16" i="5"/>
  <c r="C17" i="5"/>
  <c r="D17" i="5"/>
  <c r="E17" i="5"/>
  <c r="F17" i="5"/>
  <c r="G17" i="5"/>
  <c r="H17" i="5"/>
  <c r="I17" i="5"/>
  <c r="J17" i="5"/>
  <c r="K17" i="5"/>
  <c r="L17" i="5"/>
  <c r="M17" i="5"/>
  <c r="N17" i="5"/>
  <c r="O17" i="5"/>
  <c r="P17" i="5"/>
  <c r="Q17" i="5"/>
  <c r="R17" i="5"/>
  <c r="S17" i="5"/>
  <c r="T17" i="5"/>
  <c r="U17" i="5"/>
  <c r="V17" i="5"/>
  <c r="W17" i="5"/>
  <c r="X17" i="5"/>
  <c r="C18" i="5"/>
  <c r="D18" i="5"/>
  <c r="E18" i="5"/>
  <c r="F18" i="5"/>
  <c r="G18" i="5"/>
  <c r="H18" i="5"/>
  <c r="I18" i="5"/>
  <c r="J18" i="5"/>
  <c r="K18" i="5"/>
  <c r="L18" i="5"/>
  <c r="M18" i="5"/>
  <c r="N18" i="5"/>
  <c r="O18" i="5"/>
  <c r="P18" i="5"/>
  <c r="Q18" i="5"/>
  <c r="R18" i="5"/>
  <c r="S18" i="5"/>
  <c r="T18" i="5"/>
  <c r="U18" i="5"/>
  <c r="V18" i="5"/>
  <c r="W18" i="5"/>
  <c r="X18" i="5"/>
  <c r="C19" i="5"/>
  <c r="D19" i="5"/>
  <c r="E19" i="5"/>
  <c r="F19" i="5"/>
  <c r="G19" i="5"/>
  <c r="H19" i="5"/>
  <c r="I19" i="5"/>
  <c r="J19" i="5"/>
  <c r="K19" i="5"/>
  <c r="L19" i="5"/>
  <c r="M19" i="5"/>
  <c r="N19" i="5"/>
  <c r="O19" i="5"/>
  <c r="P19" i="5"/>
  <c r="Q19" i="5"/>
  <c r="R19" i="5"/>
  <c r="S19" i="5"/>
  <c r="T19" i="5"/>
  <c r="U19" i="5"/>
  <c r="V19" i="5"/>
  <c r="W19" i="5"/>
  <c r="X19" i="5"/>
  <c r="C20" i="5"/>
  <c r="D20" i="5"/>
  <c r="E20" i="5"/>
  <c r="F20" i="5"/>
  <c r="G20" i="5"/>
  <c r="H20" i="5"/>
  <c r="I20" i="5"/>
  <c r="J20" i="5"/>
  <c r="K20" i="5"/>
  <c r="L20" i="5"/>
  <c r="M20" i="5"/>
  <c r="N20" i="5"/>
  <c r="O20" i="5"/>
  <c r="P20" i="5"/>
  <c r="Q20" i="5"/>
  <c r="R20" i="5"/>
  <c r="S20" i="5"/>
  <c r="T20" i="5"/>
  <c r="U20" i="5"/>
  <c r="V20" i="5"/>
  <c r="W20" i="5"/>
  <c r="X20" i="5"/>
  <c r="C21" i="5"/>
  <c r="D21" i="5"/>
  <c r="E21" i="5"/>
  <c r="F21" i="5"/>
  <c r="G21" i="5"/>
  <c r="H21" i="5"/>
  <c r="I21" i="5"/>
  <c r="J21" i="5"/>
  <c r="K21" i="5"/>
  <c r="L21" i="5"/>
  <c r="M21" i="5"/>
  <c r="N21" i="5"/>
  <c r="O21" i="5"/>
  <c r="P21" i="5"/>
  <c r="Q21" i="5"/>
  <c r="R21" i="5"/>
  <c r="S21" i="5"/>
  <c r="T21" i="5"/>
  <c r="U21" i="5"/>
  <c r="V21" i="5"/>
  <c r="W21" i="5"/>
  <c r="X21" i="5"/>
  <c r="C22" i="5"/>
  <c r="D22" i="5"/>
  <c r="E22" i="5"/>
  <c r="F22" i="5"/>
  <c r="G22" i="5"/>
  <c r="H22" i="5"/>
  <c r="I22" i="5"/>
  <c r="J22" i="5"/>
  <c r="K22" i="5"/>
  <c r="L22" i="5"/>
  <c r="M22" i="5"/>
  <c r="N22" i="5"/>
  <c r="O22" i="5"/>
  <c r="P22" i="5"/>
  <c r="Q22" i="5"/>
  <c r="R22" i="5"/>
  <c r="S22" i="5"/>
  <c r="T22" i="5"/>
  <c r="U22" i="5"/>
  <c r="V22" i="5"/>
  <c r="W22" i="5"/>
  <c r="X22" i="5"/>
  <c r="C23" i="5"/>
  <c r="D23" i="5"/>
  <c r="E23" i="5"/>
  <c r="F23" i="5"/>
  <c r="G23" i="5"/>
  <c r="H23" i="5"/>
  <c r="I23" i="5"/>
  <c r="J23" i="5"/>
  <c r="K23" i="5"/>
  <c r="L23" i="5"/>
  <c r="M23" i="5"/>
  <c r="N23" i="5"/>
  <c r="O23" i="5"/>
  <c r="P23" i="5"/>
  <c r="Q23" i="5"/>
  <c r="R23" i="5"/>
  <c r="S23" i="5"/>
  <c r="T23" i="5"/>
  <c r="U23" i="5"/>
  <c r="V23" i="5"/>
  <c r="W23" i="5"/>
  <c r="X23" i="5"/>
  <c r="C24" i="5"/>
  <c r="D24" i="5"/>
  <c r="E24" i="5"/>
  <c r="F24" i="5"/>
  <c r="G24" i="5"/>
  <c r="H24" i="5"/>
  <c r="I24" i="5"/>
  <c r="J24" i="5"/>
  <c r="K24" i="5"/>
  <c r="L24" i="5"/>
  <c r="M24" i="5"/>
  <c r="N24" i="5"/>
  <c r="O24" i="5"/>
  <c r="P24" i="5"/>
  <c r="Q24" i="5"/>
  <c r="R24" i="5"/>
  <c r="S24" i="5"/>
  <c r="T24" i="5"/>
  <c r="U24" i="5"/>
  <c r="V24" i="5"/>
  <c r="W24" i="5"/>
  <c r="X24" i="5"/>
  <c r="C25" i="5"/>
  <c r="D25" i="5"/>
  <c r="E25" i="5"/>
  <c r="F25" i="5"/>
  <c r="G25" i="5"/>
  <c r="H25" i="5"/>
  <c r="I25" i="5"/>
  <c r="J25" i="5"/>
  <c r="K25" i="5"/>
  <c r="L25" i="5"/>
  <c r="M25" i="5"/>
  <c r="N25" i="5"/>
  <c r="O25" i="5"/>
  <c r="P25" i="5"/>
  <c r="Q25" i="5"/>
  <c r="R25" i="5"/>
  <c r="S25" i="5"/>
  <c r="T25" i="5"/>
  <c r="U25" i="5"/>
  <c r="V25" i="5"/>
  <c r="W25" i="5"/>
  <c r="X25" i="5"/>
  <c r="C26" i="5"/>
  <c r="D26" i="5"/>
  <c r="E26" i="5"/>
  <c r="F26" i="5"/>
  <c r="G26" i="5"/>
  <c r="H26" i="5"/>
  <c r="I26" i="5"/>
  <c r="J26" i="5"/>
  <c r="K26" i="5"/>
  <c r="L26" i="5"/>
  <c r="M26" i="5"/>
  <c r="N26" i="5"/>
  <c r="O26" i="5"/>
  <c r="P26" i="5"/>
  <c r="Q26" i="5"/>
  <c r="R26" i="5"/>
  <c r="S26" i="5"/>
  <c r="T26" i="5"/>
  <c r="U26" i="5"/>
  <c r="V26" i="5"/>
  <c r="W26" i="5"/>
  <c r="X26" i="5"/>
  <c r="C27" i="5"/>
  <c r="D27" i="5"/>
  <c r="E27" i="5"/>
  <c r="F27" i="5"/>
  <c r="G27" i="5"/>
  <c r="H27" i="5"/>
  <c r="I27" i="5"/>
  <c r="J27" i="5"/>
  <c r="K27" i="5"/>
  <c r="L27" i="5"/>
  <c r="M27" i="5"/>
  <c r="N27" i="5"/>
  <c r="O27" i="5"/>
  <c r="P27" i="5"/>
  <c r="Q27" i="5"/>
  <c r="R27" i="5"/>
  <c r="S27" i="5"/>
  <c r="T27" i="5"/>
  <c r="U27" i="5"/>
  <c r="V27" i="5"/>
  <c r="W27" i="5"/>
  <c r="X27" i="5"/>
  <c r="C28" i="5"/>
  <c r="D28" i="5"/>
  <c r="E28" i="5"/>
  <c r="F28" i="5"/>
  <c r="G28" i="5"/>
  <c r="H28" i="5"/>
  <c r="I28" i="5"/>
  <c r="J28" i="5"/>
  <c r="K28" i="5"/>
  <c r="L28" i="5"/>
  <c r="M28" i="5"/>
  <c r="N28" i="5"/>
  <c r="O28" i="5"/>
  <c r="P28" i="5"/>
  <c r="Q28" i="5"/>
  <c r="R28" i="5"/>
  <c r="S28" i="5"/>
  <c r="T28" i="5"/>
  <c r="U28" i="5"/>
  <c r="V28" i="5"/>
  <c r="W28" i="5"/>
  <c r="X28" i="5"/>
  <c r="C162" i="5"/>
  <c r="D162" i="5"/>
  <c r="E162" i="5"/>
  <c r="F162" i="5"/>
  <c r="G162" i="5"/>
  <c r="H162" i="5"/>
  <c r="I162" i="5"/>
  <c r="J162" i="5"/>
  <c r="K162" i="5"/>
  <c r="L162" i="5"/>
  <c r="M162" i="5"/>
  <c r="N162" i="5"/>
  <c r="O162" i="5"/>
  <c r="P162" i="5"/>
  <c r="Q162" i="5"/>
  <c r="R162" i="5"/>
  <c r="S162" i="5"/>
  <c r="T162" i="5"/>
  <c r="U162" i="5"/>
  <c r="V162" i="5"/>
  <c r="W162" i="5"/>
  <c r="X162" i="5"/>
  <c r="C163" i="5"/>
  <c r="D163" i="5"/>
  <c r="E163" i="5"/>
  <c r="F163" i="5"/>
  <c r="G163" i="5"/>
  <c r="H163" i="5"/>
  <c r="I163" i="5"/>
  <c r="J163" i="5"/>
  <c r="K163" i="5"/>
  <c r="L163" i="5"/>
  <c r="M163" i="5"/>
  <c r="N163" i="5"/>
  <c r="O163" i="5"/>
  <c r="P163" i="5"/>
  <c r="Q163" i="5"/>
  <c r="R163" i="5"/>
  <c r="S163" i="5"/>
  <c r="T163" i="5"/>
  <c r="U163" i="5"/>
  <c r="V163" i="5"/>
  <c r="W163" i="5"/>
  <c r="X163" i="5"/>
  <c r="C164" i="5"/>
  <c r="D164" i="5"/>
  <c r="E164" i="5"/>
  <c r="F164" i="5"/>
  <c r="G164" i="5"/>
  <c r="H164" i="5"/>
  <c r="I164" i="5"/>
  <c r="J164" i="5"/>
  <c r="K164" i="5"/>
  <c r="L164" i="5"/>
  <c r="M164" i="5"/>
  <c r="N164" i="5"/>
  <c r="O164" i="5"/>
  <c r="P164" i="5"/>
  <c r="Q164" i="5"/>
  <c r="R164" i="5"/>
  <c r="S164" i="5"/>
  <c r="T164" i="5"/>
  <c r="U164" i="5"/>
  <c r="V164" i="5"/>
  <c r="W164" i="5"/>
  <c r="X164" i="5"/>
  <c r="C165" i="5"/>
  <c r="D165" i="5"/>
  <c r="E165" i="5"/>
  <c r="F165" i="5"/>
  <c r="G165" i="5"/>
  <c r="H165" i="5"/>
  <c r="I165" i="5"/>
  <c r="J165" i="5"/>
  <c r="K165" i="5"/>
  <c r="L165" i="5"/>
  <c r="M165" i="5"/>
  <c r="N165" i="5"/>
  <c r="O165" i="5"/>
  <c r="P165" i="5"/>
  <c r="Q165" i="5"/>
  <c r="R165" i="5"/>
  <c r="S165" i="5"/>
  <c r="T165" i="5"/>
  <c r="U165" i="5"/>
  <c r="V165" i="5"/>
  <c r="W165" i="5"/>
  <c r="X165" i="5"/>
  <c r="C166" i="5"/>
  <c r="D166" i="5"/>
  <c r="E166" i="5"/>
  <c r="F166" i="5"/>
  <c r="G166" i="5"/>
  <c r="H166" i="5"/>
  <c r="I166" i="5"/>
  <c r="J166" i="5"/>
  <c r="K166" i="5"/>
  <c r="L166" i="5"/>
  <c r="M166" i="5"/>
  <c r="N166" i="5"/>
  <c r="O166" i="5"/>
  <c r="P166" i="5"/>
  <c r="Q166" i="5"/>
  <c r="R166" i="5"/>
  <c r="S166" i="5"/>
  <c r="T166" i="5"/>
  <c r="U166" i="5"/>
  <c r="V166" i="5"/>
  <c r="W166" i="5"/>
  <c r="X166" i="5"/>
  <c r="C167" i="5"/>
  <c r="D167" i="5"/>
  <c r="E167" i="5"/>
  <c r="F167" i="5"/>
  <c r="G167" i="5"/>
  <c r="H167" i="5"/>
  <c r="I167" i="5"/>
  <c r="J167" i="5"/>
  <c r="K167" i="5"/>
  <c r="L167" i="5"/>
  <c r="M167" i="5"/>
  <c r="N167" i="5"/>
  <c r="O167" i="5"/>
  <c r="P167" i="5"/>
  <c r="Q167" i="5"/>
  <c r="R167" i="5"/>
  <c r="S167" i="5"/>
  <c r="T167" i="5"/>
  <c r="U167" i="5"/>
  <c r="V167" i="5"/>
  <c r="W167" i="5"/>
  <c r="X167" i="5"/>
  <c r="C168" i="5"/>
  <c r="D168" i="5"/>
  <c r="E168" i="5"/>
  <c r="F168" i="5"/>
  <c r="G168" i="5"/>
  <c r="H168" i="5"/>
  <c r="I168" i="5"/>
  <c r="J168" i="5"/>
  <c r="K168" i="5"/>
  <c r="L168" i="5"/>
  <c r="M168" i="5"/>
  <c r="N168" i="5"/>
  <c r="O168" i="5"/>
  <c r="P168" i="5"/>
  <c r="Q168" i="5"/>
  <c r="R168" i="5"/>
  <c r="S168" i="5"/>
  <c r="T168" i="5"/>
  <c r="U168" i="5"/>
  <c r="V168" i="5"/>
  <c r="W168" i="5"/>
  <c r="X168" i="5"/>
  <c r="C169" i="5"/>
  <c r="D169" i="5"/>
  <c r="E169" i="5"/>
  <c r="F169" i="5"/>
  <c r="G169" i="5"/>
  <c r="H169" i="5"/>
  <c r="I169" i="5"/>
  <c r="J169" i="5"/>
  <c r="K169" i="5"/>
  <c r="L169" i="5"/>
  <c r="M169" i="5"/>
  <c r="N169" i="5"/>
  <c r="O169" i="5"/>
  <c r="P169" i="5"/>
  <c r="Q169" i="5"/>
  <c r="R169" i="5"/>
  <c r="S169" i="5"/>
  <c r="T169" i="5"/>
  <c r="U169" i="5"/>
  <c r="V169" i="5"/>
  <c r="W169" i="5"/>
  <c r="X169" i="5"/>
  <c r="C170" i="5"/>
  <c r="D170" i="5"/>
  <c r="E170" i="5"/>
  <c r="F170" i="5"/>
  <c r="G170" i="5"/>
  <c r="H170" i="5"/>
  <c r="I170" i="5"/>
  <c r="J170" i="5"/>
  <c r="K170" i="5"/>
  <c r="L170" i="5"/>
  <c r="M170" i="5"/>
  <c r="N170" i="5"/>
  <c r="O170" i="5"/>
  <c r="P170" i="5"/>
  <c r="Q170" i="5"/>
  <c r="R170" i="5"/>
  <c r="S170" i="5"/>
  <c r="T170" i="5"/>
  <c r="U170" i="5"/>
  <c r="V170" i="5"/>
  <c r="W170" i="5"/>
  <c r="X170" i="5"/>
  <c r="C171" i="5"/>
  <c r="D171" i="5"/>
  <c r="E171" i="5"/>
  <c r="F171" i="5"/>
  <c r="G171" i="5"/>
  <c r="H171" i="5"/>
  <c r="I171" i="5"/>
  <c r="J171" i="5"/>
  <c r="K171" i="5"/>
  <c r="L171" i="5"/>
  <c r="M171" i="5"/>
  <c r="N171" i="5"/>
  <c r="O171" i="5"/>
  <c r="P171" i="5"/>
  <c r="Q171" i="5"/>
  <c r="R171" i="5"/>
  <c r="S171" i="5"/>
  <c r="T171" i="5"/>
  <c r="U171" i="5"/>
  <c r="V171" i="5"/>
  <c r="W171" i="5"/>
  <c r="X171" i="5"/>
  <c r="C172" i="5"/>
  <c r="D172" i="5"/>
  <c r="E172" i="5"/>
  <c r="F172" i="5"/>
  <c r="G172" i="5"/>
  <c r="H172" i="5"/>
  <c r="I172" i="5"/>
  <c r="J172" i="5"/>
  <c r="K172" i="5"/>
  <c r="L172" i="5"/>
  <c r="M172" i="5"/>
  <c r="N172" i="5"/>
  <c r="O172" i="5"/>
  <c r="P172" i="5"/>
  <c r="Q172" i="5"/>
  <c r="R172" i="5"/>
  <c r="S172" i="5"/>
  <c r="T172" i="5"/>
  <c r="U172" i="5"/>
  <c r="V172" i="5"/>
  <c r="W172" i="5"/>
  <c r="X172" i="5"/>
  <c r="C173" i="5"/>
  <c r="D173" i="5"/>
  <c r="E173" i="5"/>
  <c r="F173" i="5"/>
  <c r="G173" i="5"/>
  <c r="H173" i="5"/>
  <c r="I173" i="5"/>
  <c r="J173" i="5"/>
  <c r="K173" i="5"/>
  <c r="L173" i="5"/>
  <c r="M173" i="5"/>
  <c r="N173" i="5"/>
  <c r="O173" i="5"/>
  <c r="P173" i="5"/>
  <c r="Q173" i="5"/>
  <c r="R173" i="5"/>
  <c r="S173" i="5"/>
  <c r="T173" i="5"/>
  <c r="U173" i="5"/>
  <c r="V173" i="5"/>
  <c r="W173" i="5"/>
  <c r="X173" i="5"/>
  <c r="C174" i="5"/>
  <c r="D174" i="5"/>
  <c r="E174" i="5"/>
  <c r="F174" i="5"/>
  <c r="G174" i="5"/>
  <c r="H174" i="5"/>
  <c r="I174" i="5"/>
  <c r="J174" i="5"/>
  <c r="K174" i="5"/>
  <c r="L174" i="5"/>
  <c r="M174" i="5"/>
  <c r="N174" i="5"/>
  <c r="O174" i="5"/>
  <c r="P174" i="5"/>
  <c r="Q174" i="5"/>
  <c r="R174" i="5"/>
  <c r="S174" i="5"/>
  <c r="T174" i="5"/>
  <c r="U174" i="5"/>
  <c r="V174" i="5"/>
  <c r="W174" i="5"/>
  <c r="X174" i="5"/>
  <c r="C175" i="5"/>
  <c r="D175" i="5"/>
  <c r="E175" i="5"/>
  <c r="F175" i="5"/>
  <c r="G175" i="5"/>
  <c r="H175" i="5"/>
  <c r="I175" i="5"/>
  <c r="J175" i="5"/>
  <c r="K175" i="5"/>
  <c r="L175" i="5"/>
  <c r="M175" i="5"/>
  <c r="N175" i="5"/>
  <c r="O175" i="5"/>
  <c r="P175" i="5"/>
  <c r="Q175" i="5"/>
  <c r="R175" i="5"/>
  <c r="S175" i="5"/>
  <c r="T175" i="5"/>
  <c r="U175" i="5"/>
  <c r="V175" i="5"/>
  <c r="W175" i="5"/>
  <c r="X175" i="5"/>
  <c r="C176" i="5"/>
  <c r="D176" i="5"/>
  <c r="E176" i="5"/>
  <c r="F176" i="5"/>
  <c r="G176" i="5"/>
  <c r="H176" i="5"/>
  <c r="I176" i="5"/>
  <c r="J176" i="5"/>
  <c r="K176" i="5"/>
  <c r="L176" i="5"/>
  <c r="M176" i="5"/>
  <c r="N176" i="5"/>
  <c r="O176" i="5"/>
  <c r="P176" i="5"/>
  <c r="Q176" i="5"/>
  <c r="R176" i="5"/>
  <c r="S176" i="5"/>
  <c r="T176" i="5"/>
  <c r="U176" i="5"/>
  <c r="V176" i="5"/>
  <c r="W176" i="5"/>
  <c r="X176" i="5"/>
  <c r="C177" i="5"/>
  <c r="D177" i="5"/>
  <c r="E177" i="5"/>
  <c r="F177" i="5"/>
  <c r="G177" i="5"/>
  <c r="H177" i="5"/>
  <c r="I177" i="5"/>
  <c r="J177" i="5"/>
  <c r="K177" i="5"/>
  <c r="L177" i="5"/>
  <c r="M177" i="5"/>
  <c r="N177" i="5"/>
  <c r="O177" i="5"/>
  <c r="P177" i="5"/>
  <c r="Q177" i="5"/>
  <c r="R177" i="5"/>
  <c r="S177" i="5"/>
  <c r="T177" i="5"/>
  <c r="U177" i="5"/>
  <c r="V177" i="5"/>
  <c r="W177" i="5"/>
  <c r="X177" i="5"/>
  <c r="C178" i="5"/>
  <c r="D178" i="5"/>
  <c r="E178" i="5"/>
  <c r="F178" i="5"/>
  <c r="G178" i="5"/>
  <c r="H178" i="5"/>
  <c r="I178" i="5"/>
  <c r="J178" i="5"/>
  <c r="K178" i="5"/>
  <c r="L178" i="5"/>
  <c r="M178" i="5"/>
  <c r="N178" i="5"/>
  <c r="O178" i="5"/>
  <c r="P178" i="5"/>
  <c r="Q178" i="5"/>
  <c r="R178" i="5"/>
  <c r="S178" i="5"/>
  <c r="T178" i="5"/>
  <c r="U178" i="5"/>
  <c r="V178" i="5"/>
  <c r="W178" i="5"/>
  <c r="X178" i="5"/>
  <c r="C179" i="5"/>
  <c r="D179" i="5"/>
  <c r="E179" i="5"/>
  <c r="F179" i="5"/>
  <c r="G179" i="5"/>
  <c r="H179" i="5"/>
  <c r="I179" i="5"/>
  <c r="J179" i="5"/>
  <c r="K179" i="5"/>
  <c r="L179" i="5"/>
  <c r="M179" i="5"/>
  <c r="N179" i="5"/>
  <c r="O179" i="5"/>
  <c r="P179" i="5"/>
  <c r="Q179" i="5"/>
  <c r="R179" i="5"/>
  <c r="S179" i="5"/>
  <c r="T179" i="5"/>
  <c r="U179" i="5"/>
  <c r="V179" i="5"/>
  <c r="W179" i="5"/>
  <c r="X179" i="5"/>
  <c r="C180" i="5"/>
  <c r="D180" i="5"/>
  <c r="E180" i="5"/>
  <c r="F180" i="5"/>
  <c r="G180" i="5"/>
  <c r="H180" i="5"/>
  <c r="I180" i="5"/>
  <c r="J180" i="5"/>
  <c r="K180" i="5"/>
  <c r="L180" i="5"/>
  <c r="M180" i="5"/>
  <c r="N180" i="5"/>
  <c r="O180" i="5"/>
  <c r="P180" i="5"/>
  <c r="Q180" i="5"/>
  <c r="R180" i="5"/>
  <c r="S180" i="5"/>
  <c r="T180" i="5"/>
  <c r="U180" i="5"/>
  <c r="V180" i="5"/>
  <c r="W180" i="5"/>
  <c r="X180" i="5"/>
  <c r="C181" i="5"/>
  <c r="D181" i="5"/>
  <c r="E181" i="5"/>
  <c r="F181" i="5"/>
  <c r="G181" i="5"/>
  <c r="H181" i="5"/>
  <c r="I181" i="5"/>
  <c r="J181" i="5"/>
  <c r="K181" i="5"/>
  <c r="L181" i="5"/>
  <c r="M181" i="5"/>
  <c r="N181" i="5"/>
  <c r="O181" i="5"/>
  <c r="P181" i="5"/>
  <c r="Q181" i="5"/>
  <c r="R181" i="5"/>
  <c r="S181" i="5"/>
  <c r="T181" i="5"/>
  <c r="U181" i="5"/>
  <c r="V181" i="5"/>
  <c r="W181" i="5"/>
  <c r="X181" i="5"/>
  <c r="C182" i="5"/>
  <c r="D182" i="5"/>
  <c r="E182" i="5"/>
  <c r="F182" i="5"/>
  <c r="G182" i="5"/>
  <c r="H182" i="5"/>
  <c r="I182" i="5"/>
  <c r="J182" i="5"/>
  <c r="K182" i="5"/>
  <c r="L182" i="5"/>
  <c r="M182" i="5"/>
  <c r="N182" i="5"/>
  <c r="O182" i="5"/>
  <c r="P182" i="5"/>
  <c r="Q182" i="5"/>
  <c r="R182" i="5"/>
  <c r="S182" i="5"/>
  <c r="T182" i="5"/>
  <c r="U182" i="5"/>
  <c r="V182" i="5"/>
  <c r="W182" i="5"/>
  <c r="X182" i="5"/>
  <c r="C183" i="5"/>
  <c r="D183" i="5"/>
  <c r="E183" i="5"/>
  <c r="F183" i="5"/>
  <c r="G183" i="5"/>
  <c r="H183" i="5"/>
  <c r="I183" i="5"/>
  <c r="J183" i="5"/>
  <c r="K183" i="5"/>
  <c r="L183" i="5"/>
  <c r="M183" i="5"/>
  <c r="N183" i="5"/>
  <c r="O183" i="5"/>
  <c r="P183" i="5"/>
  <c r="Q183" i="5"/>
  <c r="R183" i="5"/>
  <c r="S183" i="5"/>
  <c r="T183" i="5"/>
  <c r="U183" i="5"/>
  <c r="V183" i="5"/>
  <c r="W183" i="5"/>
  <c r="X183" i="5"/>
  <c r="C184" i="5"/>
  <c r="D184" i="5"/>
  <c r="E184" i="5"/>
  <c r="F184" i="5"/>
  <c r="G184" i="5"/>
  <c r="H184" i="5"/>
  <c r="I184" i="5"/>
  <c r="J184" i="5"/>
  <c r="K184" i="5"/>
  <c r="L184" i="5"/>
  <c r="M184" i="5"/>
  <c r="N184" i="5"/>
  <c r="O184" i="5"/>
  <c r="P184" i="5"/>
  <c r="Q184" i="5"/>
  <c r="R184" i="5"/>
  <c r="S184" i="5"/>
  <c r="T184" i="5"/>
  <c r="U184" i="5"/>
  <c r="V184" i="5"/>
  <c r="W184" i="5"/>
  <c r="X184" i="5"/>
  <c r="C185" i="5"/>
  <c r="D185" i="5"/>
  <c r="E185" i="5"/>
  <c r="F185" i="5"/>
  <c r="G185" i="5"/>
  <c r="H185" i="5"/>
  <c r="I185" i="5"/>
  <c r="J185" i="5"/>
  <c r="K185" i="5"/>
  <c r="L185" i="5"/>
  <c r="M185" i="5"/>
  <c r="N185" i="5"/>
  <c r="O185" i="5"/>
  <c r="P185" i="5"/>
  <c r="Q185" i="5"/>
  <c r="R185" i="5"/>
  <c r="S185" i="5"/>
  <c r="T185" i="5"/>
  <c r="U185" i="5"/>
  <c r="V185" i="5"/>
  <c r="W185" i="5"/>
  <c r="X185" i="5"/>
  <c r="C186" i="5"/>
  <c r="D186" i="5"/>
  <c r="E186" i="5"/>
  <c r="F186" i="5"/>
  <c r="G186" i="5"/>
  <c r="H186" i="5"/>
  <c r="I186" i="5"/>
  <c r="J186" i="5"/>
  <c r="K186" i="5"/>
  <c r="L186" i="5"/>
  <c r="M186" i="5"/>
  <c r="N186" i="5"/>
  <c r="O186" i="5"/>
  <c r="P186" i="5"/>
  <c r="Q186" i="5"/>
  <c r="R186" i="5"/>
  <c r="S186" i="5"/>
  <c r="T186" i="5"/>
  <c r="U186" i="5"/>
  <c r="V186" i="5"/>
  <c r="W186" i="5"/>
  <c r="X186" i="5"/>
  <c r="C187" i="5"/>
  <c r="D187" i="5"/>
  <c r="E187" i="5"/>
  <c r="F187" i="5"/>
  <c r="G187" i="5"/>
  <c r="H187" i="5"/>
  <c r="I187" i="5"/>
  <c r="J187" i="5"/>
  <c r="K187" i="5"/>
  <c r="L187" i="5"/>
  <c r="M187" i="5"/>
  <c r="N187" i="5"/>
  <c r="O187" i="5"/>
  <c r="P187" i="5"/>
  <c r="Q187" i="5"/>
  <c r="R187" i="5"/>
  <c r="S187" i="5"/>
  <c r="T187" i="5"/>
  <c r="U187" i="5"/>
  <c r="V187" i="5"/>
  <c r="W187" i="5"/>
  <c r="X187" i="5"/>
  <c r="C188" i="5"/>
  <c r="D188" i="5"/>
  <c r="E188" i="5"/>
  <c r="F188" i="5"/>
  <c r="G188" i="5"/>
  <c r="H188" i="5"/>
  <c r="I188" i="5"/>
  <c r="J188" i="5"/>
  <c r="K188" i="5"/>
  <c r="L188" i="5"/>
  <c r="M188" i="5"/>
  <c r="N188" i="5"/>
  <c r="O188" i="5"/>
  <c r="P188" i="5"/>
  <c r="Q188" i="5"/>
  <c r="R188" i="5"/>
  <c r="S188" i="5"/>
  <c r="T188" i="5"/>
  <c r="U188" i="5"/>
  <c r="V188" i="5"/>
  <c r="W188" i="5"/>
  <c r="X188" i="5"/>
  <c r="C189" i="5"/>
  <c r="D189" i="5"/>
  <c r="E189" i="5"/>
  <c r="F189" i="5"/>
  <c r="G189" i="5"/>
  <c r="H189" i="5"/>
  <c r="I189" i="5"/>
  <c r="J189" i="5"/>
  <c r="K189" i="5"/>
  <c r="L189" i="5"/>
  <c r="M189" i="5"/>
  <c r="N189" i="5"/>
  <c r="O189" i="5"/>
  <c r="P189" i="5"/>
  <c r="Q189" i="5"/>
  <c r="R189" i="5"/>
  <c r="S189" i="5"/>
  <c r="T189" i="5"/>
  <c r="U189" i="5"/>
  <c r="V189" i="5"/>
  <c r="W189" i="5"/>
  <c r="X189" i="5"/>
  <c r="C190" i="5"/>
  <c r="D190" i="5"/>
  <c r="E190" i="5"/>
  <c r="F190" i="5"/>
  <c r="G190" i="5"/>
  <c r="H190" i="5"/>
  <c r="I190" i="5"/>
  <c r="J190" i="5"/>
  <c r="K190" i="5"/>
  <c r="L190" i="5"/>
  <c r="M190" i="5"/>
  <c r="N190" i="5"/>
  <c r="O190" i="5"/>
  <c r="P190" i="5"/>
  <c r="Q190" i="5"/>
  <c r="R190" i="5"/>
  <c r="S190" i="5"/>
  <c r="T190" i="5"/>
  <c r="U190" i="5"/>
  <c r="V190" i="5"/>
  <c r="W190" i="5"/>
  <c r="X190" i="5"/>
  <c r="C191" i="5"/>
  <c r="D191" i="5"/>
  <c r="E191" i="5"/>
  <c r="F191" i="5"/>
  <c r="G191" i="5"/>
  <c r="H191" i="5"/>
  <c r="I191" i="5"/>
  <c r="J191" i="5"/>
  <c r="K191" i="5"/>
  <c r="L191" i="5"/>
  <c r="M191" i="5"/>
  <c r="N191" i="5"/>
  <c r="O191" i="5"/>
  <c r="P191" i="5"/>
  <c r="Q191" i="5"/>
  <c r="R191" i="5"/>
  <c r="S191" i="5"/>
  <c r="T191" i="5"/>
  <c r="U191" i="5"/>
  <c r="V191" i="5"/>
  <c r="W191" i="5"/>
  <c r="X191" i="5"/>
  <c r="C192" i="5"/>
  <c r="D192" i="5"/>
  <c r="E192" i="5"/>
  <c r="F192" i="5"/>
  <c r="G192" i="5"/>
  <c r="H192" i="5"/>
  <c r="I192" i="5"/>
  <c r="J192" i="5"/>
  <c r="K192" i="5"/>
  <c r="L192" i="5"/>
  <c r="M192" i="5"/>
  <c r="N192" i="5"/>
  <c r="O192" i="5"/>
  <c r="P192" i="5"/>
  <c r="Q192" i="5"/>
  <c r="R192" i="5"/>
  <c r="S192" i="5"/>
  <c r="T192" i="5"/>
  <c r="U192" i="5"/>
  <c r="V192" i="5"/>
  <c r="W192" i="5"/>
  <c r="X192" i="5"/>
  <c r="C193" i="5"/>
  <c r="D193" i="5"/>
  <c r="E193" i="5"/>
  <c r="F193" i="5"/>
  <c r="G193" i="5"/>
  <c r="H193" i="5"/>
  <c r="I193" i="5"/>
  <c r="J193" i="5"/>
  <c r="K193" i="5"/>
  <c r="L193" i="5"/>
  <c r="M193" i="5"/>
  <c r="N193" i="5"/>
  <c r="O193" i="5"/>
  <c r="P193" i="5"/>
  <c r="Q193" i="5"/>
  <c r="R193" i="5"/>
  <c r="S193" i="5"/>
  <c r="T193" i="5"/>
  <c r="U193" i="5"/>
  <c r="V193" i="5"/>
  <c r="W193" i="5"/>
  <c r="X193" i="5"/>
  <c r="C194" i="5"/>
  <c r="D194" i="5"/>
  <c r="E194" i="5"/>
  <c r="F194" i="5"/>
  <c r="G194" i="5"/>
  <c r="H194" i="5"/>
  <c r="I194" i="5"/>
  <c r="J194" i="5"/>
  <c r="K194" i="5"/>
  <c r="L194" i="5"/>
  <c r="M194" i="5"/>
  <c r="N194" i="5"/>
  <c r="O194" i="5"/>
  <c r="P194" i="5"/>
  <c r="Q194" i="5"/>
  <c r="R194" i="5"/>
  <c r="S194" i="5"/>
  <c r="T194" i="5"/>
  <c r="U194" i="5"/>
  <c r="V194" i="5"/>
  <c r="W194" i="5"/>
  <c r="X194" i="5"/>
  <c r="C195" i="5"/>
  <c r="D195" i="5"/>
  <c r="E195" i="5"/>
  <c r="F195" i="5"/>
  <c r="G195" i="5"/>
  <c r="H195" i="5"/>
  <c r="I195" i="5"/>
  <c r="J195" i="5"/>
  <c r="K195" i="5"/>
  <c r="L195" i="5"/>
  <c r="M195" i="5"/>
  <c r="N195" i="5"/>
  <c r="O195" i="5"/>
  <c r="P195" i="5"/>
  <c r="Q195" i="5"/>
  <c r="R195" i="5"/>
  <c r="S195" i="5"/>
  <c r="T195" i="5"/>
  <c r="U195" i="5"/>
  <c r="V195" i="5"/>
  <c r="W195" i="5"/>
  <c r="X195" i="5"/>
  <c r="C196" i="5"/>
  <c r="D196" i="5"/>
  <c r="E196" i="5"/>
  <c r="F196" i="5"/>
  <c r="G196" i="5"/>
  <c r="H196" i="5"/>
  <c r="I196" i="5"/>
  <c r="J196" i="5"/>
  <c r="K196" i="5"/>
  <c r="L196" i="5"/>
  <c r="M196" i="5"/>
  <c r="N196" i="5"/>
  <c r="O196" i="5"/>
  <c r="P196" i="5"/>
  <c r="Q196" i="5"/>
  <c r="R196" i="5"/>
  <c r="S196" i="5"/>
  <c r="T196" i="5"/>
  <c r="U196" i="5"/>
  <c r="V196" i="5"/>
  <c r="W196" i="5"/>
  <c r="X196" i="5"/>
  <c r="C197" i="5"/>
  <c r="D197" i="5"/>
  <c r="E197" i="5"/>
  <c r="F197" i="5"/>
  <c r="G197" i="5"/>
  <c r="H197" i="5"/>
  <c r="I197" i="5"/>
  <c r="J197" i="5"/>
  <c r="K197" i="5"/>
  <c r="L197" i="5"/>
  <c r="M197" i="5"/>
  <c r="N197" i="5"/>
  <c r="O197" i="5"/>
  <c r="P197" i="5"/>
  <c r="Q197" i="5"/>
  <c r="R197" i="5"/>
  <c r="S197" i="5"/>
  <c r="T197" i="5"/>
  <c r="U197" i="5"/>
  <c r="V197" i="5"/>
  <c r="W197" i="5"/>
  <c r="X197" i="5"/>
  <c r="C198" i="5"/>
  <c r="D198" i="5"/>
  <c r="E198" i="5"/>
  <c r="F198" i="5"/>
  <c r="G198" i="5"/>
  <c r="H198" i="5"/>
  <c r="I198" i="5"/>
  <c r="J198" i="5"/>
  <c r="K198" i="5"/>
  <c r="L198" i="5"/>
  <c r="M198" i="5"/>
  <c r="N198" i="5"/>
  <c r="O198" i="5"/>
  <c r="P198" i="5"/>
  <c r="Q198" i="5"/>
  <c r="R198" i="5"/>
  <c r="S198" i="5"/>
  <c r="T198" i="5"/>
  <c r="U198" i="5"/>
  <c r="V198" i="5"/>
  <c r="W198" i="5"/>
  <c r="X198" i="5"/>
  <c r="C199" i="5"/>
  <c r="D199" i="5"/>
  <c r="E199" i="5"/>
  <c r="F199" i="5"/>
  <c r="G199" i="5"/>
  <c r="H199" i="5"/>
  <c r="I199" i="5"/>
  <c r="J199" i="5"/>
  <c r="K199" i="5"/>
  <c r="L199" i="5"/>
  <c r="M199" i="5"/>
  <c r="N199" i="5"/>
  <c r="O199" i="5"/>
  <c r="P199" i="5"/>
  <c r="Q199" i="5"/>
  <c r="R199" i="5"/>
  <c r="S199" i="5"/>
  <c r="T199" i="5"/>
  <c r="U199" i="5"/>
  <c r="V199" i="5"/>
  <c r="W199" i="5"/>
  <c r="X199" i="5"/>
  <c r="C200" i="5"/>
  <c r="D200" i="5"/>
  <c r="E200" i="5"/>
  <c r="F200" i="5"/>
  <c r="G200" i="5"/>
  <c r="H200" i="5"/>
  <c r="I200" i="5"/>
  <c r="J200" i="5"/>
  <c r="K200" i="5"/>
  <c r="L200" i="5"/>
  <c r="M200" i="5"/>
  <c r="N200" i="5"/>
  <c r="O200" i="5"/>
  <c r="P200" i="5"/>
  <c r="Q200" i="5"/>
  <c r="R200" i="5"/>
  <c r="S200" i="5"/>
  <c r="T200" i="5"/>
  <c r="U200" i="5"/>
  <c r="V200" i="5"/>
  <c r="W200" i="5"/>
  <c r="X200" i="5"/>
  <c r="C201" i="5"/>
  <c r="D201" i="5"/>
  <c r="E201" i="5"/>
  <c r="F201" i="5"/>
  <c r="G201" i="5"/>
  <c r="H201" i="5"/>
  <c r="I201" i="5"/>
  <c r="J201" i="5"/>
  <c r="K201" i="5"/>
  <c r="L201" i="5"/>
  <c r="M201" i="5"/>
  <c r="N201" i="5"/>
  <c r="O201" i="5"/>
  <c r="P201" i="5"/>
  <c r="Q201" i="5"/>
  <c r="R201" i="5"/>
  <c r="S201" i="5"/>
  <c r="T201" i="5"/>
  <c r="U201" i="5"/>
  <c r="V201" i="5"/>
  <c r="W201" i="5"/>
  <c r="X201" i="5"/>
  <c r="C202" i="5"/>
  <c r="D202" i="5"/>
  <c r="E202" i="5"/>
  <c r="F202" i="5"/>
  <c r="G202" i="5"/>
  <c r="H202" i="5"/>
  <c r="I202" i="5"/>
  <c r="J202" i="5"/>
  <c r="K202" i="5"/>
  <c r="L202" i="5"/>
  <c r="M202" i="5"/>
  <c r="N202" i="5"/>
  <c r="O202" i="5"/>
  <c r="P202" i="5"/>
  <c r="Q202" i="5"/>
  <c r="R202" i="5"/>
  <c r="S202" i="5"/>
  <c r="T202" i="5"/>
  <c r="U202" i="5"/>
  <c r="V202" i="5"/>
  <c r="W202" i="5"/>
  <c r="X202" i="5"/>
  <c r="C203" i="5"/>
  <c r="D203" i="5"/>
  <c r="E203" i="5"/>
  <c r="F203" i="5"/>
  <c r="G203" i="5"/>
  <c r="H203" i="5"/>
  <c r="I203" i="5"/>
  <c r="J203" i="5"/>
  <c r="K203" i="5"/>
  <c r="L203" i="5"/>
  <c r="M203" i="5"/>
  <c r="N203" i="5"/>
  <c r="O203" i="5"/>
  <c r="P203" i="5"/>
  <c r="Q203" i="5"/>
  <c r="R203" i="5"/>
  <c r="S203" i="5"/>
  <c r="T203" i="5"/>
  <c r="U203" i="5"/>
  <c r="V203" i="5"/>
  <c r="W203" i="5"/>
  <c r="X203" i="5"/>
  <c r="C204" i="5"/>
  <c r="D204" i="5"/>
  <c r="E204" i="5"/>
  <c r="F204" i="5"/>
  <c r="G204" i="5"/>
  <c r="H204" i="5"/>
  <c r="I204" i="5"/>
  <c r="J204" i="5"/>
  <c r="K204" i="5"/>
  <c r="L204" i="5"/>
  <c r="M204" i="5"/>
  <c r="N204" i="5"/>
  <c r="O204" i="5"/>
  <c r="P204" i="5"/>
  <c r="Q204" i="5"/>
  <c r="R204" i="5"/>
  <c r="S204" i="5"/>
  <c r="T204" i="5"/>
  <c r="U204" i="5"/>
  <c r="V204" i="5"/>
  <c r="W204" i="5"/>
  <c r="X204" i="5"/>
  <c r="C205" i="5"/>
  <c r="D205" i="5"/>
  <c r="E205" i="5"/>
  <c r="F205" i="5"/>
  <c r="G205" i="5"/>
  <c r="H205" i="5"/>
  <c r="I205" i="5"/>
  <c r="J205" i="5"/>
  <c r="K205" i="5"/>
  <c r="L205" i="5"/>
  <c r="M205" i="5"/>
  <c r="N205" i="5"/>
  <c r="O205" i="5"/>
  <c r="P205" i="5"/>
  <c r="Q205" i="5"/>
  <c r="R205" i="5"/>
  <c r="S205" i="5"/>
  <c r="T205" i="5"/>
  <c r="U205" i="5"/>
  <c r="V205" i="5"/>
  <c r="W205" i="5"/>
  <c r="X205" i="5"/>
  <c r="C206" i="5"/>
  <c r="D206" i="5"/>
  <c r="E206" i="5"/>
  <c r="F206" i="5"/>
  <c r="G206" i="5"/>
  <c r="H206" i="5"/>
  <c r="I206" i="5"/>
  <c r="J206" i="5"/>
  <c r="K206" i="5"/>
  <c r="L206" i="5"/>
  <c r="M206" i="5"/>
  <c r="N206" i="5"/>
  <c r="O206" i="5"/>
  <c r="P206" i="5"/>
  <c r="Q206" i="5"/>
  <c r="R206" i="5"/>
  <c r="S206" i="5"/>
  <c r="T206" i="5"/>
  <c r="U206" i="5"/>
  <c r="V206" i="5"/>
  <c r="W206" i="5"/>
  <c r="X206" i="5"/>
  <c r="C207" i="5"/>
  <c r="D207" i="5"/>
  <c r="E207" i="5"/>
  <c r="F207" i="5"/>
  <c r="G207" i="5"/>
  <c r="H207" i="5"/>
  <c r="I207" i="5"/>
  <c r="J207" i="5"/>
  <c r="K207" i="5"/>
  <c r="L207" i="5"/>
  <c r="M207" i="5"/>
  <c r="N207" i="5"/>
  <c r="O207" i="5"/>
  <c r="P207" i="5"/>
  <c r="Q207" i="5"/>
  <c r="R207" i="5"/>
  <c r="S207" i="5"/>
  <c r="T207" i="5"/>
  <c r="U207" i="5"/>
  <c r="V207" i="5"/>
  <c r="W207" i="5"/>
  <c r="X207" i="5"/>
  <c r="C208" i="5"/>
  <c r="D208" i="5"/>
  <c r="E208" i="5"/>
  <c r="F208" i="5"/>
  <c r="G208" i="5"/>
  <c r="H208" i="5"/>
  <c r="I208" i="5"/>
  <c r="J208" i="5"/>
  <c r="K208" i="5"/>
  <c r="L208" i="5"/>
  <c r="M208" i="5"/>
  <c r="N208" i="5"/>
  <c r="O208" i="5"/>
  <c r="P208" i="5"/>
  <c r="Q208" i="5"/>
  <c r="R208" i="5"/>
  <c r="S208" i="5"/>
  <c r="T208" i="5"/>
  <c r="U208" i="5"/>
  <c r="V208" i="5"/>
  <c r="W208" i="5"/>
  <c r="X208" i="5"/>
  <c r="C209" i="5"/>
  <c r="D209" i="5"/>
  <c r="E209" i="5"/>
  <c r="F209" i="5"/>
  <c r="G209" i="5"/>
  <c r="H209" i="5"/>
  <c r="I209" i="5"/>
  <c r="J209" i="5"/>
  <c r="K209" i="5"/>
  <c r="L209" i="5"/>
  <c r="M209" i="5"/>
  <c r="N209" i="5"/>
  <c r="O209" i="5"/>
  <c r="P209" i="5"/>
  <c r="Q209" i="5"/>
  <c r="R209" i="5"/>
  <c r="S209" i="5"/>
  <c r="T209" i="5"/>
  <c r="U209" i="5"/>
  <c r="V209" i="5"/>
  <c r="W209" i="5"/>
  <c r="X209" i="5"/>
  <c r="C210" i="5"/>
  <c r="D210" i="5"/>
  <c r="E210" i="5"/>
  <c r="F210" i="5"/>
  <c r="G210" i="5"/>
  <c r="H210" i="5"/>
  <c r="I210" i="5"/>
  <c r="J210" i="5"/>
  <c r="K210" i="5"/>
  <c r="L210" i="5"/>
  <c r="M210" i="5"/>
  <c r="N210" i="5"/>
  <c r="O210" i="5"/>
  <c r="P210" i="5"/>
  <c r="Q210" i="5"/>
  <c r="R210" i="5"/>
  <c r="S210" i="5"/>
  <c r="T210" i="5"/>
  <c r="U210" i="5"/>
  <c r="V210" i="5"/>
  <c r="W210" i="5"/>
  <c r="X210" i="5"/>
  <c r="C211" i="5"/>
  <c r="D211" i="5"/>
  <c r="E211" i="5"/>
  <c r="F211" i="5"/>
  <c r="G211" i="5"/>
  <c r="H211" i="5"/>
  <c r="I211" i="5"/>
  <c r="J211" i="5"/>
  <c r="K211" i="5"/>
  <c r="L211" i="5"/>
  <c r="M211" i="5"/>
  <c r="N211" i="5"/>
  <c r="O211" i="5"/>
  <c r="P211" i="5"/>
  <c r="Q211" i="5"/>
  <c r="R211" i="5"/>
  <c r="S211" i="5"/>
  <c r="T211" i="5"/>
  <c r="U211" i="5"/>
  <c r="V211" i="5"/>
  <c r="W211" i="5"/>
  <c r="X211" i="5"/>
  <c r="C212" i="5"/>
  <c r="D212" i="5"/>
  <c r="E212" i="5"/>
  <c r="F212" i="5"/>
  <c r="G212" i="5"/>
  <c r="H212" i="5"/>
  <c r="I212" i="5"/>
  <c r="J212" i="5"/>
  <c r="K212" i="5"/>
  <c r="L212" i="5"/>
  <c r="M212" i="5"/>
  <c r="N212" i="5"/>
  <c r="O212" i="5"/>
  <c r="P212" i="5"/>
  <c r="Q212" i="5"/>
  <c r="R212" i="5"/>
  <c r="S212" i="5"/>
  <c r="T212" i="5"/>
  <c r="U212" i="5"/>
  <c r="V212" i="5"/>
  <c r="W212" i="5"/>
  <c r="X212" i="5"/>
  <c r="C213" i="5"/>
  <c r="D213" i="5"/>
  <c r="E213" i="5"/>
  <c r="F213" i="5"/>
  <c r="G213" i="5"/>
  <c r="H213" i="5"/>
  <c r="I213" i="5"/>
  <c r="J213" i="5"/>
  <c r="K213" i="5"/>
  <c r="L213" i="5"/>
  <c r="M213" i="5"/>
  <c r="N213" i="5"/>
  <c r="O213" i="5"/>
  <c r="P213" i="5"/>
  <c r="Q213" i="5"/>
  <c r="R213" i="5"/>
  <c r="S213" i="5"/>
  <c r="T213" i="5"/>
  <c r="U213" i="5"/>
  <c r="V213" i="5"/>
  <c r="W213" i="5"/>
  <c r="X213" i="5"/>
  <c r="C214" i="5"/>
  <c r="D214" i="5"/>
  <c r="E214" i="5"/>
  <c r="F214" i="5"/>
  <c r="G214" i="5"/>
  <c r="H214" i="5"/>
  <c r="I214" i="5"/>
  <c r="J214" i="5"/>
  <c r="K214" i="5"/>
  <c r="L214" i="5"/>
  <c r="M214" i="5"/>
  <c r="N214" i="5"/>
  <c r="O214" i="5"/>
  <c r="P214" i="5"/>
  <c r="Q214" i="5"/>
  <c r="R214" i="5"/>
  <c r="S214" i="5"/>
  <c r="T214" i="5"/>
  <c r="U214" i="5"/>
  <c r="V214" i="5"/>
  <c r="W214" i="5"/>
  <c r="X214" i="5"/>
  <c r="C215" i="5"/>
  <c r="D215" i="5"/>
  <c r="E215" i="5"/>
  <c r="F215" i="5"/>
  <c r="G215" i="5"/>
  <c r="H215" i="5"/>
  <c r="I215" i="5"/>
  <c r="J215" i="5"/>
  <c r="K215" i="5"/>
  <c r="L215" i="5"/>
  <c r="M215" i="5"/>
  <c r="N215" i="5"/>
  <c r="O215" i="5"/>
  <c r="P215" i="5"/>
  <c r="Q215" i="5"/>
  <c r="R215" i="5"/>
  <c r="S215" i="5"/>
  <c r="T215" i="5"/>
  <c r="U215" i="5"/>
  <c r="V215" i="5"/>
  <c r="W215" i="5"/>
  <c r="X215" i="5"/>
  <c r="F13" i="4"/>
  <c r="F19" i="4" s="1"/>
  <c r="F14" i="4"/>
  <c r="F20" i="4" s="1"/>
  <c r="F21" i="4"/>
  <c r="F22" i="4"/>
  <c r="F23" i="4" s="1"/>
  <c r="B29" i="5"/>
  <c r="B32" i="5"/>
  <c r="B36" i="5"/>
  <c r="B41" i="5"/>
  <c r="B45" i="5"/>
  <c r="B49" i="5"/>
  <c r="B54" i="5"/>
  <c r="B83" i="5"/>
  <c r="B95" i="5"/>
  <c r="B127" i="5"/>
  <c r="B152" i="5"/>
  <c r="B123" i="5"/>
  <c r="B80" i="5"/>
  <c r="B112" i="5"/>
  <c r="B64" i="5"/>
  <c r="B90" i="5"/>
  <c r="B137" i="5"/>
  <c r="B154" i="5"/>
  <c r="B155" i="5"/>
  <c r="B156" i="5"/>
  <c r="B157" i="5"/>
  <c r="B158" i="5"/>
  <c r="B159" i="5"/>
  <c r="B160" i="5"/>
  <c r="B161" i="5"/>
  <c r="B151" i="5"/>
  <c r="B92" i="5"/>
  <c r="B107" i="5"/>
  <c r="B56" i="5"/>
  <c r="B97" i="5"/>
  <c r="B131" i="5"/>
  <c r="B65" i="5"/>
  <c r="B96" i="5"/>
  <c r="B138" i="5"/>
  <c r="B55" i="5"/>
  <c r="B59" i="5"/>
  <c r="B60" i="5"/>
  <c r="B61" i="5"/>
  <c r="B66" i="5"/>
  <c r="B70" i="5"/>
  <c r="B71" i="5"/>
  <c r="B72" i="5"/>
  <c r="B73" i="5"/>
  <c r="B77" i="5"/>
  <c r="B85" i="5"/>
  <c r="B86" i="5"/>
  <c r="B91" i="5"/>
  <c r="B102" i="5"/>
  <c r="B114" i="5"/>
  <c r="B115" i="5"/>
  <c r="B116" i="5"/>
  <c r="B118" i="5"/>
  <c r="B134" i="5"/>
  <c r="B67" i="5"/>
  <c r="B99" i="5"/>
  <c r="B122" i="5"/>
  <c r="B57" i="5"/>
  <c r="B109" i="5"/>
  <c r="B133" i="5"/>
  <c r="B76" i="5"/>
  <c r="B119" i="5"/>
  <c r="B147" i="5"/>
  <c r="B125" i="5"/>
  <c r="B150" i="5"/>
  <c r="B143" i="5"/>
  <c r="B82" i="5"/>
  <c r="B104" i="5"/>
  <c r="B128" i="5"/>
  <c r="B79" i="5"/>
  <c r="B110" i="5"/>
  <c r="B141" i="5"/>
  <c r="B89" i="5"/>
  <c r="B124" i="5"/>
  <c r="B31" i="5"/>
  <c r="B35" i="5"/>
  <c r="B39" i="5"/>
  <c r="B43" i="5"/>
  <c r="B47" i="5"/>
  <c r="B51" i="5"/>
  <c r="B62" i="5"/>
  <c r="B84" i="5"/>
  <c r="B101" i="5"/>
  <c r="B135" i="5"/>
  <c r="B153" i="5"/>
  <c r="B149" i="5"/>
  <c r="B87" i="5"/>
  <c r="B106" i="5"/>
  <c r="B146" i="5"/>
  <c r="B98" i="5"/>
  <c r="B113" i="5"/>
  <c r="B74" i="5"/>
  <c r="B100" i="5"/>
  <c r="B142" i="5"/>
  <c r="B30" i="5"/>
  <c r="B33" i="5"/>
  <c r="B37" i="5"/>
  <c r="B40" i="5"/>
  <c r="B44" i="5"/>
  <c r="B48" i="5"/>
  <c r="B52" i="5"/>
  <c r="B68" i="5"/>
  <c r="B93" i="5"/>
  <c r="B120" i="5"/>
  <c r="B136" i="5"/>
  <c r="B129" i="5"/>
  <c r="B63" i="5"/>
  <c r="B103" i="5"/>
  <c r="B121" i="5"/>
  <c r="B58" i="5"/>
  <c r="B108" i="5"/>
  <c r="B139" i="5"/>
  <c r="B75" i="5"/>
  <c r="B117" i="5"/>
  <c r="B148" i="5"/>
  <c r="B34" i="5"/>
  <c r="B38" i="5"/>
  <c r="B42" i="5"/>
  <c r="B46" i="5"/>
  <c r="B50" i="5"/>
  <c r="B53" i="5"/>
  <c r="B78" i="5"/>
  <c r="B94" i="5"/>
  <c r="B126" i="5"/>
  <c r="B145" i="5"/>
  <c r="B144" i="5"/>
  <c r="B81" i="5"/>
  <c r="B105" i="5"/>
  <c r="B130" i="5"/>
  <c r="B69" i="5"/>
  <c r="B111" i="5"/>
  <c r="B140" i="5"/>
  <c r="B88" i="5"/>
  <c r="B132" i="5"/>
  <c r="X29" i="5" l="1"/>
  <c r="W29" i="5"/>
  <c r="V29" i="5"/>
  <c r="U29" i="5"/>
  <c r="T29" i="5"/>
  <c r="S29" i="5"/>
  <c r="R29" i="5"/>
  <c r="Q29" i="5"/>
  <c r="P29" i="5"/>
  <c r="O29" i="5"/>
  <c r="N29" i="5"/>
  <c r="M29" i="5"/>
  <c r="L29" i="5"/>
  <c r="K29" i="5"/>
  <c r="J29" i="5"/>
  <c r="I29" i="5"/>
  <c r="H29" i="5"/>
  <c r="G29" i="5"/>
  <c r="F29" i="5"/>
  <c r="E29" i="5"/>
  <c r="D29" i="5"/>
  <c r="C29" i="5"/>
  <c r="X32" i="5"/>
  <c r="W32" i="5"/>
  <c r="V32" i="5"/>
  <c r="U32" i="5"/>
  <c r="T32" i="5"/>
  <c r="S32" i="5"/>
  <c r="R32" i="5"/>
  <c r="Q32" i="5"/>
  <c r="P32" i="5"/>
  <c r="O32" i="5"/>
  <c r="N32" i="5"/>
  <c r="M32" i="5"/>
  <c r="L32" i="5"/>
  <c r="K32" i="5"/>
  <c r="J32" i="5"/>
  <c r="I32" i="5"/>
  <c r="H32" i="5"/>
  <c r="G32" i="5"/>
  <c r="F32" i="5"/>
  <c r="E32" i="5"/>
  <c r="D32" i="5"/>
  <c r="C32" i="5"/>
  <c r="X36" i="5"/>
  <c r="W36" i="5"/>
  <c r="V36" i="5"/>
  <c r="U36" i="5"/>
  <c r="T36" i="5"/>
  <c r="S36" i="5"/>
  <c r="R36" i="5"/>
  <c r="Q36" i="5"/>
  <c r="P36" i="5"/>
  <c r="O36" i="5"/>
  <c r="N36" i="5"/>
  <c r="M36" i="5"/>
  <c r="L36" i="5"/>
  <c r="K36" i="5"/>
  <c r="J36" i="5"/>
  <c r="I36" i="5"/>
  <c r="H36" i="5"/>
  <c r="G36" i="5"/>
  <c r="F36" i="5"/>
  <c r="E36" i="5"/>
  <c r="D36" i="5"/>
  <c r="C36" i="5"/>
  <c r="X41" i="5"/>
  <c r="W41" i="5"/>
  <c r="V41" i="5"/>
  <c r="U41" i="5"/>
  <c r="T41" i="5"/>
  <c r="S41" i="5"/>
  <c r="R41" i="5"/>
  <c r="Q41" i="5"/>
  <c r="P41" i="5"/>
  <c r="O41" i="5"/>
  <c r="N41" i="5"/>
  <c r="M41" i="5"/>
  <c r="L41" i="5"/>
  <c r="K41" i="5"/>
  <c r="J41" i="5"/>
  <c r="I41" i="5"/>
  <c r="H41" i="5"/>
  <c r="G41" i="5"/>
  <c r="F41" i="5"/>
  <c r="E41" i="5"/>
  <c r="D41" i="5"/>
  <c r="C41" i="5"/>
  <c r="X45" i="5"/>
  <c r="W45" i="5"/>
  <c r="V45" i="5"/>
  <c r="U45" i="5"/>
  <c r="T45" i="5"/>
  <c r="S45" i="5"/>
  <c r="R45" i="5"/>
  <c r="Q45" i="5"/>
  <c r="P45" i="5"/>
  <c r="O45" i="5"/>
  <c r="N45" i="5"/>
  <c r="M45" i="5"/>
  <c r="L45" i="5"/>
  <c r="K45" i="5"/>
  <c r="J45" i="5"/>
  <c r="I45" i="5"/>
  <c r="H45" i="5"/>
  <c r="G45" i="5"/>
  <c r="F45" i="5"/>
  <c r="E45" i="5"/>
  <c r="D45" i="5"/>
  <c r="C45" i="5"/>
  <c r="X49" i="5"/>
  <c r="W49" i="5"/>
  <c r="V49" i="5"/>
  <c r="U49" i="5"/>
  <c r="T49" i="5"/>
  <c r="S49" i="5"/>
  <c r="R49" i="5"/>
  <c r="Q49" i="5"/>
  <c r="P49" i="5"/>
  <c r="O49" i="5"/>
  <c r="N49" i="5"/>
  <c r="M49" i="5"/>
  <c r="L49" i="5"/>
  <c r="K49" i="5"/>
  <c r="J49" i="5"/>
  <c r="I49" i="5"/>
  <c r="H49" i="5"/>
  <c r="G49" i="5"/>
  <c r="F49" i="5"/>
  <c r="E49" i="5"/>
  <c r="D49" i="5"/>
  <c r="C49" i="5"/>
  <c r="P54" i="5"/>
  <c r="X54" i="5"/>
  <c r="W54" i="5"/>
  <c r="V54" i="5"/>
  <c r="U54" i="5"/>
  <c r="T54" i="5"/>
  <c r="S54" i="5"/>
  <c r="R54" i="5"/>
  <c r="Q54" i="5"/>
  <c r="O54" i="5"/>
  <c r="N54" i="5"/>
  <c r="M54" i="5"/>
  <c r="L54" i="5"/>
  <c r="K54" i="5"/>
  <c r="J54" i="5"/>
  <c r="I54" i="5"/>
  <c r="H54" i="5"/>
  <c r="G54" i="5"/>
  <c r="F54" i="5"/>
  <c r="E54" i="5"/>
  <c r="D54" i="5"/>
  <c r="C54" i="5"/>
  <c r="X83" i="5"/>
  <c r="V83" i="5"/>
  <c r="U83" i="5"/>
  <c r="R83" i="5"/>
  <c r="Q83" i="5"/>
  <c r="O83" i="5"/>
  <c r="M83" i="5"/>
  <c r="K83" i="5"/>
  <c r="I83" i="5"/>
  <c r="G83" i="5"/>
  <c r="E83" i="5"/>
  <c r="C83" i="5"/>
  <c r="W83" i="5"/>
  <c r="T83" i="5"/>
  <c r="S83" i="5"/>
  <c r="P83" i="5"/>
  <c r="N83" i="5"/>
  <c r="L83" i="5"/>
  <c r="J83" i="5"/>
  <c r="H83" i="5"/>
  <c r="F83" i="5"/>
  <c r="D83" i="5"/>
  <c r="V95" i="5"/>
  <c r="U95" i="5"/>
  <c r="T95" i="5"/>
  <c r="S95" i="5"/>
  <c r="R95" i="5"/>
  <c r="Q95" i="5"/>
  <c r="P95" i="5"/>
  <c r="O95" i="5"/>
  <c r="N95" i="5"/>
  <c r="M95" i="5"/>
  <c r="L95" i="5"/>
  <c r="K95" i="5"/>
  <c r="J95" i="5"/>
  <c r="I95" i="5"/>
  <c r="H95" i="5"/>
  <c r="G95" i="5"/>
  <c r="F95" i="5"/>
  <c r="E95" i="5"/>
  <c r="D95" i="5"/>
  <c r="C95" i="5"/>
  <c r="X95" i="5"/>
  <c r="W95" i="5"/>
  <c r="X127" i="5"/>
  <c r="V127" i="5"/>
  <c r="U127" i="5"/>
  <c r="S127" i="5"/>
  <c r="Q127" i="5"/>
  <c r="O127" i="5"/>
  <c r="M127" i="5"/>
  <c r="K127" i="5"/>
  <c r="I127" i="5"/>
  <c r="G127" i="5"/>
  <c r="E127" i="5"/>
  <c r="C127" i="5"/>
  <c r="W127" i="5"/>
  <c r="T127" i="5"/>
  <c r="R127" i="5"/>
  <c r="P127" i="5"/>
  <c r="N127" i="5"/>
  <c r="L127" i="5"/>
  <c r="J127" i="5"/>
  <c r="H127" i="5"/>
  <c r="F127" i="5"/>
  <c r="D127" i="5"/>
  <c r="O152" i="5"/>
  <c r="G152" i="5"/>
  <c r="C152" i="5"/>
  <c r="P152" i="5"/>
  <c r="F152" i="5"/>
  <c r="D152" i="5"/>
  <c r="X152" i="5"/>
  <c r="W152" i="5"/>
  <c r="V152" i="5"/>
  <c r="U152" i="5"/>
  <c r="T152" i="5"/>
  <c r="S152" i="5"/>
  <c r="R152" i="5"/>
  <c r="Q152" i="5"/>
  <c r="N152" i="5"/>
  <c r="M152" i="5"/>
  <c r="L152" i="5"/>
  <c r="K152" i="5"/>
  <c r="J152" i="5"/>
  <c r="I152" i="5"/>
  <c r="H152" i="5"/>
  <c r="E152" i="5"/>
  <c r="S123" i="5"/>
  <c r="P123" i="5"/>
  <c r="O123" i="5"/>
  <c r="M123" i="5"/>
  <c r="J123" i="5"/>
  <c r="H123" i="5"/>
  <c r="E123" i="5"/>
  <c r="D123" i="5"/>
  <c r="X123" i="5"/>
  <c r="W123" i="5"/>
  <c r="V123" i="5"/>
  <c r="U123" i="5"/>
  <c r="T123" i="5"/>
  <c r="R123" i="5"/>
  <c r="Q123" i="5"/>
  <c r="N123" i="5"/>
  <c r="L123" i="5"/>
  <c r="K123" i="5"/>
  <c r="I123" i="5"/>
  <c r="G123" i="5"/>
  <c r="F123" i="5"/>
  <c r="C123" i="5"/>
  <c r="X80" i="5"/>
  <c r="W80" i="5"/>
  <c r="V80" i="5"/>
  <c r="U80" i="5"/>
  <c r="T80" i="5"/>
  <c r="S80" i="5"/>
  <c r="R80" i="5"/>
  <c r="Q80" i="5"/>
  <c r="P80" i="5"/>
  <c r="O80" i="5"/>
  <c r="N80" i="5"/>
  <c r="M80" i="5"/>
  <c r="L80" i="5"/>
  <c r="K80" i="5"/>
  <c r="J80" i="5"/>
  <c r="I80" i="5"/>
  <c r="H80" i="5"/>
  <c r="G80" i="5"/>
  <c r="F80" i="5"/>
  <c r="E80" i="5"/>
  <c r="D80" i="5"/>
  <c r="C80" i="5"/>
  <c r="T112" i="5"/>
  <c r="R112" i="5"/>
  <c r="P112" i="5"/>
  <c r="O112" i="5"/>
  <c r="M112" i="5"/>
  <c r="J112" i="5"/>
  <c r="H112" i="5"/>
  <c r="F112" i="5"/>
  <c r="E112" i="5"/>
  <c r="C112" i="5"/>
  <c r="X112" i="5"/>
  <c r="W112" i="5"/>
  <c r="V112" i="5"/>
  <c r="U112" i="5"/>
  <c r="S112" i="5"/>
  <c r="Q112" i="5"/>
  <c r="N112" i="5"/>
  <c r="L112" i="5"/>
  <c r="K112" i="5"/>
  <c r="I112" i="5"/>
  <c r="G112" i="5"/>
  <c r="D112" i="5"/>
  <c r="X64" i="5"/>
  <c r="W64" i="5"/>
  <c r="V64" i="5"/>
  <c r="U64" i="5"/>
  <c r="T64" i="5"/>
  <c r="S64" i="5"/>
  <c r="R64" i="5"/>
  <c r="Q64" i="5"/>
  <c r="P64" i="5"/>
  <c r="O64" i="5"/>
  <c r="N64" i="5"/>
  <c r="M64" i="5"/>
  <c r="L64" i="5"/>
  <c r="K64" i="5"/>
  <c r="J64" i="5"/>
  <c r="I64" i="5"/>
  <c r="H64" i="5"/>
  <c r="G64" i="5"/>
  <c r="F64" i="5"/>
  <c r="E64" i="5"/>
  <c r="D64" i="5"/>
  <c r="C64" i="5"/>
  <c r="R90" i="5"/>
  <c r="O90" i="5"/>
  <c r="M90" i="5"/>
  <c r="K90" i="5"/>
  <c r="I90" i="5"/>
  <c r="G90" i="5"/>
  <c r="E90" i="5"/>
  <c r="C90" i="5"/>
  <c r="X90" i="5"/>
  <c r="W90" i="5"/>
  <c r="V90" i="5"/>
  <c r="U90" i="5"/>
  <c r="T90" i="5"/>
  <c r="S90" i="5"/>
  <c r="Q90" i="5"/>
  <c r="P90" i="5"/>
  <c r="N90" i="5"/>
  <c r="L90" i="5"/>
  <c r="J90" i="5"/>
  <c r="H90" i="5"/>
  <c r="F90" i="5"/>
  <c r="D90" i="5"/>
  <c r="X137" i="5"/>
  <c r="W137" i="5"/>
  <c r="V137" i="5"/>
  <c r="U137" i="5"/>
  <c r="T137" i="5"/>
  <c r="S137" i="5"/>
  <c r="R137" i="5"/>
  <c r="Q137" i="5"/>
  <c r="P137" i="5"/>
  <c r="N137" i="5"/>
  <c r="M137" i="5"/>
  <c r="K137" i="5"/>
  <c r="I137" i="5"/>
  <c r="G137" i="5"/>
  <c r="E137" i="5"/>
  <c r="C137" i="5"/>
  <c r="O137" i="5"/>
  <c r="L137" i="5"/>
  <c r="J137" i="5"/>
  <c r="H137" i="5"/>
  <c r="F137" i="5"/>
  <c r="D137" i="5"/>
  <c r="X154" i="5"/>
  <c r="W154" i="5"/>
  <c r="V154" i="5"/>
  <c r="U154" i="5"/>
  <c r="T154" i="5"/>
  <c r="S154" i="5"/>
  <c r="R154" i="5"/>
  <c r="Q154" i="5"/>
  <c r="P154" i="5"/>
  <c r="O154" i="5"/>
  <c r="N154" i="5"/>
  <c r="M154" i="5"/>
  <c r="L154" i="5"/>
  <c r="K154" i="5"/>
  <c r="J154" i="5"/>
  <c r="I154" i="5"/>
  <c r="H154" i="5"/>
  <c r="G154" i="5"/>
  <c r="F154" i="5"/>
  <c r="E154" i="5"/>
  <c r="D154" i="5"/>
  <c r="C154" i="5"/>
  <c r="X155" i="5"/>
  <c r="W155" i="5"/>
  <c r="V155" i="5"/>
  <c r="U155" i="5"/>
  <c r="T155" i="5"/>
  <c r="S155" i="5"/>
  <c r="R155" i="5"/>
  <c r="Q155" i="5"/>
  <c r="P155" i="5"/>
  <c r="O155" i="5"/>
  <c r="N155" i="5"/>
  <c r="M155" i="5"/>
  <c r="L155" i="5"/>
  <c r="K155" i="5"/>
  <c r="J155" i="5"/>
  <c r="I155" i="5"/>
  <c r="H155" i="5"/>
  <c r="G155" i="5"/>
  <c r="F155" i="5"/>
  <c r="E155" i="5"/>
  <c r="D155" i="5"/>
  <c r="C155" i="5"/>
  <c r="X156" i="5"/>
  <c r="W156" i="5"/>
  <c r="V156" i="5"/>
  <c r="U156" i="5"/>
  <c r="T156" i="5"/>
  <c r="S156" i="5"/>
  <c r="R156" i="5"/>
  <c r="Q156" i="5"/>
  <c r="P156" i="5"/>
  <c r="O156" i="5"/>
  <c r="N156" i="5"/>
  <c r="M156" i="5"/>
  <c r="L156" i="5"/>
  <c r="K156" i="5"/>
  <c r="J156" i="5"/>
  <c r="I156" i="5"/>
  <c r="H156" i="5"/>
  <c r="G156" i="5"/>
  <c r="F156" i="5"/>
  <c r="E156" i="5"/>
  <c r="D156" i="5"/>
  <c r="C156" i="5"/>
  <c r="X157" i="5"/>
  <c r="W157" i="5"/>
  <c r="V157" i="5"/>
  <c r="U157" i="5"/>
  <c r="T157" i="5"/>
  <c r="S157" i="5"/>
  <c r="R157" i="5"/>
  <c r="Q157" i="5"/>
  <c r="P157" i="5"/>
  <c r="O157" i="5"/>
  <c r="N157" i="5"/>
  <c r="M157" i="5"/>
  <c r="L157" i="5"/>
  <c r="K157" i="5"/>
  <c r="J157" i="5"/>
  <c r="I157" i="5"/>
  <c r="H157" i="5"/>
  <c r="G157" i="5"/>
  <c r="F157" i="5"/>
  <c r="E157" i="5"/>
  <c r="D157" i="5"/>
  <c r="C157" i="5"/>
  <c r="X158" i="5"/>
  <c r="W158" i="5"/>
  <c r="V158" i="5"/>
  <c r="U158" i="5"/>
  <c r="T158" i="5"/>
  <c r="S158" i="5"/>
  <c r="R158" i="5"/>
  <c r="Q158" i="5"/>
  <c r="P158" i="5"/>
  <c r="O158" i="5"/>
  <c r="N158" i="5"/>
  <c r="M158" i="5"/>
  <c r="L158" i="5"/>
  <c r="K158" i="5"/>
  <c r="J158" i="5"/>
  <c r="I158" i="5"/>
  <c r="H158" i="5"/>
  <c r="G158" i="5"/>
  <c r="F158" i="5"/>
  <c r="E158" i="5"/>
  <c r="D158" i="5"/>
  <c r="C158" i="5"/>
  <c r="X159" i="5"/>
  <c r="W159" i="5"/>
  <c r="V159" i="5"/>
  <c r="U159" i="5"/>
  <c r="T159" i="5"/>
  <c r="S159" i="5"/>
  <c r="R159" i="5"/>
  <c r="Q159" i="5"/>
  <c r="P159" i="5"/>
  <c r="O159" i="5"/>
  <c r="N159" i="5"/>
  <c r="M159" i="5"/>
  <c r="L159" i="5"/>
  <c r="K159" i="5"/>
  <c r="J159" i="5"/>
  <c r="I159" i="5"/>
  <c r="H159" i="5"/>
  <c r="G159" i="5"/>
  <c r="F159" i="5"/>
  <c r="E159" i="5"/>
  <c r="D159" i="5"/>
  <c r="C159" i="5"/>
  <c r="X160" i="5"/>
  <c r="W160" i="5"/>
  <c r="V160" i="5"/>
  <c r="U160" i="5"/>
  <c r="T160" i="5"/>
  <c r="S160" i="5"/>
  <c r="R160" i="5"/>
  <c r="Q160" i="5"/>
  <c r="P160" i="5"/>
  <c r="O160" i="5"/>
  <c r="N160" i="5"/>
  <c r="M160" i="5"/>
  <c r="L160" i="5"/>
  <c r="K160" i="5"/>
  <c r="J160" i="5"/>
  <c r="I160" i="5"/>
  <c r="H160" i="5"/>
  <c r="G160" i="5"/>
  <c r="F160" i="5"/>
  <c r="E160" i="5"/>
  <c r="D160" i="5"/>
  <c r="C160" i="5"/>
  <c r="X161" i="5"/>
  <c r="W161" i="5"/>
  <c r="V161" i="5"/>
  <c r="U161" i="5"/>
  <c r="T161" i="5"/>
  <c r="S161" i="5"/>
  <c r="R161" i="5"/>
  <c r="Q161" i="5"/>
  <c r="P161" i="5"/>
  <c r="O161" i="5"/>
  <c r="N161" i="5"/>
  <c r="M161" i="5"/>
  <c r="L161" i="5"/>
  <c r="K161" i="5"/>
  <c r="J161" i="5"/>
  <c r="I161" i="5"/>
  <c r="H161" i="5"/>
  <c r="G161" i="5"/>
  <c r="F161" i="5"/>
  <c r="E161" i="5"/>
  <c r="D161" i="5"/>
  <c r="C161" i="5"/>
  <c r="R151" i="5"/>
  <c r="V151" i="5"/>
  <c r="J151" i="5"/>
  <c r="C151" i="5"/>
  <c r="L151" i="5"/>
  <c r="H151" i="5"/>
  <c r="E151" i="5"/>
  <c r="T151" i="5"/>
  <c r="P151" i="5"/>
  <c r="O151" i="5"/>
  <c r="K151" i="5"/>
  <c r="G151" i="5"/>
  <c r="D151" i="5"/>
  <c r="X151" i="5"/>
  <c r="W151" i="5"/>
  <c r="U151" i="5"/>
  <c r="S151" i="5"/>
  <c r="Q151" i="5"/>
  <c r="N151" i="5"/>
  <c r="M151" i="5"/>
  <c r="I151" i="5"/>
  <c r="F151" i="5"/>
  <c r="W92" i="5"/>
  <c r="T92" i="5"/>
  <c r="Q92" i="5"/>
  <c r="O92" i="5"/>
  <c r="M92" i="5"/>
  <c r="K92" i="5"/>
  <c r="I92" i="5"/>
  <c r="G92" i="5"/>
  <c r="E92" i="5"/>
  <c r="C92" i="5"/>
  <c r="X92" i="5"/>
  <c r="V92" i="5"/>
  <c r="U92" i="5"/>
  <c r="S92" i="5"/>
  <c r="R92" i="5"/>
  <c r="P92" i="5"/>
  <c r="N92" i="5"/>
  <c r="L92" i="5"/>
  <c r="J92" i="5"/>
  <c r="H92" i="5"/>
  <c r="F92" i="5"/>
  <c r="D92" i="5"/>
  <c r="W107" i="5"/>
  <c r="U107" i="5"/>
  <c r="S107" i="5"/>
  <c r="P107" i="5"/>
  <c r="N107" i="5"/>
  <c r="M107" i="5"/>
  <c r="K107" i="5"/>
  <c r="I107" i="5"/>
  <c r="G107" i="5"/>
  <c r="E107" i="5"/>
  <c r="C107" i="5"/>
  <c r="X107" i="5"/>
  <c r="V107" i="5"/>
  <c r="T107" i="5"/>
  <c r="R107" i="5"/>
  <c r="Q107" i="5"/>
  <c r="O107" i="5"/>
  <c r="L107" i="5"/>
  <c r="J107" i="5"/>
  <c r="H107" i="5"/>
  <c r="F107" i="5"/>
  <c r="D107" i="5"/>
  <c r="X56" i="5"/>
  <c r="V56" i="5"/>
  <c r="T56" i="5"/>
  <c r="S56" i="5"/>
  <c r="P56" i="5"/>
  <c r="N56" i="5"/>
  <c r="L56" i="5"/>
  <c r="J56" i="5"/>
  <c r="H56" i="5"/>
  <c r="F56" i="5"/>
  <c r="E56" i="5"/>
  <c r="C56" i="5"/>
  <c r="W56" i="5"/>
  <c r="U56" i="5"/>
  <c r="R56" i="5"/>
  <c r="Q56" i="5"/>
  <c r="O56" i="5"/>
  <c r="M56" i="5"/>
  <c r="K56" i="5"/>
  <c r="I56" i="5"/>
  <c r="G56" i="5"/>
  <c r="D56" i="5"/>
  <c r="X97" i="5"/>
  <c r="W97" i="5"/>
  <c r="V97" i="5"/>
  <c r="U97" i="5"/>
  <c r="S97" i="5"/>
  <c r="R97" i="5"/>
  <c r="P97" i="5"/>
  <c r="M97" i="5"/>
  <c r="L97" i="5"/>
  <c r="J97" i="5"/>
  <c r="H97" i="5"/>
  <c r="F97" i="5"/>
  <c r="C97" i="5"/>
  <c r="T97" i="5"/>
  <c r="Q97" i="5"/>
  <c r="O97" i="5"/>
  <c r="N97" i="5"/>
  <c r="K97" i="5"/>
  <c r="I97" i="5"/>
  <c r="G97" i="5"/>
  <c r="E97" i="5"/>
  <c r="D97" i="5"/>
  <c r="X131" i="5"/>
  <c r="W131" i="5"/>
  <c r="V131" i="5"/>
  <c r="T131" i="5"/>
  <c r="S131" i="5"/>
  <c r="Q131" i="5"/>
  <c r="O131" i="5"/>
  <c r="M131" i="5"/>
  <c r="J131" i="5"/>
  <c r="I131" i="5"/>
  <c r="F131" i="5"/>
  <c r="D131" i="5"/>
  <c r="C131" i="5"/>
  <c r="U131" i="5"/>
  <c r="R131" i="5"/>
  <c r="P131" i="5"/>
  <c r="N131" i="5"/>
  <c r="L131" i="5"/>
  <c r="K131" i="5"/>
  <c r="H131" i="5"/>
  <c r="G131" i="5"/>
  <c r="E131" i="5"/>
  <c r="S65" i="5"/>
  <c r="Q65" i="5"/>
  <c r="O65" i="5"/>
  <c r="L65" i="5"/>
  <c r="J65" i="5"/>
  <c r="H65" i="5"/>
  <c r="G65" i="5"/>
  <c r="E65" i="5"/>
  <c r="C65" i="5"/>
  <c r="X65" i="5"/>
  <c r="W65" i="5"/>
  <c r="V65" i="5"/>
  <c r="U65" i="5"/>
  <c r="T65" i="5"/>
  <c r="R65" i="5"/>
  <c r="P65" i="5"/>
  <c r="N65" i="5"/>
  <c r="M65" i="5"/>
  <c r="K65" i="5"/>
  <c r="I65" i="5"/>
  <c r="F65" i="5"/>
  <c r="D65" i="5"/>
  <c r="X96" i="5"/>
  <c r="W96" i="5"/>
  <c r="V96" i="5"/>
  <c r="U96" i="5"/>
  <c r="T96" i="5"/>
  <c r="S96" i="5"/>
  <c r="R96" i="5"/>
  <c r="Q96" i="5"/>
  <c r="P96" i="5"/>
  <c r="O96" i="5"/>
  <c r="N96" i="5"/>
  <c r="M96" i="5"/>
  <c r="L96" i="5"/>
  <c r="K96" i="5"/>
  <c r="I96" i="5"/>
  <c r="G96" i="5"/>
  <c r="E96" i="5"/>
  <c r="C96" i="5"/>
  <c r="J96" i="5"/>
  <c r="H96" i="5"/>
  <c r="F96" i="5"/>
  <c r="D96" i="5"/>
  <c r="L138" i="5"/>
  <c r="H138" i="5"/>
  <c r="G138" i="5"/>
  <c r="E138" i="5"/>
  <c r="C138" i="5"/>
  <c r="X138" i="5"/>
  <c r="W138" i="5"/>
  <c r="V138" i="5"/>
  <c r="U138" i="5"/>
  <c r="T138" i="5"/>
  <c r="S138" i="5"/>
  <c r="R138" i="5"/>
  <c r="Q138" i="5"/>
  <c r="P138" i="5"/>
  <c r="O138" i="5"/>
  <c r="N138" i="5"/>
  <c r="M138" i="5"/>
  <c r="K138" i="5"/>
  <c r="J138" i="5"/>
  <c r="I138" i="5"/>
  <c r="F138" i="5"/>
  <c r="D138" i="5"/>
  <c r="L55" i="5"/>
  <c r="I55" i="5"/>
  <c r="G55" i="5"/>
  <c r="E55" i="5"/>
  <c r="C55" i="5"/>
  <c r="X55" i="5"/>
  <c r="W55" i="5"/>
  <c r="V55" i="5"/>
  <c r="U55" i="5"/>
  <c r="T55" i="5"/>
  <c r="S55" i="5"/>
  <c r="R55" i="5"/>
  <c r="Q55" i="5"/>
  <c r="P55" i="5"/>
  <c r="O55" i="5"/>
  <c r="N55" i="5"/>
  <c r="M55" i="5"/>
  <c r="K55" i="5"/>
  <c r="J55" i="5"/>
  <c r="H55" i="5"/>
  <c r="F55" i="5"/>
  <c r="D55" i="5"/>
  <c r="X59" i="5"/>
  <c r="W59" i="5"/>
  <c r="V59" i="5"/>
  <c r="U59" i="5"/>
  <c r="T59" i="5"/>
  <c r="S59" i="5"/>
  <c r="R59" i="5"/>
  <c r="Q59" i="5"/>
  <c r="P59" i="5"/>
  <c r="O59" i="5"/>
  <c r="N59" i="5"/>
  <c r="M59" i="5"/>
  <c r="L59" i="5"/>
  <c r="K59" i="5"/>
  <c r="J59" i="5"/>
  <c r="I59" i="5"/>
  <c r="H59" i="5"/>
  <c r="G59" i="5"/>
  <c r="F59" i="5"/>
  <c r="E59" i="5"/>
  <c r="D59" i="5"/>
  <c r="C59" i="5"/>
  <c r="X60" i="5"/>
  <c r="W60" i="5"/>
  <c r="V60" i="5"/>
  <c r="U60" i="5"/>
  <c r="T60" i="5"/>
  <c r="S60" i="5"/>
  <c r="R60" i="5"/>
  <c r="P60" i="5"/>
  <c r="M60" i="5"/>
  <c r="K60" i="5"/>
  <c r="I60" i="5"/>
  <c r="G60" i="5"/>
  <c r="E60" i="5"/>
  <c r="C60" i="5"/>
  <c r="Q60" i="5"/>
  <c r="O60" i="5"/>
  <c r="N60" i="5"/>
  <c r="L60" i="5"/>
  <c r="J60" i="5"/>
  <c r="H60" i="5"/>
  <c r="F60" i="5"/>
  <c r="D60" i="5"/>
  <c r="X61" i="5"/>
  <c r="V61" i="5"/>
  <c r="T61" i="5"/>
  <c r="Q61" i="5"/>
  <c r="O61" i="5"/>
  <c r="N61" i="5"/>
  <c r="L61" i="5"/>
  <c r="J61" i="5"/>
  <c r="H61" i="5"/>
  <c r="F61" i="5"/>
  <c r="D61" i="5"/>
  <c r="W61" i="5"/>
  <c r="U61" i="5"/>
  <c r="S61" i="5"/>
  <c r="R61" i="5"/>
  <c r="P61" i="5"/>
  <c r="M61" i="5"/>
  <c r="K61" i="5"/>
  <c r="I61" i="5"/>
  <c r="G61" i="5"/>
  <c r="E61" i="5"/>
  <c r="C61" i="5"/>
  <c r="L66" i="5"/>
  <c r="I66" i="5"/>
  <c r="G66" i="5"/>
  <c r="E66" i="5"/>
  <c r="C66" i="5"/>
  <c r="X66" i="5"/>
  <c r="W66" i="5"/>
  <c r="V66" i="5"/>
  <c r="U66" i="5"/>
  <c r="T66" i="5"/>
  <c r="S66" i="5"/>
  <c r="R66" i="5"/>
  <c r="Q66" i="5"/>
  <c r="P66" i="5"/>
  <c r="O66" i="5"/>
  <c r="N66" i="5"/>
  <c r="M66" i="5"/>
  <c r="K66" i="5"/>
  <c r="J66" i="5"/>
  <c r="H66" i="5"/>
  <c r="F66" i="5"/>
  <c r="D66" i="5"/>
  <c r="X70" i="5"/>
  <c r="W70" i="5"/>
  <c r="V70" i="5"/>
  <c r="U70" i="5"/>
  <c r="T70" i="5"/>
  <c r="S70" i="5"/>
  <c r="R70" i="5"/>
  <c r="Q70" i="5"/>
  <c r="P70" i="5"/>
  <c r="O70" i="5"/>
  <c r="N70" i="5"/>
  <c r="M70" i="5"/>
  <c r="L70" i="5"/>
  <c r="K70" i="5"/>
  <c r="J70" i="5"/>
  <c r="I70" i="5"/>
  <c r="H70" i="5"/>
  <c r="G70" i="5"/>
  <c r="F70" i="5"/>
  <c r="E70" i="5"/>
  <c r="D70" i="5"/>
  <c r="C70" i="5"/>
  <c r="X71" i="5"/>
  <c r="V71" i="5"/>
  <c r="T71" i="5"/>
  <c r="R71" i="5"/>
  <c r="P71" i="5"/>
  <c r="M71" i="5"/>
  <c r="K71" i="5"/>
  <c r="I71" i="5"/>
  <c r="G71" i="5"/>
  <c r="E71" i="5"/>
  <c r="C71" i="5"/>
  <c r="W71" i="5"/>
  <c r="U71" i="5"/>
  <c r="S71" i="5"/>
  <c r="Q71" i="5"/>
  <c r="O71" i="5"/>
  <c r="N71" i="5"/>
  <c r="L71" i="5"/>
  <c r="J71" i="5"/>
  <c r="H71" i="5"/>
  <c r="F71" i="5"/>
  <c r="D71" i="5"/>
  <c r="X72" i="5"/>
  <c r="W72" i="5"/>
  <c r="V72" i="5"/>
  <c r="U72" i="5"/>
  <c r="T72" i="5"/>
  <c r="S72" i="5"/>
  <c r="R72" i="5"/>
  <c r="Q72" i="5"/>
  <c r="P72" i="5"/>
  <c r="O72" i="5"/>
  <c r="N72" i="5"/>
  <c r="M72" i="5"/>
  <c r="K72" i="5"/>
  <c r="J72" i="5"/>
  <c r="H72" i="5"/>
  <c r="F72" i="5"/>
  <c r="C72" i="5"/>
  <c r="L72" i="5"/>
  <c r="I72" i="5"/>
  <c r="G72" i="5"/>
  <c r="E72" i="5"/>
  <c r="D72" i="5"/>
  <c r="L73" i="5"/>
  <c r="J73" i="5"/>
  <c r="H73" i="5"/>
  <c r="E73" i="5"/>
  <c r="C73" i="5"/>
  <c r="X73" i="5"/>
  <c r="W73" i="5"/>
  <c r="V73" i="5"/>
  <c r="U73" i="5"/>
  <c r="T73" i="5"/>
  <c r="S73" i="5"/>
  <c r="R73" i="5"/>
  <c r="Q73" i="5"/>
  <c r="P73" i="5"/>
  <c r="O73" i="5"/>
  <c r="N73" i="5"/>
  <c r="M73" i="5"/>
  <c r="K73" i="5"/>
  <c r="I73" i="5"/>
  <c r="G73" i="5"/>
  <c r="F73" i="5"/>
  <c r="D73" i="5"/>
  <c r="D77" i="5"/>
  <c r="X77" i="5"/>
  <c r="W77" i="5"/>
  <c r="V77" i="5"/>
  <c r="U77" i="5"/>
  <c r="T77" i="5"/>
  <c r="S77" i="5"/>
  <c r="R77" i="5"/>
  <c r="Q77" i="5"/>
  <c r="P77" i="5"/>
  <c r="O77" i="5"/>
  <c r="N77" i="5"/>
  <c r="M77" i="5"/>
  <c r="L77" i="5"/>
  <c r="K77" i="5"/>
  <c r="J77" i="5"/>
  <c r="I77" i="5"/>
  <c r="H77" i="5"/>
  <c r="G77" i="5"/>
  <c r="F77" i="5"/>
  <c r="E77" i="5"/>
  <c r="C77" i="5"/>
  <c r="X85" i="5"/>
  <c r="W85" i="5"/>
  <c r="V85" i="5"/>
  <c r="U85" i="5"/>
  <c r="T85" i="5"/>
  <c r="S85" i="5"/>
  <c r="R85" i="5"/>
  <c r="Q85" i="5"/>
  <c r="P85" i="5"/>
  <c r="O85" i="5"/>
  <c r="N85" i="5"/>
  <c r="M85" i="5"/>
  <c r="L85" i="5"/>
  <c r="K85" i="5"/>
  <c r="J85" i="5"/>
  <c r="I85" i="5"/>
  <c r="H85" i="5"/>
  <c r="G85" i="5"/>
  <c r="F85" i="5"/>
  <c r="E85" i="5"/>
  <c r="D85" i="5"/>
  <c r="C85" i="5"/>
  <c r="P86" i="5"/>
  <c r="M86" i="5"/>
  <c r="K86" i="5"/>
  <c r="H86" i="5"/>
  <c r="F86" i="5"/>
  <c r="E86" i="5"/>
  <c r="C86" i="5"/>
  <c r="X86" i="5"/>
  <c r="W86" i="5"/>
  <c r="V86" i="5"/>
  <c r="U86" i="5"/>
  <c r="T86" i="5"/>
  <c r="S86" i="5"/>
  <c r="R86" i="5"/>
  <c r="Q86" i="5"/>
  <c r="O86" i="5"/>
  <c r="N86" i="5"/>
  <c r="L86" i="5"/>
  <c r="J86" i="5"/>
  <c r="I86" i="5"/>
  <c r="G86" i="5"/>
  <c r="D86" i="5"/>
  <c r="S91" i="5"/>
  <c r="P91" i="5"/>
  <c r="N91" i="5"/>
  <c r="L91" i="5"/>
  <c r="J91" i="5"/>
  <c r="H91" i="5"/>
  <c r="F91" i="5"/>
  <c r="D91" i="5"/>
  <c r="C91" i="5"/>
  <c r="X91" i="5"/>
  <c r="W91" i="5"/>
  <c r="V91" i="5"/>
  <c r="U91" i="5"/>
  <c r="T91" i="5"/>
  <c r="R91" i="5"/>
  <c r="Q91" i="5"/>
  <c r="O91" i="5"/>
  <c r="M91" i="5"/>
  <c r="K91" i="5"/>
  <c r="I91" i="5"/>
  <c r="G91" i="5"/>
  <c r="E91" i="5"/>
  <c r="X102" i="5"/>
  <c r="V102" i="5"/>
  <c r="T102" i="5"/>
  <c r="Q102" i="5"/>
  <c r="P102" i="5"/>
  <c r="N102" i="5"/>
  <c r="L102" i="5"/>
  <c r="I102" i="5"/>
  <c r="G102" i="5"/>
  <c r="E102" i="5"/>
  <c r="C102" i="5"/>
  <c r="W102" i="5"/>
  <c r="U102" i="5"/>
  <c r="S102" i="5"/>
  <c r="R102" i="5"/>
  <c r="O102" i="5"/>
  <c r="M102" i="5"/>
  <c r="K102" i="5"/>
  <c r="J102" i="5"/>
  <c r="H102" i="5"/>
  <c r="F102" i="5"/>
  <c r="D102" i="5"/>
  <c r="X114" i="5"/>
  <c r="W114" i="5"/>
  <c r="V114" i="5"/>
  <c r="U114" i="5"/>
  <c r="T114" i="5"/>
  <c r="S114" i="5"/>
  <c r="R114" i="5"/>
  <c r="Q114" i="5"/>
  <c r="P114" i="5"/>
  <c r="O114" i="5"/>
  <c r="N114" i="5"/>
  <c r="M114" i="5"/>
  <c r="L114" i="5"/>
  <c r="K114" i="5"/>
  <c r="J114" i="5"/>
  <c r="I114" i="5"/>
  <c r="H114" i="5"/>
  <c r="G114" i="5"/>
  <c r="F114" i="5"/>
  <c r="E114" i="5"/>
  <c r="D114" i="5"/>
  <c r="C114" i="5"/>
  <c r="X115" i="5"/>
  <c r="W115" i="5"/>
  <c r="V115" i="5"/>
  <c r="U115" i="5"/>
  <c r="T115" i="5"/>
  <c r="S115" i="5"/>
  <c r="R115" i="5"/>
  <c r="P115" i="5"/>
  <c r="O115" i="5"/>
  <c r="M115" i="5"/>
  <c r="K115" i="5"/>
  <c r="I115" i="5"/>
  <c r="G115" i="5"/>
  <c r="E115" i="5"/>
  <c r="C115" i="5"/>
  <c r="Q115" i="5"/>
  <c r="N115" i="5"/>
  <c r="L115" i="5"/>
  <c r="J115" i="5"/>
  <c r="H115" i="5"/>
  <c r="F115" i="5"/>
  <c r="D115" i="5"/>
  <c r="X116" i="5"/>
  <c r="W116" i="5"/>
  <c r="U116" i="5"/>
  <c r="T116" i="5"/>
  <c r="R116" i="5"/>
  <c r="P116" i="5"/>
  <c r="O116" i="5"/>
  <c r="L116" i="5"/>
  <c r="J116" i="5"/>
  <c r="I116" i="5"/>
  <c r="G116" i="5"/>
  <c r="E116" i="5"/>
  <c r="C116" i="5"/>
  <c r="V116" i="5"/>
  <c r="S116" i="5"/>
  <c r="Q116" i="5"/>
  <c r="N116" i="5"/>
  <c r="M116" i="5"/>
  <c r="K116" i="5"/>
  <c r="H116" i="5"/>
  <c r="F116" i="5"/>
  <c r="D116" i="5"/>
  <c r="C118" i="5"/>
  <c r="E118" i="5"/>
  <c r="X118" i="5"/>
  <c r="W118" i="5"/>
  <c r="V118" i="5"/>
  <c r="U118" i="5"/>
  <c r="T118" i="5"/>
  <c r="S118" i="5"/>
  <c r="R118" i="5"/>
  <c r="Q118" i="5"/>
  <c r="P118" i="5"/>
  <c r="O118" i="5"/>
  <c r="N118" i="5"/>
  <c r="M118" i="5"/>
  <c r="L118" i="5"/>
  <c r="K118" i="5"/>
  <c r="J118" i="5"/>
  <c r="I118" i="5"/>
  <c r="H118" i="5"/>
  <c r="G118" i="5"/>
  <c r="F118" i="5"/>
  <c r="D118" i="5"/>
  <c r="C134" i="5"/>
  <c r="X134" i="5"/>
  <c r="W134" i="5"/>
  <c r="V134" i="5"/>
  <c r="U134" i="5"/>
  <c r="T134" i="5"/>
  <c r="S134" i="5"/>
  <c r="R134" i="5"/>
  <c r="Q134" i="5"/>
  <c r="P134" i="5"/>
  <c r="O134" i="5"/>
  <c r="N134" i="5"/>
  <c r="M134" i="5"/>
  <c r="L134" i="5"/>
  <c r="K134" i="5"/>
  <c r="J134" i="5"/>
  <c r="I134" i="5"/>
  <c r="H134" i="5"/>
  <c r="G134" i="5"/>
  <c r="F134" i="5"/>
  <c r="E134" i="5"/>
  <c r="D134" i="5"/>
  <c r="X67" i="5"/>
  <c r="V67" i="5"/>
  <c r="T67" i="5"/>
  <c r="R67" i="5"/>
  <c r="P67" i="5"/>
  <c r="N67" i="5"/>
  <c r="L67" i="5"/>
  <c r="J67" i="5"/>
  <c r="H67" i="5"/>
  <c r="F67" i="5"/>
  <c r="C67" i="5"/>
  <c r="W67" i="5"/>
  <c r="U67" i="5"/>
  <c r="S67" i="5"/>
  <c r="Q67" i="5"/>
  <c r="O67" i="5"/>
  <c r="M67" i="5"/>
  <c r="K67" i="5"/>
  <c r="I67" i="5"/>
  <c r="G67" i="5"/>
  <c r="E67" i="5"/>
  <c r="D67" i="5"/>
  <c r="O99" i="5"/>
  <c r="M99" i="5"/>
  <c r="J99" i="5"/>
  <c r="H99" i="5"/>
  <c r="F99" i="5"/>
  <c r="E99" i="5"/>
  <c r="C99" i="5"/>
  <c r="X99" i="5"/>
  <c r="W99" i="5"/>
  <c r="V99" i="5"/>
  <c r="U99" i="5"/>
  <c r="T99" i="5"/>
  <c r="S99" i="5"/>
  <c r="R99" i="5"/>
  <c r="Q99" i="5"/>
  <c r="P99" i="5"/>
  <c r="N99" i="5"/>
  <c r="L99" i="5"/>
  <c r="K99" i="5"/>
  <c r="I99" i="5"/>
  <c r="G99" i="5"/>
  <c r="D99" i="5"/>
  <c r="X122" i="5"/>
  <c r="W122" i="5"/>
  <c r="V122" i="5"/>
  <c r="U122" i="5"/>
  <c r="T122" i="5"/>
  <c r="S122" i="5"/>
  <c r="R122" i="5"/>
  <c r="Q122" i="5"/>
  <c r="P122" i="5"/>
  <c r="O122" i="5"/>
  <c r="N122" i="5"/>
  <c r="M122" i="5"/>
  <c r="L122" i="5"/>
  <c r="K122" i="5"/>
  <c r="J122" i="5"/>
  <c r="I122" i="5"/>
  <c r="H122" i="5"/>
  <c r="G122" i="5"/>
  <c r="F122" i="5"/>
  <c r="E122" i="5"/>
  <c r="D122" i="5"/>
  <c r="C122" i="5"/>
  <c r="X57" i="5"/>
  <c r="V57" i="5"/>
  <c r="T57" i="5"/>
  <c r="R57" i="5"/>
  <c r="Q57" i="5"/>
  <c r="O57" i="5"/>
  <c r="M57" i="5"/>
  <c r="K57" i="5"/>
  <c r="I57" i="5"/>
  <c r="G57" i="5"/>
  <c r="E57" i="5"/>
  <c r="C57" i="5"/>
  <c r="W57" i="5"/>
  <c r="U57" i="5"/>
  <c r="S57" i="5"/>
  <c r="P57" i="5"/>
  <c r="N57" i="5"/>
  <c r="L57" i="5"/>
  <c r="J57" i="5"/>
  <c r="H57" i="5"/>
  <c r="F57" i="5"/>
  <c r="D57" i="5"/>
  <c r="X109" i="5"/>
  <c r="U109" i="5"/>
  <c r="S109" i="5"/>
  <c r="Q109" i="5"/>
  <c r="O109" i="5"/>
  <c r="M109" i="5"/>
  <c r="K109" i="5"/>
  <c r="I109" i="5"/>
  <c r="G109" i="5"/>
  <c r="D109" i="5"/>
  <c r="W109" i="5"/>
  <c r="V109" i="5"/>
  <c r="T109" i="5"/>
  <c r="R109" i="5"/>
  <c r="P109" i="5"/>
  <c r="N109" i="5"/>
  <c r="L109" i="5"/>
  <c r="J109" i="5"/>
  <c r="H109" i="5"/>
  <c r="F109" i="5"/>
  <c r="E109" i="5"/>
  <c r="C109" i="5"/>
  <c r="X133" i="5"/>
  <c r="W133" i="5"/>
  <c r="U133" i="5"/>
  <c r="T133" i="5"/>
  <c r="R133" i="5"/>
  <c r="O133" i="5"/>
  <c r="M133" i="5"/>
  <c r="L133" i="5"/>
  <c r="I133" i="5"/>
  <c r="G133" i="5"/>
  <c r="E133" i="5"/>
  <c r="C133" i="5"/>
  <c r="V133" i="5"/>
  <c r="S133" i="5"/>
  <c r="Q133" i="5"/>
  <c r="P133" i="5"/>
  <c r="N133" i="5"/>
  <c r="K133" i="5"/>
  <c r="J133" i="5"/>
  <c r="H133" i="5"/>
  <c r="F133" i="5"/>
  <c r="D133" i="5"/>
  <c r="E76" i="5"/>
  <c r="X76" i="5"/>
  <c r="W76" i="5"/>
  <c r="V76" i="5"/>
  <c r="U76" i="5"/>
  <c r="S76" i="5"/>
  <c r="Q76" i="5"/>
  <c r="P76" i="5"/>
  <c r="M76" i="5"/>
  <c r="K76" i="5"/>
  <c r="J76" i="5"/>
  <c r="G76" i="5"/>
  <c r="F76" i="5"/>
  <c r="C76" i="5"/>
  <c r="T76" i="5"/>
  <c r="R76" i="5"/>
  <c r="O76" i="5"/>
  <c r="N76" i="5"/>
  <c r="L76" i="5"/>
  <c r="I76" i="5"/>
  <c r="H76" i="5"/>
  <c r="D76" i="5"/>
  <c r="W119" i="5"/>
  <c r="S119" i="5"/>
  <c r="R119" i="5"/>
  <c r="O119" i="5"/>
  <c r="N119" i="5"/>
  <c r="L119" i="5"/>
  <c r="J119" i="5"/>
  <c r="H119" i="5"/>
  <c r="F119" i="5"/>
  <c r="C119" i="5"/>
  <c r="X119" i="5"/>
  <c r="V119" i="5"/>
  <c r="U119" i="5"/>
  <c r="T119" i="5"/>
  <c r="Q119" i="5"/>
  <c r="P119" i="5"/>
  <c r="M119" i="5"/>
  <c r="K119" i="5"/>
  <c r="I119" i="5"/>
  <c r="G119" i="5"/>
  <c r="E119" i="5"/>
  <c r="D119" i="5"/>
  <c r="X147" i="5"/>
  <c r="W147" i="5"/>
  <c r="V147" i="5"/>
  <c r="U147" i="5"/>
  <c r="T147" i="5"/>
  <c r="S147" i="5"/>
  <c r="R147" i="5"/>
  <c r="Q147" i="5"/>
  <c r="P147" i="5"/>
  <c r="O147" i="5"/>
  <c r="N147" i="5"/>
  <c r="M147" i="5"/>
  <c r="L147" i="5"/>
  <c r="K147" i="5"/>
  <c r="J147" i="5"/>
  <c r="I147" i="5"/>
  <c r="H147" i="5"/>
  <c r="G147" i="5"/>
  <c r="F147" i="5"/>
  <c r="E147" i="5"/>
  <c r="D147" i="5"/>
  <c r="C147" i="5"/>
  <c r="X125" i="5"/>
  <c r="W125" i="5"/>
  <c r="V125" i="5"/>
  <c r="T125" i="5"/>
  <c r="S125" i="5"/>
  <c r="Q125" i="5"/>
  <c r="O125" i="5"/>
  <c r="M125" i="5"/>
  <c r="K125" i="5"/>
  <c r="H125" i="5"/>
  <c r="G125" i="5"/>
  <c r="E125" i="5"/>
  <c r="C125" i="5"/>
  <c r="U125" i="5"/>
  <c r="R125" i="5"/>
  <c r="P125" i="5"/>
  <c r="N125" i="5"/>
  <c r="L125" i="5"/>
  <c r="J125" i="5"/>
  <c r="I125" i="5"/>
  <c r="F125" i="5"/>
  <c r="D125" i="5"/>
  <c r="X150" i="5"/>
  <c r="U150" i="5"/>
  <c r="R150" i="5"/>
  <c r="N150" i="5"/>
  <c r="J150" i="5"/>
  <c r="F150" i="5"/>
  <c r="C150" i="5"/>
  <c r="O150" i="5"/>
  <c r="L150" i="5"/>
  <c r="G150" i="5"/>
  <c r="D150" i="5"/>
  <c r="W150" i="5"/>
  <c r="T150" i="5"/>
  <c r="P150" i="5"/>
  <c r="K150" i="5"/>
  <c r="H150" i="5"/>
  <c r="V150" i="5"/>
  <c r="S150" i="5"/>
  <c r="Q150" i="5"/>
  <c r="M150" i="5"/>
  <c r="I150" i="5"/>
  <c r="E150" i="5"/>
  <c r="X143" i="5"/>
  <c r="W143" i="5"/>
  <c r="V143" i="5"/>
  <c r="U143" i="5"/>
  <c r="S143" i="5"/>
  <c r="Q143" i="5"/>
  <c r="O143" i="5"/>
  <c r="M143" i="5"/>
  <c r="K143" i="5"/>
  <c r="I143" i="5"/>
  <c r="G143" i="5"/>
  <c r="E143" i="5"/>
  <c r="C143" i="5"/>
  <c r="T143" i="5"/>
  <c r="R143" i="5"/>
  <c r="P143" i="5"/>
  <c r="N143" i="5"/>
  <c r="L143" i="5"/>
  <c r="J143" i="5"/>
  <c r="H143" i="5"/>
  <c r="F143" i="5"/>
  <c r="D143" i="5"/>
  <c r="V82" i="5"/>
  <c r="S82" i="5"/>
  <c r="Q82" i="5"/>
  <c r="O82" i="5"/>
  <c r="M82" i="5"/>
  <c r="K82" i="5"/>
  <c r="I82" i="5"/>
  <c r="F82" i="5"/>
  <c r="E82" i="5"/>
  <c r="C82" i="5"/>
  <c r="X82" i="5"/>
  <c r="W82" i="5"/>
  <c r="U82" i="5"/>
  <c r="T82" i="5"/>
  <c r="R82" i="5"/>
  <c r="P82" i="5"/>
  <c r="N82" i="5"/>
  <c r="L82" i="5"/>
  <c r="J82" i="5"/>
  <c r="H82" i="5"/>
  <c r="G82" i="5"/>
  <c r="D82" i="5"/>
  <c r="X104" i="5"/>
  <c r="W104" i="5"/>
  <c r="V104" i="5"/>
  <c r="U104" i="5"/>
  <c r="T104" i="5"/>
  <c r="S104" i="5"/>
  <c r="Q104" i="5"/>
  <c r="P104" i="5"/>
  <c r="O104" i="5"/>
  <c r="M104" i="5"/>
  <c r="K104" i="5"/>
  <c r="J104" i="5"/>
  <c r="H104" i="5"/>
  <c r="E104" i="5"/>
  <c r="C104" i="5"/>
  <c r="R104" i="5"/>
  <c r="N104" i="5"/>
  <c r="L104" i="5"/>
  <c r="I104" i="5"/>
  <c r="G104" i="5"/>
  <c r="F104" i="5"/>
  <c r="D104" i="5"/>
  <c r="W128" i="5"/>
  <c r="V128" i="5"/>
  <c r="U128" i="5"/>
  <c r="T128" i="5"/>
  <c r="S128" i="5"/>
  <c r="R128" i="5"/>
  <c r="Q128" i="5"/>
  <c r="O128" i="5"/>
  <c r="M128" i="5"/>
  <c r="K128" i="5"/>
  <c r="H128" i="5"/>
  <c r="G128" i="5"/>
  <c r="E128" i="5"/>
  <c r="C128" i="5"/>
  <c r="X128" i="5"/>
  <c r="P128" i="5"/>
  <c r="N128" i="5"/>
  <c r="L128" i="5"/>
  <c r="J128" i="5"/>
  <c r="I128" i="5"/>
  <c r="F128" i="5"/>
  <c r="D128" i="5"/>
  <c r="S79" i="5"/>
  <c r="P79" i="5"/>
  <c r="N79" i="5"/>
  <c r="L79" i="5"/>
  <c r="K79" i="5"/>
  <c r="I79" i="5"/>
  <c r="G79" i="5"/>
  <c r="E79" i="5"/>
  <c r="C79" i="5"/>
  <c r="X79" i="5"/>
  <c r="W79" i="5"/>
  <c r="V79" i="5"/>
  <c r="U79" i="5"/>
  <c r="T79" i="5"/>
  <c r="R79" i="5"/>
  <c r="Q79" i="5"/>
  <c r="O79" i="5"/>
  <c r="M79" i="5"/>
  <c r="J79" i="5"/>
  <c r="H79" i="5"/>
  <c r="F79" i="5"/>
  <c r="D79" i="5"/>
  <c r="X110" i="5"/>
  <c r="W110" i="5"/>
  <c r="V110" i="5"/>
  <c r="U110" i="5"/>
  <c r="T110" i="5"/>
  <c r="S110" i="5"/>
  <c r="R110" i="5"/>
  <c r="Q110" i="5"/>
  <c r="P110" i="5"/>
  <c r="N110" i="5"/>
  <c r="M110" i="5"/>
  <c r="K110" i="5"/>
  <c r="I110" i="5"/>
  <c r="G110" i="5"/>
  <c r="E110" i="5"/>
  <c r="C110" i="5"/>
  <c r="O110" i="5"/>
  <c r="L110" i="5"/>
  <c r="J110" i="5"/>
  <c r="H110" i="5"/>
  <c r="F110" i="5"/>
  <c r="D110" i="5"/>
  <c r="X141" i="5"/>
  <c r="W141" i="5"/>
  <c r="V141" i="5"/>
  <c r="U141" i="5"/>
  <c r="T141" i="5"/>
  <c r="S141" i="5"/>
  <c r="R141" i="5"/>
  <c r="Q141" i="5"/>
  <c r="P141" i="5"/>
  <c r="O141" i="5"/>
  <c r="M141" i="5"/>
  <c r="L141" i="5"/>
  <c r="J141" i="5"/>
  <c r="H141" i="5"/>
  <c r="F141" i="5"/>
  <c r="D141" i="5"/>
  <c r="C141" i="5"/>
  <c r="N141" i="5"/>
  <c r="K141" i="5"/>
  <c r="I141" i="5"/>
  <c r="G141" i="5"/>
  <c r="E141" i="5"/>
  <c r="X89" i="5"/>
  <c r="W89" i="5"/>
  <c r="V89" i="5"/>
  <c r="U89" i="5"/>
  <c r="T89" i="5"/>
  <c r="S89" i="5"/>
  <c r="R89" i="5"/>
  <c r="Q89" i="5"/>
  <c r="P89" i="5"/>
  <c r="O89" i="5"/>
  <c r="N89" i="5"/>
  <c r="M89" i="5"/>
  <c r="L89" i="5"/>
  <c r="K89" i="5"/>
  <c r="J89" i="5"/>
  <c r="I89" i="5"/>
  <c r="H89" i="5"/>
  <c r="G89" i="5"/>
  <c r="F89" i="5"/>
  <c r="E89" i="5"/>
  <c r="D89" i="5"/>
  <c r="C89" i="5"/>
  <c r="S124" i="5"/>
  <c r="P124" i="5"/>
  <c r="N124" i="5"/>
  <c r="L124" i="5"/>
  <c r="J124" i="5"/>
  <c r="I124" i="5"/>
  <c r="G124" i="5"/>
  <c r="E124" i="5"/>
  <c r="C124" i="5"/>
  <c r="X124" i="5"/>
  <c r="W124" i="5"/>
  <c r="V124" i="5"/>
  <c r="U124" i="5"/>
  <c r="T124" i="5"/>
  <c r="R124" i="5"/>
  <c r="Q124" i="5"/>
  <c r="O124" i="5"/>
  <c r="M124" i="5"/>
  <c r="K124" i="5"/>
  <c r="H124" i="5"/>
  <c r="F124" i="5"/>
  <c r="D124" i="5"/>
  <c r="X31" i="5"/>
  <c r="W31" i="5"/>
  <c r="V31" i="5"/>
  <c r="U31" i="5"/>
  <c r="T31" i="5"/>
  <c r="S31" i="5"/>
  <c r="R31" i="5"/>
  <c r="Q31" i="5"/>
  <c r="P31" i="5"/>
  <c r="O31" i="5"/>
  <c r="N31" i="5"/>
  <c r="M31" i="5"/>
  <c r="L31" i="5"/>
  <c r="K31" i="5"/>
  <c r="J31" i="5"/>
  <c r="I31" i="5"/>
  <c r="H31" i="5"/>
  <c r="G31" i="5"/>
  <c r="F31" i="5"/>
  <c r="E31" i="5"/>
  <c r="D31" i="5"/>
  <c r="C31" i="5"/>
  <c r="X35" i="5"/>
  <c r="W35" i="5"/>
  <c r="V35" i="5"/>
  <c r="U35" i="5"/>
  <c r="T35" i="5"/>
  <c r="S35" i="5"/>
  <c r="R35" i="5"/>
  <c r="Q35" i="5"/>
  <c r="P35" i="5"/>
  <c r="O35" i="5"/>
  <c r="N35" i="5"/>
  <c r="M35" i="5"/>
  <c r="L35" i="5"/>
  <c r="K35" i="5"/>
  <c r="J35" i="5"/>
  <c r="I35" i="5"/>
  <c r="H35" i="5"/>
  <c r="G35" i="5"/>
  <c r="F35" i="5"/>
  <c r="E35" i="5"/>
  <c r="D35" i="5"/>
  <c r="C35" i="5"/>
  <c r="X39" i="5"/>
  <c r="W39" i="5"/>
  <c r="V39" i="5"/>
  <c r="U39" i="5"/>
  <c r="T39" i="5"/>
  <c r="S39" i="5"/>
  <c r="R39" i="5"/>
  <c r="Q39" i="5"/>
  <c r="P39" i="5"/>
  <c r="O39" i="5"/>
  <c r="N39" i="5"/>
  <c r="M39" i="5"/>
  <c r="L39" i="5"/>
  <c r="K39" i="5"/>
  <c r="J39" i="5"/>
  <c r="I39" i="5"/>
  <c r="H39" i="5"/>
  <c r="G39" i="5"/>
  <c r="F39" i="5"/>
  <c r="E39" i="5"/>
  <c r="D39" i="5"/>
  <c r="C39" i="5"/>
  <c r="X43" i="5"/>
  <c r="W43" i="5"/>
  <c r="V43" i="5"/>
  <c r="U43" i="5"/>
  <c r="T43" i="5"/>
  <c r="S43" i="5"/>
  <c r="R43" i="5"/>
  <c r="Q43" i="5"/>
  <c r="P43" i="5"/>
  <c r="O43" i="5"/>
  <c r="N43" i="5"/>
  <c r="M43" i="5"/>
  <c r="L43" i="5"/>
  <c r="K43" i="5"/>
  <c r="J43" i="5"/>
  <c r="I43" i="5"/>
  <c r="H43" i="5"/>
  <c r="G43" i="5"/>
  <c r="F43" i="5"/>
  <c r="E43" i="5"/>
  <c r="D43" i="5"/>
  <c r="C43" i="5"/>
  <c r="X47" i="5"/>
  <c r="W47" i="5"/>
  <c r="V47" i="5"/>
  <c r="U47" i="5"/>
  <c r="T47" i="5"/>
  <c r="S47" i="5"/>
  <c r="R47" i="5"/>
  <c r="Q47" i="5"/>
  <c r="P47" i="5"/>
  <c r="O47" i="5"/>
  <c r="N47" i="5"/>
  <c r="M47" i="5"/>
  <c r="L47" i="5"/>
  <c r="K47" i="5"/>
  <c r="J47" i="5"/>
  <c r="I47" i="5"/>
  <c r="H47" i="5"/>
  <c r="G47" i="5"/>
  <c r="F47" i="5"/>
  <c r="E47" i="5"/>
  <c r="D47" i="5"/>
  <c r="C47" i="5"/>
  <c r="X51" i="5"/>
  <c r="W51" i="5"/>
  <c r="V51" i="5"/>
  <c r="U51" i="5"/>
  <c r="T51" i="5"/>
  <c r="S51" i="5"/>
  <c r="R51" i="5"/>
  <c r="Q51" i="5"/>
  <c r="P51" i="5"/>
  <c r="O51" i="5"/>
  <c r="N51" i="5"/>
  <c r="M51" i="5"/>
  <c r="L51" i="5"/>
  <c r="K51" i="5"/>
  <c r="J51" i="5"/>
  <c r="I51" i="5"/>
  <c r="H51" i="5"/>
  <c r="G51" i="5"/>
  <c r="F51" i="5"/>
  <c r="E51" i="5"/>
  <c r="D51" i="5"/>
  <c r="C51" i="5"/>
  <c r="T62" i="5"/>
  <c r="R62" i="5"/>
  <c r="P62" i="5"/>
  <c r="N62" i="5"/>
  <c r="M62" i="5"/>
  <c r="J62" i="5"/>
  <c r="H62" i="5"/>
  <c r="F62" i="5"/>
  <c r="D62" i="5"/>
  <c r="C62" i="5"/>
  <c r="X62" i="5"/>
  <c r="W62" i="5"/>
  <c r="V62" i="5"/>
  <c r="U62" i="5"/>
  <c r="S62" i="5"/>
  <c r="Q62" i="5"/>
  <c r="O62" i="5"/>
  <c r="L62" i="5"/>
  <c r="K62" i="5"/>
  <c r="I62" i="5"/>
  <c r="G62" i="5"/>
  <c r="E62" i="5"/>
  <c r="X84" i="5"/>
  <c r="U84" i="5"/>
  <c r="S84" i="5"/>
  <c r="Q84" i="5"/>
  <c r="O84" i="5"/>
  <c r="M84" i="5"/>
  <c r="K84" i="5"/>
  <c r="I84" i="5"/>
  <c r="G84" i="5"/>
  <c r="E84" i="5"/>
  <c r="C84" i="5"/>
  <c r="W84" i="5"/>
  <c r="V84" i="5"/>
  <c r="T84" i="5"/>
  <c r="R84" i="5"/>
  <c r="P84" i="5"/>
  <c r="N84" i="5"/>
  <c r="L84" i="5"/>
  <c r="J84" i="5"/>
  <c r="H84" i="5"/>
  <c r="F84" i="5"/>
  <c r="D84" i="5"/>
  <c r="U101" i="5"/>
  <c r="S101" i="5"/>
  <c r="Q101" i="5"/>
  <c r="O101" i="5"/>
  <c r="M101" i="5"/>
  <c r="K101" i="5"/>
  <c r="I101" i="5"/>
  <c r="G101" i="5"/>
  <c r="E101" i="5"/>
  <c r="C101" i="5"/>
  <c r="X101" i="5"/>
  <c r="W101" i="5"/>
  <c r="V101" i="5"/>
  <c r="T101" i="5"/>
  <c r="R101" i="5"/>
  <c r="P101" i="5"/>
  <c r="N101" i="5"/>
  <c r="L101" i="5"/>
  <c r="J101" i="5"/>
  <c r="H101" i="5"/>
  <c r="F101" i="5"/>
  <c r="D101" i="5"/>
  <c r="S135" i="5"/>
  <c r="P135" i="5"/>
  <c r="N135" i="5"/>
  <c r="L135" i="5"/>
  <c r="J135" i="5"/>
  <c r="H135" i="5"/>
  <c r="F135" i="5"/>
  <c r="D135" i="5"/>
  <c r="X135" i="5"/>
  <c r="W135" i="5"/>
  <c r="V135" i="5"/>
  <c r="U135" i="5"/>
  <c r="T135" i="5"/>
  <c r="R135" i="5"/>
  <c r="Q135" i="5"/>
  <c r="O135" i="5"/>
  <c r="M135" i="5"/>
  <c r="K135" i="5"/>
  <c r="I135" i="5"/>
  <c r="G135" i="5"/>
  <c r="E135" i="5"/>
  <c r="C135" i="5"/>
  <c r="X153" i="5"/>
  <c r="W153" i="5"/>
  <c r="V153" i="5"/>
  <c r="U153" i="5"/>
  <c r="T153" i="5"/>
  <c r="S153" i="5"/>
  <c r="R153" i="5"/>
  <c r="Q153" i="5"/>
  <c r="P153" i="5"/>
  <c r="O153" i="5"/>
  <c r="N153" i="5"/>
  <c r="M153" i="5"/>
  <c r="L153" i="5"/>
  <c r="K153" i="5"/>
  <c r="J153" i="5"/>
  <c r="I153" i="5"/>
  <c r="H153" i="5"/>
  <c r="G153" i="5"/>
  <c r="F153" i="5"/>
  <c r="E153" i="5"/>
  <c r="D153" i="5"/>
  <c r="C153" i="5"/>
  <c r="X149" i="5"/>
  <c r="V149" i="5"/>
  <c r="S149" i="5"/>
  <c r="Q149" i="5"/>
  <c r="N149" i="5"/>
  <c r="K149" i="5"/>
  <c r="J149" i="5"/>
  <c r="G149" i="5"/>
  <c r="C149" i="5"/>
  <c r="W149" i="5"/>
  <c r="U149" i="5"/>
  <c r="T149" i="5"/>
  <c r="R149" i="5"/>
  <c r="O149" i="5"/>
  <c r="M149" i="5"/>
  <c r="I149" i="5"/>
  <c r="F149" i="5"/>
  <c r="D149" i="5"/>
  <c r="P149" i="5"/>
  <c r="L149" i="5"/>
  <c r="H149" i="5"/>
  <c r="E149" i="5"/>
  <c r="U87" i="5"/>
  <c r="R87" i="5"/>
  <c r="P87" i="5"/>
  <c r="N87" i="5"/>
  <c r="L87" i="5"/>
  <c r="J87" i="5"/>
  <c r="H87" i="5"/>
  <c r="F87" i="5"/>
  <c r="C87" i="5"/>
  <c r="X87" i="5"/>
  <c r="W87" i="5"/>
  <c r="V87" i="5"/>
  <c r="T87" i="5"/>
  <c r="S87" i="5"/>
  <c r="Q87" i="5"/>
  <c r="O87" i="5"/>
  <c r="M87" i="5"/>
  <c r="K87" i="5"/>
  <c r="I87" i="5"/>
  <c r="G87" i="5"/>
  <c r="E87" i="5"/>
  <c r="D87" i="5"/>
  <c r="X106" i="5"/>
  <c r="W106" i="5"/>
  <c r="V106" i="5"/>
  <c r="U106" i="5"/>
  <c r="T106" i="5"/>
  <c r="S106" i="5"/>
  <c r="R106" i="5"/>
  <c r="Q106" i="5"/>
  <c r="P106" i="5"/>
  <c r="O106" i="5"/>
  <c r="M106" i="5"/>
  <c r="K106" i="5"/>
  <c r="I106" i="5"/>
  <c r="G106" i="5"/>
  <c r="E106" i="5"/>
  <c r="C106" i="5"/>
  <c r="N106" i="5"/>
  <c r="L106" i="5"/>
  <c r="J106" i="5"/>
  <c r="H106" i="5"/>
  <c r="F106" i="5"/>
  <c r="D106" i="5"/>
  <c r="D146" i="5"/>
  <c r="X146" i="5"/>
  <c r="W146" i="5"/>
  <c r="V146" i="5"/>
  <c r="U146" i="5"/>
  <c r="T146" i="5"/>
  <c r="S146" i="5"/>
  <c r="R146" i="5"/>
  <c r="Q146" i="5"/>
  <c r="P146" i="5"/>
  <c r="O146" i="5"/>
  <c r="N146" i="5"/>
  <c r="M146" i="5"/>
  <c r="L146" i="5"/>
  <c r="K146" i="5"/>
  <c r="J146" i="5"/>
  <c r="I146" i="5"/>
  <c r="H146" i="5"/>
  <c r="G146" i="5"/>
  <c r="E146" i="5"/>
  <c r="C146" i="5"/>
  <c r="F146" i="5"/>
  <c r="X98" i="5"/>
  <c r="W98" i="5"/>
  <c r="V98" i="5"/>
  <c r="U98" i="5"/>
  <c r="T98" i="5"/>
  <c r="S98" i="5"/>
  <c r="R98" i="5"/>
  <c r="Q98" i="5"/>
  <c r="P98" i="5"/>
  <c r="O98" i="5"/>
  <c r="N98" i="5"/>
  <c r="M98" i="5"/>
  <c r="L98" i="5"/>
  <c r="K98" i="5"/>
  <c r="J98" i="5"/>
  <c r="I98" i="5"/>
  <c r="H98" i="5"/>
  <c r="G98" i="5"/>
  <c r="F98" i="5"/>
  <c r="E98" i="5"/>
  <c r="D98" i="5"/>
  <c r="C98" i="5"/>
  <c r="X113" i="5"/>
  <c r="W113" i="5"/>
  <c r="V113" i="5"/>
  <c r="U113" i="5"/>
  <c r="S113" i="5"/>
  <c r="R113" i="5"/>
  <c r="P113" i="5"/>
  <c r="N113" i="5"/>
  <c r="L113" i="5"/>
  <c r="I113" i="5"/>
  <c r="G113" i="5"/>
  <c r="E113" i="5"/>
  <c r="C113" i="5"/>
  <c r="T113" i="5"/>
  <c r="Q113" i="5"/>
  <c r="O113" i="5"/>
  <c r="M113" i="5"/>
  <c r="K113" i="5"/>
  <c r="J113" i="5"/>
  <c r="H113" i="5"/>
  <c r="F113" i="5"/>
  <c r="D113" i="5"/>
  <c r="X74" i="5"/>
  <c r="W74" i="5"/>
  <c r="V74" i="5"/>
  <c r="U74" i="5"/>
  <c r="T74" i="5"/>
  <c r="S74" i="5"/>
  <c r="R74" i="5"/>
  <c r="Q74" i="5"/>
  <c r="P74" i="5"/>
  <c r="O74" i="5"/>
  <c r="N74" i="5"/>
  <c r="M74" i="5"/>
  <c r="L74" i="5"/>
  <c r="K74" i="5"/>
  <c r="I74" i="5"/>
  <c r="H74" i="5"/>
  <c r="F74" i="5"/>
  <c r="E74" i="5"/>
  <c r="C74" i="5"/>
  <c r="J74" i="5"/>
  <c r="G74" i="5"/>
  <c r="D74" i="5"/>
  <c r="W100" i="5"/>
  <c r="U100" i="5"/>
  <c r="S100" i="5"/>
  <c r="Q100" i="5"/>
  <c r="O100" i="5"/>
  <c r="M100" i="5"/>
  <c r="K100" i="5"/>
  <c r="H100" i="5"/>
  <c r="F100" i="5"/>
  <c r="D100" i="5"/>
  <c r="X100" i="5"/>
  <c r="V100" i="5"/>
  <c r="T100" i="5"/>
  <c r="R100" i="5"/>
  <c r="P100" i="5"/>
  <c r="N100" i="5"/>
  <c r="L100" i="5"/>
  <c r="J100" i="5"/>
  <c r="I100" i="5"/>
  <c r="G100" i="5"/>
  <c r="E100" i="5"/>
  <c r="C100" i="5"/>
  <c r="X142" i="5"/>
  <c r="W142" i="5"/>
  <c r="V142" i="5"/>
  <c r="U142" i="5"/>
  <c r="T142" i="5"/>
  <c r="S142" i="5"/>
  <c r="R142" i="5"/>
  <c r="Q142" i="5"/>
  <c r="P142" i="5"/>
  <c r="O142" i="5"/>
  <c r="N142" i="5"/>
  <c r="M142" i="5"/>
  <c r="L142" i="5"/>
  <c r="K142" i="5"/>
  <c r="J142" i="5"/>
  <c r="I142" i="5"/>
  <c r="H142" i="5"/>
  <c r="G142" i="5"/>
  <c r="F142" i="5"/>
  <c r="E142" i="5"/>
  <c r="D142" i="5"/>
  <c r="C142" i="5"/>
  <c r="X30" i="5"/>
  <c r="W30" i="5"/>
  <c r="V30" i="5"/>
  <c r="U30" i="5"/>
  <c r="T30" i="5"/>
  <c r="S30" i="5"/>
  <c r="R30" i="5"/>
  <c r="Q30" i="5"/>
  <c r="P30" i="5"/>
  <c r="O30" i="5"/>
  <c r="N30" i="5"/>
  <c r="M30" i="5"/>
  <c r="L30" i="5"/>
  <c r="K30" i="5"/>
  <c r="J30" i="5"/>
  <c r="I30" i="5"/>
  <c r="H30" i="5"/>
  <c r="G30" i="5"/>
  <c r="F30" i="5"/>
  <c r="E30" i="5"/>
  <c r="D30" i="5"/>
  <c r="C30" i="5"/>
  <c r="X33" i="5"/>
  <c r="W33" i="5"/>
  <c r="V33" i="5"/>
  <c r="U33" i="5"/>
  <c r="T33" i="5"/>
  <c r="S33" i="5"/>
  <c r="R33" i="5"/>
  <c r="Q33" i="5"/>
  <c r="P33" i="5"/>
  <c r="O33" i="5"/>
  <c r="N33" i="5"/>
  <c r="M33" i="5"/>
  <c r="L33" i="5"/>
  <c r="K33" i="5"/>
  <c r="J33" i="5"/>
  <c r="I33" i="5"/>
  <c r="H33" i="5"/>
  <c r="G33" i="5"/>
  <c r="F33" i="5"/>
  <c r="E33" i="5"/>
  <c r="D33" i="5"/>
  <c r="C33" i="5"/>
  <c r="X37" i="5"/>
  <c r="W37" i="5"/>
  <c r="V37" i="5"/>
  <c r="U37" i="5"/>
  <c r="T37" i="5"/>
  <c r="S37" i="5"/>
  <c r="R37" i="5"/>
  <c r="Q37" i="5"/>
  <c r="P37" i="5"/>
  <c r="O37" i="5"/>
  <c r="N37" i="5"/>
  <c r="M37" i="5"/>
  <c r="L37" i="5"/>
  <c r="K37" i="5"/>
  <c r="J37" i="5"/>
  <c r="I37" i="5"/>
  <c r="H37" i="5"/>
  <c r="G37" i="5"/>
  <c r="F37" i="5"/>
  <c r="E37" i="5"/>
  <c r="D37" i="5"/>
  <c r="C37" i="5"/>
  <c r="X40" i="5"/>
  <c r="W40" i="5"/>
  <c r="V40" i="5"/>
  <c r="U40" i="5"/>
  <c r="T40" i="5"/>
  <c r="S40" i="5"/>
  <c r="R40" i="5"/>
  <c r="Q40" i="5"/>
  <c r="P40" i="5"/>
  <c r="O40" i="5"/>
  <c r="N40" i="5"/>
  <c r="M40" i="5"/>
  <c r="L40" i="5"/>
  <c r="K40" i="5"/>
  <c r="J40" i="5"/>
  <c r="I40" i="5"/>
  <c r="H40" i="5"/>
  <c r="G40" i="5"/>
  <c r="F40" i="5"/>
  <c r="E40" i="5"/>
  <c r="D40" i="5"/>
  <c r="C40" i="5"/>
  <c r="X44" i="5"/>
  <c r="W44" i="5"/>
  <c r="V44" i="5"/>
  <c r="U44" i="5"/>
  <c r="T44" i="5"/>
  <c r="S44" i="5"/>
  <c r="R44" i="5"/>
  <c r="Q44" i="5"/>
  <c r="P44" i="5"/>
  <c r="O44" i="5"/>
  <c r="N44" i="5"/>
  <c r="M44" i="5"/>
  <c r="L44" i="5"/>
  <c r="K44" i="5"/>
  <c r="J44" i="5"/>
  <c r="I44" i="5"/>
  <c r="H44" i="5"/>
  <c r="G44" i="5"/>
  <c r="F44" i="5"/>
  <c r="E44" i="5"/>
  <c r="D44" i="5"/>
  <c r="C44" i="5"/>
  <c r="X48" i="5"/>
  <c r="W48" i="5"/>
  <c r="V48" i="5"/>
  <c r="U48" i="5"/>
  <c r="T48" i="5"/>
  <c r="S48" i="5"/>
  <c r="R48" i="5"/>
  <c r="Q48" i="5"/>
  <c r="P48" i="5"/>
  <c r="O48" i="5"/>
  <c r="N48" i="5"/>
  <c r="M48" i="5"/>
  <c r="L48" i="5"/>
  <c r="K48" i="5"/>
  <c r="J48" i="5"/>
  <c r="I48" i="5"/>
  <c r="H48" i="5"/>
  <c r="G48" i="5"/>
  <c r="F48" i="5"/>
  <c r="E48" i="5"/>
  <c r="D48" i="5"/>
  <c r="C48" i="5"/>
  <c r="X52" i="5"/>
  <c r="W52" i="5"/>
  <c r="V52" i="5"/>
  <c r="U52" i="5"/>
  <c r="T52" i="5"/>
  <c r="S52" i="5"/>
  <c r="R52" i="5"/>
  <c r="Q52" i="5"/>
  <c r="P52" i="5"/>
  <c r="O52" i="5"/>
  <c r="N52" i="5"/>
  <c r="M52" i="5"/>
  <c r="L52" i="5"/>
  <c r="K52" i="5"/>
  <c r="J52" i="5"/>
  <c r="I52" i="5"/>
  <c r="H52" i="5"/>
  <c r="G52" i="5"/>
  <c r="F52" i="5"/>
  <c r="E52" i="5"/>
  <c r="D52" i="5"/>
  <c r="C52" i="5"/>
  <c r="X68" i="5"/>
  <c r="U68" i="5"/>
  <c r="S68" i="5"/>
  <c r="Q68" i="5"/>
  <c r="O68" i="5"/>
  <c r="M68" i="5"/>
  <c r="K68" i="5"/>
  <c r="I68" i="5"/>
  <c r="G68" i="5"/>
  <c r="E68" i="5"/>
  <c r="C68" i="5"/>
  <c r="W68" i="5"/>
  <c r="V68" i="5"/>
  <c r="T68" i="5"/>
  <c r="R68" i="5"/>
  <c r="P68" i="5"/>
  <c r="N68" i="5"/>
  <c r="L68" i="5"/>
  <c r="J68" i="5"/>
  <c r="H68" i="5"/>
  <c r="F68" i="5"/>
  <c r="D68" i="5"/>
  <c r="X93" i="5"/>
  <c r="W93" i="5"/>
  <c r="V93" i="5"/>
  <c r="U93" i="5"/>
  <c r="T93" i="5"/>
  <c r="S93" i="5"/>
  <c r="R93" i="5"/>
  <c r="Q93" i="5"/>
  <c r="P93" i="5"/>
  <c r="O93" i="5"/>
  <c r="N93" i="5"/>
  <c r="M93" i="5"/>
  <c r="L93" i="5"/>
  <c r="K93" i="5"/>
  <c r="J93" i="5"/>
  <c r="I93" i="5"/>
  <c r="H93" i="5"/>
  <c r="G93" i="5"/>
  <c r="F93" i="5"/>
  <c r="D93" i="5"/>
  <c r="C93" i="5"/>
  <c r="E93" i="5"/>
  <c r="X120" i="5"/>
  <c r="W120" i="5"/>
  <c r="V120" i="5"/>
  <c r="U120" i="5"/>
  <c r="T120" i="5"/>
  <c r="R120" i="5"/>
  <c r="Q120" i="5"/>
  <c r="O120" i="5"/>
  <c r="M120" i="5"/>
  <c r="K120" i="5"/>
  <c r="H120" i="5"/>
  <c r="F120" i="5"/>
  <c r="D120" i="5"/>
  <c r="S120" i="5"/>
  <c r="P120" i="5"/>
  <c r="N120" i="5"/>
  <c r="L120" i="5"/>
  <c r="J120" i="5"/>
  <c r="I120" i="5"/>
  <c r="G120" i="5"/>
  <c r="E120" i="5"/>
  <c r="C120" i="5"/>
  <c r="S136" i="5"/>
  <c r="P136" i="5"/>
  <c r="O136" i="5"/>
  <c r="M136" i="5"/>
  <c r="K136" i="5"/>
  <c r="I136" i="5"/>
  <c r="F136" i="5"/>
  <c r="D136" i="5"/>
  <c r="C136" i="5"/>
  <c r="X136" i="5"/>
  <c r="W136" i="5"/>
  <c r="V136" i="5"/>
  <c r="U136" i="5"/>
  <c r="T136" i="5"/>
  <c r="R136" i="5"/>
  <c r="Q136" i="5"/>
  <c r="N136" i="5"/>
  <c r="L136" i="5"/>
  <c r="J136" i="5"/>
  <c r="H136" i="5"/>
  <c r="G136" i="5"/>
  <c r="E136" i="5"/>
  <c r="X129" i="5"/>
  <c r="W129" i="5"/>
  <c r="V129" i="5"/>
  <c r="U129" i="5"/>
  <c r="T129" i="5"/>
  <c r="S129" i="5"/>
  <c r="R129" i="5"/>
  <c r="P129" i="5"/>
  <c r="O129" i="5"/>
  <c r="M129" i="5"/>
  <c r="K129" i="5"/>
  <c r="I129" i="5"/>
  <c r="H129" i="5"/>
  <c r="F129" i="5"/>
  <c r="D129" i="5"/>
  <c r="Q129" i="5"/>
  <c r="N129" i="5"/>
  <c r="L129" i="5"/>
  <c r="J129" i="5"/>
  <c r="G129" i="5"/>
  <c r="E129" i="5"/>
  <c r="C129" i="5"/>
  <c r="F63" i="5"/>
  <c r="C63" i="5"/>
  <c r="X63" i="5"/>
  <c r="W63" i="5"/>
  <c r="V63" i="5"/>
  <c r="U63" i="5"/>
  <c r="T63" i="5"/>
  <c r="S63" i="5"/>
  <c r="R63" i="5"/>
  <c r="Q63" i="5"/>
  <c r="P63" i="5"/>
  <c r="O63" i="5"/>
  <c r="N63" i="5"/>
  <c r="M63" i="5"/>
  <c r="L63" i="5"/>
  <c r="K63" i="5"/>
  <c r="J63" i="5"/>
  <c r="I63" i="5"/>
  <c r="H63" i="5"/>
  <c r="G63" i="5"/>
  <c r="E63" i="5"/>
  <c r="D63" i="5"/>
  <c r="X103" i="5"/>
  <c r="W103" i="5"/>
  <c r="V103" i="5"/>
  <c r="U103" i="5"/>
  <c r="T103" i="5"/>
  <c r="S103" i="5"/>
  <c r="R103" i="5"/>
  <c r="Q103" i="5"/>
  <c r="P103" i="5"/>
  <c r="O103" i="5"/>
  <c r="N103" i="5"/>
  <c r="M103" i="5"/>
  <c r="L103" i="5"/>
  <c r="K103" i="5"/>
  <c r="J103" i="5"/>
  <c r="I103" i="5"/>
  <c r="H103" i="5"/>
  <c r="G103" i="5"/>
  <c r="F103" i="5"/>
  <c r="E103" i="5"/>
  <c r="D103" i="5"/>
  <c r="C103" i="5"/>
  <c r="X121" i="5"/>
  <c r="V121" i="5"/>
  <c r="T121" i="5"/>
  <c r="R121" i="5"/>
  <c r="P121" i="5"/>
  <c r="N121" i="5"/>
  <c r="L121" i="5"/>
  <c r="J121" i="5"/>
  <c r="H121" i="5"/>
  <c r="F121" i="5"/>
  <c r="D121" i="5"/>
  <c r="W121" i="5"/>
  <c r="U121" i="5"/>
  <c r="S121" i="5"/>
  <c r="Q121" i="5"/>
  <c r="O121" i="5"/>
  <c r="M121" i="5"/>
  <c r="K121" i="5"/>
  <c r="I121" i="5"/>
  <c r="G121" i="5"/>
  <c r="E121" i="5"/>
  <c r="C121" i="5"/>
  <c r="W58" i="5"/>
  <c r="T58" i="5"/>
  <c r="R58" i="5"/>
  <c r="P58" i="5"/>
  <c r="N58" i="5"/>
  <c r="K58" i="5"/>
  <c r="I58" i="5"/>
  <c r="G58" i="5"/>
  <c r="E58" i="5"/>
  <c r="C58" i="5"/>
  <c r="X58" i="5"/>
  <c r="V58" i="5"/>
  <c r="U58" i="5"/>
  <c r="S58" i="5"/>
  <c r="Q58" i="5"/>
  <c r="O58" i="5"/>
  <c r="M58" i="5"/>
  <c r="L58" i="5"/>
  <c r="J58" i="5"/>
  <c r="H58" i="5"/>
  <c r="F58" i="5"/>
  <c r="D58" i="5"/>
  <c r="U108" i="5"/>
  <c r="R108" i="5"/>
  <c r="Q108" i="5"/>
  <c r="O108" i="5"/>
  <c r="M108" i="5"/>
  <c r="K108" i="5"/>
  <c r="I108" i="5"/>
  <c r="G108" i="5"/>
  <c r="E108" i="5"/>
  <c r="C108" i="5"/>
  <c r="X108" i="5"/>
  <c r="W108" i="5"/>
  <c r="V108" i="5"/>
  <c r="T108" i="5"/>
  <c r="S108" i="5"/>
  <c r="P108" i="5"/>
  <c r="N108" i="5"/>
  <c r="L108" i="5"/>
  <c r="J108" i="5"/>
  <c r="H108" i="5"/>
  <c r="F108" i="5"/>
  <c r="D108" i="5"/>
  <c r="X139" i="5"/>
  <c r="V139" i="5"/>
  <c r="T139" i="5"/>
  <c r="R139" i="5"/>
  <c r="P139" i="5"/>
  <c r="N139" i="5"/>
  <c r="L139" i="5"/>
  <c r="J139" i="5"/>
  <c r="I139" i="5"/>
  <c r="G139" i="5"/>
  <c r="E139" i="5"/>
  <c r="C139" i="5"/>
  <c r="W139" i="5"/>
  <c r="U139" i="5"/>
  <c r="S139" i="5"/>
  <c r="Q139" i="5"/>
  <c r="O139" i="5"/>
  <c r="M139" i="5"/>
  <c r="K139" i="5"/>
  <c r="H139" i="5"/>
  <c r="F139" i="5"/>
  <c r="D139" i="5"/>
  <c r="T75" i="5"/>
  <c r="P75" i="5"/>
  <c r="N75" i="5"/>
  <c r="M75" i="5"/>
  <c r="K75" i="5"/>
  <c r="H75" i="5"/>
  <c r="G75" i="5"/>
  <c r="E75" i="5"/>
  <c r="C75" i="5"/>
  <c r="X75" i="5"/>
  <c r="W75" i="5"/>
  <c r="V75" i="5"/>
  <c r="U75" i="5"/>
  <c r="S75" i="5"/>
  <c r="R75" i="5"/>
  <c r="Q75" i="5"/>
  <c r="O75" i="5"/>
  <c r="L75" i="5"/>
  <c r="J75" i="5"/>
  <c r="I75" i="5"/>
  <c r="F75" i="5"/>
  <c r="D75" i="5"/>
  <c r="U117" i="5"/>
  <c r="S117" i="5"/>
  <c r="Q117" i="5"/>
  <c r="O117" i="5"/>
  <c r="M117" i="5"/>
  <c r="K117" i="5"/>
  <c r="I117" i="5"/>
  <c r="G117" i="5"/>
  <c r="E117" i="5"/>
  <c r="C117" i="5"/>
  <c r="X117" i="5"/>
  <c r="W117" i="5"/>
  <c r="V117" i="5"/>
  <c r="T117" i="5"/>
  <c r="R117" i="5"/>
  <c r="P117" i="5"/>
  <c r="N117" i="5"/>
  <c r="L117" i="5"/>
  <c r="J117" i="5"/>
  <c r="H117" i="5"/>
  <c r="F117" i="5"/>
  <c r="D117" i="5"/>
  <c r="X148" i="5"/>
  <c r="V148" i="5"/>
  <c r="U148" i="5"/>
  <c r="S148" i="5"/>
  <c r="Q148" i="5"/>
  <c r="O148" i="5"/>
  <c r="L148" i="5"/>
  <c r="J148" i="5"/>
  <c r="H148" i="5"/>
  <c r="F148" i="5"/>
  <c r="D148" i="5"/>
  <c r="C148" i="5"/>
  <c r="W148" i="5"/>
  <c r="T148" i="5"/>
  <c r="R148" i="5"/>
  <c r="P148" i="5"/>
  <c r="N148" i="5"/>
  <c r="M148" i="5"/>
  <c r="K148" i="5"/>
  <c r="I148" i="5"/>
  <c r="G148" i="5"/>
  <c r="E148" i="5"/>
  <c r="X34" i="5"/>
  <c r="W34" i="5"/>
  <c r="V34" i="5"/>
  <c r="U34" i="5"/>
  <c r="T34" i="5"/>
  <c r="S34" i="5"/>
  <c r="R34" i="5"/>
  <c r="Q34" i="5"/>
  <c r="P34" i="5"/>
  <c r="O34" i="5"/>
  <c r="N34" i="5"/>
  <c r="M34" i="5"/>
  <c r="L34" i="5"/>
  <c r="K34" i="5"/>
  <c r="J34" i="5"/>
  <c r="I34" i="5"/>
  <c r="H34" i="5"/>
  <c r="G34" i="5"/>
  <c r="F34" i="5"/>
  <c r="E34" i="5"/>
  <c r="D34" i="5"/>
  <c r="C34" i="5"/>
  <c r="X38" i="5"/>
  <c r="W38" i="5"/>
  <c r="V38" i="5"/>
  <c r="U38" i="5"/>
  <c r="T38" i="5"/>
  <c r="S38" i="5"/>
  <c r="R38" i="5"/>
  <c r="Q38" i="5"/>
  <c r="P38" i="5"/>
  <c r="O38" i="5"/>
  <c r="N38" i="5"/>
  <c r="M38" i="5"/>
  <c r="L38" i="5"/>
  <c r="K38" i="5"/>
  <c r="J38" i="5"/>
  <c r="I38" i="5"/>
  <c r="H38" i="5"/>
  <c r="G38" i="5"/>
  <c r="F38" i="5"/>
  <c r="E38" i="5"/>
  <c r="D38" i="5"/>
  <c r="C38" i="5"/>
  <c r="X42" i="5"/>
  <c r="W42" i="5"/>
  <c r="V42" i="5"/>
  <c r="U42" i="5"/>
  <c r="T42" i="5"/>
  <c r="S42" i="5"/>
  <c r="R42" i="5"/>
  <c r="Q42" i="5"/>
  <c r="P42" i="5"/>
  <c r="O42" i="5"/>
  <c r="N42" i="5"/>
  <c r="M42" i="5"/>
  <c r="L42" i="5"/>
  <c r="K42" i="5"/>
  <c r="J42" i="5"/>
  <c r="I42" i="5"/>
  <c r="H42" i="5"/>
  <c r="G42" i="5"/>
  <c r="F42" i="5"/>
  <c r="E42" i="5"/>
  <c r="D42" i="5"/>
  <c r="C42" i="5"/>
  <c r="X46" i="5"/>
  <c r="W46" i="5"/>
  <c r="V46" i="5"/>
  <c r="U46" i="5"/>
  <c r="T46" i="5"/>
  <c r="S46" i="5"/>
  <c r="R46" i="5"/>
  <c r="Q46" i="5"/>
  <c r="P46" i="5"/>
  <c r="O46" i="5"/>
  <c r="N46" i="5"/>
  <c r="M46" i="5"/>
  <c r="L46" i="5"/>
  <c r="K46" i="5"/>
  <c r="J46" i="5"/>
  <c r="I46" i="5"/>
  <c r="H46" i="5"/>
  <c r="G46" i="5"/>
  <c r="F46" i="5"/>
  <c r="E46" i="5"/>
  <c r="D46" i="5"/>
  <c r="C46" i="5"/>
  <c r="X50" i="5"/>
  <c r="W50" i="5"/>
  <c r="V50" i="5"/>
  <c r="U50" i="5"/>
  <c r="T50" i="5"/>
  <c r="S50" i="5"/>
  <c r="R50" i="5"/>
  <c r="Q50" i="5"/>
  <c r="P50" i="5"/>
  <c r="O50" i="5"/>
  <c r="N50" i="5"/>
  <c r="M50" i="5"/>
  <c r="L50" i="5"/>
  <c r="K50" i="5"/>
  <c r="J50" i="5"/>
  <c r="I50" i="5"/>
  <c r="H50" i="5"/>
  <c r="G50" i="5"/>
  <c r="F50" i="5"/>
  <c r="E50" i="5"/>
  <c r="D50" i="5"/>
  <c r="C50" i="5"/>
  <c r="X53" i="5"/>
  <c r="W53" i="5"/>
  <c r="V53" i="5"/>
  <c r="U53" i="5"/>
  <c r="T53" i="5"/>
  <c r="S53" i="5"/>
  <c r="R53" i="5"/>
  <c r="Q53" i="5"/>
  <c r="P53" i="5"/>
  <c r="O53" i="5"/>
  <c r="N53" i="5"/>
  <c r="M53" i="5"/>
  <c r="L53" i="5"/>
  <c r="K53" i="5"/>
  <c r="J53" i="5"/>
  <c r="I53" i="5"/>
  <c r="H53" i="5"/>
  <c r="G53" i="5"/>
  <c r="F53" i="5"/>
  <c r="E53" i="5"/>
  <c r="D53" i="5"/>
  <c r="C53" i="5"/>
  <c r="N78" i="5"/>
  <c r="J78" i="5"/>
  <c r="H78" i="5"/>
  <c r="F78" i="5"/>
  <c r="D78" i="5"/>
  <c r="C78" i="5"/>
  <c r="X78" i="5"/>
  <c r="W78" i="5"/>
  <c r="V78" i="5"/>
  <c r="U78" i="5"/>
  <c r="T78" i="5"/>
  <c r="S78" i="5"/>
  <c r="R78" i="5"/>
  <c r="Q78" i="5"/>
  <c r="P78" i="5"/>
  <c r="O78" i="5"/>
  <c r="M78" i="5"/>
  <c r="L78" i="5"/>
  <c r="K78" i="5"/>
  <c r="I78" i="5"/>
  <c r="G78" i="5"/>
  <c r="E78" i="5"/>
  <c r="W94" i="5"/>
  <c r="V94" i="5"/>
  <c r="S94" i="5"/>
  <c r="Q94" i="5"/>
  <c r="O94" i="5"/>
  <c r="M94" i="5"/>
  <c r="K94" i="5"/>
  <c r="I94" i="5"/>
  <c r="G94" i="5"/>
  <c r="E94" i="5"/>
  <c r="C94" i="5"/>
  <c r="X94" i="5"/>
  <c r="U94" i="5"/>
  <c r="T94" i="5"/>
  <c r="R94" i="5"/>
  <c r="P94" i="5"/>
  <c r="N94" i="5"/>
  <c r="L94" i="5"/>
  <c r="J94" i="5"/>
  <c r="H94" i="5"/>
  <c r="F94" i="5"/>
  <c r="D94" i="5"/>
  <c r="G126" i="5"/>
  <c r="E126" i="5"/>
  <c r="C126" i="5"/>
  <c r="X126" i="5"/>
  <c r="W126" i="5"/>
  <c r="V126" i="5"/>
  <c r="U126" i="5"/>
  <c r="T126" i="5"/>
  <c r="S126" i="5"/>
  <c r="R126" i="5"/>
  <c r="Q126" i="5"/>
  <c r="P126" i="5"/>
  <c r="O126" i="5"/>
  <c r="N126" i="5"/>
  <c r="M126" i="5"/>
  <c r="L126" i="5"/>
  <c r="K126" i="5"/>
  <c r="J126" i="5"/>
  <c r="I126" i="5"/>
  <c r="H126" i="5"/>
  <c r="F126" i="5"/>
  <c r="D126" i="5"/>
  <c r="J145" i="5"/>
  <c r="C145" i="5"/>
  <c r="X145" i="5"/>
  <c r="W145" i="5"/>
  <c r="V145" i="5"/>
  <c r="T145" i="5"/>
  <c r="R145" i="5"/>
  <c r="P145" i="5"/>
  <c r="O145" i="5"/>
  <c r="M145" i="5"/>
  <c r="K145" i="5"/>
  <c r="H145" i="5"/>
  <c r="F145" i="5"/>
  <c r="D145" i="5"/>
  <c r="U145" i="5"/>
  <c r="S145" i="5"/>
  <c r="Q145" i="5"/>
  <c r="N145" i="5"/>
  <c r="L145" i="5"/>
  <c r="I145" i="5"/>
  <c r="G145" i="5"/>
  <c r="E145" i="5"/>
  <c r="G144" i="5"/>
  <c r="D144" i="5"/>
  <c r="X144" i="5"/>
  <c r="W144" i="5"/>
  <c r="V144" i="5"/>
  <c r="U144" i="5"/>
  <c r="S144" i="5"/>
  <c r="Q144" i="5"/>
  <c r="N144" i="5"/>
  <c r="M144" i="5"/>
  <c r="J144" i="5"/>
  <c r="I144" i="5"/>
  <c r="F144" i="5"/>
  <c r="C144" i="5"/>
  <c r="T144" i="5"/>
  <c r="R144" i="5"/>
  <c r="P144" i="5"/>
  <c r="O144" i="5"/>
  <c r="L144" i="5"/>
  <c r="K144" i="5"/>
  <c r="H144" i="5"/>
  <c r="E144" i="5"/>
  <c r="X81" i="5"/>
  <c r="W81" i="5"/>
  <c r="V81" i="5"/>
  <c r="U81" i="5"/>
  <c r="T81" i="5"/>
  <c r="S81" i="5"/>
  <c r="R81" i="5"/>
  <c r="Q81" i="5"/>
  <c r="P81" i="5"/>
  <c r="O81" i="5"/>
  <c r="N81" i="5"/>
  <c r="M81" i="5"/>
  <c r="L81" i="5"/>
  <c r="K81" i="5"/>
  <c r="I81" i="5"/>
  <c r="H81" i="5"/>
  <c r="F81" i="5"/>
  <c r="E81" i="5"/>
  <c r="C81" i="5"/>
  <c r="J81" i="5"/>
  <c r="G81" i="5"/>
  <c r="D81" i="5"/>
  <c r="X105" i="5"/>
  <c r="W105" i="5"/>
  <c r="V105" i="5"/>
  <c r="U105" i="5"/>
  <c r="T105" i="5"/>
  <c r="S105" i="5"/>
  <c r="R105" i="5"/>
  <c r="Q105" i="5"/>
  <c r="P105" i="5"/>
  <c r="N105" i="5"/>
  <c r="M105" i="5"/>
  <c r="K105" i="5"/>
  <c r="I105" i="5"/>
  <c r="G105" i="5"/>
  <c r="E105" i="5"/>
  <c r="C105" i="5"/>
  <c r="O105" i="5"/>
  <c r="L105" i="5"/>
  <c r="J105" i="5"/>
  <c r="H105" i="5"/>
  <c r="F105" i="5"/>
  <c r="D105" i="5"/>
  <c r="O130" i="5"/>
  <c r="L130" i="5"/>
  <c r="J130" i="5"/>
  <c r="I130" i="5"/>
  <c r="G130" i="5"/>
  <c r="D130" i="5"/>
  <c r="C130" i="5"/>
  <c r="X130" i="5"/>
  <c r="W130" i="5"/>
  <c r="V130" i="5"/>
  <c r="U130" i="5"/>
  <c r="T130" i="5"/>
  <c r="S130" i="5"/>
  <c r="R130" i="5"/>
  <c r="Q130" i="5"/>
  <c r="P130" i="5"/>
  <c r="N130" i="5"/>
  <c r="M130" i="5"/>
  <c r="K130" i="5"/>
  <c r="H130" i="5"/>
  <c r="F130" i="5"/>
  <c r="E130" i="5"/>
  <c r="X69" i="5"/>
  <c r="W69" i="5"/>
  <c r="V69" i="5"/>
  <c r="U69" i="5"/>
  <c r="T69" i="5"/>
  <c r="S69" i="5"/>
  <c r="R69" i="5"/>
  <c r="Q69" i="5"/>
  <c r="O69" i="5"/>
  <c r="N69" i="5"/>
  <c r="L69" i="5"/>
  <c r="J69" i="5"/>
  <c r="I69" i="5"/>
  <c r="G69" i="5"/>
  <c r="E69" i="5"/>
  <c r="C69" i="5"/>
  <c r="P69" i="5"/>
  <c r="M69" i="5"/>
  <c r="K69" i="5"/>
  <c r="H69" i="5"/>
  <c r="F69" i="5"/>
  <c r="D69" i="5"/>
  <c r="W111" i="5"/>
  <c r="V111" i="5"/>
  <c r="T111" i="5"/>
  <c r="R111" i="5"/>
  <c r="P111" i="5"/>
  <c r="N111" i="5"/>
  <c r="M111" i="5"/>
  <c r="K111" i="5"/>
  <c r="I111" i="5"/>
  <c r="G111" i="5"/>
  <c r="E111" i="5"/>
  <c r="C111" i="5"/>
  <c r="X111" i="5"/>
  <c r="U111" i="5"/>
  <c r="S111" i="5"/>
  <c r="Q111" i="5"/>
  <c r="O111" i="5"/>
  <c r="L111" i="5"/>
  <c r="J111" i="5"/>
  <c r="H111" i="5"/>
  <c r="F111" i="5"/>
  <c r="D111" i="5"/>
  <c r="T140" i="5"/>
  <c r="R140" i="5"/>
  <c r="P140" i="5"/>
  <c r="M140" i="5"/>
  <c r="K140" i="5"/>
  <c r="I140" i="5"/>
  <c r="G140" i="5"/>
  <c r="E140" i="5"/>
  <c r="C140" i="5"/>
  <c r="X140" i="5"/>
  <c r="W140" i="5"/>
  <c r="V140" i="5"/>
  <c r="U140" i="5"/>
  <c r="S140" i="5"/>
  <c r="Q140" i="5"/>
  <c r="O140" i="5"/>
  <c r="N140" i="5"/>
  <c r="L140" i="5"/>
  <c r="J140" i="5"/>
  <c r="H140" i="5"/>
  <c r="F140" i="5"/>
  <c r="D140" i="5"/>
  <c r="W88" i="5"/>
  <c r="V88" i="5"/>
  <c r="U88" i="5"/>
  <c r="S88" i="5"/>
  <c r="Q88" i="5"/>
  <c r="O88" i="5"/>
  <c r="M88" i="5"/>
  <c r="K88" i="5"/>
  <c r="I88" i="5"/>
  <c r="G88" i="5"/>
  <c r="E88" i="5"/>
  <c r="C88" i="5"/>
  <c r="X88" i="5"/>
  <c r="T88" i="5"/>
  <c r="R88" i="5"/>
  <c r="P88" i="5"/>
  <c r="N88" i="5"/>
  <c r="L88" i="5"/>
  <c r="J88" i="5"/>
  <c r="H88" i="5"/>
  <c r="F88" i="5"/>
  <c r="D88" i="5"/>
  <c r="V132" i="5"/>
  <c r="T132" i="5"/>
  <c r="R132" i="5"/>
  <c r="O132" i="5"/>
  <c r="M132" i="5"/>
  <c r="X132" i="5"/>
  <c r="W132" i="5"/>
  <c r="U132" i="5"/>
  <c r="S132" i="5"/>
  <c r="Q132" i="5"/>
  <c r="P132" i="5"/>
  <c r="N132" i="5"/>
  <c r="L132" i="5"/>
  <c r="K132" i="5"/>
  <c r="J132" i="5"/>
  <c r="I132" i="5"/>
  <c r="H132" i="5"/>
  <c r="G132" i="5"/>
  <c r="F132" i="5"/>
  <c r="E132" i="5"/>
  <c r="D132" i="5"/>
  <c r="C13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100-000001000000}">
      <text>
        <r>
          <rPr>
            <sz val="10"/>
            <rFont val="FreeSans"/>
            <family val="2"/>
          </rPr>
          <t xml:space="preserve">سال هدف تعدیل </t>
        </r>
        <r>
          <rPr>
            <sz val="10"/>
            <rFont val="Arial"/>
            <family val="2"/>
          </rPr>
          <t>(</t>
        </r>
        <r>
          <rPr>
            <sz val="10"/>
            <rFont val="FreeSans"/>
            <family val="2"/>
          </rPr>
          <t xml:space="preserve">قابل تغییر در شیت </t>
        </r>
        <r>
          <rPr>
            <sz val="10"/>
            <rFont val="Arial"/>
            <family val="2"/>
          </rPr>
          <t>Assumptions &amp; FX Reference</t>
        </r>
        <r>
          <rPr>
            <sz val="10"/>
            <rFont val="FreeSans"/>
            <family val="2"/>
          </rPr>
          <t>، سلول I5).</t>
        </r>
      </text>
    </comment>
    <comment ref="C4" authorId="0" shapeId="0" xr:uid="{00000000-0006-0000-0100-00006E000000}">
      <text>
        <r>
          <rPr>
            <sz val="10"/>
            <rFont val="FreeSans"/>
            <family val="2"/>
          </rPr>
          <t>نرخ یوروی سال هدف که در تعدیل استفاده می‌شود</t>
        </r>
        <r>
          <rPr>
            <sz val="10"/>
            <rFont val="Arial"/>
            <family val="2"/>
          </rPr>
          <t>.</t>
        </r>
      </text>
    </comment>
    <comment ref="E4" authorId="0" shapeId="0" xr:uid="{00000000-0006-0000-0100-0000AD000000}">
      <text>
        <r>
          <rPr>
            <sz val="10"/>
            <rFont val="FreeSans"/>
            <family val="2"/>
          </rPr>
          <t>نرخ دلار سال هدف</t>
        </r>
        <r>
          <rPr>
            <sz val="10"/>
            <rFont val="Arial"/>
            <family val="2"/>
          </rPr>
          <t>.</t>
        </r>
      </text>
    </comment>
    <comment ref="G4" authorId="0" shapeId="0" xr:uid="{00000000-0006-0000-0100-0000C1000000}">
      <text>
        <r>
          <rPr>
            <sz val="10"/>
            <rFont val="FreeSans"/>
            <family val="2"/>
          </rPr>
          <t xml:space="preserve">شاخص قیمت تولیدکننده پمپ منطقه یورو </t>
        </r>
        <r>
          <rPr>
            <sz val="10"/>
            <rFont val="Arial"/>
            <family val="2"/>
          </rPr>
          <t>(Eurostat C28.13</t>
        </r>
        <r>
          <rPr>
            <sz val="10"/>
            <rFont val="FreeSans"/>
            <family val="2"/>
          </rPr>
          <t xml:space="preserve">، </t>
        </r>
        <r>
          <rPr>
            <sz val="10"/>
            <rFont val="Arial"/>
            <family val="2"/>
          </rPr>
          <t xml:space="preserve">2021=100) </t>
        </r>
        <r>
          <rPr>
            <sz val="10"/>
            <rFont val="FreeSans"/>
            <family val="2"/>
          </rPr>
          <t>برای سال هدف</t>
        </r>
        <r>
          <rPr>
            <sz val="10"/>
            <rFont val="Arial"/>
            <family val="2"/>
          </rPr>
          <t>.</t>
        </r>
      </text>
    </comment>
    <comment ref="A6" authorId="0" shapeId="0" xr:uid="{00000000-0006-0000-0100-000002000000}">
      <text>
        <r>
          <rPr>
            <sz val="10"/>
            <rFont val="FreeSans"/>
            <family val="2"/>
          </rPr>
          <t>۱</t>
        </r>
        <r>
          <rPr>
            <sz val="10"/>
            <rFont val="Arial"/>
            <family val="2"/>
          </rPr>
          <t xml:space="preserve">) </t>
        </r>
        <r>
          <rPr>
            <sz val="10"/>
            <rFont val="FreeSans"/>
            <family val="2"/>
          </rPr>
          <t>زیرگروه‌های پمپ</t>
        </r>
      </text>
    </comment>
    <comment ref="A7" authorId="0" shapeId="0" xr:uid="{00000000-0006-0000-0100-000003000000}">
      <text>
        <r>
          <rPr>
            <sz val="10"/>
            <rFont val="FreeSans"/>
            <family val="2"/>
          </rPr>
          <t>کد زیرگروه</t>
        </r>
      </text>
    </comment>
    <comment ref="B7" authorId="0" shapeId="0" xr:uid="{00000000-0006-0000-0100-00003A000000}">
      <text>
        <r>
          <rPr>
            <sz val="10"/>
            <rFont val="FreeSans"/>
            <family val="2"/>
          </rPr>
          <t>نام کامل زیرگروه</t>
        </r>
      </text>
    </comment>
    <comment ref="C7" authorId="0" shapeId="0" xr:uid="{00000000-0006-0000-0100-00006F000000}">
      <text>
        <r>
          <rPr>
            <sz val="10"/>
            <rFont val="FreeSans"/>
            <family val="2"/>
          </rPr>
          <t>شرح فارسی و نمونه سرویس‌ها</t>
        </r>
      </text>
    </comment>
    <comment ref="D7" authorId="0" shapeId="0" xr:uid="{00000000-0006-0000-0100-00009A000000}">
      <text>
        <r>
          <rPr>
            <sz val="10"/>
            <rFont val="FreeSans"/>
            <family val="2"/>
          </rPr>
          <t xml:space="preserve">تعداد رکوردهای </t>
        </r>
        <r>
          <rPr>
            <sz val="10"/>
            <rFont val="Arial"/>
            <family val="2"/>
          </rPr>
          <t>Include = Y</t>
        </r>
      </text>
    </comment>
    <comment ref="E7" authorId="0" shapeId="0" xr:uid="{00000000-0006-0000-0100-0000AE000000}">
      <text>
        <r>
          <rPr>
            <sz val="10"/>
            <rFont val="FreeSans"/>
            <family val="2"/>
          </rPr>
          <t xml:space="preserve">تعداد رکوردهایی که قیمت تعدیل‌شده به سال هدف دارند </t>
        </r>
        <r>
          <rPr>
            <sz val="10"/>
            <rFont val="Arial"/>
            <family val="2"/>
          </rPr>
          <t>(</t>
        </r>
        <r>
          <rPr>
            <sz val="10"/>
            <rFont val="FreeSans"/>
            <family val="2"/>
          </rPr>
          <t xml:space="preserve">قیمت، سال، نرخ ارز و </t>
        </r>
        <r>
          <rPr>
            <sz val="10"/>
            <rFont val="Arial"/>
            <family val="2"/>
          </rPr>
          <t xml:space="preserve">PPI </t>
        </r>
        <r>
          <rPr>
            <sz val="10"/>
            <rFont val="FreeSans"/>
            <family val="2"/>
          </rPr>
          <t>موجود</t>
        </r>
        <r>
          <rPr>
            <sz val="10"/>
            <rFont val="Arial"/>
            <family val="2"/>
          </rPr>
          <t>).</t>
        </r>
      </text>
    </comment>
    <comment ref="F7" authorId="0" shapeId="0" xr:uid="{00000000-0006-0000-0100-0000C0000000}">
      <text>
        <r>
          <rPr>
            <sz val="10"/>
            <rFont val="FreeSans"/>
            <family val="2"/>
          </rPr>
          <t xml:space="preserve">درصد رکوردهایی که کلاس متریال </t>
        </r>
        <r>
          <rPr>
            <sz val="10"/>
            <rFont val="Arial"/>
            <family val="2"/>
          </rPr>
          <t xml:space="preserve">API 610 </t>
        </r>
        <r>
          <rPr>
            <sz val="10"/>
            <rFont val="FreeSans"/>
            <family val="2"/>
          </rPr>
          <t>آن‌ها مشخص است</t>
        </r>
        <r>
          <rPr>
            <sz val="10"/>
            <rFont val="Arial"/>
            <family val="2"/>
          </rPr>
          <t>.</t>
        </r>
      </text>
    </comment>
    <comment ref="G7" authorId="0" shapeId="0" xr:uid="{00000000-0006-0000-0100-0000C2000000}">
      <text>
        <r>
          <rPr>
            <sz val="10"/>
            <rFont val="FreeSans"/>
            <family val="2"/>
          </rPr>
          <t xml:space="preserve">درصد رکوردهایی که نوع آب‌بند </t>
        </r>
        <r>
          <rPr>
            <sz val="10"/>
            <rFont val="Arial"/>
            <family val="2"/>
          </rPr>
          <t xml:space="preserve">(Seal Arrangement) </t>
        </r>
        <r>
          <rPr>
            <sz val="10"/>
            <rFont val="FreeSans"/>
            <family val="2"/>
          </rPr>
          <t>آن‌ها مشخص است</t>
        </r>
        <r>
          <rPr>
            <sz val="10"/>
            <rFont val="Arial"/>
            <family val="2"/>
          </rPr>
          <t>.</t>
        </r>
      </text>
    </comment>
    <comment ref="H7" authorId="0" shapeId="0" xr:uid="{00000000-0006-0000-0100-0000C3000000}">
      <text>
        <r>
          <rPr>
            <sz val="10"/>
            <rFont val="FreeSans"/>
            <family val="2"/>
          </rPr>
          <t xml:space="preserve">درصد رکوردهایی که اندازه </t>
        </r>
        <r>
          <rPr>
            <sz val="10"/>
            <rFont val="Arial"/>
            <family val="2"/>
          </rPr>
          <t>(kW</t>
        </r>
        <r>
          <rPr>
            <sz val="10"/>
            <rFont val="FreeSans"/>
            <family val="2"/>
          </rPr>
          <t xml:space="preserve">، از منبع یا محاسبه Q×H) دارند؛ مبنای مقایسه و </t>
        </r>
        <r>
          <rPr>
            <sz val="10"/>
            <rFont val="Arial"/>
            <family val="2"/>
          </rPr>
          <t>Estimator.</t>
        </r>
      </text>
    </comment>
    <comment ref="A16" authorId="0" shapeId="0" xr:uid="{00000000-0006-0000-0100-000004000000}">
      <text>
        <r>
          <rPr>
            <sz val="10"/>
            <rFont val="FreeSans"/>
            <family val="2"/>
          </rPr>
          <t>۲</t>
        </r>
        <r>
          <rPr>
            <sz val="10"/>
            <rFont val="Arial"/>
            <family val="2"/>
          </rPr>
          <t xml:space="preserve">) </t>
        </r>
        <r>
          <rPr>
            <sz val="10"/>
            <rFont val="FreeSans"/>
            <family val="2"/>
          </rPr>
          <t xml:space="preserve">کلاس‌های متریال </t>
        </r>
        <r>
          <rPr>
            <sz val="10"/>
            <rFont val="Arial"/>
            <family val="2"/>
          </rPr>
          <t>API 610 (</t>
        </r>
        <r>
          <rPr>
            <sz val="10"/>
            <rFont val="FreeSans"/>
            <family val="2"/>
          </rPr>
          <t xml:space="preserve">جدول </t>
        </r>
        <r>
          <rPr>
            <sz val="10"/>
            <rFont val="Arial"/>
            <family val="2"/>
          </rPr>
          <t>H.1)</t>
        </r>
      </text>
    </comment>
    <comment ref="A17" authorId="0" shapeId="0" xr:uid="{00000000-0006-0000-0100-000005000000}">
      <text>
        <r>
          <rPr>
            <sz val="10"/>
            <rFont val="FreeSans"/>
            <family val="2"/>
          </rPr>
          <t>کلاس متریال</t>
        </r>
      </text>
    </comment>
    <comment ref="B17" authorId="0" shapeId="0" xr:uid="{00000000-0006-0000-0100-00003B000000}">
      <text>
        <r>
          <rPr>
            <sz val="10"/>
            <rFont val="FreeSans"/>
            <family val="2"/>
          </rPr>
          <t>بدنه</t>
        </r>
      </text>
    </comment>
    <comment ref="C17" authorId="0" shapeId="0" xr:uid="{00000000-0006-0000-0100-000070000000}">
      <text>
        <r>
          <rPr>
            <sz val="10"/>
            <rFont val="FreeSans"/>
            <family val="2"/>
          </rPr>
          <t>پروانه</t>
        </r>
      </text>
    </comment>
    <comment ref="D17" authorId="0" shapeId="0" xr:uid="{00000000-0006-0000-0100-00009B000000}">
      <text>
        <r>
          <rPr>
            <sz val="10"/>
            <rFont val="FreeSans"/>
            <family val="2"/>
          </rPr>
          <t>رینگ سایشی / شفت</t>
        </r>
      </text>
    </comment>
    <comment ref="E17" authorId="0" shapeId="0" xr:uid="{00000000-0006-0000-0100-0000AF000000}">
      <text>
        <r>
          <rPr>
            <sz val="10"/>
            <rFont val="FreeSans"/>
            <family val="2"/>
          </rPr>
          <t xml:space="preserve">کاربرد معمول – راهنمایی کلی؛ انتخاب نهایی طبق </t>
        </r>
        <r>
          <rPr>
            <sz val="10"/>
            <rFont val="Arial"/>
            <family val="2"/>
          </rPr>
          <t xml:space="preserve">API 610 Annex G/H </t>
        </r>
        <r>
          <rPr>
            <sz val="10"/>
            <rFont val="FreeSans"/>
            <family val="2"/>
          </rPr>
          <t>و شرایط سیال</t>
        </r>
      </text>
    </comment>
    <comment ref="A18" authorId="0" shapeId="0" xr:uid="{00000000-0006-0000-0100-000006000000}">
      <text>
        <r>
          <rPr>
            <sz val="10"/>
            <rFont val="Arial"/>
            <family val="2"/>
          </rPr>
          <t xml:space="preserve">I-1: </t>
        </r>
        <r>
          <rPr>
            <sz val="10"/>
            <rFont val="FreeSans"/>
            <family val="2"/>
          </rPr>
          <t>بدنه چدن، پروانه چدن؛ رینگ چدن؛ شفت فولاد کربنی</t>
        </r>
        <r>
          <rPr>
            <sz val="10"/>
            <rFont val="Arial"/>
            <family val="2"/>
          </rPr>
          <t xml:space="preserve">.
</t>
        </r>
        <r>
          <rPr>
            <sz val="10"/>
            <rFont val="FreeSans"/>
            <family val="2"/>
          </rPr>
          <t>کاربرد معمول: آب و سرویس غیرخورنده، دمای پایین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B18" authorId="0" shapeId="0" xr:uid="{00000000-0006-0000-0100-00003C000000}">
      <text>
        <r>
          <rPr>
            <sz val="10"/>
            <rFont val="FreeSans"/>
            <family val="2"/>
          </rPr>
          <t>چدن</t>
        </r>
      </text>
    </comment>
    <comment ref="C18" authorId="0" shapeId="0" xr:uid="{00000000-0006-0000-0100-000071000000}">
      <text>
        <r>
          <rPr>
            <sz val="10"/>
            <rFont val="FreeSans"/>
            <family val="2"/>
          </rPr>
          <t>چدن</t>
        </r>
      </text>
    </comment>
    <comment ref="D18" authorId="0" shapeId="0" xr:uid="{00000000-0006-0000-0100-00009C000000}">
      <text>
        <r>
          <rPr>
            <sz val="10"/>
            <rFont val="FreeSans"/>
            <family val="2"/>
          </rPr>
          <t>رینگ چدن؛ شفت فولاد کربنی</t>
        </r>
      </text>
    </comment>
    <comment ref="E18" authorId="0" shapeId="0" xr:uid="{00000000-0006-0000-0100-0000B0000000}">
      <text>
        <r>
          <rPr>
            <sz val="10"/>
            <rFont val="FreeSans"/>
            <family val="2"/>
          </rPr>
          <t>آب و سرویس غیرخورنده، دمای پایین</t>
        </r>
      </text>
    </comment>
    <comment ref="A19" authorId="0" shapeId="0" xr:uid="{00000000-0006-0000-0100-00000700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B19" authorId="0" shapeId="0" xr:uid="{00000000-0006-0000-0100-00003D000000}">
      <text>
        <r>
          <rPr>
            <sz val="10"/>
            <rFont val="FreeSans"/>
            <family val="2"/>
          </rPr>
          <t>چدن</t>
        </r>
      </text>
    </comment>
    <comment ref="C19" authorId="0" shapeId="0" xr:uid="{00000000-0006-0000-0100-000072000000}">
      <text>
        <r>
          <rPr>
            <sz val="10"/>
            <rFont val="FreeSans"/>
            <family val="2"/>
          </rPr>
          <t>برنز</t>
        </r>
      </text>
    </comment>
    <comment ref="D19" authorId="0" shapeId="0" xr:uid="{00000000-0006-0000-0100-00009D000000}">
      <text>
        <r>
          <rPr>
            <sz val="10"/>
            <rFont val="FreeSans"/>
            <family val="2"/>
          </rPr>
          <t>رینگ برنز؛ شفت فولاد کربنی</t>
        </r>
      </text>
    </comment>
    <comment ref="E19" authorId="0" shapeId="0" xr:uid="{00000000-0006-0000-0100-0000B1000000}">
      <text>
        <r>
          <rPr>
            <sz val="10"/>
            <rFont val="FreeSans"/>
            <family val="2"/>
          </rPr>
          <t>آب، آب آتش‌نشانی و آب شیرین</t>
        </r>
      </text>
    </comment>
    <comment ref="A20" authorId="0" shapeId="0" xr:uid="{00000000-0006-0000-0100-000008000000}">
      <text>
        <r>
          <rPr>
            <sz val="10"/>
            <rFont val="Arial"/>
            <family val="2"/>
          </rPr>
          <t xml:space="preserve">S-1: </t>
        </r>
        <r>
          <rPr>
            <sz val="10"/>
            <rFont val="FreeSans"/>
            <family val="2"/>
          </rPr>
          <t>بدنه فولاد کربنی، پروانه چدن؛ رینگ چدن؛ شفت فولاد کربنی</t>
        </r>
        <r>
          <rPr>
            <sz val="10"/>
            <rFont val="Arial"/>
            <family val="2"/>
          </rPr>
          <t xml:space="preserve">.
</t>
        </r>
        <r>
          <rPr>
            <sz val="10"/>
            <rFont val="FreeSans"/>
            <family val="2"/>
          </rPr>
          <t>کاربرد معمول: هیدروکربن غیرخورنده</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B20" authorId="0" shapeId="0" xr:uid="{00000000-0006-0000-0100-00003E000000}">
      <text>
        <r>
          <rPr>
            <sz val="10"/>
            <rFont val="FreeSans"/>
            <family val="2"/>
          </rPr>
          <t>فولاد کربنی</t>
        </r>
      </text>
    </comment>
    <comment ref="C20" authorId="0" shapeId="0" xr:uid="{00000000-0006-0000-0100-000073000000}">
      <text>
        <r>
          <rPr>
            <sz val="10"/>
            <rFont val="FreeSans"/>
            <family val="2"/>
          </rPr>
          <t>چدن</t>
        </r>
      </text>
    </comment>
    <comment ref="D20" authorId="0" shapeId="0" xr:uid="{00000000-0006-0000-0100-00009E000000}">
      <text>
        <r>
          <rPr>
            <sz val="10"/>
            <rFont val="FreeSans"/>
            <family val="2"/>
          </rPr>
          <t>رینگ چدن؛ شفت فولاد کربنی</t>
        </r>
      </text>
    </comment>
    <comment ref="E20" authorId="0" shapeId="0" xr:uid="{00000000-0006-0000-0100-0000B2000000}">
      <text>
        <r>
          <rPr>
            <sz val="10"/>
            <rFont val="FreeSans"/>
            <family val="2"/>
          </rPr>
          <t>هیدروکربن غیرخورنده</t>
        </r>
      </text>
    </comment>
    <comment ref="A21" authorId="0" shapeId="0" xr:uid="{00000000-0006-0000-0100-000009000000}">
      <text>
        <r>
          <rPr>
            <sz val="10"/>
            <rFont val="Arial"/>
            <family val="2"/>
          </rPr>
          <t xml:space="preserve">S-3: </t>
        </r>
        <r>
          <rPr>
            <sz val="10"/>
            <rFont val="FreeSans"/>
            <family val="2"/>
          </rPr>
          <t xml:space="preserve">بدنه فولاد کربنی، پروانه نی‌رزیست (چدن آلیاژی نیکل‌دار)؛ رینگ نی‌رزیست؛ شفت </t>
        </r>
        <r>
          <rPr>
            <sz val="10"/>
            <rFont val="Arial"/>
            <family val="2"/>
          </rPr>
          <t xml:space="preserve">AISI 4140.
</t>
        </r>
        <r>
          <rPr>
            <sz val="10"/>
            <rFont val="FreeSans"/>
            <family val="2"/>
          </rPr>
          <t>کاربرد معمول: سرویس‌های با سایش یا خوردگی ملایم</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B21" authorId="0" shapeId="0" xr:uid="{00000000-0006-0000-0100-00003F000000}">
      <text>
        <r>
          <rPr>
            <sz val="10"/>
            <rFont val="FreeSans"/>
            <family val="2"/>
          </rPr>
          <t>فولاد کربنی</t>
        </r>
      </text>
    </comment>
    <comment ref="C21" authorId="0" shapeId="0" xr:uid="{00000000-0006-0000-0100-000074000000}">
      <text>
        <r>
          <rPr>
            <sz val="10"/>
            <rFont val="FreeSans"/>
            <family val="2"/>
          </rPr>
          <t>نی‌رزیست (چدن آلیاژی نیکل‌دار)</t>
        </r>
      </text>
    </comment>
    <comment ref="D21" authorId="0" shapeId="0" xr:uid="{00000000-0006-0000-0100-00009F000000}">
      <text>
        <r>
          <rPr>
            <sz val="10"/>
            <rFont val="FreeSans"/>
            <family val="2"/>
          </rPr>
          <t xml:space="preserve">رینگ نی‌رزیست؛ شفت </t>
        </r>
        <r>
          <rPr>
            <sz val="10"/>
            <rFont val="Arial"/>
            <family val="2"/>
          </rPr>
          <t>AISI 4140</t>
        </r>
      </text>
    </comment>
    <comment ref="E21" authorId="0" shapeId="0" xr:uid="{00000000-0006-0000-0100-0000B3000000}">
      <text>
        <r>
          <rPr>
            <sz val="10"/>
            <rFont val="FreeSans"/>
            <family val="2"/>
          </rPr>
          <t>سرویس‌های با سایش یا خوردگی ملایم</t>
        </r>
      </text>
    </comment>
    <comment ref="A22" authorId="0" shapeId="0" xr:uid="{00000000-0006-0000-0100-00000A000000}">
      <text>
        <r>
          <rPr>
            <sz val="10"/>
            <rFont val="Arial"/>
            <family val="2"/>
          </rPr>
          <t xml:space="preserve">S-4: </t>
        </r>
        <r>
          <rPr>
            <sz val="10"/>
            <rFont val="FreeSans"/>
            <family val="2"/>
          </rPr>
          <t>بدنه فولاد کربنی، پروانه فولاد کربنی؛ رینگ چدن؛ شفت فولاد کربنی</t>
        </r>
        <r>
          <rPr>
            <sz val="10"/>
            <rFont val="Arial"/>
            <family val="2"/>
          </rPr>
          <t xml:space="preserve">.
</t>
        </r>
        <r>
          <rPr>
            <sz val="10"/>
            <rFont val="FreeSans"/>
            <family val="2"/>
          </rPr>
          <t>کاربرد معمول: هیدروکربن عمومی</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B22" authorId="0" shapeId="0" xr:uid="{00000000-0006-0000-0100-000040000000}">
      <text>
        <r>
          <rPr>
            <sz val="10"/>
            <rFont val="FreeSans"/>
            <family val="2"/>
          </rPr>
          <t>فولاد کربنی</t>
        </r>
      </text>
    </comment>
    <comment ref="C22" authorId="0" shapeId="0" xr:uid="{00000000-0006-0000-0100-000075000000}">
      <text>
        <r>
          <rPr>
            <sz val="10"/>
            <rFont val="FreeSans"/>
            <family val="2"/>
          </rPr>
          <t>فولاد کربنی</t>
        </r>
      </text>
    </comment>
    <comment ref="D22" authorId="0" shapeId="0" xr:uid="{00000000-0006-0000-0100-0000A0000000}">
      <text>
        <r>
          <rPr>
            <sz val="10"/>
            <rFont val="FreeSans"/>
            <family val="2"/>
          </rPr>
          <t>رینگ چدن؛ شفت فولاد کربنی</t>
        </r>
      </text>
    </comment>
    <comment ref="E22" authorId="0" shapeId="0" xr:uid="{00000000-0006-0000-0100-0000B4000000}">
      <text>
        <r>
          <rPr>
            <sz val="10"/>
            <rFont val="FreeSans"/>
            <family val="2"/>
          </rPr>
          <t>هیدروکربن عمومی</t>
        </r>
      </text>
    </comment>
    <comment ref="A23" authorId="0" shapeId="0" xr:uid="{00000000-0006-0000-0100-00000B000000}">
      <text>
        <r>
          <rPr>
            <sz val="10"/>
            <rFont val="Arial"/>
            <family val="2"/>
          </rPr>
          <t xml:space="preserve">S-5: </t>
        </r>
        <r>
          <rPr>
            <sz val="10"/>
            <rFont val="FreeSans"/>
            <family val="2"/>
          </rPr>
          <t xml:space="preserve">بدنه فولاد کربنی، پروانه فولاد کربنی؛ رینگ کروم ۱۲٪ سخت‌شده؛ شفت </t>
        </r>
        <r>
          <rPr>
            <sz val="10"/>
            <rFont val="Arial"/>
            <family val="2"/>
          </rPr>
          <t xml:space="preserve">AISI 4140.
</t>
        </r>
        <r>
          <rPr>
            <sz val="10"/>
            <rFont val="FreeSans"/>
            <family val="2"/>
          </rPr>
          <t>کاربرد معمول: هیدروکربن عمومی و داغ</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B23" authorId="0" shapeId="0" xr:uid="{00000000-0006-0000-0100-000041000000}">
      <text>
        <r>
          <rPr>
            <sz val="10"/>
            <rFont val="FreeSans"/>
            <family val="2"/>
          </rPr>
          <t>فولاد کربنی</t>
        </r>
      </text>
    </comment>
    <comment ref="C23" authorId="0" shapeId="0" xr:uid="{00000000-0006-0000-0100-000076000000}">
      <text>
        <r>
          <rPr>
            <sz val="10"/>
            <rFont val="FreeSans"/>
            <family val="2"/>
          </rPr>
          <t>فولاد کربنی</t>
        </r>
      </text>
    </comment>
    <comment ref="D23" authorId="0" shapeId="0" xr:uid="{00000000-0006-0000-0100-0000A1000000}">
      <text>
        <r>
          <rPr>
            <sz val="10"/>
            <rFont val="FreeSans"/>
            <family val="2"/>
          </rPr>
          <t xml:space="preserve">رینگ کروم ۱۲٪ سخت‌شده؛ شفت </t>
        </r>
        <r>
          <rPr>
            <sz val="10"/>
            <rFont val="Arial"/>
            <family val="2"/>
          </rPr>
          <t>AISI 4140</t>
        </r>
      </text>
    </comment>
    <comment ref="E23" authorId="0" shapeId="0" xr:uid="{00000000-0006-0000-0100-0000B5000000}">
      <text>
        <r>
          <rPr>
            <sz val="10"/>
            <rFont val="FreeSans"/>
            <family val="2"/>
          </rPr>
          <t>هیدروکربن عمومی و داغ</t>
        </r>
      </text>
    </comment>
    <comment ref="A24" authorId="0" shapeId="0" xr:uid="{00000000-0006-0000-0100-00000C000000}">
      <text>
        <r>
          <rPr>
            <sz val="10"/>
            <rFont val="Arial"/>
            <family val="2"/>
          </rPr>
          <t xml:space="preserve">S-6: </t>
        </r>
        <r>
          <rPr>
            <sz val="10"/>
            <rFont val="FreeSans"/>
            <family val="2"/>
          </rPr>
          <t>بدنه فولاد کربنی، پروانه کروم ۱۲٪؛ رینگ کروم ۱۲٪ سخت‌شده؛ شفت کروم ۱۲٪</t>
        </r>
        <r>
          <rPr>
            <sz val="10"/>
            <rFont val="Arial"/>
            <family val="2"/>
          </rPr>
          <t xml:space="preserve">.
</t>
        </r>
        <r>
          <rPr>
            <sz val="10"/>
            <rFont val="FreeSans"/>
            <family val="2"/>
          </rPr>
          <t>کاربرد معمول: هیدروکربن داغ، آب ترش و خوردگی ملایم</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B24" authorId="0" shapeId="0" xr:uid="{00000000-0006-0000-0100-000042000000}">
      <text>
        <r>
          <rPr>
            <sz val="10"/>
            <rFont val="FreeSans"/>
            <family val="2"/>
          </rPr>
          <t>فولاد کربنی</t>
        </r>
      </text>
    </comment>
    <comment ref="C24" authorId="0" shapeId="0" xr:uid="{00000000-0006-0000-0100-000077000000}">
      <text>
        <r>
          <rPr>
            <sz val="10"/>
            <rFont val="FreeSans"/>
            <family val="2"/>
          </rPr>
          <t>کروم ۱۲٪</t>
        </r>
      </text>
    </comment>
    <comment ref="D24" authorId="0" shapeId="0" xr:uid="{00000000-0006-0000-0100-0000A2000000}">
      <text>
        <r>
          <rPr>
            <sz val="10"/>
            <rFont val="FreeSans"/>
            <family val="2"/>
          </rPr>
          <t>رینگ کروم ۱۲٪ سخت‌شده؛ شفت کروم ۱۲٪</t>
        </r>
      </text>
    </comment>
    <comment ref="E24" authorId="0" shapeId="0" xr:uid="{00000000-0006-0000-0100-0000B6000000}">
      <text>
        <r>
          <rPr>
            <sz val="10"/>
            <rFont val="FreeSans"/>
            <family val="2"/>
          </rPr>
          <t>هیدروکربن داغ، آب ترش و خوردگی ملایم</t>
        </r>
      </text>
    </comment>
    <comment ref="A25" authorId="0" shapeId="0" xr:uid="{00000000-0006-0000-0100-00000D000000}">
      <text>
        <r>
          <rPr>
            <sz val="10"/>
            <rFont val="Arial"/>
            <family val="2"/>
          </rPr>
          <t xml:space="preserve">S-8: </t>
        </r>
        <r>
          <rPr>
            <sz val="10"/>
            <rFont val="FreeSans"/>
            <family val="2"/>
          </rPr>
          <t xml:space="preserve">بدنه فولاد کربنی، پروانه فولاد ضدزنگ </t>
        </r>
        <r>
          <rPr>
            <sz val="10"/>
            <rFont val="Arial"/>
            <family val="2"/>
          </rPr>
          <t>316</t>
        </r>
        <r>
          <rPr>
            <sz val="10"/>
            <rFont val="FreeSans"/>
            <family val="2"/>
          </rPr>
          <t xml:space="preserve">؛ رینگ </t>
        </r>
        <r>
          <rPr>
            <sz val="10"/>
            <rFont val="Arial"/>
            <family val="2"/>
          </rPr>
          <t xml:space="preserve">316 با روکش سخت؛ شفت 316.
</t>
        </r>
        <r>
          <rPr>
            <sz val="10"/>
            <rFont val="FreeSans"/>
            <family val="2"/>
          </rPr>
          <t>کاربرد معمول: سرویس‌های خورنده‌تر</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B25" authorId="0" shapeId="0" xr:uid="{00000000-0006-0000-0100-000043000000}">
      <text>
        <r>
          <rPr>
            <sz val="10"/>
            <rFont val="FreeSans"/>
            <family val="2"/>
          </rPr>
          <t>فولاد کربنی</t>
        </r>
      </text>
    </comment>
    <comment ref="C25" authorId="0" shapeId="0" xr:uid="{00000000-0006-0000-0100-000078000000}">
      <text>
        <r>
          <rPr>
            <sz val="10"/>
            <rFont val="FreeSans"/>
            <family val="2"/>
          </rPr>
          <t xml:space="preserve">فولاد ضدزنگ </t>
        </r>
        <r>
          <rPr>
            <sz val="10"/>
            <rFont val="Arial"/>
            <family val="2"/>
          </rPr>
          <t>316</t>
        </r>
      </text>
    </comment>
    <comment ref="D25" authorId="0" shapeId="0" xr:uid="{00000000-0006-0000-0100-0000A3000000}">
      <text>
        <r>
          <rPr>
            <sz val="10"/>
            <rFont val="FreeSans"/>
            <family val="2"/>
          </rPr>
          <t xml:space="preserve">رینگ </t>
        </r>
        <r>
          <rPr>
            <sz val="10"/>
            <rFont val="Arial"/>
            <family val="2"/>
          </rPr>
          <t>316 با روکش سخت؛ شفت 316</t>
        </r>
      </text>
    </comment>
    <comment ref="E25" authorId="0" shapeId="0" xr:uid="{00000000-0006-0000-0100-0000B7000000}">
      <text>
        <r>
          <rPr>
            <sz val="10"/>
            <rFont val="FreeSans"/>
            <family val="2"/>
          </rPr>
          <t>سرویس‌های خورنده‌تر</t>
        </r>
      </text>
    </comment>
    <comment ref="A26" authorId="0" shapeId="0" xr:uid="{00000000-0006-0000-0100-00000E000000}">
      <text>
        <r>
          <rPr>
            <sz val="10"/>
            <rFont val="Arial"/>
            <family val="2"/>
          </rPr>
          <t xml:space="preserve">S-9: </t>
        </r>
        <r>
          <rPr>
            <sz val="10"/>
            <rFont val="FreeSans"/>
            <family val="2"/>
          </rPr>
          <t>بدنه فولاد کربنی، پروانه آلیاژ نیکل‌-مس؛ رینگ نیکل‌-مس؛ شفت نیکل‌-مس</t>
        </r>
        <r>
          <rPr>
            <sz val="10"/>
            <rFont val="Arial"/>
            <family val="2"/>
          </rPr>
          <t xml:space="preserve">.
</t>
        </r>
        <r>
          <rPr>
            <sz val="10"/>
            <rFont val="FreeSans"/>
            <family val="2"/>
          </rPr>
          <t>کاربرد معمول: سرویس‌های خاص خورنده</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B26" authorId="0" shapeId="0" xr:uid="{00000000-0006-0000-0100-000044000000}">
      <text>
        <r>
          <rPr>
            <sz val="10"/>
            <rFont val="FreeSans"/>
            <family val="2"/>
          </rPr>
          <t>فولاد کربنی</t>
        </r>
      </text>
    </comment>
    <comment ref="C26" authorId="0" shapeId="0" xr:uid="{00000000-0006-0000-0100-000079000000}">
      <text>
        <r>
          <rPr>
            <sz val="10"/>
            <rFont val="FreeSans"/>
            <family val="2"/>
          </rPr>
          <t>آلیاژ نیکل‌-مس</t>
        </r>
      </text>
    </comment>
    <comment ref="D26" authorId="0" shapeId="0" xr:uid="{00000000-0006-0000-0100-0000A4000000}">
      <text>
        <r>
          <rPr>
            <sz val="10"/>
            <rFont val="FreeSans"/>
            <family val="2"/>
          </rPr>
          <t>رینگ نیکل‌-مس؛ شفت نیکل‌-مس</t>
        </r>
      </text>
    </comment>
    <comment ref="E26" authorId="0" shapeId="0" xr:uid="{00000000-0006-0000-0100-0000B8000000}">
      <text>
        <r>
          <rPr>
            <sz val="10"/>
            <rFont val="FreeSans"/>
            <family val="2"/>
          </rPr>
          <t>سرویس‌های خاص خورنده</t>
        </r>
      </text>
    </comment>
    <comment ref="A27" authorId="0" shapeId="0" xr:uid="{00000000-0006-0000-0100-00000F000000}">
      <text>
        <r>
          <rPr>
            <sz val="10"/>
            <rFont val="Arial"/>
            <family val="2"/>
          </rPr>
          <t xml:space="preserve">C-6: </t>
        </r>
        <r>
          <rPr>
            <sz val="10"/>
            <rFont val="FreeSans"/>
            <family val="2"/>
          </rPr>
          <t>بدنه کروم ۱۲٪، پروانه کروم ۱۲٪؛ رینگ کروم ۱۲٪ سخت‌شده؛ شفت کروم ۱۲٪</t>
        </r>
        <r>
          <rPr>
            <sz val="10"/>
            <rFont val="Arial"/>
            <family val="2"/>
          </rPr>
          <t xml:space="preserve">.
</t>
        </r>
        <r>
          <rPr>
            <sz val="10"/>
            <rFont val="FreeSans"/>
            <family val="2"/>
          </rPr>
          <t>کاربرد معمول: آب داغ (تغذیه بویلر) و هیدروکربن داغ</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B27" authorId="0" shapeId="0" xr:uid="{00000000-0006-0000-0100-000045000000}">
      <text>
        <r>
          <rPr>
            <sz val="10"/>
            <rFont val="FreeSans"/>
            <family val="2"/>
          </rPr>
          <t>کروم ۱۲٪</t>
        </r>
      </text>
    </comment>
    <comment ref="C27" authorId="0" shapeId="0" xr:uid="{00000000-0006-0000-0100-00007A000000}">
      <text>
        <r>
          <rPr>
            <sz val="10"/>
            <rFont val="FreeSans"/>
            <family val="2"/>
          </rPr>
          <t>کروم ۱۲٪</t>
        </r>
      </text>
    </comment>
    <comment ref="D27" authorId="0" shapeId="0" xr:uid="{00000000-0006-0000-0100-0000A5000000}">
      <text>
        <r>
          <rPr>
            <sz val="10"/>
            <rFont val="FreeSans"/>
            <family val="2"/>
          </rPr>
          <t>رینگ کروم ۱۲٪ سخت‌شده؛ شفت کروم ۱۲٪</t>
        </r>
      </text>
    </comment>
    <comment ref="E27" authorId="0" shapeId="0" xr:uid="{00000000-0006-0000-0100-0000B9000000}">
      <text>
        <r>
          <rPr>
            <sz val="10"/>
            <rFont val="FreeSans"/>
            <family val="2"/>
          </rPr>
          <t>آب داغ (تغذیه بویلر) و هیدروکربن داغ</t>
        </r>
      </text>
    </comment>
    <comment ref="A28" authorId="0" shapeId="0" xr:uid="{00000000-0006-0000-0100-000010000000}">
      <text>
        <r>
          <rPr>
            <sz val="10"/>
            <rFont val="Arial"/>
            <family val="2"/>
          </rPr>
          <t xml:space="preserve">A-7: </t>
        </r>
        <r>
          <rPr>
            <sz val="10"/>
            <rFont val="FreeSans"/>
            <family val="2"/>
          </rPr>
          <t>بدنه فولاد ضدزنگ آستنیتی، پروانه فولاد ضدزنگ آستنیتی؛ رینگ با روکش سخت؛ شفت آستنیتی</t>
        </r>
        <r>
          <rPr>
            <sz val="10"/>
            <rFont val="Arial"/>
            <family val="2"/>
          </rPr>
          <t xml:space="preserve">.
</t>
        </r>
        <r>
          <rPr>
            <sz val="10"/>
            <rFont val="FreeSans"/>
            <family val="2"/>
          </rPr>
          <t>کاربرد معمول: خوردگی بالا و دمای پایین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B28" authorId="0" shapeId="0" xr:uid="{00000000-0006-0000-0100-000046000000}">
      <text>
        <r>
          <rPr>
            <sz val="10"/>
            <rFont val="FreeSans"/>
            <family val="2"/>
          </rPr>
          <t>فولاد ضدزنگ آستنیتی</t>
        </r>
      </text>
    </comment>
    <comment ref="C28" authorId="0" shapeId="0" xr:uid="{00000000-0006-0000-0100-00007B000000}">
      <text>
        <r>
          <rPr>
            <sz val="10"/>
            <rFont val="FreeSans"/>
            <family val="2"/>
          </rPr>
          <t>فولاد ضدزنگ آستنیتی</t>
        </r>
      </text>
    </comment>
    <comment ref="D28" authorId="0" shapeId="0" xr:uid="{00000000-0006-0000-0100-0000A6000000}">
      <text>
        <r>
          <rPr>
            <sz val="10"/>
            <rFont val="FreeSans"/>
            <family val="2"/>
          </rPr>
          <t>رینگ با روکش سخت؛ شفت آستنیتی</t>
        </r>
      </text>
    </comment>
    <comment ref="E28" authorId="0" shapeId="0" xr:uid="{00000000-0006-0000-0100-0000BA000000}">
      <text>
        <r>
          <rPr>
            <sz val="10"/>
            <rFont val="FreeSans"/>
            <family val="2"/>
          </rPr>
          <t>خوردگی بالا و دمای پایین</t>
        </r>
      </text>
    </comment>
    <comment ref="A29" authorId="0" shapeId="0" xr:uid="{00000000-0006-0000-0100-000011000000}">
      <text>
        <r>
          <rPr>
            <sz val="10"/>
            <rFont val="Arial"/>
            <family val="2"/>
          </rPr>
          <t xml:space="preserve">A-8: </t>
        </r>
        <r>
          <rPr>
            <sz val="10"/>
            <rFont val="FreeSans"/>
            <family val="2"/>
          </rPr>
          <t xml:space="preserve">بدنه فولاد ضدزنگ </t>
        </r>
        <r>
          <rPr>
            <sz val="10"/>
            <rFont val="Arial"/>
            <family val="2"/>
          </rPr>
          <t>316</t>
        </r>
        <r>
          <rPr>
            <sz val="10"/>
            <rFont val="FreeSans"/>
            <family val="2"/>
          </rPr>
          <t xml:space="preserve">، پروانه فولاد ضدزنگ </t>
        </r>
        <r>
          <rPr>
            <sz val="10"/>
            <rFont val="Arial"/>
            <family val="2"/>
          </rPr>
          <t>316</t>
        </r>
        <r>
          <rPr>
            <sz val="10"/>
            <rFont val="FreeSans"/>
            <family val="2"/>
          </rPr>
          <t xml:space="preserve">؛ رینگ با روکش سخت؛ شفت </t>
        </r>
        <r>
          <rPr>
            <sz val="10"/>
            <rFont val="Arial"/>
            <family val="2"/>
          </rPr>
          <t xml:space="preserve">316.
</t>
        </r>
        <r>
          <rPr>
            <sz val="10"/>
            <rFont val="FreeSans"/>
            <family val="2"/>
          </rPr>
          <t>کاربرد معمول: سرویس‌های خورنده</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B29" authorId="0" shapeId="0" xr:uid="{00000000-0006-0000-0100-000047000000}">
      <text>
        <r>
          <rPr>
            <sz val="10"/>
            <rFont val="FreeSans"/>
            <family val="2"/>
          </rPr>
          <t xml:space="preserve">فولاد ضدزنگ </t>
        </r>
        <r>
          <rPr>
            <sz val="10"/>
            <rFont val="Arial"/>
            <family val="2"/>
          </rPr>
          <t>316</t>
        </r>
      </text>
    </comment>
    <comment ref="C29" authorId="0" shapeId="0" xr:uid="{00000000-0006-0000-0100-00007C000000}">
      <text>
        <r>
          <rPr>
            <sz val="10"/>
            <rFont val="FreeSans"/>
            <family val="2"/>
          </rPr>
          <t xml:space="preserve">فولاد ضدزنگ </t>
        </r>
        <r>
          <rPr>
            <sz val="10"/>
            <rFont val="Arial"/>
            <family val="2"/>
          </rPr>
          <t>316</t>
        </r>
      </text>
    </comment>
    <comment ref="D29" authorId="0" shapeId="0" xr:uid="{00000000-0006-0000-0100-0000A7000000}">
      <text>
        <r>
          <rPr>
            <sz val="10"/>
            <rFont val="FreeSans"/>
            <family val="2"/>
          </rPr>
          <t xml:space="preserve">رینگ با روکش سخت؛ شفت </t>
        </r>
        <r>
          <rPr>
            <sz val="10"/>
            <rFont val="Arial"/>
            <family val="2"/>
          </rPr>
          <t>316</t>
        </r>
      </text>
    </comment>
    <comment ref="E29" authorId="0" shapeId="0" xr:uid="{00000000-0006-0000-0100-0000BB000000}">
      <text>
        <r>
          <rPr>
            <sz val="10"/>
            <rFont val="FreeSans"/>
            <family val="2"/>
          </rPr>
          <t>سرویس‌های خورنده</t>
        </r>
      </text>
    </comment>
    <comment ref="A30" authorId="0" shapeId="0" xr:uid="{00000000-0006-0000-0100-000012000000}">
      <text>
        <r>
          <rPr>
            <sz val="10"/>
            <rFont val="Arial"/>
            <family val="2"/>
          </rPr>
          <t xml:space="preserve">D-1: </t>
        </r>
        <r>
          <rPr>
            <sz val="10"/>
            <rFont val="FreeSans"/>
            <family val="2"/>
          </rPr>
          <t>بدنه داپلکس، پروانه داپلکس؛ رینگ با روکش سخت؛ شفت داپلکس</t>
        </r>
        <r>
          <rPr>
            <sz val="10"/>
            <rFont val="Arial"/>
            <family val="2"/>
          </rPr>
          <t xml:space="preserve">.
</t>
        </r>
        <r>
          <rPr>
            <sz val="10"/>
            <rFont val="FreeSans"/>
            <family val="2"/>
          </rPr>
          <t>کاربرد معمول: آب شور و آب تولیدی دارای کلراید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B30" authorId="0" shapeId="0" xr:uid="{00000000-0006-0000-0100-000048000000}">
      <text>
        <r>
          <rPr>
            <sz val="10"/>
            <rFont val="FreeSans"/>
            <family val="2"/>
          </rPr>
          <t>داپلکس</t>
        </r>
      </text>
    </comment>
    <comment ref="C30" authorId="0" shapeId="0" xr:uid="{00000000-0006-0000-0100-00007D000000}">
      <text>
        <r>
          <rPr>
            <sz val="10"/>
            <rFont val="FreeSans"/>
            <family val="2"/>
          </rPr>
          <t>داپلکس</t>
        </r>
      </text>
    </comment>
    <comment ref="D30" authorId="0" shapeId="0" xr:uid="{00000000-0006-0000-0100-0000A8000000}">
      <text>
        <r>
          <rPr>
            <sz val="10"/>
            <rFont val="FreeSans"/>
            <family val="2"/>
          </rPr>
          <t>رینگ با روکش سخت؛ شفت داپلکس</t>
        </r>
      </text>
    </comment>
    <comment ref="E30" authorId="0" shapeId="0" xr:uid="{00000000-0006-0000-0100-0000BC000000}">
      <text>
        <r>
          <rPr>
            <sz val="10"/>
            <rFont val="FreeSans"/>
            <family val="2"/>
          </rPr>
          <t>آب شور و آب تولیدی دارای کلراید</t>
        </r>
      </text>
    </comment>
    <comment ref="A31" authorId="0" shapeId="0" xr:uid="{00000000-0006-0000-0100-00001300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B31" authorId="0" shapeId="0" xr:uid="{00000000-0006-0000-0100-000049000000}">
      <text>
        <r>
          <rPr>
            <sz val="10"/>
            <rFont val="FreeSans"/>
            <family val="2"/>
          </rPr>
          <t>سوپرداپلکس</t>
        </r>
      </text>
    </comment>
    <comment ref="C31" authorId="0" shapeId="0" xr:uid="{00000000-0006-0000-0100-00007E000000}">
      <text>
        <r>
          <rPr>
            <sz val="10"/>
            <rFont val="FreeSans"/>
            <family val="2"/>
          </rPr>
          <t>سوپرداپلکس</t>
        </r>
      </text>
    </comment>
    <comment ref="D31" authorId="0" shapeId="0" xr:uid="{00000000-0006-0000-0100-0000A9000000}">
      <text>
        <r>
          <rPr>
            <sz val="10"/>
            <rFont val="FreeSans"/>
            <family val="2"/>
          </rPr>
          <t>رینگ با روکش سخت؛ شفت سوپرداپلکس</t>
        </r>
      </text>
    </comment>
    <comment ref="E31" authorId="0" shapeId="0" xr:uid="{00000000-0006-0000-0100-0000BD000000}">
      <text>
        <r>
          <rPr>
            <sz val="10"/>
            <rFont val="FreeSans"/>
            <family val="2"/>
          </rPr>
          <t>آب شور و تولیدی با کلراید بالا و خوردگی شدید</t>
        </r>
      </text>
    </comment>
    <comment ref="A32" authorId="0" shapeId="0" xr:uid="{00000000-0006-0000-0100-000014000000}">
      <text>
        <r>
          <rPr>
            <sz val="10"/>
            <rFont val="Arial"/>
            <family val="2"/>
          </rPr>
          <t xml:space="preserve">SS316L (non-API): </t>
        </r>
        <r>
          <rPr>
            <sz val="10"/>
            <rFont val="FreeSans"/>
            <family val="2"/>
          </rPr>
          <t xml:space="preserve">بدنه فولاد ضدزنگ </t>
        </r>
        <r>
          <rPr>
            <sz val="10"/>
            <rFont val="Arial"/>
            <family val="2"/>
          </rPr>
          <t>316L</t>
        </r>
        <r>
          <rPr>
            <sz val="10"/>
            <rFont val="FreeSans"/>
            <family val="2"/>
          </rPr>
          <t xml:space="preserve">، پروانه فولاد ضدزنگ </t>
        </r>
        <r>
          <rPr>
            <sz val="10"/>
            <rFont val="Arial"/>
            <family val="2"/>
          </rPr>
          <t>316L</t>
        </r>
        <r>
          <rPr>
            <sz val="10"/>
            <rFont val="FreeSans"/>
            <family val="2"/>
          </rPr>
          <t>؛ —</t>
        </r>
        <r>
          <rPr>
            <sz val="10"/>
            <rFont val="Arial"/>
            <family val="2"/>
          </rPr>
          <t xml:space="preserve">.
</t>
        </r>
        <r>
          <rPr>
            <sz val="10"/>
            <rFont val="FreeSans"/>
            <family val="2"/>
          </rPr>
          <t xml:space="preserve">کاربرد معمول: ساخت غیر </t>
        </r>
        <r>
          <rPr>
            <sz val="10"/>
            <rFont val="Arial"/>
            <family val="2"/>
          </rPr>
          <t>API (</t>
        </r>
        <r>
          <rPr>
            <sz val="10"/>
            <rFont val="FreeSans"/>
            <family val="2"/>
          </rPr>
          <t>مثلاً پمپ بشکه‌ای پرتابل</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B32" authorId="0" shapeId="0" xr:uid="{00000000-0006-0000-0100-00004A000000}">
      <text>
        <r>
          <rPr>
            <sz val="10"/>
            <rFont val="FreeSans"/>
            <family val="2"/>
          </rPr>
          <t xml:space="preserve">فولاد ضدزنگ </t>
        </r>
        <r>
          <rPr>
            <sz val="10"/>
            <rFont val="Arial"/>
            <family val="2"/>
          </rPr>
          <t>316L</t>
        </r>
      </text>
    </comment>
    <comment ref="C32" authorId="0" shapeId="0" xr:uid="{00000000-0006-0000-0100-00007F000000}">
      <text>
        <r>
          <rPr>
            <sz val="10"/>
            <rFont val="FreeSans"/>
            <family val="2"/>
          </rPr>
          <t xml:space="preserve">فولاد ضدزنگ </t>
        </r>
        <r>
          <rPr>
            <sz val="10"/>
            <rFont val="Arial"/>
            <family val="2"/>
          </rPr>
          <t>316L</t>
        </r>
      </text>
    </comment>
    <comment ref="D32" authorId="0" shapeId="0" xr:uid="{00000000-0006-0000-0100-0000AA000000}">
      <text>
        <r>
          <rPr>
            <sz val="10"/>
            <rFont val="Arial"/>
            <family val="2"/>
          </rPr>
          <t>—</t>
        </r>
      </text>
    </comment>
    <comment ref="E32" authorId="0" shapeId="0" xr:uid="{00000000-0006-0000-0100-0000BE000000}">
      <text>
        <r>
          <rPr>
            <sz val="10"/>
            <rFont val="FreeSans"/>
            <family val="2"/>
          </rPr>
          <t xml:space="preserve">ساخت غیر </t>
        </r>
        <r>
          <rPr>
            <sz val="10"/>
            <rFont val="Arial"/>
            <family val="2"/>
          </rPr>
          <t>API (</t>
        </r>
        <r>
          <rPr>
            <sz val="10"/>
            <rFont val="FreeSans"/>
            <family val="2"/>
          </rPr>
          <t>مثلاً پمپ بشکه‌ای پرتابل</t>
        </r>
        <r>
          <rPr>
            <sz val="10"/>
            <rFont val="Arial"/>
            <family val="2"/>
          </rPr>
          <t>)</t>
        </r>
      </text>
    </comment>
    <comment ref="A33" authorId="0" shapeId="0" xr:uid="{00000000-0006-0000-0100-000015000000}">
      <text>
        <r>
          <rPr>
            <sz val="10"/>
            <rFont val="FreeSans"/>
            <family val="2"/>
          </rPr>
          <t>کلاس متریال در منبع ذکر نشده است</t>
        </r>
        <r>
          <rPr>
            <sz val="10"/>
            <rFont val="Arial"/>
            <family val="2"/>
          </rPr>
          <t>.</t>
        </r>
      </text>
    </comment>
    <comment ref="B33" authorId="0" shapeId="0" xr:uid="{00000000-0006-0000-0100-00004B000000}">
      <text>
        <r>
          <rPr>
            <sz val="10"/>
            <rFont val="Arial"/>
            <family val="2"/>
          </rPr>
          <t>—</t>
        </r>
      </text>
    </comment>
    <comment ref="C33" authorId="0" shapeId="0" xr:uid="{00000000-0006-0000-0100-000080000000}">
      <text>
        <r>
          <rPr>
            <sz val="10"/>
            <rFont val="Arial"/>
            <family val="2"/>
          </rPr>
          <t>—</t>
        </r>
      </text>
    </comment>
    <comment ref="D33" authorId="0" shapeId="0" xr:uid="{00000000-0006-0000-0100-0000AB000000}">
      <text>
        <r>
          <rPr>
            <sz val="10"/>
            <rFont val="Arial"/>
            <family val="2"/>
          </rPr>
          <t>—</t>
        </r>
      </text>
    </comment>
    <comment ref="E33" authorId="0" shapeId="0" xr:uid="{00000000-0006-0000-0100-0000BF000000}">
      <text>
        <r>
          <rPr>
            <sz val="10"/>
            <rFont val="FreeSans"/>
            <family val="2"/>
          </rPr>
          <t>در منبع ذکر نشده</t>
        </r>
      </text>
    </comment>
    <comment ref="A36" authorId="0" shapeId="0" xr:uid="{00000000-0006-0000-0100-000016000000}">
      <text>
        <r>
          <rPr>
            <sz val="10"/>
            <rFont val="FreeSans"/>
            <family val="2"/>
          </rPr>
          <t>۳</t>
        </r>
        <r>
          <rPr>
            <sz val="10"/>
            <rFont val="Arial"/>
            <family val="2"/>
          </rPr>
          <t xml:space="preserve">) </t>
        </r>
        <r>
          <rPr>
            <sz val="10"/>
            <rFont val="FreeSans"/>
            <family val="2"/>
          </rPr>
          <t xml:space="preserve">انواع پمپ طبق </t>
        </r>
        <r>
          <rPr>
            <sz val="10"/>
            <rFont val="Arial"/>
            <family val="2"/>
          </rPr>
          <t>API 610</t>
        </r>
      </text>
    </comment>
    <comment ref="A37" authorId="0" shapeId="0" xr:uid="{00000000-0006-0000-0100-000017000000}">
      <text>
        <r>
          <rPr>
            <sz val="10"/>
            <rFont val="FreeSans"/>
            <family val="2"/>
          </rPr>
          <t>کد نوع پمپ</t>
        </r>
        <r>
          <rPr>
            <sz val="10"/>
            <rFont val="Arial"/>
            <family val="2"/>
          </rPr>
          <t xml:space="preserve">: OH = </t>
        </r>
        <r>
          <rPr>
            <sz val="10"/>
            <rFont val="FreeSans"/>
            <family val="2"/>
          </rPr>
          <t xml:space="preserve">پروانه آویزان </t>
        </r>
        <r>
          <rPr>
            <sz val="10"/>
            <rFont val="Arial"/>
            <family val="2"/>
          </rPr>
          <t>(Overhung)</t>
        </r>
        <r>
          <rPr>
            <sz val="10"/>
            <rFont val="FreeSans"/>
            <family val="2"/>
          </rPr>
          <t xml:space="preserve">، </t>
        </r>
        <r>
          <rPr>
            <sz val="10"/>
            <rFont val="Arial"/>
            <family val="2"/>
          </rPr>
          <t xml:space="preserve">BB = </t>
        </r>
        <r>
          <rPr>
            <sz val="10"/>
            <rFont val="FreeSans"/>
            <family val="2"/>
          </rPr>
          <t xml:space="preserve">بین دو یاتاقان </t>
        </r>
        <r>
          <rPr>
            <sz val="10"/>
            <rFont val="Arial"/>
            <family val="2"/>
          </rPr>
          <t>(Between Bearings)</t>
        </r>
        <r>
          <rPr>
            <sz val="10"/>
            <rFont val="FreeSans"/>
            <family val="2"/>
          </rPr>
          <t xml:space="preserve">، </t>
        </r>
        <r>
          <rPr>
            <sz val="10"/>
            <rFont val="Arial"/>
            <family val="2"/>
          </rPr>
          <t xml:space="preserve">VS = </t>
        </r>
        <r>
          <rPr>
            <sz val="10"/>
            <rFont val="FreeSans"/>
            <family val="2"/>
          </rPr>
          <t xml:space="preserve">عمودی آویزان </t>
        </r>
        <r>
          <rPr>
            <sz val="10"/>
            <rFont val="Arial"/>
            <family val="2"/>
          </rPr>
          <t>(Vertically Suspended)</t>
        </r>
      </text>
    </comment>
    <comment ref="B37" authorId="0" shapeId="0" xr:uid="{00000000-0006-0000-0100-00004C000000}">
      <text>
        <r>
          <rPr>
            <sz val="10"/>
            <rFont val="FreeSans"/>
            <family val="2"/>
          </rPr>
          <t>نام نوع</t>
        </r>
      </text>
    </comment>
    <comment ref="C37" authorId="0" shapeId="0" xr:uid="{00000000-0006-0000-0100-000081000000}">
      <text>
        <r>
          <rPr>
            <sz val="10"/>
            <rFont val="FreeSans"/>
            <family val="2"/>
          </rPr>
          <t>شرح و کاربرد معمول</t>
        </r>
      </text>
    </comment>
    <comment ref="A38" authorId="0" shapeId="0" xr:uid="{00000000-0006-0000-0100-000018000000}">
      <text>
        <r>
          <rPr>
            <sz val="10"/>
            <rFont val="Arial"/>
            <family val="2"/>
          </rPr>
          <t xml:space="preserve">OH1 – Overhung, foot-mounted:
</t>
        </r>
        <r>
          <rPr>
            <sz val="10"/>
            <rFont val="FreeSans"/>
            <family val="2"/>
          </rPr>
          <t xml:space="preserve">یک‌مرحله‌ای، پروانه آویزان </t>
        </r>
        <r>
          <rPr>
            <sz val="10"/>
            <rFont val="Arial"/>
            <family val="2"/>
          </rPr>
          <t>(Overhung)</t>
        </r>
        <r>
          <rPr>
            <sz val="10"/>
            <rFont val="FreeSans"/>
            <family val="2"/>
          </rPr>
          <t>، پایه‌دار زیر بدنه؛ برای دما و فشار متوسط</t>
        </r>
      </text>
    </comment>
    <comment ref="B38" authorId="0" shapeId="0" xr:uid="{00000000-0006-0000-0100-00004D000000}">
      <text>
        <r>
          <rPr>
            <sz val="10"/>
            <rFont val="FreeSans"/>
            <family val="2"/>
          </rPr>
          <t xml:space="preserve">یک‌مرحله‌ای، پروانه آویزان </t>
        </r>
        <r>
          <rPr>
            <sz val="10"/>
            <rFont val="Arial"/>
            <family val="2"/>
          </rPr>
          <t>(Overhung)</t>
        </r>
        <r>
          <rPr>
            <sz val="10"/>
            <rFont val="FreeSans"/>
            <family val="2"/>
          </rPr>
          <t>، پایه‌دار زیر بدنه؛ برای دما و فشار متوسط</t>
        </r>
      </text>
    </comment>
    <comment ref="C38" authorId="0" shapeId="0" xr:uid="{00000000-0006-0000-0100-000082000000}">
      <text>
        <r>
          <rPr>
            <sz val="10"/>
            <rFont val="FreeSans"/>
            <family val="2"/>
          </rPr>
          <t xml:space="preserve">یک‌مرحله‌ای، پروانه آویزان </t>
        </r>
        <r>
          <rPr>
            <sz val="10"/>
            <rFont val="Arial"/>
            <family val="2"/>
          </rPr>
          <t>(Overhung)</t>
        </r>
        <r>
          <rPr>
            <sz val="10"/>
            <rFont val="FreeSans"/>
            <family val="2"/>
          </rPr>
          <t>، پایه‌دار زیر بدنه؛ برای دما و فشار متوسط</t>
        </r>
      </text>
    </comment>
    <comment ref="A39" authorId="0" shapeId="0" xr:uid="{00000000-0006-0000-0100-000019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B39" authorId="0" shapeId="0" xr:uid="{00000000-0006-0000-0100-00004E000000}">
      <text>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C39" authorId="0" shapeId="0" xr:uid="{00000000-0006-0000-0100-000083000000}">
      <text>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A40" authorId="0" shapeId="0" xr:uid="{00000000-0006-0000-0100-00001A000000}">
      <text>
        <r>
          <rPr>
            <sz val="10"/>
            <rFont val="Arial"/>
            <family val="2"/>
          </rPr>
          <t xml:space="preserve">OH3 – Vertical in-line, separate bearing bracket:
</t>
        </r>
        <r>
          <rPr>
            <sz val="10"/>
            <rFont val="FreeSans"/>
            <family val="2"/>
          </rPr>
          <t xml:space="preserve">عمودی خطی </t>
        </r>
        <r>
          <rPr>
            <sz val="10"/>
            <rFont val="Arial"/>
            <family val="2"/>
          </rPr>
          <t xml:space="preserve">(In-line) </t>
        </r>
        <r>
          <rPr>
            <sz val="10"/>
            <rFont val="FreeSans"/>
            <family val="2"/>
          </rPr>
          <t>با یاتاقان مستقل از موتور</t>
        </r>
      </text>
    </comment>
    <comment ref="B40" authorId="0" shapeId="0" xr:uid="{00000000-0006-0000-0100-00004F000000}">
      <text>
        <r>
          <rPr>
            <sz val="10"/>
            <rFont val="FreeSans"/>
            <family val="2"/>
          </rPr>
          <t xml:space="preserve">عمودی خطی </t>
        </r>
        <r>
          <rPr>
            <sz val="10"/>
            <rFont val="Arial"/>
            <family val="2"/>
          </rPr>
          <t xml:space="preserve">(In-line) </t>
        </r>
        <r>
          <rPr>
            <sz val="10"/>
            <rFont val="FreeSans"/>
            <family val="2"/>
          </rPr>
          <t>با یاتاقان مستقل از موتور</t>
        </r>
      </text>
    </comment>
    <comment ref="C40" authorId="0" shapeId="0" xr:uid="{00000000-0006-0000-0100-000084000000}">
      <text>
        <r>
          <rPr>
            <sz val="10"/>
            <rFont val="FreeSans"/>
            <family val="2"/>
          </rPr>
          <t xml:space="preserve">عمودی خطی </t>
        </r>
        <r>
          <rPr>
            <sz val="10"/>
            <rFont val="Arial"/>
            <family val="2"/>
          </rPr>
          <t xml:space="preserve">(In-line) </t>
        </r>
        <r>
          <rPr>
            <sz val="10"/>
            <rFont val="FreeSans"/>
            <family val="2"/>
          </rPr>
          <t>با یاتاقان مستقل از موتور</t>
        </r>
      </text>
    </comment>
    <comment ref="A41" authorId="0" shapeId="0" xr:uid="{00000000-0006-0000-0100-00001B000000}">
      <text>
        <r>
          <rPr>
            <sz val="10"/>
            <rFont val="Arial"/>
            <family val="2"/>
          </rPr>
          <t xml:space="preserve">OH4 – Vertical in-line, rigidly coupled:
</t>
        </r>
        <r>
          <rPr>
            <sz val="10"/>
            <rFont val="FreeSans"/>
            <family val="2"/>
          </rPr>
          <t>عمودی خطی با کوپلینگ صلب</t>
        </r>
      </text>
    </comment>
    <comment ref="B41" authorId="0" shapeId="0" xr:uid="{00000000-0006-0000-0100-000050000000}">
      <text>
        <r>
          <rPr>
            <sz val="10"/>
            <rFont val="FreeSans"/>
            <family val="2"/>
          </rPr>
          <t>عمودی خطی با کوپلینگ صلب</t>
        </r>
      </text>
    </comment>
    <comment ref="C41" authorId="0" shapeId="0" xr:uid="{00000000-0006-0000-0100-000085000000}">
      <text>
        <r>
          <rPr>
            <sz val="10"/>
            <rFont val="FreeSans"/>
            <family val="2"/>
          </rPr>
          <t>عمودی خطی با کوپلینگ صلب</t>
        </r>
      </text>
    </comment>
    <comment ref="A42" authorId="0" shapeId="0" xr:uid="{00000000-0006-0000-0100-00001C000000}">
      <text>
        <r>
          <rPr>
            <sz val="10"/>
            <rFont val="Arial"/>
            <family val="2"/>
          </rPr>
          <t xml:space="preserve">OH5 – Vertical in-line, close-coupled:
</t>
        </r>
        <r>
          <rPr>
            <sz val="10"/>
            <rFont val="FreeSans"/>
            <family val="2"/>
          </rPr>
          <t>عمودی خطی، پروانه مستقیم روی شفت موتور</t>
        </r>
      </text>
    </comment>
    <comment ref="B42" authorId="0" shapeId="0" xr:uid="{00000000-0006-0000-0100-000051000000}">
      <text>
        <r>
          <rPr>
            <sz val="10"/>
            <rFont val="FreeSans"/>
            <family val="2"/>
          </rPr>
          <t>عمودی خطی، پروانه مستقیم روی شفت موتور</t>
        </r>
      </text>
    </comment>
    <comment ref="C42" authorId="0" shapeId="0" xr:uid="{00000000-0006-0000-0100-000086000000}">
      <text>
        <r>
          <rPr>
            <sz val="10"/>
            <rFont val="FreeSans"/>
            <family val="2"/>
          </rPr>
          <t>عمودی خطی، پروانه مستقیم روی شفت موتور</t>
        </r>
      </text>
    </comment>
    <comment ref="A43" authorId="0" shapeId="0" xr:uid="{00000000-0006-0000-0100-00001D000000}">
      <text>
        <r>
          <rPr>
            <sz val="10"/>
            <rFont val="Arial"/>
            <family val="2"/>
          </rPr>
          <t xml:space="preserve">OH6 – High-speed integral gear:
</t>
        </r>
        <r>
          <rPr>
            <sz val="10"/>
            <rFont val="FreeSans"/>
            <family val="2"/>
          </rPr>
          <t>پروانه پرسرعت با گیربکس یکپارچه؛ دبی کم و هد بالا</t>
        </r>
      </text>
    </comment>
    <comment ref="B43" authorId="0" shapeId="0" xr:uid="{00000000-0006-0000-0100-000052000000}">
      <text>
        <r>
          <rPr>
            <sz val="10"/>
            <rFont val="FreeSans"/>
            <family val="2"/>
          </rPr>
          <t>پروانه پرسرعت با گیربکس یکپارچه؛ دبی کم و هد بالا</t>
        </r>
      </text>
    </comment>
    <comment ref="C43" authorId="0" shapeId="0" xr:uid="{00000000-0006-0000-0100-000087000000}">
      <text>
        <r>
          <rPr>
            <sz val="10"/>
            <rFont val="FreeSans"/>
            <family val="2"/>
          </rPr>
          <t>پروانه پرسرعت با گیربکس یکپارچه؛ دبی کم و هد بالا</t>
        </r>
      </text>
    </comment>
    <comment ref="A44" authorId="0" shapeId="0" xr:uid="{00000000-0006-0000-0100-00001E000000}">
      <text>
        <r>
          <rPr>
            <sz val="10"/>
            <rFont val="Arial"/>
            <family val="2"/>
          </rPr>
          <t xml:space="preserve">BB1 – Between bearings, 1–2 stage, axially split:
</t>
        </r>
        <r>
          <rPr>
            <sz val="10"/>
            <rFont val="FreeSans"/>
            <family val="2"/>
          </rPr>
          <t>بین دو یاتاقان، یک یا دو مرحله، بدنه دوتکه افقی</t>
        </r>
      </text>
    </comment>
    <comment ref="B44" authorId="0" shapeId="0" xr:uid="{00000000-0006-0000-0100-000053000000}">
      <text>
        <r>
          <rPr>
            <sz val="10"/>
            <rFont val="FreeSans"/>
            <family val="2"/>
          </rPr>
          <t>بین دو یاتاقان، یک یا دو مرحله، بدنه دوتکه افقی</t>
        </r>
      </text>
    </comment>
    <comment ref="C44" authorId="0" shapeId="0" xr:uid="{00000000-0006-0000-0100-000088000000}">
      <text>
        <r>
          <rPr>
            <sz val="10"/>
            <rFont val="FreeSans"/>
            <family val="2"/>
          </rPr>
          <t>بین دو یاتاقان، یک یا دو مرحله، بدنه دوتکه افقی</t>
        </r>
      </text>
    </comment>
    <comment ref="A45" authorId="0" shapeId="0" xr:uid="{00000000-0006-0000-0100-00001F000000}">
      <text>
        <r>
          <rPr>
            <sz val="10"/>
            <rFont val="Arial"/>
            <family val="2"/>
          </rPr>
          <t xml:space="preserve">BB2 – Between bearings, 1–2 stage, radially split:
</t>
        </r>
        <r>
          <rPr>
            <sz val="10"/>
            <rFont val="FreeSans"/>
            <family val="2"/>
          </rPr>
          <t>بین دو یاتاقان، یک یا دو مرحله، بدنه شعاعی؛ دما و فشار بالا</t>
        </r>
      </text>
    </comment>
    <comment ref="B45" authorId="0" shapeId="0" xr:uid="{00000000-0006-0000-0100-000054000000}">
      <text>
        <r>
          <rPr>
            <sz val="10"/>
            <rFont val="FreeSans"/>
            <family val="2"/>
          </rPr>
          <t>بین دو یاتاقان، یک یا دو مرحله، بدنه شعاعی؛ دما و فشار بالا</t>
        </r>
      </text>
    </comment>
    <comment ref="C45" authorId="0" shapeId="0" xr:uid="{00000000-0006-0000-0100-000089000000}">
      <text>
        <r>
          <rPr>
            <sz val="10"/>
            <rFont val="FreeSans"/>
            <family val="2"/>
          </rPr>
          <t>بین دو یاتاقان، یک یا دو مرحله، بدنه شعاعی؛ دما و فشار بالا</t>
        </r>
      </text>
    </comment>
    <comment ref="A46" authorId="0" shapeId="0" xr:uid="{00000000-0006-0000-0100-000020000000}">
      <text>
        <r>
          <rPr>
            <sz val="10"/>
            <rFont val="Arial"/>
            <family val="2"/>
          </rPr>
          <t xml:space="preserve">BB3 – Between bearings, multistage, axially split:
</t>
        </r>
        <r>
          <rPr>
            <sz val="10"/>
            <rFont val="FreeSans"/>
            <family val="2"/>
          </rPr>
          <t>چندمرحله‌ای، بدنه دوتکه افقی؛ تزریق آب و انتقال پرفشار</t>
        </r>
      </text>
    </comment>
    <comment ref="B46" authorId="0" shapeId="0" xr:uid="{00000000-0006-0000-0100-000055000000}">
      <text>
        <r>
          <rPr>
            <sz val="10"/>
            <rFont val="FreeSans"/>
            <family val="2"/>
          </rPr>
          <t>چندمرحله‌ای، بدنه دوتکه افقی؛ تزریق آب و انتقال پرفشار</t>
        </r>
      </text>
    </comment>
    <comment ref="C46" authorId="0" shapeId="0" xr:uid="{00000000-0006-0000-0100-00008A000000}">
      <text>
        <r>
          <rPr>
            <sz val="10"/>
            <rFont val="FreeSans"/>
            <family val="2"/>
          </rPr>
          <t>چندمرحله‌ای، بدنه دوتکه افقی؛ تزریق آب و انتقال پرفشار</t>
        </r>
      </text>
    </comment>
    <comment ref="A47" authorId="0" shapeId="0" xr:uid="{00000000-0006-0000-0100-000021000000}">
      <text>
        <r>
          <rPr>
            <sz val="10"/>
            <rFont val="Arial"/>
            <family val="2"/>
          </rPr>
          <t xml:space="preserve">BB4 – Between bearings, multistage, single casing radially split:
</t>
        </r>
        <r>
          <rPr>
            <sz val="10"/>
            <rFont val="FreeSans"/>
            <family val="2"/>
          </rPr>
          <t xml:space="preserve">چندمرحله‌ای حلقه‌ای </t>
        </r>
        <r>
          <rPr>
            <sz val="10"/>
            <rFont val="Arial"/>
            <family val="2"/>
          </rPr>
          <t xml:space="preserve">(Ring-section) </t>
        </r>
        <r>
          <rPr>
            <sz val="10"/>
            <rFont val="FreeSans"/>
            <family val="2"/>
          </rPr>
          <t>تک‌بدنه</t>
        </r>
      </text>
    </comment>
    <comment ref="B47" authorId="0" shapeId="0" xr:uid="{00000000-0006-0000-0100-000056000000}">
      <text>
        <r>
          <rPr>
            <sz val="10"/>
            <rFont val="FreeSans"/>
            <family val="2"/>
          </rPr>
          <t xml:space="preserve">چندمرحله‌ای حلقه‌ای </t>
        </r>
        <r>
          <rPr>
            <sz val="10"/>
            <rFont val="Arial"/>
            <family val="2"/>
          </rPr>
          <t xml:space="preserve">(Ring-section) </t>
        </r>
        <r>
          <rPr>
            <sz val="10"/>
            <rFont val="FreeSans"/>
            <family val="2"/>
          </rPr>
          <t>تک‌بدنه</t>
        </r>
      </text>
    </comment>
    <comment ref="C47" authorId="0" shapeId="0" xr:uid="{00000000-0006-0000-0100-00008B000000}">
      <text>
        <r>
          <rPr>
            <sz val="10"/>
            <rFont val="FreeSans"/>
            <family val="2"/>
          </rPr>
          <t xml:space="preserve">چندمرحله‌ای حلقه‌ای </t>
        </r>
        <r>
          <rPr>
            <sz val="10"/>
            <rFont val="Arial"/>
            <family val="2"/>
          </rPr>
          <t xml:space="preserve">(Ring-section) </t>
        </r>
        <r>
          <rPr>
            <sz val="10"/>
            <rFont val="FreeSans"/>
            <family val="2"/>
          </rPr>
          <t>تک‌بدنه</t>
        </r>
      </text>
    </comment>
    <comment ref="A48" authorId="0" shapeId="0" xr:uid="{00000000-0006-0000-0100-000022000000}">
      <text>
        <r>
          <rPr>
            <sz val="10"/>
            <rFont val="Arial"/>
            <family val="2"/>
          </rPr>
          <t xml:space="preserve">BB5 – Between bearings, multistage, double casing (barrel):
</t>
        </r>
        <r>
          <rPr>
            <sz val="10"/>
            <rFont val="FreeSans"/>
            <family val="2"/>
          </rPr>
          <t xml:space="preserve">چندمرحله‌ای دوبدنه </t>
        </r>
        <r>
          <rPr>
            <sz val="10"/>
            <rFont val="Arial"/>
            <family val="2"/>
          </rPr>
          <t>(Barrel)</t>
        </r>
        <r>
          <rPr>
            <sz val="10"/>
            <rFont val="FreeSans"/>
            <family val="2"/>
          </rPr>
          <t>؛ سخت‌ترین سرویس‌های پرفشار</t>
        </r>
      </text>
    </comment>
    <comment ref="B48" authorId="0" shapeId="0" xr:uid="{00000000-0006-0000-0100-000057000000}">
      <text>
        <r>
          <rPr>
            <sz val="10"/>
            <rFont val="FreeSans"/>
            <family val="2"/>
          </rPr>
          <t xml:space="preserve">چندمرحله‌ای دوبدنه </t>
        </r>
        <r>
          <rPr>
            <sz val="10"/>
            <rFont val="Arial"/>
            <family val="2"/>
          </rPr>
          <t>(Barrel)</t>
        </r>
        <r>
          <rPr>
            <sz val="10"/>
            <rFont val="FreeSans"/>
            <family val="2"/>
          </rPr>
          <t>؛ سخت‌ترین سرویس‌های پرفشار</t>
        </r>
      </text>
    </comment>
    <comment ref="C48" authorId="0" shapeId="0" xr:uid="{00000000-0006-0000-0100-00008C000000}">
      <text>
        <r>
          <rPr>
            <sz val="10"/>
            <rFont val="FreeSans"/>
            <family val="2"/>
          </rPr>
          <t xml:space="preserve">چندمرحله‌ای دوبدنه </t>
        </r>
        <r>
          <rPr>
            <sz val="10"/>
            <rFont val="Arial"/>
            <family val="2"/>
          </rPr>
          <t>(Barrel)</t>
        </r>
        <r>
          <rPr>
            <sz val="10"/>
            <rFont val="FreeSans"/>
            <family val="2"/>
          </rPr>
          <t>؛ سخت‌ترین سرویس‌های پرفشار</t>
        </r>
      </text>
    </comment>
    <comment ref="A49" authorId="0" shapeId="0" xr:uid="{00000000-0006-0000-0100-000023000000}">
      <text>
        <r>
          <rPr>
            <sz val="10"/>
            <rFont val="Arial"/>
            <family val="2"/>
          </rPr>
          <t xml:space="preserve">VS1 – Vertically suspended, diffuser, discharge through column:
</t>
        </r>
        <r>
          <rPr>
            <sz val="10"/>
            <rFont val="FreeSans"/>
            <family val="2"/>
          </rPr>
          <t>عمودی آویزان در چاهک، دیفیوزری، خروجی از داخل ستون</t>
        </r>
      </text>
    </comment>
    <comment ref="B49" authorId="0" shapeId="0" xr:uid="{00000000-0006-0000-0100-000058000000}">
      <text>
        <r>
          <rPr>
            <sz val="10"/>
            <rFont val="FreeSans"/>
            <family val="2"/>
          </rPr>
          <t>عمودی آویزان در چاهک، دیفیوزری، خروجی از داخل ستون</t>
        </r>
      </text>
    </comment>
    <comment ref="C49" authorId="0" shapeId="0" xr:uid="{00000000-0006-0000-0100-00008D000000}">
      <text>
        <r>
          <rPr>
            <sz val="10"/>
            <rFont val="FreeSans"/>
            <family val="2"/>
          </rPr>
          <t>عمودی آویزان در چاهک، دیفیوزری، خروجی از داخل ستون</t>
        </r>
      </text>
    </comment>
    <comment ref="A50" authorId="0" shapeId="0" xr:uid="{00000000-0006-0000-0100-000024000000}">
      <text>
        <r>
          <rPr>
            <sz val="10"/>
            <rFont val="Arial"/>
            <family val="2"/>
          </rPr>
          <t xml:space="preserve">VS2 – Vertically suspended, volute, discharge through column:
</t>
        </r>
        <r>
          <rPr>
            <sz val="10"/>
            <rFont val="FreeSans"/>
            <family val="2"/>
          </rPr>
          <t>عمودی آویزان، حلزونی، خروجی از داخل ستون</t>
        </r>
      </text>
    </comment>
    <comment ref="B50" authorId="0" shapeId="0" xr:uid="{00000000-0006-0000-0100-000059000000}">
      <text>
        <r>
          <rPr>
            <sz val="10"/>
            <rFont val="FreeSans"/>
            <family val="2"/>
          </rPr>
          <t>عمودی آویزان، حلزونی، خروجی از داخل ستون</t>
        </r>
      </text>
    </comment>
    <comment ref="C50" authorId="0" shapeId="0" xr:uid="{00000000-0006-0000-0100-00008E000000}">
      <text>
        <r>
          <rPr>
            <sz val="10"/>
            <rFont val="FreeSans"/>
            <family val="2"/>
          </rPr>
          <t>عمودی آویزان، حلزونی، خروجی از داخل ستون</t>
        </r>
      </text>
    </comment>
    <comment ref="A51" authorId="0" shapeId="0" xr:uid="{00000000-0006-0000-0100-000025000000}">
      <text>
        <r>
          <rPr>
            <sz val="10"/>
            <rFont val="Arial"/>
            <family val="2"/>
          </rPr>
          <t xml:space="preserve">VS3 – Vertically suspended, axial flow:
</t>
        </r>
        <r>
          <rPr>
            <sz val="10"/>
            <rFont val="FreeSans"/>
            <family val="2"/>
          </rPr>
          <t>عمودی آویزان، جریان محوری؛ دبی زیاد و هد کم</t>
        </r>
      </text>
    </comment>
    <comment ref="B51" authorId="0" shapeId="0" xr:uid="{00000000-0006-0000-0100-00005A000000}">
      <text>
        <r>
          <rPr>
            <sz val="10"/>
            <rFont val="FreeSans"/>
            <family val="2"/>
          </rPr>
          <t>عمودی آویزان، جریان محوری؛ دبی زیاد و هد کم</t>
        </r>
      </text>
    </comment>
    <comment ref="C51" authorId="0" shapeId="0" xr:uid="{00000000-0006-0000-0100-00008F000000}">
      <text>
        <r>
          <rPr>
            <sz val="10"/>
            <rFont val="FreeSans"/>
            <family val="2"/>
          </rPr>
          <t>عمودی آویزان، جریان محوری؛ دبی زیاد و هد کم</t>
        </r>
      </text>
    </comment>
    <comment ref="A52" authorId="0" shapeId="0" xr:uid="{00000000-0006-0000-0100-000026000000}">
      <text>
        <r>
          <rPr>
            <sz val="10"/>
            <rFont val="Arial"/>
            <family val="2"/>
          </rPr>
          <t xml:space="preserve">VS4 – Vertically suspended, line-shaft, separate discharge (sump):
</t>
        </r>
        <r>
          <rPr>
            <sz val="10"/>
            <rFont val="FreeSans"/>
            <family val="2"/>
          </rPr>
          <t xml:space="preserve">پمپ عمودی </t>
        </r>
        <r>
          <rPr>
            <sz val="10"/>
            <rFont val="Arial"/>
            <family val="2"/>
          </rPr>
          <t xml:space="preserve">Sump </t>
        </r>
        <r>
          <rPr>
            <sz val="10"/>
            <rFont val="FreeSans"/>
            <family val="2"/>
          </rPr>
          <t xml:space="preserve">با شفت بلند و لوله خروجی جدا؛ چاهک درین و </t>
        </r>
        <r>
          <rPr>
            <sz val="10"/>
            <rFont val="Arial"/>
            <family val="2"/>
          </rPr>
          <t>Flare KO</t>
        </r>
      </text>
    </comment>
    <comment ref="B52" authorId="0" shapeId="0" xr:uid="{00000000-0006-0000-0100-00005B000000}">
      <text>
        <r>
          <rPr>
            <sz val="10"/>
            <rFont val="FreeSans"/>
            <family val="2"/>
          </rPr>
          <t xml:space="preserve">پمپ عمودی </t>
        </r>
        <r>
          <rPr>
            <sz val="10"/>
            <rFont val="Arial"/>
            <family val="2"/>
          </rPr>
          <t xml:space="preserve">Sump </t>
        </r>
        <r>
          <rPr>
            <sz val="10"/>
            <rFont val="FreeSans"/>
            <family val="2"/>
          </rPr>
          <t xml:space="preserve">با شفت بلند و لوله خروجی جدا؛ چاهک درین و </t>
        </r>
        <r>
          <rPr>
            <sz val="10"/>
            <rFont val="Arial"/>
            <family val="2"/>
          </rPr>
          <t>Flare KO</t>
        </r>
      </text>
    </comment>
    <comment ref="C52" authorId="0" shapeId="0" xr:uid="{00000000-0006-0000-0100-000090000000}">
      <text>
        <r>
          <rPr>
            <sz val="10"/>
            <rFont val="FreeSans"/>
            <family val="2"/>
          </rPr>
          <t xml:space="preserve">پمپ عمودی </t>
        </r>
        <r>
          <rPr>
            <sz val="10"/>
            <rFont val="Arial"/>
            <family val="2"/>
          </rPr>
          <t xml:space="preserve">Sump </t>
        </r>
        <r>
          <rPr>
            <sz val="10"/>
            <rFont val="FreeSans"/>
            <family val="2"/>
          </rPr>
          <t xml:space="preserve">با شفت بلند و لوله خروجی جدا؛ چاهک درین و </t>
        </r>
        <r>
          <rPr>
            <sz val="10"/>
            <rFont val="Arial"/>
            <family val="2"/>
          </rPr>
          <t>Flare KO</t>
        </r>
      </text>
    </comment>
    <comment ref="A53" authorId="0" shapeId="0" xr:uid="{00000000-0006-0000-0100-000027000000}">
      <text>
        <r>
          <rPr>
            <sz val="10"/>
            <rFont val="Arial"/>
            <family val="2"/>
          </rPr>
          <t xml:space="preserve">VS5 – Vertically suspended, cantilever sump:
</t>
        </r>
        <r>
          <rPr>
            <sz val="10"/>
            <rFont val="FreeSans"/>
            <family val="2"/>
          </rPr>
          <t xml:space="preserve">پمپ عمودی </t>
        </r>
        <r>
          <rPr>
            <sz val="10"/>
            <rFont val="Arial"/>
            <family val="2"/>
          </rPr>
          <t xml:space="preserve">Sump </t>
        </r>
        <r>
          <rPr>
            <sz val="10"/>
            <rFont val="FreeSans"/>
            <family val="2"/>
          </rPr>
          <t>کنسولی بدون یاتاقان غوطه‌ور</t>
        </r>
      </text>
    </comment>
    <comment ref="B53" authorId="0" shapeId="0" xr:uid="{00000000-0006-0000-0100-00005C000000}">
      <text>
        <r>
          <rPr>
            <sz val="10"/>
            <rFont val="FreeSans"/>
            <family val="2"/>
          </rPr>
          <t xml:space="preserve">پمپ عمودی </t>
        </r>
        <r>
          <rPr>
            <sz val="10"/>
            <rFont val="Arial"/>
            <family val="2"/>
          </rPr>
          <t xml:space="preserve">Sump </t>
        </r>
        <r>
          <rPr>
            <sz val="10"/>
            <rFont val="FreeSans"/>
            <family val="2"/>
          </rPr>
          <t>کنسولی بدون یاتاقان غوطه‌ور</t>
        </r>
      </text>
    </comment>
    <comment ref="C53" authorId="0" shapeId="0" xr:uid="{00000000-0006-0000-0100-000091000000}">
      <text>
        <r>
          <rPr>
            <sz val="10"/>
            <rFont val="FreeSans"/>
            <family val="2"/>
          </rPr>
          <t xml:space="preserve">پمپ عمودی </t>
        </r>
        <r>
          <rPr>
            <sz val="10"/>
            <rFont val="Arial"/>
            <family val="2"/>
          </rPr>
          <t xml:space="preserve">Sump </t>
        </r>
        <r>
          <rPr>
            <sz val="10"/>
            <rFont val="FreeSans"/>
            <family val="2"/>
          </rPr>
          <t>کنسولی بدون یاتاقان غوطه‌ور</t>
        </r>
      </text>
    </comment>
    <comment ref="A54" authorId="0" shapeId="0" xr:uid="{00000000-0006-0000-0100-000028000000}">
      <text>
        <r>
          <rPr>
            <sz val="10"/>
            <rFont val="Arial"/>
            <family val="2"/>
          </rPr>
          <t xml:space="preserve">VS6 – Vertically suspended, double casing, diffuser (can):
</t>
        </r>
        <r>
          <rPr>
            <sz val="10"/>
            <rFont val="FreeSans"/>
            <family val="2"/>
          </rPr>
          <t xml:space="preserve">عمودی دوبدنه در قوطی </t>
        </r>
        <r>
          <rPr>
            <sz val="10"/>
            <rFont val="Arial"/>
            <family val="2"/>
          </rPr>
          <t>(Can)</t>
        </r>
        <r>
          <rPr>
            <sz val="10"/>
            <rFont val="FreeSans"/>
            <family val="2"/>
          </rPr>
          <t xml:space="preserve">؛ </t>
        </r>
        <r>
          <rPr>
            <sz val="10"/>
            <rFont val="Arial"/>
            <family val="2"/>
          </rPr>
          <t xml:space="preserve">NPSH </t>
        </r>
        <r>
          <rPr>
            <sz val="10"/>
            <rFont val="FreeSans"/>
            <family val="2"/>
          </rPr>
          <t xml:space="preserve">کم، مثل </t>
        </r>
        <r>
          <rPr>
            <sz val="10"/>
            <rFont val="Arial"/>
            <family val="2"/>
          </rPr>
          <t xml:space="preserve">Off-spec </t>
        </r>
        <r>
          <rPr>
            <sz val="10"/>
            <rFont val="FreeSans"/>
            <family val="2"/>
          </rPr>
          <t>و مایعات نزدیک نقطه جوش</t>
        </r>
      </text>
    </comment>
    <comment ref="B54" authorId="0" shapeId="0" xr:uid="{00000000-0006-0000-0100-00005D000000}">
      <text>
        <r>
          <rPr>
            <sz val="10"/>
            <rFont val="FreeSans"/>
            <family val="2"/>
          </rPr>
          <t xml:space="preserve">عمودی دوبدنه در قوطی </t>
        </r>
        <r>
          <rPr>
            <sz val="10"/>
            <rFont val="Arial"/>
            <family val="2"/>
          </rPr>
          <t>(Can)</t>
        </r>
        <r>
          <rPr>
            <sz val="10"/>
            <rFont val="FreeSans"/>
            <family val="2"/>
          </rPr>
          <t xml:space="preserve">؛ </t>
        </r>
        <r>
          <rPr>
            <sz val="10"/>
            <rFont val="Arial"/>
            <family val="2"/>
          </rPr>
          <t xml:space="preserve">NPSH </t>
        </r>
        <r>
          <rPr>
            <sz val="10"/>
            <rFont val="FreeSans"/>
            <family val="2"/>
          </rPr>
          <t xml:space="preserve">کم، مثل </t>
        </r>
        <r>
          <rPr>
            <sz val="10"/>
            <rFont val="Arial"/>
            <family val="2"/>
          </rPr>
          <t xml:space="preserve">Off-spec </t>
        </r>
        <r>
          <rPr>
            <sz val="10"/>
            <rFont val="FreeSans"/>
            <family val="2"/>
          </rPr>
          <t>و مایعات نزدیک نقطه جوش</t>
        </r>
      </text>
    </comment>
    <comment ref="C54" authorId="0" shapeId="0" xr:uid="{00000000-0006-0000-0100-000092000000}">
      <text>
        <r>
          <rPr>
            <sz val="10"/>
            <rFont val="FreeSans"/>
            <family val="2"/>
          </rPr>
          <t xml:space="preserve">عمودی دوبدنه در قوطی </t>
        </r>
        <r>
          <rPr>
            <sz val="10"/>
            <rFont val="Arial"/>
            <family val="2"/>
          </rPr>
          <t>(Can)</t>
        </r>
        <r>
          <rPr>
            <sz val="10"/>
            <rFont val="FreeSans"/>
            <family val="2"/>
          </rPr>
          <t xml:space="preserve">؛ </t>
        </r>
        <r>
          <rPr>
            <sz val="10"/>
            <rFont val="Arial"/>
            <family val="2"/>
          </rPr>
          <t xml:space="preserve">NPSH </t>
        </r>
        <r>
          <rPr>
            <sz val="10"/>
            <rFont val="FreeSans"/>
            <family val="2"/>
          </rPr>
          <t xml:space="preserve">کم، مثل </t>
        </r>
        <r>
          <rPr>
            <sz val="10"/>
            <rFont val="Arial"/>
            <family val="2"/>
          </rPr>
          <t xml:space="preserve">Off-spec </t>
        </r>
        <r>
          <rPr>
            <sz val="10"/>
            <rFont val="FreeSans"/>
            <family val="2"/>
          </rPr>
          <t>و مایعات نزدیک نقطه جوش</t>
        </r>
      </text>
    </comment>
    <comment ref="A55" authorId="0" shapeId="0" xr:uid="{00000000-0006-0000-0100-000029000000}">
      <text>
        <r>
          <rPr>
            <sz val="10"/>
            <rFont val="Arial"/>
            <family val="2"/>
          </rPr>
          <t xml:space="preserve">VS7 – Vertically suspended, double casing, volute:
</t>
        </r>
        <r>
          <rPr>
            <sz val="10"/>
            <rFont val="FreeSans"/>
            <family val="2"/>
          </rPr>
          <t>عمودی دوبدنه حلزونی</t>
        </r>
      </text>
    </comment>
    <comment ref="B55" authorId="0" shapeId="0" xr:uid="{00000000-0006-0000-0100-00005E000000}">
      <text>
        <r>
          <rPr>
            <sz val="10"/>
            <rFont val="FreeSans"/>
            <family val="2"/>
          </rPr>
          <t>عمودی دوبدنه حلزونی</t>
        </r>
      </text>
    </comment>
    <comment ref="C55" authorId="0" shapeId="0" xr:uid="{00000000-0006-0000-0100-000093000000}">
      <text>
        <r>
          <rPr>
            <sz val="10"/>
            <rFont val="FreeSans"/>
            <family val="2"/>
          </rPr>
          <t>عمودی دوبدنه حلزونی</t>
        </r>
      </text>
    </comment>
    <comment ref="A56" authorId="0" shapeId="0" xr:uid="{00000000-0006-0000-0100-00002A000000}">
      <text>
        <r>
          <rPr>
            <sz val="10"/>
            <rFont val="Arial"/>
            <family val="2"/>
          </rPr>
          <t xml:space="preserve">OH (unspecified) – Overhung – subtype not stated:
</t>
        </r>
        <r>
          <rPr>
            <sz val="10"/>
            <rFont val="FreeSans"/>
            <family val="2"/>
          </rPr>
          <t xml:space="preserve">منبع فقط </t>
        </r>
        <r>
          <rPr>
            <sz val="10"/>
            <rFont val="Arial"/>
            <family val="2"/>
          </rPr>
          <t xml:space="preserve">«Overhung» </t>
        </r>
        <r>
          <rPr>
            <sz val="10"/>
            <rFont val="FreeSans"/>
            <family val="2"/>
          </rPr>
          <t xml:space="preserve">گفته و زیرنوع </t>
        </r>
        <r>
          <rPr>
            <sz val="10"/>
            <rFont val="Arial"/>
            <family val="2"/>
          </rPr>
          <t xml:space="preserve">API </t>
        </r>
        <r>
          <rPr>
            <sz val="10"/>
            <rFont val="FreeSans"/>
            <family val="2"/>
          </rPr>
          <t>را مشخص نکرده</t>
        </r>
      </text>
    </comment>
    <comment ref="B56" authorId="0" shapeId="0" xr:uid="{00000000-0006-0000-0100-00005F000000}">
      <text>
        <r>
          <rPr>
            <sz val="10"/>
            <rFont val="FreeSans"/>
            <family val="2"/>
          </rPr>
          <t xml:space="preserve">منبع فقط </t>
        </r>
        <r>
          <rPr>
            <sz val="10"/>
            <rFont val="Arial"/>
            <family val="2"/>
          </rPr>
          <t xml:space="preserve">«Overhung» </t>
        </r>
        <r>
          <rPr>
            <sz val="10"/>
            <rFont val="FreeSans"/>
            <family val="2"/>
          </rPr>
          <t xml:space="preserve">گفته و زیرنوع </t>
        </r>
        <r>
          <rPr>
            <sz val="10"/>
            <rFont val="Arial"/>
            <family val="2"/>
          </rPr>
          <t xml:space="preserve">API </t>
        </r>
        <r>
          <rPr>
            <sz val="10"/>
            <rFont val="FreeSans"/>
            <family val="2"/>
          </rPr>
          <t>را مشخص نکرده</t>
        </r>
      </text>
    </comment>
    <comment ref="C56" authorId="0" shapeId="0" xr:uid="{00000000-0006-0000-0100-000094000000}">
      <text>
        <r>
          <rPr>
            <sz val="10"/>
            <rFont val="FreeSans"/>
            <family val="2"/>
          </rPr>
          <t xml:space="preserve">منبع فقط </t>
        </r>
        <r>
          <rPr>
            <sz val="10"/>
            <rFont val="Arial"/>
            <family val="2"/>
          </rPr>
          <t xml:space="preserve">«Overhung» </t>
        </r>
        <r>
          <rPr>
            <sz val="10"/>
            <rFont val="FreeSans"/>
            <family val="2"/>
          </rPr>
          <t xml:space="preserve">گفته و زیرنوع </t>
        </r>
        <r>
          <rPr>
            <sz val="10"/>
            <rFont val="Arial"/>
            <family val="2"/>
          </rPr>
          <t xml:space="preserve">API </t>
        </r>
        <r>
          <rPr>
            <sz val="10"/>
            <rFont val="FreeSans"/>
            <family val="2"/>
          </rPr>
          <t>را مشخص نکرده</t>
        </r>
      </text>
    </comment>
    <comment ref="A57" authorId="0" shapeId="0" xr:uid="{00000000-0006-0000-0100-00002B000000}">
      <text>
        <r>
          <rPr>
            <sz val="10"/>
            <rFont val="Arial"/>
            <family val="2"/>
          </rPr>
          <t xml:space="preserve">BB (unspecified) – Between bearings – subtype not stated:
</t>
        </r>
        <r>
          <rPr>
            <sz val="10"/>
            <rFont val="FreeSans"/>
            <family val="2"/>
          </rPr>
          <t xml:space="preserve">منبع فقط </t>
        </r>
        <r>
          <rPr>
            <sz val="10"/>
            <rFont val="Arial"/>
            <family val="2"/>
          </rPr>
          <t xml:space="preserve">«Between Bearings» </t>
        </r>
        <r>
          <rPr>
            <sz val="10"/>
            <rFont val="FreeSans"/>
            <family val="2"/>
          </rPr>
          <t xml:space="preserve">گفته و زیرنوع </t>
        </r>
        <r>
          <rPr>
            <sz val="10"/>
            <rFont val="Arial"/>
            <family val="2"/>
          </rPr>
          <t xml:space="preserve">API </t>
        </r>
        <r>
          <rPr>
            <sz val="10"/>
            <rFont val="FreeSans"/>
            <family val="2"/>
          </rPr>
          <t>را مشخص نکرده</t>
        </r>
      </text>
    </comment>
    <comment ref="B57" authorId="0" shapeId="0" xr:uid="{00000000-0006-0000-0100-000060000000}">
      <text>
        <r>
          <rPr>
            <sz val="10"/>
            <rFont val="FreeSans"/>
            <family val="2"/>
          </rPr>
          <t xml:space="preserve">منبع فقط </t>
        </r>
        <r>
          <rPr>
            <sz val="10"/>
            <rFont val="Arial"/>
            <family val="2"/>
          </rPr>
          <t xml:space="preserve">«Between Bearings» </t>
        </r>
        <r>
          <rPr>
            <sz val="10"/>
            <rFont val="FreeSans"/>
            <family val="2"/>
          </rPr>
          <t xml:space="preserve">گفته و زیرنوع </t>
        </r>
        <r>
          <rPr>
            <sz val="10"/>
            <rFont val="Arial"/>
            <family val="2"/>
          </rPr>
          <t xml:space="preserve">API </t>
        </r>
        <r>
          <rPr>
            <sz val="10"/>
            <rFont val="FreeSans"/>
            <family val="2"/>
          </rPr>
          <t>را مشخص نکرده</t>
        </r>
      </text>
    </comment>
    <comment ref="C57" authorId="0" shapeId="0" xr:uid="{00000000-0006-0000-0100-000095000000}">
      <text>
        <r>
          <rPr>
            <sz val="10"/>
            <rFont val="FreeSans"/>
            <family val="2"/>
          </rPr>
          <t xml:space="preserve">منبع فقط </t>
        </r>
        <r>
          <rPr>
            <sz val="10"/>
            <rFont val="Arial"/>
            <family val="2"/>
          </rPr>
          <t xml:space="preserve">«Between Bearings» </t>
        </r>
        <r>
          <rPr>
            <sz val="10"/>
            <rFont val="FreeSans"/>
            <family val="2"/>
          </rPr>
          <t xml:space="preserve">گفته و زیرنوع </t>
        </r>
        <r>
          <rPr>
            <sz val="10"/>
            <rFont val="Arial"/>
            <family val="2"/>
          </rPr>
          <t xml:space="preserve">API </t>
        </r>
        <r>
          <rPr>
            <sz val="10"/>
            <rFont val="FreeSans"/>
            <family val="2"/>
          </rPr>
          <t>را مشخص نکرده</t>
        </r>
      </text>
    </comment>
    <comment ref="A58" authorId="0" shapeId="0" xr:uid="{00000000-0006-0000-0100-00002C000000}">
      <text>
        <r>
          <rPr>
            <sz val="10"/>
            <rFont val="Arial"/>
            <family val="2"/>
          </rPr>
          <t xml:space="preserve">VS (unspecified) – Vertically suspended – subtype not stated:
</t>
        </r>
        <r>
          <rPr>
            <sz val="10"/>
            <rFont val="FreeSans"/>
            <family val="2"/>
          </rPr>
          <t xml:space="preserve">منبع فقط </t>
        </r>
        <r>
          <rPr>
            <sz val="10"/>
            <rFont val="Arial"/>
            <family val="2"/>
          </rPr>
          <t xml:space="preserve">«Vertical» </t>
        </r>
        <r>
          <rPr>
            <sz val="10"/>
            <rFont val="FreeSans"/>
            <family val="2"/>
          </rPr>
          <t>گفته</t>
        </r>
      </text>
    </comment>
    <comment ref="B58" authorId="0" shapeId="0" xr:uid="{00000000-0006-0000-0100-000061000000}">
      <text>
        <r>
          <rPr>
            <sz val="10"/>
            <rFont val="FreeSans"/>
            <family val="2"/>
          </rPr>
          <t xml:space="preserve">منبع فقط </t>
        </r>
        <r>
          <rPr>
            <sz val="10"/>
            <rFont val="Arial"/>
            <family val="2"/>
          </rPr>
          <t xml:space="preserve">«Vertical» </t>
        </r>
        <r>
          <rPr>
            <sz val="10"/>
            <rFont val="FreeSans"/>
            <family val="2"/>
          </rPr>
          <t>گفته</t>
        </r>
      </text>
    </comment>
    <comment ref="C58" authorId="0" shapeId="0" xr:uid="{00000000-0006-0000-0100-000096000000}">
      <text>
        <r>
          <rPr>
            <sz val="10"/>
            <rFont val="FreeSans"/>
            <family val="2"/>
          </rPr>
          <t xml:space="preserve">منبع فقط </t>
        </r>
        <r>
          <rPr>
            <sz val="10"/>
            <rFont val="Arial"/>
            <family val="2"/>
          </rPr>
          <t xml:space="preserve">«Vertical» </t>
        </r>
        <r>
          <rPr>
            <sz val="10"/>
            <rFont val="FreeSans"/>
            <family val="2"/>
          </rPr>
          <t>گفته</t>
        </r>
      </text>
    </comment>
    <comment ref="A59" authorId="0" shapeId="0" xr:uid="{00000000-0006-0000-0100-00002D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B59" authorId="0" shapeId="0" xr:uid="{00000000-0006-0000-0100-000062000000}">
      <text>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C59" authorId="0" shapeId="0" xr:uid="{00000000-0006-0000-0100-000097000000}">
      <text>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A60" authorId="0" shapeId="0" xr:uid="{00000000-0006-0000-0100-00002E000000}">
      <text>
        <r>
          <rPr>
            <sz val="10"/>
            <rFont val="Arial"/>
            <family val="2"/>
          </rPr>
          <t xml:space="preserve">Not stated – —:
</t>
        </r>
        <r>
          <rPr>
            <sz val="10"/>
            <rFont val="FreeSans"/>
            <family val="2"/>
          </rPr>
          <t>نوع پمپ در منبع ذکر نشده</t>
        </r>
      </text>
    </comment>
    <comment ref="B60" authorId="0" shapeId="0" xr:uid="{00000000-0006-0000-0100-000063000000}">
      <text>
        <r>
          <rPr>
            <sz val="10"/>
            <rFont val="FreeSans"/>
            <family val="2"/>
          </rPr>
          <t>نوع پمپ در منبع ذکر نشده</t>
        </r>
      </text>
    </comment>
    <comment ref="C60" authorId="0" shapeId="0" xr:uid="{00000000-0006-0000-0100-000098000000}">
      <text>
        <r>
          <rPr>
            <sz val="10"/>
            <rFont val="FreeSans"/>
            <family val="2"/>
          </rPr>
          <t>نوع پمپ در منبع ذکر نشده</t>
        </r>
      </text>
    </comment>
    <comment ref="A63" authorId="0" shapeId="0" xr:uid="{00000000-0006-0000-0100-00002F000000}">
      <text>
        <r>
          <rPr>
            <sz val="10"/>
            <rFont val="FreeSans"/>
            <family val="2"/>
          </rPr>
          <t>۴</t>
        </r>
        <r>
          <rPr>
            <sz val="10"/>
            <rFont val="Arial"/>
            <family val="2"/>
          </rPr>
          <t xml:space="preserve">) Incoterm – </t>
        </r>
        <r>
          <rPr>
            <sz val="10"/>
            <rFont val="FreeSans"/>
            <family val="2"/>
          </rPr>
          <t>شرط تحویل قیمت‌ها و آنچه قیمت شامل می‌شود</t>
        </r>
      </text>
    </comment>
    <comment ref="A64" authorId="0" shapeId="0" xr:uid="{00000000-0006-0000-0100-000030000000}">
      <text>
        <r>
          <rPr>
            <sz val="10"/>
            <rFont val="FreeSans"/>
            <family val="2"/>
          </rPr>
          <t>کد شرط تحویل</t>
        </r>
      </text>
    </comment>
    <comment ref="B64" authorId="0" shapeId="0" xr:uid="{00000000-0006-0000-0100-000064000000}">
      <text>
        <r>
          <rPr>
            <sz val="10"/>
            <rFont val="FreeSans"/>
            <family val="2"/>
          </rPr>
          <t>معنی و تقسیم هزینه‌ها بین فروشنده و خریدار</t>
        </r>
      </text>
    </comment>
    <comment ref="C64" authorId="0" shapeId="0" xr:uid="{00000000-0006-0000-0100-000099000000}">
      <text>
        <r>
          <rPr>
            <sz val="10"/>
            <rFont val="FreeSans"/>
            <family val="2"/>
          </rPr>
          <t>ترجمه و توضیح فارسی</t>
        </r>
      </text>
    </comment>
    <comment ref="D64" authorId="0" shapeId="0" xr:uid="{00000000-0006-0000-0100-0000AC000000}">
      <text>
        <r>
          <rPr>
            <sz val="10"/>
            <rFont val="FreeSans"/>
            <family val="2"/>
          </rPr>
          <t>در این بانک برای کدام رکوردها به کار رفته است</t>
        </r>
      </text>
    </comment>
    <comment ref="A65" authorId="0" shapeId="0" xr:uid="{00000000-0006-0000-0100-000031000000}">
      <text>
        <r>
          <rPr>
            <sz val="10"/>
            <rFont val="FreeSans"/>
            <family val="2"/>
          </rPr>
          <t>تحویل درب کارخانه؛ همه هزینه‌های حمل، بیمه، گمرک و ترخیص با خریدار</t>
        </r>
      </text>
    </comment>
    <comment ref="B65" authorId="0" shapeId="0" xr:uid="{00000000-0006-0000-0100-000065000000}">
      <text>
        <r>
          <rPr>
            <sz val="10"/>
            <rFont val="FreeSans"/>
            <family val="2"/>
          </rPr>
          <t>تحویل درب کارخانه؛ همه هزینه‌های حمل، بیمه، گمرک و ترخیص با خریدار</t>
        </r>
      </text>
    </comment>
    <comment ref="A66" authorId="0" shapeId="0" xr:uid="{00000000-0006-0000-0100-000032000000}">
      <text>
        <r>
          <rPr>
            <sz val="10"/>
            <rFont val="FreeSans"/>
            <family val="2"/>
          </rPr>
          <t>تحویل به حمل‌کننده خریدار در محل تعیین‌شده</t>
        </r>
      </text>
    </comment>
    <comment ref="B66" authorId="0" shapeId="0" xr:uid="{00000000-0006-0000-0100-000066000000}">
      <text>
        <r>
          <rPr>
            <sz val="10"/>
            <rFont val="FreeSans"/>
            <family val="2"/>
          </rPr>
          <t>تحویل به حمل‌کننده خریدار در محل تعیین‌شده</t>
        </r>
      </text>
    </comment>
    <comment ref="A67" authorId="0" shapeId="0" xr:uid="{00000000-0006-0000-0100-000033000000}">
      <text>
        <r>
          <rPr>
            <sz val="10"/>
            <rFont val="FreeSans"/>
            <family val="2"/>
          </rPr>
          <t>تحویل روی کشتی در بندر مبدأ؛ کرایه حمل دریایی، بیمه و هزینه‌های ورود با خریدار</t>
        </r>
      </text>
    </comment>
    <comment ref="B67" authorId="0" shapeId="0" xr:uid="{00000000-0006-0000-0100-000067000000}">
      <text>
        <r>
          <rPr>
            <sz val="10"/>
            <rFont val="FreeSans"/>
            <family val="2"/>
          </rPr>
          <t>تحویل روی کشتی در بندر مبدأ؛ کرایه حمل دریایی، بیمه و هزینه‌های ورود با خریدار</t>
        </r>
      </text>
    </comment>
    <comment ref="A68" authorId="0" shapeId="0" xr:uid="{00000000-0006-0000-0100-000034000000}">
      <text>
        <r>
          <rPr>
            <sz val="10"/>
            <rFont val="FreeSans"/>
            <family val="2"/>
          </rPr>
          <t>فروشنده کرایه حمل تا بندر مقصد را می‌پردازد؛ بیمه با خریدار</t>
        </r>
      </text>
    </comment>
    <comment ref="B68" authorId="0" shapeId="0" xr:uid="{00000000-0006-0000-0100-000068000000}">
      <text>
        <r>
          <rPr>
            <sz val="10"/>
            <rFont val="FreeSans"/>
            <family val="2"/>
          </rPr>
          <t>فروشنده کرایه حمل تا بندر مقصد را می‌پردازد؛ بیمه با خریدار</t>
        </r>
      </text>
    </comment>
    <comment ref="A69" authorId="0" shapeId="0" xr:uid="{00000000-0006-0000-0100-000035000000}">
      <text>
        <r>
          <rPr>
            <sz val="10"/>
            <rFont val="FreeSans"/>
            <family val="2"/>
          </rPr>
          <t>فروشنده کرایه حمل و بیمه تا بندر مقصد را می‌پردازد</t>
        </r>
      </text>
    </comment>
    <comment ref="B69" authorId="0" shapeId="0" xr:uid="{00000000-0006-0000-0100-000069000000}">
      <text>
        <r>
          <rPr>
            <sz val="10"/>
            <rFont val="FreeSans"/>
            <family val="2"/>
          </rPr>
          <t>فروشنده کرایه حمل و بیمه تا بندر مقصد را می‌پردازد</t>
        </r>
      </text>
    </comment>
    <comment ref="A70" authorId="0" shapeId="0" xr:uid="{00000000-0006-0000-0100-000036000000}">
      <text>
        <r>
          <rPr>
            <sz val="10"/>
            <rFont val="FreeSans"/>
            <family val="2"/>
          </rPr>
          <t>تحویل در مقصد تعیین‌شده (مثلاً سایت)؛ حقوق ورودی و ترخیص با خریدار</t>
        </r>
      </text>
    </comment>
    <comment ref="B70" authorId="0" shapeId="0" xr:uid="{00000000-0006-0000-0100-00006A000000}">
      <text>
        <r>
          <rPr>
            <sz val="10"/>
            <rFont val="FreeSans"/>
            <family val="2"/>
          </rPr>
          <t>تحویل در مقصد تعیین‌شده (مثلاً سایت)؛ حقوق ورودی و ترخیص با خریدار</t>
        </r>
      </text>
    </comment>
    <comment ref="A71" authorId="0" shapeId="0" xr:uid="{00000000-0006-0000-0100-000037000000}">
      <text>
        <r>
          <rPr>
            <sz val="10"/>
            <rFont val="FreeSans"/>
            <family val="2"/>
          </rPr>
          <t>تحویل در مقصد با پرداخت همه عوارض و حقوق گمرکی توسط فروشنده</t>
        </r>
      </text>
    </comment>
    <comment ref="B71" authorId="0" shapeId="0" xr:uid="{00000000-0006-0000-0100-00006B000000}">
      <text>
        <r>
          <rPr>
            <sz val="10"/>
            <rFont val="FreeSans"/>
            <family val="2"/>
          </rPr>
          <t>تحویل در مقصد با پرداخت همه عوارض و حقوق گمرکی توسط فروشنده</t>
        </r>
      </text>
    </comment>
    <comment ref="A72" authorId="0" shapeId="0" xr:uid="{00000000-0006-0000-0100-000038000000}">
      <text>
        <r>
          <rPr>
            <sz val="10"/>
            <rFont val="FreeSans"/>
            <family val="2"/>
          </rPr>
          <t>خرید داخلی ریالی با تحویل در سایت</t>
        </r>
      </text>
    </comment>
    <comment ref="B72" authorId="0" shapeId="0" xr:uid="{00000000-0006-0000-0100-00006C000000}">
      <text>
        <r>
          <rPr>
            <sz val="10"/>
            <rFont val="FreeSans"/>
            <family val="2"/>
          </rPr>
          <t>خرید داخلی ریالی با تحویل در سایت</t>
        </r>
      </text>
    </comment>
    <comment ref="A73" authorId="0" shapeId="0" xr:uid="{00000000-0006-0000-0100-000039000000}">
      <text>
        <r>
          <rPr>
            <sz val="10"/>
            <rFont val="FreeSans"/>
            <family val="2"/>
          </rPr>
          <t>شرط تحویل در منبع ذکر نشده است</t>
        </r>
      </text>
    </comment>
    <comment ref="B73" authorId="0" shapeId="0" xr:uid="{00000000-0006-0000-0100-00006D000000}">
      <text>
        <r>
          <rPr>
            <sz val="10"/>
            <rFont val="FreeSans"/>
            <family val="2"/>
          </rPr>
          <t>شرط تحویل در منبع ذکر نشده است</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200-000001000000}">
      <text>
        <r>
          <rPr>
            <sz val="10"/>
            <rFont val="FreeSans"/>
            <family val="2"/>
          </rPr>
          <t>شناسه یکتای رکورد</t>
        </r>
        <r>
          <rPr>
            <sz val="10"/>
            <rFont val="Arial"/>
            <family val="2"/>
          </rPr>
          <t xml:space="preserve">. Vendor_Quotes </t>
        </r>
        <r>
          <rPr>
            <sz val="10"/>
            <rFont val="FreeSans"/>
            <family val="2"/>
          </rPr>
          <t>با همین شماره به رکورد وصل است</t>
        </r>
        <r>
          <rPr>
            <sz val="10"/>
            <rFont val="Arial"/>
            <family val="2"/>
          </rPr>
          <t>.</t>
        </r>
      </text>
    </comment>
    <comment ref="B4" authorId="0" shapeId="0" xr:uid="{00000000-0006-0000-0200-000002000000}">
      <text>
        <r>
          <rPr>
            <sz val="10"/>
            <rFont val="FreeSans"/>
            <family val="2"/>
          </rPr>
          <t>نام سرویس پمپ طبق منبع (متن تکراری داخل پرانتز حذف شده و نام کامل زیرگروه در داشبورد آمده است)</t>
        </r>
        <r>
          <rPr>
            <sz val="10"/>
            <rFont val="Arial"/>
            <family val="2"/>
          </rPr>
          <t>.</t>
        </r>
      </text>
    </comment>
    <comment ref="C4" authorId="0" shapeId="0" xr:uid="{00000000-0006-0000-0200-000003000000}">
      <text>
        <r>
          <rPr>
            <sz val="10"/>
            <rFont val="FreeSans"/>
            <family val="2"/>
          </rPr>
          <t>پروژه مرجع</t>
        </r>
        <r>
          <rPr>
            <sz val="10"/>
            <rFont val="Arial"/>
            <family val="2"/>
          </rPr>
          <t>.</t>
        </r>
      </text>
    </comment>
    <comment ref="D4" authorId="0" shapeId="0" xr:uid="{00000000-0006-0000-0200-000004000000}">
      <text>
        <r>
          <rPr>
            <sz val="10"/>
            <rFont val="FreeSans"/>
            <family val="2"/>
          </rPr>
          <t>شماره تگ طبق منبع</t>
        </r>
        <r>
          <rPr>
            <sz val="10"/>
            <rFont val="Arial"/>
            <family val="2"/>
          </rPr>
          <t>.</t>
        </r>
      </text>
    </comment>
    <comment ref="E4" authorId="0" shapeId="0" xr:uid="{00000000-0006-0000-0200-000005000000}">
      <text>
        <r>
          <rPr>
            <sz val="10"/>
            <rFont val="FreeSans"/>
            <family val="2"/>
          </rPr>
          <t xml:space="preserve">زیرگروه پمپ. نام کامل و شرح در </t>
        </r>
        <r>
          <rPr>
            <sz val="10"/>
            <rFont val="Arial"/>
            <family val="2"/>
          </rPr>
          <t>Executive Dashboard.</t>
        </r>
      </text>
    </comment>
    <comment ref="F4" authorId="0" shapeId="0" xr:uid="{00000000-0006-0000-0200-000098000000}">
      <text>
        <r>
          <rPr>
            <sz val="10"/>
            <rFont val="FreeSans"/>
            <family val="2"/>
          </rPr>
          <t xml:space="preserve">نوع پیکربندی طبق </t>
        </r>
        <r>
          <rPr>
            <sz val="10"/>
            <rFont val="Arial"/>
            <family val="2"/>
          </rPr>
          <t xml:space="preserve">API 610 (OH / BB / VS). </t>
        </r>
        <r>
          <rPr>
            <sz val="10"/>
            <rFont val="FreeSans"/>
            <family val="2"/>
          </rPr>
          <t xml:space="preserve">شرح هر نوع در </t>
        </r>
        <r>
          <rPr>
            <sz val="10"/>
            <rFont val="Arial"/>
            <family val="2"/>
          </rPr>
          <t xml:space="preserve">Executive Dashboard. N/A </t>
        </r>
        <r>
          <rPr>
            <sz val="10"/>
            <rFont val="FreeSans"/>
            <family val="2"/>
          </rPr>
          <t xml:space="preserve">یعنی پمپ </t>
        </r>
        <r>
          <rPr>
            <sz val="10"/>
            <rFont val="Arial"/>
            <family val="2"/>
          </rPr>
          <t xml:space="preserve">API 610 </t>
        </r>
        <r>
          <rPr>
            <sz val="10"/>
            <rFont val="FreeSans"/>
            <family val="2"/>
          </rPr>
          <t>نیست</t>
        </r>
        <r>
          <rPr>
            <sz val="10"/>
            <rFont val="Arial"/>
            <family val="2"/>
          </rPr>
          <t>.</t>
        </r>
      </text>
    </comment>
    <comment ref="G4" authorId="0" shapeId="0" xr:uid="{00000000-0006-0000-0200-00002B010000}">
      <text>
        <r>
          <rPr>
            <sz val="10"/>
            <rFont val="FreeSans"/>
            <family val="2"/>
          </rPr>
          <t xml:space="preserve">کلاس متریال طبق جدول </t>
        </r>
        <r>
          <rPr>
            <sz val="10"/>
            <rFont val="Arial"/>
            <family val="2"/>
          </rPr>
          <t xml:space="preserve">H.1 </t>
        </r>
        <r>
          <rPr>
            <sz val="10"/>
            <rFont val="FreeSans"/>
            <family val="2"/>
          </rPr>
          <t xml:space="preserve">استاندارد </t>
        </r>
        <r>
          <rPr>
            <sz val="10"/>
            <rFont val="Arial"/>
            <family val="2"/>
          </rPr>
          <t xml:space="preserve">API 610. </t>
        </r>
        <r>
          <rPr>
            <sz val="10"/>
            <rFont val="FreeSans"/>
            <family val="2"/>
          </rPr>
          <t xml:space="preserve">شرح هر کلاس در </t>
        </r>
        <r>
          <rPr>
            <sz val="10"/>
            <rFont val="Arial"/>
            <family val="2"/>
          </rPr>
          <t xml:space="preserve">Note </t>
        </r>
        <r>
          <rPr>
            <sz val="10"/>
            <rFont val="FreeSans"/>
            <family val="2"/>
          </rPr>
          <t xml:space="preserve">همان سلول و در </t>
        </r>
        <r>
          <rPr>
            <sz val="10"/>
            <rFont val="Arial"/>
            <family val="2"/>
          </rPr>
          <t>Executive Dashboard.</t>
        </r>
      </text>
    </comment>
    <comment ref="H4" authorId="0" shapeId="0" xr:uid="{00000000-0006-0000-0200-0000BE010000}">
      <text>
        <r>
          <rPr>
            <sz val="10"/>
            <rFont val="FreeSans"/>
            <family val="2"/>
          </rPr>
          <t xml:space="preserve">دبی نامی </t>
        </r>
        <r>
          <rPr>
            <sz val="10"/>
            <rFont val="Arial"/>
            <family val="2"/>
          </rPr>
          <t>(Rated Flow).</t>
        </r>
      </text>
    </comment>
    <comment ref="I4" authorId="0" shapeId="0" xr:uid="{00000000-0006-0000-0200-0000C5010000}">
      <text>
        <r>
          <rPr>
            <sz val="10"/>
            <rFont val="FreeSans"/>
            <family val="2"/>
          </rPr>
          <t xml:space="preserve">هد دیفرانسیل. سلول زرد = محاسبه‌شده از اختلاف فشار با فرض </t>
        </r>
        <r>
          <rPr>
            <sz val="10"/>
            <rFont val="Arial"/>
            <family val="2"/>
          </rPr>
          <t>SG=1.</t>
        </r>
      </text>
    </comment>
    <comment ref="J4" authorId="0" shapeId="0" xr:uid="{00000000-0006-0000-0200-0000E6010000}">
      <text>
        <r>
          <rPr>
            <sz val="10"/>
            <rFont val="FreeSans"/>
            <family val="2"/>
          </rPr>
          <t xml:space="preserve">توان طبق منبع </t>
        </r>
        <r>
          <rPr>
            <sz val="10"/>
            <rFont val="Arial"/>
            <family val="2"/>
          </rPr>
          <t>(</t>
        </r>
        <r>
          <rPr>
            <sz val="10"/>
            <rFont val="FreeSans"/>
            <family val="2"/>
          </rPr>
          <t xml:space="preserve">موتور یا محور؛ نوع آن در ستون </t>
        </r>
        <r>
          <rPr>
            <sz val="10"/>
            <rFont val="Arial"/>
            <family val="2"/>
          </rPr>
          <t>Power Basis).</t>
        </r>
      </text>
    </comment>
    <comment ref="K4" authorId="0" shapeId="0" xr:uid="{00000000-0006-0000-0200-0000E8010000}">
      <text>
        <r>
          <rPr>
            <sz val="10"/>
            <rFont val="FreeSans"/>
            <family val="2"/>
          </rPr>
          <t xml:space="preserve">اندازه مبنای مقایسه: اگر توان منبع موجود باشد همان، وگرنه </t>
        </r>
        <r>
          <rPr>
            <sz val="10"/>
            <rFont val="Arial"/>
            <family val="2"/>
          </rPr>
          <t xml:space="preserve">Q×H/(367×η) </t>
        </r>
        <r>
          <rPr>
            <sz val="10"/>
            <rFont val="FreeSans"/>
            <family val="2"/>
          </rPr>
          <t xml:space="preserve">با </t>
        </r>
        <r>
          <rPr>
            <sz val="10"/>
            <rFont val="Arial"/>
            <family val="2"/>
          </rPr>
          <t xml:space="preserve">η=0.6 </t>
        </r>
        <r>
          <rPr>
            <sz val="10"/>
            <rFont val="FreeSans"/>
            <family val="2"/>
          </rPr>
          <t xml:space="preserve">و </t>
        </r>
        <r>
          <rPr>
            <sz val="10"/>
            <rFont val="Arial"/>
            <family val="2"/>
          </rPr>
          <t>SG=1.</t>
        </r>
      </text>
    </comment>
    <comment ref="L4" authorId="0" shapeId="0" xr:uid="{00000000-0006-0000-0200-0000E9010000}">
      <text>
        <r>
          <rPr>
            <sz val="10"/>
            <rFont val="FreeSans"/>
            <family val="2"/>
          </rPr>
          <t xml:space="preserve">همه استانداردهای رکورد در یک سلول </t>
        </r>
        <r>
          <rPr>
            <sz val="10"/>
            <rFont val="Arial"/>
            <family val="2"/>
          </rPr>
          <t>(</t>
        </r>
        <r>
          <rPr>
            <sz val="10"/>
            <rFont val="FreeSans"/>
            <family val="2"/>
          </rPr>
          <t xml:space="preserve">خودکار از ستون‌های جمع‌شده کنار آن: استاندارد اصلی، </t>
        </r>
        <r>
          <rPr>
            <sz val="10"/>
            <rFont val="Arial"/>
            <family val="2"/>
          </rPr>
          <t xml:space="preserve">IPS </t>
        </r>
        <r>
          <rPr>
            <sz val="10"/>
            <rFont val="FreeSans"/>
            <family val="2"/>
          </rPr>
          <t xml:space="preserve">و </t>
        </r>
        <r>
          <rPr>
            <sz val="10"/>
            <rFont val="Arial"/>
            <family val="2"/>
          </rPr>
          <t>NACE).</t>
        </r>
      </text>
    </comment>
    <comment ref="M4" authorId="0" shapeId="0" xr:uid="{00000000-0006-0000-0200-0000EA010000}">
      <text>
        <r>
          <rPr>
            <sz val="10"/>
            <rFont val="FreeSans"/>
            <family val="2"/>
          </rPr>
          <t>استاندارد اصلی ساخت پمپ (ورودی)</t>
        </r>
        <r>
          <rPr>
            <sz val="10"/>
            <rFont val="Arial"/>
            <family val="2"/>
          </rPr>
          <t>.</t>
        </r>
      </text>
    </comment>
    <comment ref="N4" authorId="0" shapeId="0" xr:uid="{00000000-0006-0000-0200-000013020000}">
      <text>
        <r>
          <rPr>
            <sz val="10"/>
            <rFont val="FreeSans"/>
            <family val="2"/>
          </rPr>
          <t xml:space="preserve">استاندارد مکمل </t>
        </r>
        <r>
          <rPr>
            <sz val="10"/>
            <rFont val="Arial"/>
            <family val="2"/>
          </rPr>
          <t xml:space="preserve">IPS </t>
        </r>
        <r>
          <rPr>
            <sz val="10"/>
            <rFont val="FreeSans"/>
            <family val="2"/>
          </rPr>
          <t>وزارت نفت (ورودی)</t>
        </r>
        <r>
          <rPr>
            <sz val="10"/>
            <rFont val="Arial"/>
            <family val="2"/>
          </rPr>
          <t>.</t>
        </r>
      </text>
    </comment>
    <comment ref="O4" authorId="0" shapeId="0" xr:uid="{00000000-0006-0000-0200-00006A020000}">
      <text>
        <r>
          <rPr>
            <sz val="10"/>
            <rFont val="FreeSans"/>
            <family val="2"/>
          </rPr>
          <t xml:space="preserve">الزام </t>
        </r>
        <r>
          <rPr>
            <sz val="10"/>
            <rFont val="Arial"/>
            <family val="2"/>
          </rPr>
          <t xml:space="preserve">NACE MR0175 / ISO 15156 </t>
        </r>
        <r>
          <rPr>
            <sz val="10"/>
            <rFont val="FreeSans"/>
            <family val="2"/>
          </rPr>
          <t>برای سرویس ترش (ورودی). زرد = استنباطی</t>
        </r>
        <r>
          <rPr>
            <sz val="10"/>
            <rFont val="Arial"/>
            <family val="2"/>
          </rPr>
          <t>.</t>
        </r>
      </text>
    </comment>
    <comment ref="P4" authorId="0" shapeId="0" xr:uid="{00000000-0006-0000-0200-0000C7020000}">
      <text>
        <r>
          <rPr>
            <sz val="10"/>
            <rFont val="FreeSans"/>
            <family val="2"/>
          </rPr>
          <t xml:space="preserve">نوع آب‌بند مکانیکی طبق </t>
        </r>
        <r>
          <rPr>
            <sz val="10"/>
            <rFont val="Arial"/>
            <family val="2"/>
          </rPr>
          <t xml:space="preserve">API 682: Arr 1 </t>
        </r>
        <r>
          <rPr>
            <sz val="10"/>
            <rFont val="FreeSans"/>
            <family val="2"/>
          </rPr>
          <t xml:space="preserve">تکی، </t>
        </r>
        <r>
          <rPr>
            <sz val="10"/>
            <rFont val="Arial"/>
            <family val="2"/>
          </rPr>
          <t xml:space="preserve">Arr 2 </t>
        </r>
        <r>
          <rPr>
            <sz val="10"/>
            <rFont val="FreeSans"/>
            <family val="2"/>
          </rPr>
          <t xml:space="preserve">دوبل بدون فشار، </t>
        </r>
        <r>
          <rPr>
            <sz val="10"/>
            <rFont val="Arial"/>
            <family val="2"/>
          </rPr>
          <t xml:space="preserve">Arr 3 </t>
        </r>
        <r>
          <rPr>
            <sz val="10"/>
            <rFont val="FreeSans"/>
            <family val="2"/>
          </rPr>
          <t>دوبل تحت فشار</t>
        </r>
        <r>
          <rPr>
            <sz val="10"/>
            <rFont val="Arial"/>
            <family val="2"/>
          </rPr>
          <t>.</t>
        </r>
      </text>
    </comment>
    <comment ref="Q4" authorId="0" shapeId="0" xr:uid="{00000000-0006-0000-0200-0000C8020000}">
      <text>
        <r>
          <rPr>
            <sz val="10"/>
            <rFont val="FreeSans"/>
            <family val="2"/>
          </rPr>
          <t xml:space="preserve">کلاس سختگیری آب‌بند طبق </t>
        </r>
        <r>
          <rPr>
            <sz val="10"/>
            <rFont val="Arial"/>
            <family val="2"/>
          </rPr>
          <t xml:space="preserve">API 682: Cat 1 </t>
        </r>
        <r>
          <rPr>
            <sz val="10"/>
            <rFont val="FreeSans"/>
            <family val="2"/>
          </rPr>
          <t xml:space="preserve">سبک، </t>
        </r>
        <r>
          <rPr>
            <sz val="10"/>
            <rFont val="Arial"/>
            <family val="2"/>
          </rPr>
          <t xml:space="preserve">Cat 2 </t>
        </r>
        <r>
          <rPr>
            <sz val="10"/>
            <rFont val="FreeSans"/>
            <family val="2"/>
          </rPr>
          <t xml:space="preserve">استاندارد </t>
        </r>
        <r>
          <rPr>
            <sz val="10"/>
            <rFont val="Arial"/>
            <family val="2"/>
          </rPr>
          <t>API 610</t>
        </r>
        <r>
          <rPr>
            <sz val="10"/>
            <rFont val="FreeSans"/>
            <family val="2"/>
          </rPr>
          <t xml:space="preserve">، </t>
        </r>
        <r>
          <rPr>
            <sz val="10"/>
            <rFont val="Arial"/>
            <family val="2"/>
          </rPr>
          <t xml:space="preserve">Cat 3 </t>
        </r>
        <r>
          <rPr>
            <sz val="10"/>
            <rFont val="FreeSans"/>
            <family val="2"/>
          </rPr>
          <t>سنگین</t>
        </r>
        <r>
          <rPr>
            <sz val="10"/>
            <rFont val="Arial"/>
            <family val="2"/>
          </rPr>
          <t>.</t>
        </r>
      </text>
    </comment>
    <comment ref="R4" authorId="0" shapeId="0" xr:uid="{00000000-0006-0000-0200-0000C9020000}">
      <text>
        <r>
          <rPr>
            <sz val="10"/>
            <rFont val="FreeSans"/>
            <family val="2"/>
          </rPr>
          <t xml:space="preserve">طرح شستشو </t>
        </r>
        <r>
          <rPr>
            <sz val="10"/>
            <rFont val="Arial"/>
            <family val="2"/>
          </rPr>
          <t xml:space="preserve">/ Barrier </t>
        </r>
        <r>
          <rPr>
            <sz val="10"/>
            <rFont val="FreeSans"/>
            <family val="2"/>
          </rPr>
          <t xml:space="preserve">آب‌بند طبق </t>
        </r>
        <r>
          <rPr>
            <sz val="10"/>
            <rFont val="Arial"/>
            <family val="2"/>
          </rPr>
          <t>API 682 (</t>
        </r>
        <r>
          <rPr>
            <sz val="10"/>
            <rFont val="FreeSans"/>
            <family val="2"/>
          </rPr>
          <t xml:space="preserve">مثلاً </t>
        </r>
        <r>
          <rPr>
            <sz val="10"/>
            <rFont val="Arial"/>
            <family val="2"/>
          </rPr>
          <t>11</t>
        </r>
        <r>
          <rPr>
            <sz val="10"/>
            <rFont val="FreeSans"/>
            <family val="2"/>
          </rPr>
          <t xml:space="preserve">، </t>
        </r>
        <r>
          <rPr>
            <sz val="10"/>
            <rFont val="Arial"/>
            <family val="2"/>
          </rPr>
          <t>52</t>
        </r>
        <r>
          <rPr>
            <sz val="10"/>
            <rFont val="FreeSans"/>
            <family val="2"/>
          </rPr>
          <t xml:space="preserve">، </t>
        </r>
        <r>
          <rPr>
            <sz val="10"/>
            <rFont val="Arial"/>
            <family val="2"/>
          </rPr>
          <t>53B).</t>
        </r>
      </text>
    </comment>
    <comment ref="S4" authorId="0" shapeId="0" xr:uid="{00000000-0006-0000-0200-0000CA020000}">
      <text>
        <r>
          <rPr>
            <sz val="10"/>
            <rFont val="FreeSans"/>
            <family val="2"/>
          </rPr>
          <t>نوع محرک</t>
        </r>
        <r>
          <rPr>
            <sz val="10"/>
            <rFont val="Arial"/>
            <family val="2"/>
          </rPr>
          <t>.</t>
        </r>
      </text>
    </comment>
    <comment ref="T4" authorId="0" shapeId="0" xr:uid="{00000000-0006-0000-0200-00005C030000}">
      <text>
        <r>
          <rPr>
            <sz val="10"/>
            <rFont val="FreeSans"/>
            <family val="2"/>
          </rPr>
          <t>سیالی که پمپ جابه‌جا می‌کند</t>
        </r>
        <r>
          <rPr>
            <sz val="10"/>
            <rFont val="Arial"/>
            <family val="2"/>
          </rPr>
          <t>.</t>
        </r>
      </text>
    </comment>
    <comment ref="U4" authorId="0" shapeId="0" xr:uid="{00000000-0006-0000-0200-00005D030000}">
      <text>
        <r>
          <rPr>
            <sz val="10"/>
            <rFont val="FreeSans"/>
            <family val="2"/>
          </rPr>
          <t xml:space="preserve">تعداد طبق منبع </t>
        </r>
        <r>
          <rPr>
            <sz val="10"/>
            <rFont val="Arial"/>
            <family val="2"/>
          </rPr>
          <t>(Set).</t>
        </r>
      </text>
    </comment>
    <comment ref="V4" authorId="0" shapeId="0" xr:uid="{00000000-0006-0000-0200-00005E030000}">
      <text>
        <r>
          <rPr>
            <sz val="10"/>
            <rFont val="FreeSans"/>
            <family val="2"/>
          </rPr>
          <t xml:space="preserve">اصل کارکرد پمپ (گریز از مرکز یا جابه‌جایی مثبت). پیکربندی در </t>
        </r>
        <r>
          <rPr>
            <sz val="10"/>
            <rFont val="Arial"/>
            <family val="2"/>
          </rPr>
          <t xml:space="preserve">API 610 Type </t>
        </r>
        <r>
          <rPr>
            <sz val="10"/>
            <rFont val="FreeSans"/>
            <family val="2"/>
          </rPr>
          <t>آمده است. زرد = فرض‌شده</t>
        </r>
        <r>
          <rPr>
            <sz val="10"/>
            <rFont val="Arial"/>
            <family val="2"/>
          </rPr>
          <t>.</t>
        </r>
      </text>
    </comment>
    <comment ref="W4" authorId="0" shapeId="0" xr:uid="{00000000-0006-0000-0200-000084030000}">
      <text>
        <r>
          <rPr>
            <sz val="10"/>
            <rFont val="FreeSans"/>
            <family val="2"/>
          </rPr>
          <t>فشار رانش طبق منبع (در گچساران نوع فشار مشخص نیست)</t>
        </r>
        <r>
          <rPr>
            <sz val="10"/>
            <rFont val="Arial"/>
            <family val="2"/>
          </rPr>
          <t>.</t>
        </r>
      </text>
    </comment>
    <comment ref="X4" authorId="0" shapeId="0" xr:uid="{00000000-0006-0000-0200-00009F030000}">
      <text>
        <r>
          <rPr>
            <sz val="10"/>
            <rFont val="FreeSans"/>
            <family val="2"/>
          </rPr>
          <t>نوع عدد توان: توان نامی موتور یا توان محور</t>
        </r>
        <r>
          <rPr>
            <sz val="10"/>
            <rFont val="Arial"/>
            <family val="2"/>
          </rPr>
          <t>.</t>
        </r>
      </text>
    </comment>
    <comment ref="Y4" authorId="0" shapeId="0" xr:uid="{00000000-0006-0000-0200-0000A0030000}">
      <text>
        <r>
          <rPr>
            <sz val="10"/>
            <rFont val="FreeSans"/>
            <family val="2"/>
          </rPr>
          <t>سال مبنای قیمت مرجع</t>
        </r>
        <r>
          <rPr>
            <sz val="10"/>
            <rFont val="Arial"/>
            <family val="2"/>
          </rPr>
          <t>.</t>
        </r>
      </text>
    </comment>
    <comment ref="Z4" authorId="0" shapeId="0" xr:uid="{00000000-0006-0000-0200-000017040000}">
      <text>
        <r>
          <rPr>
            <sz val="10"/>
            <rFont val="FreeSans"/>
            <family val="2"/>
          </rPr>
          <t>ارز قیمت مرجع</t>
        </r>
        <r>
          <rPr>
            <sz val="10"/>
            <rFont val="Arial"/>
            <family val="2"/>
          </rPr>
          <t>.</t>
        </r>
      </text>
    </comment>
    <comment ref="AA4" authorId="0" shapeId="0" xr:uid="{00000000-0006-0000-0200-000045040000}">
      <text>
        <r>
          <rPr>
            <sz val="10"/>
            <rFont val="FreeSans"/>
            <family val="2"/>
          </rPr>
          <t>قیمت واحد در ارز و سال مرجع، عیناً از منبع</t>
        </r>
        <r>
          <rPr>
            <sz val="10"/>
            <rFont val="Arial"/>
            <family val="2"/>
          </rPr>
          <t>.</t>
        </r>
      </text>
    </comment>
    <comment ref="AB4" authorId="0" shapeId="0" xr:uid="{00000000-0006-0000-0200-000072040000}">
      <text>
        <r>
          <rPr>
            <sz val="10"/>
            <rFont val="FreeSans"/>
            <family val="2"/>
          </rPr>
          <t xml:space="preserve">معادل یورویی قیمت مرجع در سال منبع، با نرخ جدول </t>
        </r>
        <r>
          <rPr>
            <sz val="10"/>
            <rFont val="Arial"/>
            <family val="2"/>
          </rPr>
          <t xml:space="preserve">FX </t>
        </r>
        <r>
          <rPr>
            <sz val="10"/>
            <rFont val="FreeSans"/>
            <family val="2"/>
          </rPr>
          <t>بانک</t>
        </r>
        <r>
          <rPr>
            <sz val="10"/>
            <rFont val="Arial"/>
            <family val="2"/>
          </rPr>
          <t>.</t>
        </r>
      </text>
    </comment>
    <comment ref="AC4" authorId="0" shapeId="0" xr:uid="{00000000-0006-0000-0200-000073040000}">
      <text>
        <r>
          <rPr>
            <sz val="10"/>
            <rFont val="FreeSans"/>
            <family val="2"/>
          </rPr>
          <t xml:space="preserve">معادل دلاری قیمت مرجع در سال منبع، با نرخ جدول </t>
        </r>
        <r>
          <rPr>
            <sz val="10"/>
            <rFont val="Arial"/>
            <family val="2"/>
          </rPr>
          <t xml:space="preserve">FX </t>
        </r>
        <r>
          <rPr>
            <sz val="10"/>
            <rFont val="FreeSans"/>
            <family val="2"/>
          </rPr>
          <t>بانک</t>
        </r>
        <r>
          <rPr>
            <sz val="10"/>
            <rFont val="Arial"/>
            <family val="2"/>
          </rPr>
          <t>.</t>
        </r>
      </text>
    </comment>
    <comment ref="AD4" authorId="0" shapeId="0" xr:uid="{00000000-0006-0000-0200-000074040000}">
      <text>
        <r>
          <rPr>
            <sz val="10"/>
            <rFont val="FreeSans"/>
            <family val="2"/>
          </rPr>
          <t xml:space="preserve">معادل ریالی قیمت مرجع در سال منبع، با نرخ جدول </t>
        </r>
        <r>
          <rPr>
            <sz val="10"/>
            <rFont val="Arial"/>
            <family val="2"/>
          </rPr>
          <t xml:space="preserve">FX </t>
        </r>
        <r>
          <rPr>
            <sz val="10"/>
            <rFont val="FreeSans"/>
            <family val="2"/>
          </rPr>
          <t xml:space="preserve">بانک. سلول آبی = پروژه نرخ دیگری به کار برده </t>
        </r>
        <r>
          <rPr>
            <sz val="10"/>
            <rFont val="Arial"/>
            <family val="2"/>
          </rPr>
          <t>(</t>
        </r>
        <r>
          <rPr>
            <sz val="10"/>
            <rFont val="FreeSans"/>
            <family val="2"/>
          </rPr>
          <t xml:space="preserve">نرخ و قیمت پروژه در </t>
        </r>
        <r>
          <rPr>
            <sz val="10"/>
            <rFont val="Arial"/>
            <family val="2"/>
          </rPr>
          <t>Note).</t>
        </r>
      </text>
    </comment>
    <comment ref="AE4" authorId="0" shapeId="0" xr:uid="{00000000-0006-0000-0200-00008C040000}">
      <text>
        <r>
          <rPr>
            <sz val="10"/>
            <rFont val="FreeSans"/>
            <family val="2"/>
          </rPr>
          <t xml:space="preserve">مبنای قیمت به نقل از منبع </t>
        </r>
        <r>
          <rPr>
            <sz val="10"/>
            <rFont val="Arial"/>
            <family val="2"/>
          </rPr>
          <t>(</t>
        </r>
        <r>
          <rPr>
            <sz val="10"/>
            <rFont val="FreeSans"/>
            <family val="2"/>
          </rPr>
          <t xml:space="preserve">استعلام، برآورد </t>
        </r>
        <r>
          <rPr>
            <sz val="10"/>
            <rFont val="Arial"/>
            <family val="2"/>
          </rPr>
          <t>MTO</t>
        </r>
        <r>
          <rPr>
            <sz val="10"/>
            <rFont val="FreeSans"/>
            <family val="2"/>
          </rPr>
          <t>، قیمت خرید و ...). برچسب کلاس منبع هم داخل همین متن آمده است</t>
        </r>
        <r>
          <rPr>
            <sz val="10"/>
            <rFont val="Arial"/>
            <family val="2"/>
          </rPr>
          <t>.</t>
        </r>
      </text>
    </comment>
    <comment ref="AF4" authorId="0" shapeId="0" xr:uid="{00000000-0006-0000-0200-00008D040000}">
      <text>
        <r>
          <rPr>
            <sz val="10"/>
            <rFont val="FreeSans"/>
            <family val="2"/>
          </rPr>
          <t>شرط تحویل قیمت</t>
        </r>
        <r>
          <rPr>
            <sz val="10"/>
            <rFont val="Arial"/>
            <family val="2"/>
          </rPr>
          <t xml:space="preserve">. Note </t>
        </r>
        <r>
          <rPr>
            <sz val="10"/>
            <rFont val="FreeSans"/>
            <family val="2"/>
          </rPr>
          <t xml:space="preserve">هر سلول می‌گوید قیمت شامل چه هزینه‌هایی هست و نیست. زرد = استنباطی. جدول حالت‌ها در </t>
        </r>
        <r>
          <rPr>
            <sz val="10"/>
            <rFont val="Arial"/>
            <family val="2"/>
          </rPr>
          <t>Executive Dashboard.</t>
        </r>
      </text>
    </comment>
    <comment ref="AG4" authorId="0" shapeId="0" xr:uid="{00000000-0006-0000-0200-000020050000}">
      <text>
        <r>
          <rPr>
            <sz val="10"/>
            <rFont val="FreeSans"/>
            <family val="2"/>
          </rPr>
          <t>قیمت یورویی تعدیل‌شده به سال هدف</t>
        </r>
        <r>
          <rPr>
            <sz val="10"/>
            <rFont val="Arial"/>
            <family val="2"/>
          </rPr>
          <t>: EUR × PPI(</t>
        </r>
        <r>
          <rPr>
            <sz val="10"/>
            <rFont val="FreeSans"/>
            <family val="2"/>
          </rPr>
          <t>هدف</t>
        </r>
        <r>
          <rPr>
            <sz val="10"/>
            <rFont val="Arial"/>
            <family val="2"/>
          </rPr>
          <t>)/PPI(</t>
        </r>
        <r>
          <rPr>
            <sz val="10"/>
            <rFont val="FreeSans"/>
            <family val="2"/>
          </rPr>
          <t>پایه</t>
        </r>
        <r>
          <rPr>
            <sz val="10"/>
            <rFont val="Arial"/>
            <family val="2"/>
          </rPr>
          <t>)</t>
        </r>
        <r>
          <rPr>
            <sz val="10"/>
            <rFont val="FreeSans"/>
            <family val="2"/>
          </rPr>
          <t xml:space="preserve">، با کف ۲۵٬۰۰۰ یورو برای API 610 گریز از مرکز کلاس </t>
        </r>
        <r>
          <rPr>
            <sz val="10"/>
            <rFont val="Arial"/>
            <family val="2"/>
          </rPr>
          <t>S/D.</t>
        </r>
      </text>
    </comment>
    <comment ref="AH4" authorId="0" shapeId="0" xr:uid="{00000000-0006-0000-0200-000021050000}">
      <text>
        <r>
          <rPr>
            <sz val="10"/>
            <rFont val="Arial"/>
            <family val="2"/>
          </rPr>
          <t xml:space="preserve">= </t>
        </r>
        <r>
          <rPr>
            <sz val="10"/>
            <rFont val="FreeSans"/>
            <family val="2"/>
          </rPr>
          <t>قیمت یورویی تعدیل‌شده × نرخ یورو ÷ نرخ دلار سال هدف</t>
        </r>
        <r>
          <rPr>
            <sz val="10"/>
            <rFont val="Arial"/>
            <family val="2"/>
          </rPr>
          <t>.</t>
        </r>
      </text>
    </comment>
    <comment ref="AI4" authorId="0" shapeId="0" xr:uid="{00000000-0006-0000-0200-000022050000}">
      <text>
        <r>
          <rPr>
            <sz val="10"/>
            <rFont val="Arial"/>
            <family val="2"/>
          </rPr>
          <t xml:space="preserve">= </t>
        </r>
        <r>
          <rPr>
            <sz val="10"/>
            <rFont val="FreeSans"/>
            <family val="2"/>
          </rPr>
          <t>قیمت یورویی تعدیل‌شده × نرخ یوروی سال هدف</t>
        </r>
        <r>
          <rPr>
            <sz val="10"/>
            <rFont val="Arial"/>
            <family val="2"/>
          </rPr>
          <t>.</t>
        </r>
      </text>
    </comment>
    <comment ref="AJ4" authorId="0" shapeId="0" xr:uid="{00000000-0006-0000-0200-000023050000}">
      <text>
        <r>
          <rPr>
            <sz val="10"/>
            <rFont val="FreeSans"/>
            <family val="2"/>
          </rPr>
          <t>سازنده یا تهیه‌کننده سند منبع</t>
        </r>
        <r>
          <rPr>
            <sz val="10"/>
            <rFont val="Arial"/>
            <family val="2"/>
          </rPr>
          <t>.</t>
        </r>
      </text>
    </comment>
    <comment ref="AK4" authorId="0" shapeId="0" xr:uid="{00000000-0006-0000-0200-000024050000}">
      <text>
        <r>
          <rPr>
            <sz val="10"/>
            <rFont val="FreeSans"/>
            <family val="2"/>
          </rPr>
          <t>مرحله پروژه‌ای که سند منبع در آن تهیه شده</t>
        </r>
        <r>
          <rPr>
            <sz val="10"/>
            <rFont val="Arial"/>
            <family val="2"/>
          </rPr>
          <t>.</t>
        </r>
      </text>
    </comment>
    <comment ref="AL4" authorId="0" shapeId="0" xr:uid="{00000000-0006-0000-0200-000025050000}">
      <text>
        <r>
          <rPr>
            <sz val="10"/>
            <rFont val="Arial"/>
            <family val="2"/>
          </rPr>
          <t xml:space="preserve">Scope: driver included (base = Y). Y/N/Not stated. </t>
        </r>
        <r>
          <rPr>
            <sz val="10"/>
            <rFont val="FreeSans"/>
            <family val="2"/>
          </rPr>
          <t>زرد = استنباطی</t>
        </r>
        <r>
          <rPr>
            <sz val="10"/>
            <rFont val="Arial"/>
            <family val="2"/>
          </rPr>
          <t>.</t>
        </r>
      </text>
    </comment>
    <comment ref="AM4" authorId="0" shapeId="0" xr:uid="{00000000-0006-0000-0200-000026050000}">
      <text>
        <r>
          <rPr>
            <sz val="10"/>
            <rFont val="Arial"/>
            <family val="2"/>
          </rPr>
          <t xml:space="preserve">Scope: baseplate &amp; coupling (base = Y). Y/N/Not stated. </t>
        </r>
        <r>
          <rPr>
            <sz val="10"/>
            <rFont val="FreeSans"/>
            <family val="2"/>
          </rPr>
          <t>زرد = استنباطی</t>
        </r>
        <r>
          <rPr>
            <sz val="10"/>
            <rFont val="Arial"/>
            <family val="2"/>
          </rPr>
          <t>.</t>
        </r>
      </text>
    </comment>
    <comment ref="AN4" authorId="0" shapeId="0" xr:uid="{00000000-0006-0000-0200-000027050000}">
      <text>
        <r>
          <rPr>
            <sz val="10"/>
            <rFont val="Arial"/>
            <family val="2"/>
          </rPr>
          <t xml:space="preserve">Scope: seal support system (base = Y). Y/N/Not stated. </t>
        </r>
        <r>
          <rPr>
            <sz val="10"/>
            <rFont val="FreeSans"/>
            <family val="2"/>
          </rPr>
          <t>زرد = استنباطی</t>
        </r>
        <r>
          <rPr>
            <sz val="10"/>
            <rFont val="Arial"/>
            <family val="2"/>
          </rPr>
          <t>.</t>
        </r>
      </text>
    </comment>
    <comment ref="AO4" authorId="0" shapeId="0" xr:uid="{00000000-0006-0000-0200-000028050000}">
      <text>
        <r>
          <rPr>
            <sz val="10"/>
            <rFont val="Arial"/>
            <family val="2"/>
          </rPr>
          <t xml:space="preserve">Scope: commissioning spares (base = Y). Y/N/Not stated. </t>
        </r>
        <r>
          <rPr>
            <sz val="10"/>
            <rFont val="FreeSans"/>
            <family val="2"/>
          </rPr>
          <t>زرد = استنباطی</t>
        </r>
        <r>
          <rPr>
            <sz val="10"/>
            <rFont val="Arial"/>
            <family val="2"/>
          </rPr>
          <t>.</t>
        </r>
      </text>
    </comment>
    <comment ref="AP4" authorId="0" shapeId="0" xr:uid="{00000000-0006-0000-0200-000043050000}">
      <text>
        <r>
          <rPr>
            <sz val="10"/>
            <rFont val="Arial"/>
            <family val="2"/>
          </rPr>
          <t xml:space="preserve">Scope: 2-year spares (base = N). Y/N/Not stated. </t>
        </r>
        <r>
          <rPr>
            <sz val="10"/>
            <rFont val="FreeSans"/>
            <family val="2"/>
          </rPr>
          <t>زرد = استنباطی</t>
        </r>
        <r>
          <rPr>
            <sz val="10"/>
            <rFont val="Arial"/>
            <family val="2"/>
          </rPr>
          <t>.</t>
        </r>
      </text>
    </comment>
    <comment ref="AQ4" authorId="0" shapeId="0" xr:uid="{00000000-0006-0000-0200-00005E050000}">
      <text>
        <r>
          <rPr>
            <sz val="10"/>
            <rFont val="Arial"/>
            <family val="2"/>
          </rPr>
          <t xml:space="preserve">Scope: third-party inspection (base = N). Y/N/Not stated. </t>
        </r>
        <r>
          <rPr>
            <sz val="10"/>
            <rFont val="FreeSans"/>
            <family val="2"/>
          </rPr>
          <t>زرد = استنباطی</t>
        </r>
        <r>
          <rPr>
            <sz val="10"/>
            <rFont val="Arial"/>
            <family val="2"/>
          </rPr>
          <t>.</t>
        </r>
      </text>
    </comment>
    <comment ref="AR4" authorId="0" shapeId="0" xr:uid="{00000000-0006-0000-0200-0000A1050000}">
      <text>
        <r>
          <rPr>
            <sz val="10"/>
            <rFont val="Arial"/>
            <family val="2"/>
          </rPr>
          <t xml:space="preserve">Scope: witnessed FAT (base = N). Y/N/Not stated. </t>
        </r>
        <r>
          <rPr>
            <sz val="10"/>
            <rFont val="FreeSans"/>
            <family val="2"/>
          </rPr>
          <t>زرد = استنباطی</t>
        </r>
        <r>
          <rPr>
            <sz val="10"/>
            <rFont val="Arial"/>
            <family val="2"/>
          </rPr>
          <t>.</t>
        </r>
      </text>
    </comment>
    <comment ref="AS4" authorId="0" shapeId="0" xr:uid="{00000000-0006-0000-0200-0000A2050000}">
      <text>
        <r>
          <rPr>
            <sz val="10"/>
            <rFont val="FreeSans"/>
            <family val="2"/>
          </rPr>
          <t>کنترل خودکار کمبود یا تناقض داده</t>
        </r>
        <r>
          <rPr>
            <sz val="10"/>
            <rFont val="Arial"/>
            <family val="2"/>
          </rPr>
          <t>.</t>
        </r>
      </text>
    </comment>
    <comment ref="AT4" authorId="0" shapeId="0" xr:uid="{00000000-0006-0000-0200-0000A3050000}">
      <text>
        <r>
          <rPr>
            <sz val="10"/>
            <rFont val="FreeSans"/>
            <family val="2"/>
          </rPr>
          <t xml:space="preserve">ضریب متریال از </t>
        </r>
        <r>
          <rPr>
            <sz val="10"/>
            <rFont val="Arial"/>
            <family val="2"/>
          </rPr>
          <t>Factors_ROT.</t>
        </r>
      </text>
    </comment>
    <comment ref="AU4" authorId="0" shapeId="0" xr:uid="{00000000-0006-0000-0200-0000A4050000}">
      <text>
        <r>
          <rPr>
            <sz val="10"/>
            <rFont val="Arial"/>
            <family val="2"/>
          </rPr>
          <t>Arrangement × Category × Plan.</t>
        </r>
      </text>
    </comment>
    <comment ref="AV4" authorId="0" shapeId="0" xr:uid="{00000000-0006-0000-0200-0000A5050000}">
      <text>
        <r>
          <rPr>
            <sz val="10"/>
            <rFont val="Arial"/>
            <family val="2"/>
          </rPr>
          <t>Driver × NACE.</t>
        </r>
      </text>
    </comment>
    <comment ref="AW4" authorId="0" shapeId="0" xr:uid="{00000000-0006-0000-0200-0000A6050000}">
      <text>
        <r>
          <rPr>
            <sz val="10"/>
            <rFont val="FreeSans"/>
            <family val="2"/>
          </rPr>
          <t xml:space="preserve">حاصل‌ضرب ۷ ضریب </t>
        </r>
        <r>
          <rPr>
            <sz val="10"/>
            <rFont val="Arial"/>
            <family val="2"/>
          </rPr>
          <t>Scope.</t>
        </r>
      </text>
    </comment>
    <comment ref="AX4" authorId="0" shapeId="0" xr:uid="{00000000-0006-0000-0200-0000A7050000}">
      <text>
        <r>
          <rPr>
            <sz val="10"/>
            <rFont val="Arial"/>
            <family val="2"/>
          </rPr>
          <t>MAT × SEAL × DRIVE × SCOPE.</t>
        </r>
      </text>
    </comment>
    <comment ref="AY4" authorId="0" shapeId="0" xr:uid="{00000000-0006-0000-0200-0000A8050000}">
      <text>
        <r>
          <rPr>
            <sz val="10"/>
            <rFont val="Arial"/>
            <family val="2"/>
          </rPr>
          <t xml:space="preserve">EUR </t>
        </r>
        <r>
          <rPr>
            <sz val="10"/>
            <rFont val="FreeSans"/>
            <family val="2"/>
          </rPr>
          <t xml:space="preserve">سال منبع </t>
        </r>
        <r>
          <rPr>
            <sz val="10"/>
            <rFont val="Arial"/>
            <family val="2"/>
          </rPr>
          <t xml:space="preserve">÷ ALL_F = </t>
        </r>
        <r>
          <rPr>
            <sz val="10"/>
            <rFont val="FreeSans"/>
            <family val="2"/>
          </rPr>
          <t>قیمت معادل پیکربندی پایه</t>
        </r>
        <r>
          <rPr>
            <sz val="10"/>
            <rFont val="Arial"/>
            <family val="2"/>
          </rPr>
          <t>.</t>
        </r>
      </text>
    </comment>
    <comment ref="BB4" authorId="0" shapeId="0" xr:uid="{00000000-0006-0000-0200-0000A9050000}">
      <text>
        <r>
          <rPr>
            <sz val="10"/>
            <rFont val="Arial"/>
            <family val="2"/>
          </rPr>
          <t xml:space="preserve">Y </t>
        </r>
        <r>
          <rPr>
            <sz val="10"/>
            <rFont val="FreeSans"/>
            <family val="2"/>
          </rPr>
          <t xml:space="preserve">اگر استاندارد </t>
        </r>
        <r>
          <rPr>
            <sz val="10"/>
            <rFont val="Arial"/>
            <family val="2"/>
          </rPr>
          <t>API 610</t>
        </r>
        <r>
          <rPr>
            <sz val="10"/>
            <rFont val="FreeSans"/>
            <family val="2"/>
          </rPr>
          <t xml:space="preserve">، پمپ گریز از مرکز و کلاس متریال S-x یا </t>
        </r>
        <r>
          <rPr>
            <sz val="10"/>
            <rFont val="Arial"/>
            <family val="2"/>
          </rPr>
          <t xml:space="preserve">D-x </t>
        </r>
        <r>
          <rPr>
            <sz val="10"/>
            <rFont val="FreeSans"/>
            <family val="2"/>
          </rPr>
          <t>باشد</t>
        </r>
        <r>
          <rPr>
            <sz val="10"/>
            <rFont val="Arial"/>
            <family val="2"/>
          </rPr>
          <t>.</t>
        </r>
      </text>
    </comment>
    <comment ref="BD4" authorId="0" shapeId="0" xr:uid="{00000000-0006-0000-0200-0000AA050000}">
      <text>
        <r>
          <rPr>
            <sz val="10"/>
            <rFont val="FreeSans"/>
            <family val="2"/>
          </rPr>
          <t xml:space="preserve">مبنای </t>
        </r>
        <r>
          <rPr>
            <sz val="10"/>
            <rFont val="Arial"/>
            <family val="2"/>
          </rPr>
          <t>Estimator.</t>
        </r>
      </text>
    </comment>
    <comment ref="BE4" authorId="0" shapeId="0" xr:uid="{00000000-0006-0000-0200-0000AB050000}">
      <text>
        <r>
          <rPr>
            <sz val="10"/>
            <rFont val="FreeSans"/>
            <family val="2"/>
          </rPr>
          <t>فایل، شیت و سلول منبع</t>
        </r>
        <r>
          <rPr>
            <sz val="10"/>
            <rFont val="Arial"/>
            <family val="2"/>
          </rPr>
          <t>.</t>
        </r>
      </text>
    </comment>
    <comment ref="BG4" authorId="0" shapeId="0" xr:uid="{00000000-0006-0000-0200-0000AC050000}">
      <text>
        <r>
          <rPr>
            <sz val="10"/>
            <rFont val="Arial"/>
            <family val="2"/>
          </rPr>
          <t xml:space="preserve">N = </t>
        </r>
        <r>
          <rPr>
            <sz val="10"/>
            <rFont val="FreeSans"/>
            <family val="2"/>
          </rPr>
          <t>رکورد تکراری یا کنارگذاشته‌شده (در شمارش داشبورد و جستجو با فیلتر لحاظ نمی‌شود)</t>
        </r>
        <r>
          <rPr>
            <sz val="10"/>
            <rFont val="Arial"/>
            <family val="2"/>
          </rPr>
          <t>.</t>
        </r>
      </text>
    </comment>
    <comment ref="E5" authorId="0" shapeId="0" xr:uid="{00000000-0006-0000-0200-000006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و انتقال اصلی</t>
        </r>
      </text>
    </comment>
    <comment ref="F5" authorId="0" shapeId="0" xr:uid="{00000000-0006-0000-0200-000099000000}">
      <text>
        <r>
          <rPr>
            <sz val="10"/>
            <rFont val="Arial"/>
            <family val="2"/>
          </rPr>
          <t xml:space="preserve">Not stated – —:
</t>
        </r>
        <r>
          <rPr>
            <sz val="10"/>
            <rFont val="FreeSans"/>
            <family val="2"/>
          </rPr>
          <t>نوع پمپ در منبع ذکر نشده</t>
        </r>
      </text>
    </comment>
    <comment ref="G5" authorId="0" shapeId="0" xr:uid="{00000000-0006-0000-0200-00002C010000}">
      <text>
        <r>
          <rPr>
            <sz val="10"/>
            <rFont val="FreeSans"/>
            <family val="2"/>
          </rPr>
          <t>کلاس متریال در منبع ذکر نشده است</t>
        </r>
        <r>
          <rPr>
            <sz val="10"/>
            <rFont val="Arial"/>
            <family val="2"/>
          </rPr>
          <t>.</t>
        </r>
      </text>
    </comment>
    <comment ref="I5" authorId="0" shapeId="0" xr:uid="{00000000-0006-0000-0200-0000C6010000}">
      <text>
        <r>
          <rPr>
            <sz val="10"/>
            <rFont val="Arial"/>
            <family val="2"/>
          </rPr>
          <t>SOURCE – 18061405_Pump_only_CSV.csv line 5, column "Head (m)"</t>
        </r>
      </text>
    </comment>
    <comment ref="S5" authorId="0" shapeId="0" xr:uid="{00000000-0006-0000-0200-0000CB020000}">
      <text>
        <r>
          <rPr>
            <sz val="10"/>
            <rFont val="Arial"/>
            <family val="2"/>
          </rPr>
          <t>SOURCE – 18061405_Pump_only_CSV.csv line 5, column "Driver Type" = E</t>
        </r>
      </text>
    </comment>
    <comment ref="AF5" authorId="0" shapeId="0" xr:uid="{00000000-0006-0000-0200-00008E040000}">
      <text>
        <r>
          <rPr>
            <sz val="10"/>
            <rFont val="FreeSans"/>
            <family val="2"/>
          </rPr>
          <t>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CSV (</t>
        </r>
        <r>
          <rPr>
            <sz val="10"/>
            <rFont val="FreeSans"/>
            <family val="2"/>
          </rPr>
          <t>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14,400 دلار (CSV </t>
        </r>
        <r>
          <rPr>
            <sz val="10"/>
            <rFont val="FreeSans"/>
            <family val="2"/>
          </rPr>
          <t xml:space="preserve">سطر </t>
        </r>
        <r>
          <rPr>
            <sz val="10"/>
            <rFont val="Arial"/>
            <family val="2"/>
          </rPr>
          <t>5</t>
        </r>
        <r>
          <rPr>
            <sz val="10"/>
            <rFont val="FreeSans"/>
            <family val="2"/>
          </rPr>
          <t xml:space="preserve">، ستون </t>
        </r>
        <r>
          <rPr>
            <sz val="10"/>
            <rFont val="Arial"/>
            <family val="2"/>
          </rPr>
          <t>J).</t>
        </r>
      </text>
    </comment>
    <comment ref="E6" authorId="0" shapeId="0" xr:uid="{00000000-0006-0000-0200-000007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و انتقال اصلی</t>
        </r>
      </text>
    </comment>
    <comment ref="F6" authorId="0" shapeId="0" xr:uid="{00000000-0006-0000-0200-00009A000000}">
      <text>
        <r>
          <rPr>
            <sz val="10"/>
            <rFont val="Arial"/>
            <family val="2"/>
          </rPr>
          <t xml:space="preserve">Not stated – —:
</t>
        </r>
        <r>
          <rPr>
            <sz val="10"/>
            <rFont val="FreeSans"/>
            <family val="2"/>
          </rPr>
          <t>نوع پمپ در منبع ذکر نشده</t>
        </r>
      </text>
    </comment>
    <comment ref="G6" authorId="0" shapeId="0" xr:uid="{00000000-0006-0000-0200-00002D010000}">
      <text>
        <r>
          <rPr>
            <sz val="10"/>
            <rFont val="FreeSans"/>
            <family val="2"/>
          </rPr>
          <t>کلاس متریال در منبع ذکر نشده است</t>
        </r>
        <r>
          <rPr>
            <sz val="10"/>
            <rFont val="Arial"/>
            <family val="2"/>
          </rPr>
          <t>.</t>
        </r>
      </text>
    </comment>
    <comment ref="I6" authorId="0" shapeId="0" xr:uid="{00000000-0006-0000-0200-0000C7010000}">
      <text>
        <r>
          <rPr>
            <sz val="10"/>
            <rFont val="Arial"/>
            <family val="2"/>
          </rPr>
          <t>SOURCE – 18061405_Pump_only_CSV.csv line 6, column "Head (m)"</t>
        </r>
      </text>
    </comment>
    <comment ref="S6" authorId="0" shapeId="0" xr:uid="{00000000-0006-0000-0200-0000CC020000}">
      <text>
        <r>
          <rPr>
            <sz val="10"/>
            <rFont val="Arial"/>
            <family val="2"/>
          </rPr>
          <t>SOURCE – 18061405_Pump_only_CSV.csv line 6, column "Driver Type" = E</t>
        </r>
      </text>
    </comment>
    <comment ref="AF6" authorId="0" shapeId="0" xr:uid="{00000000-0006-0000-0200-00008F040000}">
      <text>
        <r>
          <rPr>
            <sz val="10"/>
            <rFont val="FreeSans"/>
            <family val="2"/>
          </rPr>
          <t>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CSV (</t>
        </r>
        <r>
          <rPr>
            <sz val="10"/>
            <rFont val="FreeSans"/>
            <family val="2"/>
          </rPr>
          <t>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16,800 دلار (CSV </t>
        </r>
        <r>
          <rPr>
            <sz val="10"/>
            <rFont val="FreeSans"/>
            <family val="2"/>
          </rPr>
          <t xml:space="preserve">سطر </t>
        </r>
        <r>
          <rPr>
            <sz val="10"/>
            <rFont val="Arial"/>
            <family val="2"/>
          </rPr>
          <t>6</t>
        </r>
        <r>
          <rPr>
            <sz val="10"/>
            <rFont val="FreeSans"/>
            <family val="2"/>
          </rPr>
          <t xml:space="preserve">، ستون </t>
        </r>
        <r>
          <rPr>
            <sz val="10"/>
            <rFont val="Arial"/>
            <family val="2"/>
          </rPr>
          <t>J).</t>
        </r>
      </text>
    </comment>
    <comment ref="E7" authorId="0" shapeId="0" xr:uid="{00000000-0006-0000-0200-000008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و انتقال اصلی</t>
        </r>
      </text>
    </comment>
    <comment ref="F7" authorId="0" shapeId="0" xr:uid="{00000000-0006-0000-0200-00009B000000}">
      <text>
        <r>
          <rPr>
            <sz val="10"/>
            <rFont val="Arial"/>
            <family val="2"/>
          </rPr>
          <t xml:space="preserve">Not stated – —:
</t>
        </r>
        <r>
          <rPr>
            <sz val="10"/>
            <rFont val="FreeSans"/>
            <family val="2"/>
          </rPr>
          <t>نوع پمپ در منبع ذکر نشده</t>
        </r>
      </text>
    </comment>
    <comment ref="G7" authorId="0" shapeId="0" xr:uid="{00000000-0006-0000-0200-00002E010000}">
      <text>
        <r>
          <rPr>
            <sz val="10"/>
            <rFont val="FreeSans"/>
            <family val="2"/>
          </rPr>
          <t>کلاس متریال در منبع ذکر نشده است</t>
        </r>
        <r>
          <rPr>
            <sz val="10"/>
            <rFont val="Arial"/>
            <family val="2"/>
          </rPr>
          <t>.</t>
        </r>
      </text>
    </comment>
    <comment ref="I7" authorId="0" shapeId="0" xr:uid="{00000000-0006-0000-0200-0000C8010000}">
      <text>
        <r>
          <rPr>
            <sz val="10"/>
            <rFont val="Arial"/>
            <family val="2"/>
          </rPr>
          <t>SOURCE – 18061405_Pump_only_CSV.csv line 7, column "Head (m)"</t>
        </r>
      </text>
    </comment>
    <comment ref="S7" authorId="0" shapeId="0" xr:uid="{00000000-0006-0000-0200-0000CD020000}">
      <text>
        <r>
          <rPr>
            <sz val="10"/>
            <rFont val="Arial"/>
            <family val="2"/>
          </rPr>
          <t>SOURCE – 18061405_Pump_only_CSV.csv line 7, column "Driver Type" = E</t>
        </r>
      </text>
    </comment>
    <comment ref="AF7" authorId="0" shapeId="0" xr:uid="{00000000-0006-0000-0200-000090040000}">
      <text>
        <r>
          <rPr>
            <sz val="10"/>
            <rFont val="FreeSans"/>
            <family val="2"/>
          </rPr>
          <t>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CSV (</t>
        </r>
        <r>
          <rPr>
            <sz val="10"/>
            <rFont val="FreeSans"/>
            <family val="2"/>
          </rPr>
          <t>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15,000 دلار (CSV </t>
        </r>
        <r>
          <rPr>
            <sz val="10"/>
            <rFont val="FreeSans"/>
            <family val="2"/>
          </rPr>
          <t xml:space="preserve">سطر </t>
        </r>
        <r>
          <rPr>
            <sz val="10"/>
            <rFont val="Arial"/>
            <family val="2"/>
          </rPr>
          <t>7</t>
        </r>
        <r>
          <rPr>
            <sz val="10"/>
            <rFont val="FreeSans"/>
            <family val="2"/>
          </rPr>
          <t xml:space="preserve">، ستون </t>
        </r>
        <r>
          <rPr>
            <sz val="10"/>
            <rFont val="Arial"/>
            <family val="2"/>
          </rPr>
          <t>J).</t>
        </r>
      </text>
    </comment>
    <comment ref="E8" authorId="0" shapeId="0" xr:uid="{00000000-0006-0000-0200-000009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و انتقال اصلی</t>
        </r>
      </text>
    </comment>
    <comment ref="F8" authorId="0" shapeId="0" xr:uid="{00000000-0006-0000-0200-00009C000000}">
      <text>
        <r>
          <rPr>
            <sz val="10"/>
            <rFont val="Arial"/>
            <family val="2"/>
          </rPr>
          <t xml:space="preserve">Not stated – —:
</t>
        </r>
        <r>
          <rPr>
            <sz val="10"/>
            <rFont val="FreeSans"/>
            <family val="2"/>
          </rPr>
          <t>نوع پمپ در منبع ذکر نشده</t>
        </r>
      </text>
    </comment>
    <comment ref="G8" authorId="0" shapeId="0" xr:uid="{00000000-0006-0000-0200-00002F010000}">
      <text>
        <r>
          <rPr>
            <sz val="10"/>
            <rFont val="FreeSans"/>
            <family val="2"/>
          </rPr>
          <t>کلاس متریال در منبع ذکر نشده است</t>
        </r>
        <r>
          <rPr>
            <sz val="10"/>
            <rFont val="Arial"/>
            <family val="2"/>
          </rPr>
          <t>.</t>
        </r>
      </text>
    </comment>
    <comment ref="I8" authorId="0" shapeId="0" xr:uid="{00000000-0006-0000-0200-0000C9010000}">
      <text>
        <r>
          <rPr>
            <sz val="10"/>
            <rFont val="Arial"/>
            <family val="2"/>
          </rPr>
          <t>SOURCE – 18061405_Pump_only_CSV.csv line 8, column "Head (m)"</t>
        </r>
      </text>
    </comment>
    <comment ref="S8" authorId="0" shapeId="0" xr:uid="{00000000-0006-0000-0200-0000CE020000}">
      <text>
        <r>
          <rPr>
            <sz val="10"/>
            <rFont val="Arial"/>
            <family val="2"/>
          </rPr>
          <t>SOURCE – 18061405_Pump_only_CSV.csv line 8, column "Driver Type" = E</t>
        </r>
      </text>
    </comment>
    <comment ref="AF8" authorId="0" shapeId="0" xr:uid="{00000000-0006-0000-0200-000091040000}">
      <text>
        <r>
          <rPr>
            <sz val="10"/>
            <rFont val="FreeSans"/>
            <family val="2"/>
          </rPr>
          <t>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CSV (</t>
        </r>
        <r>
          <rPr>
            <sz val="10"/>
            <rFont val="FreeSans"/>
            <family val="2"/>
          </rPr>
          <t>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25,200 دلار (CSV </t>
        </r>
        <r>
          <rPr>
            <sz val="10"/>
            <rFont val="FreeSans"/>
            <family val="2"/>
          </rPr>
          <t xml:space="preserve">سطر </t>
        </r>
        <r>
          <rPr>
            <sz val="10"/>
            <rFont val="Arial"/>
            <family val="2"/>
          </rPr>
          <t>8</t>
        </r>
        <r>
          <rPr>
            <sz val="10"/>
            <rFont val="FreeSans"/>
            <family val="2"/>
          </rPr>
          <t xml:space="preserve">، ستون </t>
        </r>
        <r>
          <rPr>
            <sz val="10"/>
            <rFont val="Arial"/>
            <family val="2"/>
          </rPr>
          <t>J).</t>
        </r>
      </text>
    </comment>
    <comment ref="E9" authorId="0" shapeId="0" xr:uid="{00000000-0006-0000-0200-00000A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و انتقال اصلی</t>
        </r>
      </text>
    </comment>
    <comment ref="F9" authorId="0" shapeId="0" xr:uid="{00000000-0006-0000-0200-00009D000000}">
      <text>
        <r>
          <rPr>
            <sz val="10"/>
            <rFont val="Arial"/>
            <family val="2"/>
          </rPr>
          <t xml:space="preserve">Not stated – —:
</t>
        </r>
        <r>
          <rPr>
            <sz val="10"/>
            <rFont val="FreeSans"/>
            <family val="2"/>
          </rPr>
          <t>نوع پمپ در منبع ذکر نشده</t>
        </r>
      </text>
    </comment>
    <comment ref="G9" authorId="0" shapeId="0" xr:uid="{00000000-0006-0000-0200-000030010000}">
      <text>
        <r>
          <rPr>
            <sz val="10"/>
            <rFont val="FreeSans"/>
            <family val="2"/>
          </rPr>
          <t>کلاس متریال در منبع ذکر نشده است</t>
        </r>
        <r>
          <rPr>
            <sz val="10"/>
            <rFont val="Arial"/>
            <family val="2"/>
          </rPr>
          <t>.</t>
        </r>
      </text>
    </comment>
    <comment ref="I9" authorId="0" shapeId="0" xr:uid="{00000000-0006-0000-0200-0000CA010000}">
      <text>
        <r>
          <rPr>
            <sz val="10"/>
            <rFont val="Arial"/>
            <family val="2"/>
          </rPr>
          <t>SOURCE – 18061405_Pump_only_CSV.csv line 9, column "Head (m)"</t>
        </r>
      </text>
    </comment>
    <comment ref="S9" authorId="0" shapeId="0" xr:uid="{00000000-0006-0000-0200-0000CF020000}">
      <text>
        <r>
          <rPr>
            <sz val="10"/>
            <rFont val="Arial"/>
            <family val="2"/>
          </rPr>
          <t>SOURCE – 18061405_Pump_only_CSV.csv line 9, column "Driver Type" = E</t>
        </r>
      </text>
    </comment>
    <comment ref="AF9" authorId="0" shapeId="0" xr:uid="{00000000-0006-0000-0200-000092040000}">
      <text>
        <r>
          <rPr>
            <sz val="10"/>
            <rFont val="FreeSans"/>
            <family val="2"/>
          </rPr>
          <t>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CSV (</t>
        </r>
        <r>
          <rPr>
            <sz val="10"/>
            <rFont val="FreeSans"/>
            <family val="2"/>
          </rPr>
          <t>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4,500 دلار (CSV </t>
        </r>
        <r>
          <rPr>
            <sz val="10"/>
            <rFont val="FreeSans"/>
            <family val="2"/>
          </rPr>
          <t xml:space="preserve">سطر </t>
        </r>
        <r>
          <rPr>
            <sz val="10"/>
            <rFont val="Arial"/>
            <family val="2"/>
          </rPr>
          <t>9</t>
        </r>
        <r>
          <rPr>
            <sz val="10"/>
            <rFont val="FreeSans"/>
            <family val="2"/>
          </rPr>
          <t xml:space="preserve">، ستون </t>
        </r>
        <r>
          <rPr>
            <sz val="10"/>
            <rFont val="Arial"/>
            <family val="2"/>
          </rPr>
          <t>J).</t>
        </r>
      </text>
    </comment>
    <comment ref="E10" authorId="0" shapeId="0" xr:uid="{00000000-0006-0000-0200-00000B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10" authorId="0" shapeId="0" xr:uid="{00000000-0006-0000-0200-00009E000000}">
      <text>
        <r>
          <rPr>
            <sz val="10"/>
            <rFont val="Arial"/>
            <family val="2"/>
          </rPr>
          <t xml:space="preserve">Not stated – —:
</t>
        </r>
        <r>
          <rPr>
            <sz val="10"/>
            <rFont val="FreeSans"/>
            <family val="2"/>
          </rPr>
          <t>نوع پمپ در منبع ذکر نشده</t>
        </r>
      </text>
    </comment>
    <comment ref="G10" authorId="0" shapeId="0" xr:uid="{00000000-0006-0000-0200-000031010000}">
      <text>
        <r>
          <rPr>
            <sz val="10"/>
            <rFont val="FreeSans"/>
            <family val="2"/>
          </rPr>
          <t>کلاس متریال در منبع ذکر نشده است</t>
        </r>
        <r>
          <rPr>
            <sz val="10"/>
            <rFont val="Arial"/>
            <family val="2"/>
          </rPr>
          <t>.</t>
        </r>
      </text>
    </comment>
    <comment ref="I10" authorId="0" shapeId="0" xr:uid="{00000000-0006-0000-0200-0000CB010000}">
      <text>
        <r>
          <rPr>
            <sz val="10"/>
            <rFont val="Arial"/>
            <family val="2"/>
          </rPr>
          <t>SOURCE – 18061405_Pump_only_CSV.csv line 10, column "Head (m)"</t>
        </r>
      </text>
    </comment>
    <comment ref="S10" authorId="0" shapeId="0" xr:uid="{00000000-0006-0000-0200-0000D0020000}">
      <text>
        <r>
          <rPr>
            <sz val="10"/>
            <rFont val="Arial"/>
            <family val="2"/>
          </rPr>
          <t>SOURCE – 18061405_Pump_only_CSV.csv line 10, column "Driver Type" = E</t>
        </r>
      </text>
    </comment>
    <comment ref="AF10" authorId="0" shapeId="0" xr:uid="{00000000-0006-0000-0200-000093040000}">
      <text>
        <r>
          <rPr>
            <sz val="10"/>
            <rFont val="FreeSans"/>
            <family val="2"/>
          </rPr>
          <t>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CSV (</t>
        </r>
        <r>
          <rPr>
            <sz val="10"/>
            <rFont val="FreeSans"/>
            <family val="2"/>
          </rPr>
          <t>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3,600 دلار (CSV </t>
        </r>
        <r>
          <rPr>
            <sz val="10"/>
            <rFont val="FreeSans"/>
            <family val="2"/>
          </rPr>
          <t xml:space="preserve">سطر </t>
        </r>
        <r>
          <rPr>
            <sz val="10"/>
            <rFont val="Arial"/>
            <family val="2"/>
          </rPr>
          <t>10</t>
        </r>
        <r>
          <rPr>
            <sz val="10"/>
            <rFont val="FreeSans"/>
            <family val="2"/>
          </rPr>
          <t xml:space="preserve">، ستون </t>
        </r>
        <r>
          <rPr>
            <sz val="10"/>
            <rFont val="Arial"/>
            <family val="2"/>
          </rPr>
          <t>J).</t>
        </r>
      </text>
    </comment>
    <comment ref="E11" authorId="0" shapeId="0" xr:uid="{00000000-0006-0000-0200-00000C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11" authorId="0" shapeId="0" xr:uid="{00000000-0006-0000-0200-00009F000000}">
      <text>
        <r>
          <rPr>
            <sz val="10"/>
            <rFont val="Arial"/>
            <family val="2"/>
          </rPr>
          <t xml:space="preserve">Not stated – —:
</t>
        </r>
        <r>
          <rPr>
            <sz val="10"/>
            <rFont val="FreeSans"/>
            <family val="2"/>
          </rPr>
          <t>نوع پمپ در منبع ذکر نشده</t>
        </r>
      </text>
    </comment>
    <comment ref="G11" authorId="0" shapeId="0" xr:uid="{00000000-0006-0000-0200-000032010000}">
      <text>
        <r>
          <rPr>
            <sz val="10"/>
            <rFont val="FreeSans"/>
            <family val="2"/>
          </rPr>
          <t>کلاس متریال در منبع ذکر نشده است</t>
        </r>
        <r>
          <rPr>
            <sz val="10"/>
            <rFont val="Arial"/>
            <family val="2"/>
          </rPr>
          <t>.</t>
        </r>
      </text>
    </comment>
    <comment ref="I11" authorId="0" shapeId="0" xr:uid="{00000000-0006-0000-0200-0000CC010000}">
      <text>
        <r>
          <rPr>
            <sz val="10"/>
            <rFont val="Arial"/>
            <family val="2"/>
          </rPr>
          <t>SOURCE – 18061405_Pump_only_CSV.csv line 11, column "Head (m)"</t>
        </r>
      </text>
    </comment>
    <comment ref="S11" authorId="0" shapeId="0" xr:uid="{00000000-0006-0000-0200-0000D1020000}">
      <text>
        <r>
          <rPr>
            <sz val="10"/>
            <rFont val="Arial"/>
            <family val="2"/>
          </rPr>
          <t>SOURCE – 18061405_Pump_only_CSV.csv line 11, column "Driver Type" = E</t>
        </r>
      </text>
    </comment>
    <comment ref="AF11" authorId="0" shapeId="0" xr:uid="{00000000-0006-0000-0200-000094040000}">
      <text>
        <r>
          <rPr>
            <sz val="10"/>
            <rFont val="FreeSans"/>
            <family val="2"/>
          </rPr>
          <t>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CSV (</t>
        </r>
        <r>
          <rPr>
            <sz val="10"/>
            <rFont val="FreeSans"/>
            <family val="2"/>
          </rPr>
          <t>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3,600 دلار (CSV </t>
        </r>
        <r>
          <rPr>
            <sz val="10"/>
            <rFont val="FreeSans"/>
            <family val="2"/>
          </rPr>
          <t xml:space="preserve">سطر </t>
        </r>
        <r>
          <rPr>
            <sz val="10"/>
            <rFont val="Arial"/>
            <family val="2"/>
          </rPr>
          <t>11</t>
        </r>
        <r>
          <rPr>
            <sz val="10"/>
            <rFont val="FreeSans"/>
            <family val="2"/>
          </rPr>
          <t xml:space="preserve">، ستون </t>
        </r>
        <r>
          <rPr>
            <sz val="10"/>
            <rFont val="Arial"/>
            <family val="2"/>
          </rPr>
          <t>J).</t>
        </r>
      </text>
    </comment>
    <comment ref="E12" authorId="0" shapeId="0" xr:uid="{00000000-0006-0000-0200-00000D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12" authorId="0" shapeId="0" xr:uid="{00000000-0006-0000-0200-0000A0000000}">
      <text>
        <r>
          <rPr>
            <sz val="10"/>
            <rFont val="Arial"/>
            <family val="2"/>
          </rPr>
          <t xml:space="preserve">Not stated – —:
</t>
        </r>
        <r>
          <rPr>
            <sz val="10"/>
            <rFont val="FreeSans"/>
            <family val="2"/>
          </rPr>
          <t>نوع پمپ در منبع ذکر نشده</t>
        </r>
      </text>
    </comment>
    <comment ref="G12" authorId="0" shapeId="0" xr:uid="{00000000-0006-0000-0200-000033010000}">
      <text>
        <r>
          <rPr>
            <sz val="10"/>
            <rFont val="FreeSans"/>
            <family val="2"/>
          </rPr>
          <t>کلاس متریال در منبع ذکر نشده است</t>
        </r>
        <r>
          <rPr>
            <sz val="10"/>
            <rFont val="Arial"/>
            <family val="2"/>
          </rPr>
          <t>.</t>
        </r>
      </text>
    </comment>
    <comment ref="I12" authorId="0" shapeId="0" xr:uid="{00000000-0006-0000-0200-0000CD010000}">
      <text>
        <r>
          <rPr>
            <sz val="10"/>
            <rFont val="Arial"/>
            <family val="2"/>
          </rPr>
          <t>SOURCE – 18061405_Pump_only_CSV.csv line 12, column "Head (m)"</t>
        </r>
      </text>
    </comment>
    <comment ref="S12" authorId="0" shapeId="0" xr:uid="{00000000-0006-0000-0200-0000D2020000}">
      <text>
        <r>
          <rPr>
            <sz val="10"/>
            <rFont val="Arial"/>
            <family val="2"/>
          </rPr>
          <t>SOURCE – 18061405_Pump_only_CSV.csv line 12, column "Driver Type" = E</t>
        </r>
      </text>
    </comment>
    <comment ref="AF12" authorId="0" shapeId="0" xr:uid="{00000000-0006-0000-0200-000095040000}">
      <text>
        <r>
          <rPr>
            <sz val="10"/>
            <rFont val="FreeSans"/>
            <family val="2"/>
          </rPr>
          <t>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CSV (</t>
        </r>
        <r>
          <rPr>
            <sz val="10"/>
            <rFont val="FreeSans"/>
            <family val="2"/>
          </rPr>
          <t>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24,600 دلار (CSV </t>
        </r>
        <r>
          <rPr>
            <sz val="10"/>
            <rFont val="FreeSans"/>
            <family val="2"/>
          </rPr>
          <t xml:space="preserve">سطر </t>
        </r>
        <r>
          <rPr>
            <sz val="10"/>
            <rFont val="Arial"/>
            <family val="2"/>
          </rPr>
          <t>12</t>
        </r>
        <r>
          <rPr>
            <sz val="10"/>
            <rFont val="FreeSans"/>
            <family val="2"/>
          </rPr>
          <t xml:space="preserve">، ستون </t>
        </r>
        <r>
          <rPr>
            <sz val="10"/>
            <rFont val="Arial"/>
            <family val="2"/>
          </rPr>
          <t>J).</t>
        </r>
      </text>
    </comment>
    <comment ref="E13" authorId="0" shapeId="0" xr:uid="{00000000-0006-0000-0200-00000E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
—
</t>
        </r>
        <r>
          <rPr>
            <sz val="10"/>
            <rFont val="Arial"/>
            <family val="2"/>
          </rPr>
          <t>Reclassified 1405-07: ROT-DRN → ROT-WAT (service-based classification; approved)</t>
        </r>
      </text>
    </comment>
    <comment ref="F13" authorId="0" shapeId="0" xr:uid="{00000000-0006-0000-0200-0000A1000000}">
      <text>
        <r>
          <rPr>
            <sz val="10"/>
            <rFont val="Arial"/>
            <family val="2"/>
          </rPr>
          <t xml:space="preserve">Not stated – —:
</t>
        </r>
        <r>
          <rPr>
            <sz val="10"/>
            <rFont val="FreeSans"/>
            <family val="2"/>
          </rPr>
          <t>نوع پمپ در منبع ذکر نشده</t>
        </r>
      </text>
    </comment>
    <comment ref="G13" authorId="0" shapeId="0" xr:uid="{00000000-0006-0000-0200-000034010000}">
      <text>
        <r>
          <rPr>
            <sz val="10"/>
            <rFont val="FreeSans"/>
            <family val="2"/>
          </rPr>
          <t>کلاس متریال در منبع ذکر نشده است</t>
        </r>
        <r>
          <rPr>
            <sz val="10"/>
            <rFont val="Arial"/>
            <family val="2"/>
          </rPr>
          <t>.</t>
        </r>
      </text>
    </comment>
    <comment ref="I13" authorId="0" shapeId="0" xr:uid="{00000000-0006-0000-0200-0000CE010000}">
      <text>
        <r>
          <rPr>
            <sz val="10"/>
            <rFont val="Arial"/>
            <family val="2"/>
          </rPr>
          <t>SOURCE – 18061405_Pump_only_CSV.csv line 13, column "Head (m)"</t>
        </r>
      </text>
    </comment>
    <comment ref="S13" authorId="0" shapeId="0" xr:uid="{00000000-0006-0000-0200-0000D3020000}">
      <text>
        <r>
          <rPr>
            <sz val="10"/>
            <rFont val="Arial"/>
            <family val="2"/>
          </rPr>
          <t>SOURCE – 18061405_Pump_only_CSV.csv line 13, column "Driver Type" = E</t>
        </r>
      </text>
    </comment>
    <comment ref="AF13" authorId="0" shapeId="0" xr:uid="{00000000-0006-0000-0200-000096040000}">
      <text>
        <r>
          <rPr>
            <sz val="10"/>
            <rFont val="FreeSans"/>
            <family val="2"/>
          </rPr>
          <t>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CSV (</t>
        </r>
        <r>
          <rPr>
            <sz val="10"/>
            <rFont val="FreeSans"/>
            <family val="2"/>
          </rPr>
          <t>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480 دلار (CSV </t>
        </r>
        <r>
          <rPr>
            <sz val="10"/>
            <rFont val="FreeSans"/>
            <family val="2"/>
          </rPr>
          <t xml:space="preserve">سطر </t>
        </r>
        <r>
          <rPr>
            <sz val="10"/>
            <rFont val="Arial"/>
            <family val="2"/>
          </rPr>
          <t>13</t>
        </r>
        <r>
          <rPr>
            <sz val="10"/>
            <rFont val="FreeSans"/>
            <family val="2"/>
          </rPr>
          <t xml:space="preserve">، ستون </t>
        </r>
        <r>
          <rPr>
            <sz val="10"/>
            <rFont val="Arial"/>
            <family val="2"/>
          </rPr>
          <t>J).</t>
        </r>
      </text>
    </comment>
    <comment ref="E14" authorId="0" shapeId="0" xr:uid="{00000000-0006-0000-0200-00000F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14" authorId="0" shapeId="0" xr:uid="{00000000-0006-0000-0200-0000A2000000}">
      <text>
        <r>
          <rPr>
            <sz val="10"/>
            <rFont val="Arial"/>
            <family val="2"/>
          </rPr>
          <t xml:space="preserve">Not stated – —:
</t>
        </r>
        <r>
          <rPr>
            <sz val="10"/>
            <rFont val="FreeSans"/>
            <family val="2"/>
          </rPr>
          <t>نوع پمپ در منبع ذکر نشده</t>
        </r>
      </text>
    </comment>
    <comment ref="G14" authorId="0" shapeId="0" xr:uid="{00000000-0006-0000-0200-000035010000}">
      <text>
        <r>
          <rPr>
            <sz val="10"/>
            <rFont val="FreeSans"/>
            <family val="2"/>
          </rPr>
          <t>کلاس متریال در منبع ذکر نشده است</t>
        </r>
        <r>
          <rPr>
            <sz val="10"/>
            <rFont val="Arial"/>
            <family val="2"/>
          </rPr>
          <t>.</t>
        </r>
      </text>
    </comment>
    <comment ref="I14" authorId="0" shapeId="0" xr:uid="{00000000-0006-0000-0200-0000CF010000}">
      <text>
        <r>
          <rPr>
            <sz val="10"/>
            <rFont val="Arial"/>
            <family val="2"/>
          </rPr>
          <t>SOURCE – 18061405_Pump_only_CSV.csv line 14, column "Head (m)"</t>
        </r>
      </text>
    </comment>
    <comment ref="S14" authorId="0" shapeId="0" xr:uid="{00000000-0006-0000-0200-0000D4020000}">
      <text>
        <r>
          <rPr>
            <sz val="10"/>
            <rFont val="Arial"/>
            <family val="2"/>
          </rPr>
          <t>SOURCE – 18061405_Pump_only_CSV.csv line 14, column "Driver Type" = E</t>
        </r>
      </text>
    </comment>
    <comment ref="AF14" authorId="0" shapeId="0" xr:uid="{00000000-0006-0000-0200-000097040000}">
      <text>
        <r>
          <rPr>
            <sz val="10"/>
            <rFont val="FreeSans"/>
            <family val="2"/>
          </rPr>
          <t>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CSV (</t>
        </r>
        <r>
          <rPr>
            <sz val="10"/>
            <rFont val="FreeSans"/>
            <family val="2"/>
          </rPr>
          <t>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2,400 دلار (CSV </t>
        </r>
        <r>
          <rPr>
            <sz val="10"/>
            <rFont val="FreeSans"/>
            <family val="2"/>
          </rPr>
          <t xml:space="preserve">سطر </t>
        </r>
        <r>
          <rPr>
            <sz val="10"/>
            <rFont val="Arial"/>
            <family val="2"/>
          </rPr>
          <t>14</t>
        </r>
        <r>
          <rPr>
            <sz val="10"/>
            <rFont val="FreeSans"/>
            <family val="2"/>
          </rPr>
          <t xml:space="preserve">، ستون </t>
        </r>
        <r>
          <rPr>
            <sz val="10"/>
            <rFont val="Arial"/>
            <family val="2"/>
          </rPr>
          <t>J).</t>
        </r>
      </text>
    </comment>
    <comment ref="E15" authorId="0" shapeId="0" xr:uid="{00000000-0006-0000-0200-000010000000}">
      <text>
        <r>
          <rPr>
            <sz val="10"/>
            <rFont val="Arial"/>
            <family val="2"/>
          </rPr>
          <t xml:space="preserve">ROT-AUX = Chemical, Fuel &amp; Auxiliary Pumps
</t>
        </r>
        <r>
          <rPr>
            <sz val="10"/>
            <rFont val="FreeSans"/>
            <family val="2"/>
          </rPr>
          <t>پمپ‌های جانبی: مواد شیمیایی، گلایکول، گازوئیل و سوخت</t>
        </r>
      </text>
    </comment>
    <comment ref="F15" authorId="0" shapeId="0" xr:uid="{00000000-0006-0000-0200-0000A3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15" authorId="0" shapeId="0" xr:uid="{00000000-0006-0000-0200-000036010000}">
      <text>
        <r>
          <rPr>
            <sz val="10"/>
            <rFont val="FreeSans"/>
            <family val="2"/>
          </rPr>
          <t>کلاس متریال در منبع ذکر نشده است</t>
        </r>
        <r>
          <rPr>
            <sz val="10"/>
            <rFont val="Arial"/>
            <family val="2"/>
          </rPr>
          <t>.</t>
        </r>
      </text>
    </comment>
    <comment ref="I15" authorId="0" shapeId="0" xr:uid="{00000000-0006-0000-0200-0000D0010000}">
      <text>
        <r>
          <rPr>
            <sz val="10"/>
            <rFont val="Arial"/>
            <family val="2"/>
          </rPr>
          <t>SOURCE – 18061405_Pump_only_CSV.csv line 15, column "Head (m)"</t>
        </r>
      </text>
    </comment>
    <comment ref="S15" authorId="0" shapeId="0" xr:uid="{00000000-0006-0000-0200-0000D5020000}">
      <text>
        <r>
          <rPr>
            <sz val="10"/>
            <rFont val="Arial"/>
            <family val="2"/>
          </rPr>
          <t>SOURCE – 18061405_Pump_only_CSV.csv line 15, column "Driver Type" = E</t>
        </r>
      </text>
    </comment>
    <comment ref="AF15" authorId="0" shapeId="0" xr:uid="{00000000-0006-0000-0200-000098040000}">
      <text>
        <r>
          <rPr>
            <sz val="10"/>
            <rFont val="FreeSans"/>
            <family val="2"/>
          </rPr>
          <t>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CSV (</t>
        </r>
        <r>
          <rPr>
            <sz val="10"/>
            <rFont val="FreeSans"/>
            <family val="2"/>
          </rPr>
          <t>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300 دلار (CSV </t>
        </r>
        <r>
          <rPr>
            <sz val="10"/>
            <rFont val="FreeSans"/>
            <family val="2"/>
          </rPr>
          <t xml:space="preserve">سطر </t>
        </r>
        <r>
          <rPr>
            <sz val="10"/>
            <rFont val="Arial"/>
            <family val="2"/>
          </rPr>
          <t>15</t>
        </r>
        <r>
          <rPr>
            <sz val="10"/>
            <rFont val="FreeSans"/>
            <family val="2"/>
          </rPr>
          <t xml:space="preserve">، ستون </t>
        </r>
        <r>
          <rPr>
            <sz val="10"/>
            <rFont val="Arial"/>
            <family val="2"/>
          </rPr>
          <t>J).</t>
        </r>
      </text>
    </comment>
    <comment ref="E16" authorId="0" shapeId="0" xr:uid="{00000000-0006-0000-0200-000011000000}">
      <text>
        <r>
          <rPr>
            <sz val="10"/>
            <rFont val="Arial"/>
            <family val="2"/>
          </rPr>
          <t xml:space="preserve">ROT-AUX = Chemical, Fuel &amp; Auxiliary Pumps
</t>
        </r>
        <r>
          <rPr>
            <sz val="10"/>
            <rFont val="FreeSans"/>
            <family val="2"/>
          </rPr>
          <t>پمپ‌های جانبی: مواد شیمیایی، گلایکول، گازوئیل و سوخت</t>
        </r>
      </text>
    </comment>
    <comment ref="F16" authorId="0" shapeId="0" xr:uid="{00000000-0006-0000-0200-0000A4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16" authorId="0" shapeId="0" xr:uid="{00000000-0006-0000-0200-000037010000}">
      <text>
        <r>
          <rPr>
            <sz val="10"/>
            <rFont val="FreeSans"/>
            <family val="2"/>
          </rPr>
          <t>کلاس متریال در منبع ذکر نشده است</t>
        </r>
        <r>
          <rPr>
            <sz val="10"/>
            <rFont val="Arial"/>
            <family val="2"/>
          </rPr>
          <t>.</t>
        </r>
      </text>
    </comment>
    <comment ref="I16" authorId="0" shapeId="0" xr:uid="{00000000-0006-0000-0200-0000D1010000}">
      <text>
        <r>
          <rPr>
            <sz val="10"/>
            <rFont val="Arial"/>
            <family val="2"/>
          </rPr>
          <t>SOURCE – 18061405_Pump_only_CSV.csv line 16, column "Head (m)"</t>
        </r>
      </text>
    </comment>
    <comment ref="S16" authorId="0" shapeId="0" xr:uid="{00000000-0006-0000-0200-0000D6020000}">
      <text>
        <r>
          <rPr>
            <sz val="10"/>
            <rFont val="Arial"/>
            <family val="2"/>
          </rPr>
          <t>SOURCE – 18061405_Pump_only_CSV.csv line 16, column "Driver Type" = E</t>
        </r>
      </text>
    </comment>
    <comment ref="AF16" authorId="0" shapeId="0" xr:uid="{00000000-0006-0000-0200-000099040000}">
      <text>
        <r>
          <rPr>
            <sz val="10"/>
            <rFont val="FreeSans"/>
            <family val="2"/>
          </rPr>
          <t>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CSV (</t>
        </r>
        <r>
          <rPr>
            <sz val="10"/>
            <rFont val="FreeSans"/>
            <family val="2"/>
          </rPr>
          <t>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180 دلار (CSV </t>
        </r>
        <r>
          <rPr>
            <sz val="10"/>
            <rFont val="FreeSans"/>
            <family val="2"/>
          </rPr>
          <t xml:space="preserve">سطر </t>
        </r>
        <r>
          <rPr>
            <sz val="10"/>
            <rFont val="Arial"/>
            <family val="2"/>
          </rPr>
          <t>16</t>
        </r>
        <r>
          <rPr>
            <sz val="10"/>
            <rFont val="FreeSans"/>
            <family val="2"/>
          </rPr>
          <t xml:space="preserve">، ستون </t>
        </r>
        <r>
          <rPr>
            <sz val="10"/>
            <rFont val="Arial"/>
            <family val="2"/>
          </rPr>
          <t>J).</t>
        </r>
      </text>
    </comment>
    <comment ref="E17" authorId="0" shapeId="0" xr:uid="{00000000-0006-0000-0200-000012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17" authorId="0" shapeId="0" xr:uid="{00000000-0006-0000-0200-0000A5000000}">
      <text>
        <r>
          <rPr>
            <sz val="10"/>
            <rFont val="Arial"/>
            <family val="2"/>
          </rPr>
          <t xml:space="preserve">Not stated – —:
</t>
        </r>
        <r>
          <rPr>
            <sz val="10"/>
            <rFont val="FreeSans"/>
            <family val="2"/>
          </rPr>
          <t>نوع پمپ در منبع ذکر نشده</t>
        </r>
      </text>
    </comment>
    <comment ref="G17" authorId="0" shapeId="0" xr:uid="{00000000-0006-0000-0200-000038010000}">
      <text>
        <r>
          <rPr>
            <sz val="10"/>
            <rFont val="FreeSans"/>
            <family val="2"/>
          </rPr>
          <t>کلاس متریال در منبع ذکر نشده است</t>
        </r>
        <r>
          <rPr>
            <sz val="10"/>
            <rFont val="Arial"/>
            <family val="2"/>
          </rPr>
          <t>.</t>
        </r>
      </text>
    </comment>
    <comment ref="I17" authorId="0" shapeId="0" xr:uid="{00000000-0006-0000-0200-0000D2010000}">
      <text>
        <r>
          <rPr>
            <sz val="10"/>
            <rFont val="Arial"/>
            <family val="2"/>
          </rPr>
          <t>SOURCE – 18061405_Pump_only_CSV.csv line 17, column "Head (m)"</t>
        </r>
      </text>
    </comment>
    <comment ref="S17" authorId="0" shapeId="0" xr:uid="{00000000-0006-0000-0200-0000D7020000}">
      <text>
        <r>
          <rPr>
            <sz val="10"/>
            <rFont val="Arial"/>
            <family val="2"/>
          </rPr>
          <t>SOURCE – 18061405_Pump_only_CSV.csv line 17, column "Driver Type" = E</t>
        </r>
      </text>
    </comment>
    <comment ref="AF17" authorId="0" shapeId="0" xr:uid="{00000000-0006-0000-0200-00009A040000}">
      <text>
        <r>
          <rPr>
            <sz val="10"/>
            <rFont val="FreeSans"/>
            <family val="2"/>
          </rPr>
          <t>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CSV (</t>
        </r>
        <r>
          <rPr>
            <sz val="10"/>
            <rFont val="FreeSans"/>
            <family val="2"/>
          </rPr>
          <t>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180 دلار (CSV </t>
        </r>
        <r>
          <rPr>
            <sz val="10"/>
            <rFont val="FreeSans"/>
            <family val="2"/>
          </rPr>
          <t xml:space="preserve">سطر </t>
        </r>
        <r>
          <rPr>
            <sz val="10"/>
            <rFont val="Arial"/>
            <family val="2"/>
          </rPr>
          <t>17</t>
        </r>
        <r>
          <rPr>
            <sz val="10"/>
            <rFont val="FreeSans"/>
            <family val="2"/>
          </rPr>
          <t xml:space="preserve">، ستون </t>
        </r>
        <r>
          <rPr>
            <sz val="10"/>
            <rFont val="Arial"/>
            <family val="2"/>
          </rPr>
          <t>J).</t>
        </r>
      </text>
    </comment>
    <comment ref="E18" authorId="0" shapeId="0" xr:uid="{00000000-0006-0000-0200-000013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18" authorId="0" shapeId="0" xr:uid="{00000000-0006-0000-0200-0000A6000000}">
      <text>
        <r>
          <rPr>
            <sz val="10"/>
            <rFont val="Arial"/>
            <family val="2"/>
          </rPr>
          <t xml:space="preserve">Not stated – —:
</t>
        </r>
        <r>
          <rPr>
            <sz val="10"/>
            <rFont val="FreeSans"/>
            <family val="2"/>
          </rPr>
          <t>نوع پمپ در منبع ذکر نشده</t>
        </r>
      </text>
    </comment>
    <comment ref="G18" authorId="0" shapeId="0" xr:uid="{00000000-0006-0000-0200-000039010000}">
      <text>
        <r>
          <rPr>
            <sz val="10"/>
            <rFont val="FreeSans"/>
            <family val="2"/>
          </rPr>
          <t>کلاس متریال در منبع ذکر نشده است</t>
        </r>
        <r>
          <rPr>
            <sz val="10"/>
            <rFont val="Arial"/>
            <family val="2"/>
          </rPr>
          <t>.</t>
        </r>
      </text>
    </comment>
    <comment ref="I18" authorId="0" shapeId="0" xr:uid="{00000000-0006-0000-0200-0000D3010000}">
      <text>
        <r>
          <rPr>
            <sz val="10"/>
            <rFont val="Arial"/>
            <family val="2"/>
          </rPr>
          <t>SOURCE – 18061405_Pump_only_CSV.csv line 18, column "Head (m)"</t>
        </r>
      </text>
    </comment>
    <comment ref="S18" authorId="0" shapeId="0" xr:uid="{00000000-0006-0000-0200-0000D8020000}">
      <text>
        <r>
          <rPr>
            <sz val="10"/>
            <rFont val="Arial"/>
            <family val="2"/>
          </rPr>
          <t>SOURCE – 18061405_Pump_only_CSV.csv line 18, column "Driver Type" = E</t>
        </r>
      </text>
    </comment>
    <comment ref="AF18" authorId="0" shapeId="0" xr:uid="{00000000-0006-0000-0200-00009B040000}">
      <text>
        <r>
          <rPr>
            <sz val="10"/>
            <rFont val="FreeSans"/>
            <family val="2"/>
          </rPr>
          <t>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CSV (</t>
        </r>
        <r>
          <rPr>
            <sz val="10"/>
            <rFont val="FreeSans"/>
            <family val="2"/>
          </rPr>
          <t>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2,400 دلار (CSV </t>
        </r>
        <r>
          <rPr>
            <sz val="10"/>
            <rFont val="FreeSans"/>
            <family val="2"/>
          </rPr>
          <t xml:space="preserve">سطر </t>
        </r>
        <r>
          <rPr>
            <sz val="10"/>
            <rFont val="Arial"/>
            <family val="2"/>
          </rPr>
          <t>18</t>
        </r>
        <r>
          <rPr>
            <sz val="10"/>
            <rFont val="FreeSans"/>
            <family val="2"/>
          </rPr>
          <t xml:space="preserve">، ستون </t>
        </r>
        <r>
          <rPr>
            <sz val="10"/>
            <rFont val="Arial"/>
            <family val="2"/>
          </rPr>
          <t>J).</t>
        </r>
      </text>
    </comment>
    <comment ref="E19" authorId="0" shapeId="0" xr:uid="{00000000-0006-0000-0200-000014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و انتقال اصلی</t>
        </r>
      </text>
    </comment>
    <comment ref="F19" authorId="0" shapeId="0" xr:uid="{00000000-0006-0000-0200-0000A7000000}">
      <text>
        <r>
          <rPr>
            <sz val="10"/>
            <rFont val="Arial"/>
            <family val="2"/>
          </rPr>
          <t xml:space="preserve">Not stated – —:
</t>
        </r>
        <r>
          <rPr>
            <sz val="10"/>
            <rFont val="FreeSans"/>
            <family val="2"/>
          </rPr>
          <t>نوع پمپ در منبع ذکر نشده</t>
        </r>
      </text>
    </comment>
    <comment ref="G19" authorId="0" shapeId="0" xr:uid="{00000000-0006-0000-0200-00003A010000}">
      <text>
        <r>
          <rPr>
            <sz val="10"/>
            <rFont val="FreeSans"/>
            <family val="2"/>
          </rPr>
          <t>کلاس متریال در منبع ذکر نشده است</t>
        </r>
        <r>
          <rPr>
            <sz val="10"/>
            <rFont val="Arial"/>
            <family val="2"/>
          </rPr>
          <t>.</t>
        </r>
      </text>
    </comment>
    <comment ref="M19" authorId="0" shapeId="0" xr:uid="{00000000-0006-0000-0200-0000EB010000}">
      <text>
        <r>
          <rPr>
            <sz val="10"/>
            <rFont val="Arial"/>
            <family val="2"/>
          </rPr>
          <t>PEP-Rev.140205 P.ME gives only flow / pressure / kW – no design standard stated (previous bank had "API 610 / IPS", unsupported)</t>
        </r>
      </text>
    </comment>
    <comment ref="S19" authorId="0" shapeId="0" xr:uid="{00000000-0006-0000-0200-0000D9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19" authorId="0" shapeId="0" xr:uid="{00000000-0006-0000-0200-00005F030000}">
      <text>
        <r>
          <rPr>
            <sz val="10"/>
            <rFont val="Arial"/>
            <family val="2"/>
          </rPr>
          <t>INFERRED – source does not state pump type; "Centrifugal (assumed)" carried from previous bank</t>
        </r>
      </text>
    </comment>
    <comment ref="W19" authorId="0" shapeId="0" xr:uid="{00000000-0006-0000-0200-000085030000}">
      <text>
        <r>
          <rPr>
            <sz val="10"/>
            <rFont val="Arial"/>
            <family val="2"/>
          </rPr>
          <t>PEP P.ME: pressure given as "bar" – discharge / differential / design not specified</t>
        </r>
      </text>
    </comment>
    <comment ref="Y19" authorId="0" shapeId="0" xr:uid="{00000000-0006-0000-0200-0000A1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19" authorId="0" shapeId="0" xr:uid="{00000000-0006-0000-0200-000018040000}">
      <text>
        <r>
          <rPr>
            <sz val="10"/>
            <rFont val="Arial"/>
            <family val="2"/>
          </rPr>
          <t>SOURCE – PEP-Rev.140205 Gachsaran 4 P.ME H11: formula =ROUND(385000*per_Euro*USD_Change_IRR,-3) → base price is EUR (IRR value is only a conversion at per_Euro 1.085 × 420,000)</t>
        </r>
      </text>
    </comment>
    <comment ref="AA19" authorId="0" shapeId="0" xr:uid="{00000000-0006-0000-0200-000046040000}">
      <text>
        <r>
          <rPr>
            <sz val="10"/>
            <rFont val="Arial"/>
            <family val="2"/>
          </rPr>
          <t>SOURCE – PEP-Rev.140205 Gachsaran 4 P.ME H11: EUR constant inside the formula</t>
        </r>
      </text>
    </comment>
    <comment ref="AD19" authorId="0" shapeId="0" xr:uid="{00000000-0006-0000-0200-000075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H11)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175,441,330,000 ریال بوده است. این سلول با نرخ جدول FX </t>
        </r>
        <r>
          <rPr>
            <sz val="10"/>
            <rFont val="FreeSans"/>
            <family val="2"/>
          </rPr>
          <t>بانک (سال ۱۴۰۲</t>
        </r>
        <r>
          <rPr>
            <sz val="10"/>
            <rFont val="Arial"/>
            <family val="2"/>
          </rPr>
          <t>) محاسبه شده است.</t>
        </r>
      </text>
    </comment>
    <comment ref="AF19" authorId="0" shapeId="0" xr:uid="{00000000-0006-0000-0200-00009C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19" authorId="0" shapeId="0" xr:uid="{00000000-0006-0000-0200-000029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19" authorId="0" shapeId="0" xr:uid="{00000000-0006-0000-0200-000044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19" authorId="0" shapeId="0" xr:uid="{00000000-0006-0000-0200-00005F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20" authorId="0" shapeId="0" xr:uid="{00000000-0006-0000-0200-000015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و انتقال اصلی</t>
        </r>
      </text>
    </comment>
    <comment ref="F20" authorId="0" shapeId="0" xr:uid="{00000000-0006-0000-0200-0000A8000000}">
      <text>
        <r>
          <rPr>
            <sz val="10"/>
            <rFont val="Arial"/>
            <family val="2"/>
          </rPr>
          <t xml:space="preserve">Not stated – —:
</t>
        </r>
        <r>
          <rPr>
            <sz val="10"/>
            <rFont val="FreeSans"/>
            <family val="2"/>
          </rPr>
          <t>نوع پمپ در منبع ذکر نشده</t>
        </r>
      </text>
    </comment>
    <comment ref="G20" authorId="0" shapeId="0" xr:uid="{00000000-0006-0000-0200-00003B010000}">
      <text>
        <r>
          <rPr>
            <sz val="10"/>
            <rFont val="FreeSans"/>
            <family val="2"/>
          </rPr>
          <t>کلاس متریال در منبع ذکر نشده است</t>
        </r>
        <r>
          <rPr>
            <sz val="10"/>
            <rFont val="Arial"/>
            <family val="2"/>
          </rPr>
          <t>.</t>
        </r>
      </text>
    </comment>
    <comment ref="M20" authorId="0" shapeId="0" xr:uid="{00000000-0006-0000-0200-0000EC010000}">
      <text>
        <r>
          <rPr>
            <sz val="10"/>
            <rFont val="Arial"/>
            <family val="2"/>
          </rPr>
          <t>PEP-Rev.140205 P.ME gives only flow / pressure / kW – no design standard stated (previous bank had "API 610 / IPS", unsupported)</t>
        </r>
      </text>
    </comment>
    <comment ref="S20" authorId="0" shapeId="0" xr:uid="{00000000-0006-0000-0200-0000DA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20" authorId="0" shapeId="0" xr:uid="{00000000-0006-0000-0200-000060030000}">
      <text>
        <r>
          <rPr>
            <sz val="10"/>
            <rFont val="Arial"/>
            <family val="2"/>
          </rPr>
          <t>INFERRED – source does not state pump type; "Centrifugal (assumed)" carried from previous bank</t>
        </r>
      </text>
    </comment>
    <comment ref="W20" authorId="0" shapeId="0" xr:uid="{00000000-0006-0000-0200-000086030000}">
      <text>
        <r>
          <rPr>
            <sz val="10"/>
            <rFont val="Arial"/>
            <family val="2"/>
          </rPr>
          <t>PEP P.ME: pressure given as "bar" – discharge / differential / design not specified</t>
        </r>
      </text>
    </comment>
    <comment ref="Y20" authorId="0" shapeId="0" xr:uid="{00000000-0006-0000-0200-0000A2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20" authorId="0" shapeId="0" xr:uid="{00000000-0006-0000-0200-000019040000}">
      <text>
        <r>
          <rPr>
            <sz val="10"/>
            <rFont val="Arial"/>
            <family val="2"/>
          </rPr>
          <t>SOURCE – PEP-Rev.140205 Gachsaran 4 P.ME H12: formula =ROUND(135000*per_Euro*USD_Change_IRR,-3) → base price is EUR (IRR value is only a conversion at per_Euro 1.085 × 420,000)</t>
        </r>
      </text>
    </comment>
    <comment ref="AA20" authorId="0" shapeId="0" xr:uid="{00000000-0006-0000-0200-000047040000}">
      <text>
        <r>
          <rPr>
            <sz val="10"/>
            <rFont val="Arial"/>
            <family val="2"/>
          </rPr>
          <t>SOURCE – PEP-Rev.140205 Gachsaran 4 P.ME H12: EUR constant inside the formula</t>
        </r>
      </text>
    </comment>
    <comment ref="AD20" authorId="0" shapeId="0" xr:uid="{00000000-0006-0000-0200-000076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H12)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61,518,388,000 ریال بوده است. این سلول با نرخ جدول FX </t>
        </r>
        <r>
          <rPr>
            <sz val="10"/>
            <rFont val="FreeSans"/>
            <family val="2"/>
          </rPr>
          <t>بانک (سال ۱۴۰۲</t>
        </r>
        <r>
          <rPr>
            <sz val="10"/>
            <rFont val="Arial"/>
            <family val="2"/>
          </rPr>
          <t>) محاسبه شده است.</t>
        </r>
      </text>
    </comment>
    <comment ref="AF20" authorId="0" shapeId="0" xr:uid="{00000000-0006-0000-0200-00009D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20" authorId="0" shapeId="0" xr:uid="{00000000-0006-0000-0200-00002A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20" authorId="0" shapeId="0" xr:uid="{00000000-0006-0000-0200-000045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20" authorId="0" shapeId="0" xr:uid="{00000000-0006-0000-0200-000060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21" authorId="0" shapeId="0" xr:uid="{00000000-0006-0000-0200-000016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و انتقال اصلی</t>
        </r>
      </text>
    </comment>
    <comment ref="F21" authorId="0" shapeId="0" xr:uid="{00000000-0006-0000-0200-0000A9000000}">
      <text>
        <r>
          <rPr>
            <sz val="10"/>
            <rFont val="Arial"/>
            <family val="2"/>
          </rPr>
          <t xml:space="preserve">Not stated – —:
</t>
        </r>
        <r>
          <rPr>
            <sz val="10"/>
            <rFont val="FreeSans"/>
            <family val="2"/>
          </rPr>
          <t>نوع پمپ در منبع ذکر نشده</t>
        </r>
      </text>
    </comment>
    <comment ref="G21" authorId="0" shapeId="0" xr:uid="{00000000-0006-0000-0200-00003C010000}">
      <text>
        <r>
          <rPr>
            <sz val="10"/>
            <rFont val="FreeSans"/>
            <family val="2"/>
          </rPr>
          <t>کلاس متریال در منبع ذکر نشده است</t>
        </r>
        <r>
          <rPr>
            <sz val="10"/>
            <rFont val="Arial"/>
            <family val="2"/>
          </rPr>
          <t>.</t>
        </r>
      </text>
    </comment>
    <comment ref="M21" authorId="0" shapeId="0" xr:uid="{00000000-0006-0000-0200-0000ED010000}">
      <text>
        <r>
          <rPr>
            <sz val="10"/>
            <rFont val="Arial"/>
            <family val="2"/>
          </rPr>
          <t>PEP-Rev.140205 P.ME gives only flow / pressure / kW – no design standard stated (previous bank had "API 610 / IPS", unsupported)</t>
        </r>
      </text>
    </comment>
    <comment ref="S21" authorId="0" shapeId="0" xr:uid="{00000000-0006-0000-0200-0000DB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21" authorId="0" shapeId="0" xr:uid="{00000000-0006-0000-0200-000061030000}">
      <text>
        <r>
          <rPr>
            <sz val="10"/>
            <rFont val="Arial"/>
            <family val="2"/>
          </rPr>
          <t>INFERRED – source does not state pump type; "Centrifugal (assumed)" carried from previous bank</t>
        </r>
      </text>
    </comment>
    <comment ref="W21" authorId="0" shapeId="0" xr:uid="{00000000-0006-0000-0200-000087030000}">
      <text>
        <r>
          <rPr>
            <sz val="10"/>
            <rFont val="Arial"/>
            <family val="2"/>
          </rPr>
          <t>PEP P.ME: pressure given as "bar" – discharge / differential / design not specified</t>
        </r>
      </text>
    </comment>
    <comment ref="Y21" authorId="0" shapeId="0" xr:uid="{00000000-0006-0000-0200-0000A3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21" authorId="0" shapeId="0" xr:uid="{00000000-0006-0000-0200-00001A040000}">
      <text>
        <r>
          <rPr>
            <sz val="10"/>
            <rFont val="Arial"/>
            <family val="2"/>
          </rPr>
          <t>SOURCE – PEP-Rev.140205 Gachsaran 4 P.ME H13: formula =ROUND(140000*per_Euro*USD_Change_IRR,-3) → base price is EUR (IRR value is only a conversion at per_Euro 1.085 × 420,000)</t>
        </r>
      </text>
    </comment>
    <comment ref="AA21" authorId="0" shapeId="0" xr:uid="{00000000-0006-0000-0200-000048040000}">
      <text>
        <r>
          <rPr>
            <sz val="10"/>
            <rFont val="Arial"/>
            <family val="2"/>
          </rPr>
          <t>SOURCE – PEP-Rev.140205 Gachsaran 4 P.ME H13: EUR constant inside the formula</t>
        </r>
      </text>
    </comment>
    <comment ref="AD21" authorId="0" shapeId="0" xr:uid="{00000000-0006-0000-0200-000077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H13)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63,796,847,232 ریال بوده است. این سلول با نرخ جدول FX </t>
        </r>
        <r>
          <rPr>
            <sz val="10"/>
            <rFont val="FreeSans"/>
            <family val="2"/>
          </rPr>
          <t>بانک (سال ۱۴۰۲</t>
        </r>
        <r>
          <rPr>
            <sz val="10"/>
            <rFont val="Arial"/>
            <family val="2"/>
          </rPr>
          <t>) محاسبه شده است.</t>
        </r>
      </text>
    </comment>
    <comment ref="AF21" authorId="0" shapeId="0" xr:uid="{00000000-0006-0000-0200-00009E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21" authorId="0" shapeId="0" xr:uid="{00000000-0006-0000-0200-00002B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21" authorId="0" shapeId="0" xr:uid="{00000000-0006-0000-0200-000046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21" authorId="0" shapeId="0" xr:uid="{00000000-0006-0000-0200-000061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22" authorId="0" shapeId="0" xr:uid="{00000000-0006-0000-0200-000017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22" authorId="0" shapeId="0" xr:uid="{00000000-0006-0000-0200-0000AA000000}">
      <text>
        <r>
          <rPr>
            <sz val="10"/>
            <rFont val="Arial"/>
            <family val="2"/>
          </rPr>
          <t xml:space="preserve">Not stated – —:
</t>
        </r>
        <r>
          <rPr>
            <sz val="10"/>
            <rFont val="FreeSans"/>
            <family val="2"/>
          </rPr>
          <t>نوع پمپ در منبع ذکر نشده</t>
        </r>
      </text>
    </comment>
    <comment ref="G22" authorId="0" shapeId="0" xr:uid="{00000000-0006-0000-0200-00003D010000}">
      <text>
        <r>
          <rPr>
            <sz val="10"/>
            <rFont val="FreeSans"/>
            <family val="2"/>
          </rPr>
          <t>کلاس متریال در منبع ذکر نشده است</t>
        </r>
        <r>
          <rPr>
            <sz val="10"/>
            <rFont val="Arial"/>
            <family val="2"/>
          </rPr>
          <t>.</t>
        </r>
      </text>
    </comment>
    <comment ref="M22" authorId="0" shapeId="0" xr:uid="{00000000-0006-0000-0200-0000EE010000}">
      <text>
        <r>
          <rPr>
            <sz val="10"/>
            <rFont val="Arial"/>
            <family val="2"/>
          </rPr>
          <t>PEP-Rev.140205 P.ME gives only flow / pressure / kW – no design standard stated (previous bank had "API 610 / IPS", unsupported)</t>
        </r>
      </text>
    </comment>
    <comment ref="S22" authorId="0" shapeId="0" xr:uid="{00000000-0006-0000-0200-0000DC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22" authorId="0" shapeId="0" xr:uid="{00000000-0006-0000-0200-000062030000}">
      <text>
        <r>
          <rPr>
            <sz val="10"/>
            <rFont val="Arial"/>
            <family val="2"/>
          </rPr>
          <t>INFERRED – source does not state pump type; "Centrifugal (assumed)" carried from previous bank</t>
        </r>
      </text>
    </comment>
    <comment ref="W22" authorId="0" shapeId="0" xr:uid="{00000000-0006-0000-0200-000088030000}">
      <text>
        <r>
          <rPr>
            <sz val="10"/>
            <rFont val="Arial"/>
            <family val="2"/>
          </rPr>
          <t>PEP P.ME: pressure given as "bar" – discharge / differential / design not specified</t>
        </r>
      </text>
    </comment>
    <comment ref="Y22" authorId="0" shapeId="0" xr:uid="{00000000-0006-0000-0200-0000A4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22" authorId="0" shapeId="0" xr:uid="{00000000-0006-0000-0200-00001B040000}">
      <text>
        <r>
          <rPr>
            <sz val="10"/>
            <rFont val="Arial"/>
            <family val="2"/>
          </rPr>
          <t>SOURCE – PEP-Rev.140205 Gachsaran 4 P.ME H14: formula =ROUND(34000*per_Euro*USD_Change_IRR,-3) → base price is EUR (IRR value is only a conversion at per_Euro 1.085 × 420,000)</t>
        </r>
      </text>
    </comment>
    <comment ref="AA22" authorId="0" shapeId="0" xr:uid="{00000000-0006-0000-0200-000049040000}">
      <text>
        <r>
          <rPr>
            <sz val="10"/>
            <rFont val="Arial"/>
            <family val="2"/>
          </rPr>
          <t>SOURCE – PEP-Rev.140205 Gachsaran 4 P.ME H14: EUR constant inside the formula</t>
        </r>
      </text>
    </comment>
    <comment ref="AD22" authorId="0" shapeId="0" xr:uid="{00000000-0006-0000-0200-000078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H14)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15,493,520,000 ریال بوده است. این سلول با نرخ جدول FX </t>
        </r>
        <r>
          <rPr>
            <sz val="10"/>
            <rFont val="FreeSans"/>
            <family val="2"/>
          </rPr>
          <t>بانک (سال ۱۴۰۲</t>
        </r>
        <r>
          <rPr>
            <sz val="10"/>
            <rFont val="Arial"/>
            <family val="2"/>
          </rPr>
          <t>) محاسبه شده است.</t>
        </r>
      </text>
    </comment>
    <comment ref="AF22" authorId="0" shapeId="0" xr:uid="{00000000-0006-0000-0200-00009F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22" authorId="0" shapeId="0" xr:uid="{00000000-0006-0000-0200-00002C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22" authorId="0" shapeId="0" xr:uid="{00000000-0006-0000-0200-000047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22" authorId="0" shapeId="0" xr:uid="{00000000-0006-0000-0200-000062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23" authorId="0" shapeId="0" xr:uid="{00000000-0006-0000-0200-000018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23" authorId="0" shapeId="0" xr:uid="{00000000-0006-0000-0200-0000AB000000}">
      <text>
        <r>
          <rPr>
            <sz val="10"/>
            <rFont val="Arial"/>
            <family val="2"/>
          </rPr>
          <t xml:space="preserve">Not stated – —:
</t>
        </r>
        <r>
          <rPr>
            <sz val="10"/>
            <rFont val="FreeSans"/>
            <family val="2"/>
          </rPr>
          <t>نوع پمپ در منبع ذکر نشده</t>
        </r>
      </text>
    </comment>
    <comment ref="G23" authorId="0" shapeId="0" xr:uid="{00000000-0006-0000-0200-00003E010000}">
      <text>
        <r>
          <rPr>
            <sz val="10"/>
            <rFont val="FreeSans"/>
            <family val="2"/>
          </rPr>
          <t>کلاس متریال در منبع ذکر نشده است</t>
        </r>
        <r>
          <rPr>
            <sz val="10"/>
            <rFont val="Arial"/>
            <family val="2"/>
          </rPr>
          <t>.</t>
        </r>
      </text>
    </comment>
    <comment ref="M23" authorId="0" shapeId="0" xr:uid="{00000000-0006-0000-0200-0000EF010000}">
      <text>
        <r>
          <rPr>
            <sz val="10"/>
            <rFont val="Arial"/>
            <family val="2"/>
          </rPr>
          <t>PEP-Rev.140205 P.ME gives only flow / pressure / kW – no design standard stated (previous bank had "API 610 / IPS", unsupported)</t>
        </r>
      </text>
    </comment>
    <comment ref="S23" authorId="0" shapeId="0" xr:uid="{00000000-0006-0000-0200-0000DD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23" authorId="0" shapeId="0" xr:uid="{00000000-0006-0000-0200-000063030000}">
      <text>
        <r>
          <rPr>
            <sz val="10"/>
            <rFont val="Arial"/>
            <family val="2"/>
          </rPr>
          <t>INFERRED – source does not state pump type; "Centrifugal (assumed)" carried from previous bank</t>
        </r>
      </text>
    </comment>
    <comment ref="W23" authorId="0" shapeId="0" xr:uid="{00000000-0006-0000-0200-000089030000}">
      <text>
        <r>
          <rPr>
            <sz val="10"/>
            <rFont val="Arial"/>
            <family val="2"/>
          </rPr>
          <t>PEP P.ME: pressure given as "bar" – discharge / differential / design not specified</t>
        </r>
      </text>
    </comment>
    <comment ref="Y23" authorId="0" shapeId="0" xr:uid="{00000000-0006-0000-0200-0000A5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23" authorId="0" shapeId="0" xr:uid="{00000000-0006-0000-0200-00001C040000}">
      <text>
        <r>
          <rPr>
            <sz val="10"/>
            <rFont val="Arial"/>
            <family val="2"/>
          </rPr>
          <t>SOURCE – PEP-Rev.140205 Gachsaran 4 P.ME H17: formula =ROUND(29000*per_Euro*USD_Change_IRR,-3) → base price is EUR (IRR value is only a conversion at per_Euro 1.085 × 420,000)</t>
        </r>
      </text>
    </comment>
    <comment ref="AA23" authorId="0" shapeId="0" xr:uid="{00000000-0006-0000-0200-00004A040000}">
      <text>
        <r>
          <rPr>
            <sz val="10"/>
            <rFont val="Arial"/>
            <family val="2"/>
          </rPr>
          <t>SOURCE – PEP-Rev.140205 Gachsaran 4 P.ME H17: EUR constant inside the formula</t>
        </r>
      </text>
    </comment>
    <comment ref="AD23" authorId="0" shapeId="0" xr:uid="{00000000-0006-0000-0200-000079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H17)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13,215,061,212 ریال بوده است. این سلول با نرخ جدول FX </t>
        </r>
        <r>
          <rPr>
            <sz val="10"/>
            <rFont val="FreeSans"/>
            <family val="2"/>
          </rPr>
          <t>بانک (سال ۱۴۰۲</t>
        </r>
        <r>
          <rPr>
            <sz val="10"/>
            <rFont val="Arial"/>
            <family val="2"/>
          </rPr>
          <t>) محاسبه شده است.</t>
        </r>
      </text>
    </comment>
    <comment ref="AF23" authorId="0" shapeId="0" xr:uid="{00000000-0006-0000-0200-0000A0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23" authorId="0" shapeId="0" xr:uid="{00000000-0006-0000-0200-00002D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23" authorId="0" shapeId="0" xr:uid="{00000000-0006-0000-0200-000048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23" authorId="0" shapeId="0" xr:uid="{00000000-0006-0000-0200-000063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24" authorId="0" shapeId="0" xr:uid="{00000000-0006-0000-0200-000019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24" authorId="0" shapeId="0" xr:uid="{00000000-0006-0000-0200-0000AC000000}">
      <text>
        <r>
          <rPr>
            <sz val="10"/>
            <rFont val="Arial"/>
            <family val="2"/>
          </rPr>
          <t xml:space="preserve">Not stated – —:
</t>
        </r>
        <r>
          <rPr>
            <sz val="10"/>
            <rFont val="FreeSans"/>
            <family val="2"/>
          </rPr>
          <t>نوع پمپ در منبع ذکر نشده</t>
        </r>
      </text>
    </comment>
    <comment ref="G24" authorId="0" shapeId="0" xr:uid="{00000000-0006-0000-0200-00003F010000}">
      <text>
        <r>
          <rPr>
            <sz val="10"/>
            <rFont val="FreeSans"/>
            <family val="2"/>
          </rPr>
          <t>کلاس متریال در منبع ذکر نشده است</t>
        </r>
        <r>
          <rPr>
            <sz val="10"/>
            <rFont val="Arial"/>
            <family val="2"/>
          </rPr>
          <t>.</t>
        </r>
      </text>
    </comment>
    <comment ref="M24" authorId="0" shapeId="0" xr:uid="{00000000-0006-0000-0200-0000F0010000}">
      <text>
        <r>
          <rPr>
            <sz val="10"/>
            <rFont val="Arial"/>
            <family val="2"/>
          </rPr>
          <t>PEP-Rev.140205 P.ME gives only flow / pressure / kW – no design standard stated (previous bank had "API 610 / IPS", unsupported)</t>
        </r>
      </text>
    </comment>
    <comment ref="S24" authorId="0" shapeId="0" xr:uid="{00000000-0006-0000-0200-0000DE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24" authorId="0" shapeId="0" xr:uid="{00000000-0006-0000-0200-000064030000}">
      <text>
        <r>
          <rPr>
            <sz val="10"/>
            <rFont val="Arial"/>
            <family val="2"/>
          </rPr>
          <t>INFERRED – source does not state pump type; "Centrifugal (assumed)" carried from previous bank</t>
        </r>
      </text>
    </comment>
    <comment ref="W24" authorId="0" shapeId="0" xr:uid="{00000000-0006-0000-0200-00008A030000}">
      <text>
        <r>
          <rPr>
            <sz val="10"/>
            <rFont val="Arial"/>
            <family val="2"/>
          </rPr>
          <t>PEP P.ME: pressure given as "bar" – discharge / differential / design not specified</t>
        </r>
      </text>
    </comment>
    <comment ref="Y24" authorId="0" shapeId="0" xr:uid="{00000000-0006-0000-0200-0000A6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24" authorId="0" shapeId="0" xr:uid="{00000000-0006-0000-0200-00001D040000}">
      <text>
        <r>
          <rPr>
            <sz val="10"/>
            <rFont val="Arial"/>
            <family val="2"/>
          </rPr>
          <t>SOURCE – PEP-Rev.140205 Gachsaran 4 P.ME H18: formula =ROUND(27500*per_Euro*USD_Change_IRR,-3) → base price is EUR (IRR value is only a conversion at per_Euro 1.085 × 420,000)</t>
        </r>
      </text>
    </comment>
    <comment ref="AA24" authorId="0" shapeId="0" xr:uid="{00000000-0006-0000-0200-00004B040000}">
      <text>
        <r>
          <rPr>
            <sz val="10"/>
            <rFont val="Arial"/>
            <family val="2"/>
          </rPr>
          <t>SOURCE – PEP-Rev.140205 Gachsaran 4 P.ME H18: EUR constant inside the formula</t>
        </r>
      </text>
    </comment>
    <comment ref="AD24" authorId="0" shapeId="0" xr:uid="{00000000-0006-0000-0200-00007A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H18)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12,531,523,563 ریال بوده است. این سلول با نرخ جدول FX </t>
        </r>
        <r>
          <rPr>
            <sz val="10"/>
            <rFont val="FreeSans"/>
            <family val="2"/>
          </rPr>
          <t>بانک (سال ۱۴۰۲</t>
        </r>
        <r>
          <rPr>
            <sz val="10"/>
            <rFont val="Arial"/>
            <family val="2"/>
          </rPr>
          <t>) محاسبه شده است.</t>
        </r>
      </text>
    </comment>
    <comment ref="AF24" authorId="0" shapeId="0" xr:uid="{00000000-0006-0000-0200-0000A1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24" authorId="0" shapeId="0" xr:uid="{00000000-0006-0000-0200-00002E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24" authorId="0" shapeId="0" xr:uid="{00000000-0006-0000-0200-000049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24" authorId="0" shapeId="0" xr:uid="{00000000-0006-0000-0200-000064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25" authorId="0" shapeId="0" xr:uid="{00000000-0006-0000-0200-00001A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25" authorId="0" shapeId="0" xr:uid="{00000000-0006-0000-0200-0000AD000000}">
      <text>
        <r>
          <rPr>
            <sz val="10"/>
            <rFont val="Arial"/>
            <family val="2"/>
          </rPr>
          <t xml:space="preserve">Not stated – —:
</t>
        </r>
        <r>
          <rPr>
            <sz val="10"/>
            <rFont val="FreeSans"/>
            <family val="2"/>
          </rPr>
          <t>نوع پمپ در منبع ذکر نشده</t>
        </r>
      </text>
    </comment>
    <comment ref="G25" authorId="0" shapeId="0" xr:uid="{00000000-0006-0000-0200-000040010000}">
      <text>
        <r>
          <rPr>
            <sz val="10"/>
            <rFont val="FreeSans"/>
            <family val="2"/>
          </rPr>
          <t>کلاس متریال در منبع ذکر نشده است</t>
        </r>
        <r>
          <rPr>
            <sz val="10"/>
            <rFont val="Arial"/>
            <family val="2"/>
          </rPr>
          <t>.</t>
        </r>
      </text>
    </comment>
    <comment ref="M25" authorId="0" shapeId="0" xr:uid="{00000000-0006-0000-0200-0000F1010000}">
      <text>
        <r>
          <rPr>
            <sz val="10"/>
            <rFont val="Arial"/>
            <family val="2"/>
          </rPr>
          <t>PEP-Rev.140205 P.ME gives only flow / pressure / kW – no design standard stated (previous bank had "API 610 / IPS", unsupported)</t>
        </r>
      </text>
    </comment>
    <comment ref="S25" authorId="0" shapeId="0" xr:uid="{00000000-0006-0000-0200-0000DF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25" authorId="0" shapeId="0" xr:uid="{00000000-0006-0000-0200-000065030000}">
      <text>
        <r>
          <rPr>
            <sz val="10"/>
            <rFont val="Arial"/>
            <family val="2"/>
          </rPr>
          <t>INFERRED – source does not state pump type; "Centrifugal (assumed)" carried from previous bank</t>
        </r>
      </text>
    </comment>
    <comment ref="W25" authorId="0" shapeId="0" xr:uid="{00000000-0006-0000-0200-00008B030000}">
      <text>
        <r>
          <rPr>
            <sz val="10"/>
            <rFont val="Arial"/>
            <family val="2"/>
          </rPr>
          <t>PEP P.ME: pressure given as "bar" – discharge / differential / design not specified</t>
        </r>
      </text>
    </comment>
    <comment ref="Y25" authorId="0" shapeId="0" xr:uid="{00000000-0006-0000-0200-0000A7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25" authorId="0" shapeId="0" xr:uid="{00000000-0006-0000-0200-00001E040000}">
      <text>
        <r>
          <rPr>
            <sz val="10"/>
            <rFont val="Arial"/>
            <family val="2"/>
          </rPr>
          <t>SOURCE – PEP-Rev.140205 Gachsaran 4 P.ME H20: formula =ROUND(15000*per_Euro*USD_Change_IRR,-3) → base price is EUR (IRR value is only a conversion at per_Euro 1.085 × 420,000)</t>
        </r>
      </text>
    </comment>
    <comment ref="AA25" authorId="0" shapeId="0" xr:uid="{00000000-0006-0000-0200-00004C040000}">
      <text>
        <r>
          <rPr>
            <sz val="10"/>
            <rFont val="Arial"/>
            <family val="2"/>
          </rPr>
          <t>SOURCE – PEP-Rev.140205 Gachsaran 4 P.ME H20: EUR constant inside the formula</t>
        </r>
      </text>
    </comment>
    <comment ref="AD25" authorId="0" shapeId="0" xr:uid="{00000000-0006-0000-0200-00007B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H20)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6,835,376,489 ریال بوده است. این سلول با نرخ جدول FX </t>
        </r>
        <r>
          <rPr>
            <sz val="10"/>
            <rFont val="FreeSans"/>
            <family val="2"/>
          </rPr>
          <t>بانک (سال ۱۴۰۲</t>
        </r>
        <r>
          <rPr>
            <sz val="10"/>
            <rFont val="Arial"/>
            <family val="2"/>
          </rPr>
          <t>) محاسبه شده است.</t>
        </r>
      </text>
    </comment>
    <comment ref="AF25" authorId="0" shapeId="0" xr:uid="{00000000-0006-0000-0200-0000A2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25" authorId="0" shapeId="0" xr:uid="{00000000-0006-0000-0200-00002F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25" authorId="0" shapeId="0" xr:uid="{00000000-0006-0000-0200-00004A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25" authorId="0" shapeId="0" xr:uid="{00000000-0006-0000-0200-000065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26" authorId="0" shapeId="0" xr:uid="{00000000-0006-0000-0200-00001B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26" authorId="0" shapeId="0" xr:uid="{00000000-0006-0000-0200-0000AE000000}">
      <text>
        <r>
          <rPr>
            <sz val="10"/>
            <rFont val="Arial"/>
            <family val="2"/>
          </rPr>
          <t xml:space="preserve">Not stated – —:
</t>
        </r>
        <r>
          <rPr>
            <sz val="10"/>
            <rFont val="FreeSans"/>
            <family val="2"/>
          </rPr>
          <t>نوع پمپ در منبع ذکر نشده</t>
        </r>
      </text>
    </comment>
    <comment ref="G26" authorId="0" shapeId="0" xr:uid="{00000000-0006-0000-0200-000041010000}">
      <text>
        <r>
          <rPr>
            <sz val="10"/>
            <rFont val="FreeSans"/>
            <family val="2"/>
          </rPr>
          <t>کلاس متریال در منبع ذکر نشده است</t>
        </r>
        <r>
          <rPr>
            <sz val="10"/>
            <rFont val="Arial"/>
            <family val="2"/>
          </rPr>
          <t>.</t>
        </r>
      </text>
    </comment>
    <comment ref="M26" authorId="0" shapeId="0" xr:uid="{00000000-0006-0000-0200-0000F2010000}">
      <text>
        <r>
          <rPr>
            <sz val="10"/>
            <rFont val="Arial"/>
            <family val="2"/>
          </rPr>
          <t>PEP-Rev.140205 P.ME gives only flow / pressure / kW – no design standard stated (previous bank had "API 610 / IPS", unsupported)</t>
        </r>
      </text>
    </comment>
    <comment ref="S26" authorId="0" shapeId="0" xr:uid="{00000000-0006-0000-0200-0000E0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26" authorId="0" shapeId="0" xr:uid="{00000000-0006-0000-0200-000066030000}">
      <text>
        <r>
          <rPr>
            <sz val="10"/>
            <rFont val="Arial"/>
            <family val="2"/>
          </rPr>
          <t>INFERRED – source does not state pump type; "Centrifugal (assumed)" carried from previous bank</t>
        </r>
      </text>
    </comment>
    <comment ref="W26" authorId="0" shapeId="0" xr:uid="{00000000-0006-0000-0200-00008C030000}">
      <text>
        <r>
          <rPr>
            <sz val="10"/>
            <rFont val="Arial"/>
            <family val="2"/>
          </rPr>
          <t>PEP P.ME: pressure given as "bar" – discharge / differential / design not specified</t>
        </r>
      </text>
    </comment>
    <comment ref="Y26" authorId="0" shapeId="0" xr:uid="{00000000-0006-0000-0200-0000A8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26" authorId="0" shapeId="0" xr:uid="{00000000-0006-0000-0200-00001F040000}">
      <text>
        <r>
          <rPr>
            <sz val="10"/>
            <rFont val="Arial"/>
            <family val="2"/>
          </rPr>
          <t>SOURCE – PEP-Rev.140205 Gachsaran 4 P.ME H21: formula =ROUND(17000*per_Euro*USD_Change_IRR,-3) → base price is EUR (IRR value is only a conversion at per_Euro 1.085 × 420,000)</t>
        </r>
      </text>
    </comment>
    <comment ref="AA26" authorId="0" shapeId="0" xr:uid="{00000000-0006-0000-0200-00004D040000}">
      <text>
        <r>
          <rPr>
            <sz val="10"/>
            <rFont val="Arial"/>
            <family val="2"/>
          </rPr>
          <t>SOURCE – PEP-Rev.140205 Gachsaran 4 P.ME H21: EUR constant inside the formula</t>
        </r>
      </text>
    </comment>
    <comment ref="AD26" authorId="0" shapeId="0" xr:uid="{00000000-0006-0000-0200-00007C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H21)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7,746,760,021 ریال بوده است. این سلول با نرخ جدول FX </t>
        </r>
        <r>
          <rPr>
            <sz val="10"/>
            <rFont val="FreeSans"/>
            <family val="2"/>
          </rPr>
          <t>بانک (سال ۱۴۰۲</t>
        </r>
        <r>
          <rPr>
            <sz val="10"/>
            <rFont val="Arial"/>
            <family val="2"/>
          </rPr>
          <t>) محاسبه شده است.</t>
        </r>
      </text>
    </comment>
    <comment ref="AF26" authorId="0" shapeId="0" xr:uid="{00000000-0006-0000-0200-0000A3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26" authorId="0" shapeId="0" xr:uid="{00000000-0006-0000-0200-000030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26" authorId="0" shapeId="0" xr:uid="{00000000-0006-0000-0200-00004B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26" authorId="0" shapeId="0" xr:uid="{00000000-0006-0000-0200-000066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27" authorId="0" shapeId="0" xr:uid="{00000000-0006-0000-0200-00001C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27" authorId="0" shapeId="0" xr:uid="{00000000-0006-0000-0200-0000AF000000}">
      <text>
        <r>
          <rPr>
            <sz val="10"/>
            <rFont val="Arial"/>
            <family val="2"/>
          </rPr>
          <t xml:space="preserve">Not stated – —:
</t>
        </r>
        <r>
          <rPr>
            <sz val="10"/>
            <rFont val="FreeSans"/>
            <family val="2"/>
          </rPr>
          <t>نوع پمپ در منبع ذکر نشده</t>
        </r>
      </text>
    </comment>
    <comment ref="G27" authorId="0" shapeId="0" xr:uid="{00000000-0006-0000-0200-000042010000}">
      <text>
        <r>
          <rPr>
            <sz val="10"/>
            <rFont val="FreeSans"/>
            <family val="2"/>
          </rPr>
          <t>کلاس متریال در منبع ذکر نشده است</t>
        </r>
        <r>
          <rPr>
            <sz val="10"/>
            <rFont val="Arial"/>
            <family val="2"/>
          </rPr>
          <t>.</t>
        </r>
      </text>
    </comment>
    <comment ref="M27" authorId="0" shapeId="0" xr:uid="{00000000-0006-0000-0200-0000F3010000}">
      <text>
        <r>
          <rPr>
            <sz val="10"/>
            <rFont val="Arial"/>
            <family val="2"/>
          </rPr>
          <t>PEP-Rev.140205 P.ME gives only flow / pressure / kW – no design standard stated (previous bank had "API 610 / IPS", unsupported)</t>
        </r>
      </text>
    </comment>
    <comment ref="S27" authorId="0" shapeId="0" xr:uid="{00000000-0006-0000-0200-0000E1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27" authorId="0" shapeId="0" xr:uid="{00000000-0006-0000-0200-000067030000}">
      <text>
        <r>
          <rPr>
            <sz val="10"/>
            <rFont val="Arial"/>
            <family val="2"/>
          </rPr>
          <t>INFERRED – source does not state pump type; "Centrifugal (assumed)" carried from previous bank</t>
        </r>
      </text>
    </comment>
    <comment ref="W27" authorId="0" shapeId="0" xr:uid="{00000000-0006-0000-0200-00008D030000}">
      <text>
        <r>
          <rPr>
            <sz val="10"/>
            <rFont val="Arial"/>
            <family val="2"/>
          </rPr>
          <t>PEP P.ME: pressure given as "bar" – discharge / differential / design not specified</t>
        </r>
      </text>
    </comment>
    <comment ref="Y27" authorId="0" shapeId="0" xr:uid="{00000000-0006-0000-0200-0000A9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27" authorId="0" shapeId="0" xr:uid="{00000000-0006-0000-0200-000020040000}">
      <text>
        <r>
          <rPr>
            <sz val="10"/>
            <rFont val="Arial"/>
            <family val="2"/>
          </rPr>
          <t>SOURCE – PEP-Rev.140205 Gachsaran 4 P.ME H23: formula =ROUND(11000*per_Euro*USD_Change_IRR,-3) → base price is EUR (IRR value is only a conversion at per_Euro 1.085 × 420,000)</t>
        </r>
      </text>
    </comment>
    <comment ref="AA27" authorId="0" shapeId="0" xr:uid="{00000000-0006-0000-0200-00004E040000}">
      <text>
        <r>
          <rPr>
            <sz val="10"/>
            <rFont val="Arial"/>
            <family val="2"/>
          </rPr>
          <t>SOURCE – PEP-Rev.140205 Gachsaran 4 P.ME H23: EUR constant inside the formula</t>
        </r>
      </text>
    </comment>
    <comment ref="AD27" authorId="0" shapeId="0" xr:uid="{00000000-0006-0000-0200-00007D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H23)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5,012,609,000 ریال بوده است. این سلول با نرخ جدول FX </t>
        </r>
        <r>
          <rPr>
            <sz val="10"/>
            <rFont val="FreeSans"/>
            <family val="2"/>
          </rPr>
          <t>بانک (سال ۱۴۰۲</t>
        </r>
        <r>
          <rPr>
            <sz val="10"/>
            <rFont val="Arial"/>
            <family val="2"/>
          </rPr>
          <t>) محاسبه شده است.</t>
        </r>
      </text>
    </comment>
    <comment ref="AF27" authorId="0" shapeId="0" xr:uid="{00000000-0006-0000-0200-0000A4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27" authorId="0" shapeId="0" xr:uid="{00000000-0006-0000-0200-000031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27" authorId="0" shapeId="0" xr:uid="{00000000-0006-0000-0200-00004C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27" authorId="0" shapeId="0" xr:uid="{00000000-0006-0000-0200-000067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28" authorId="0" shapeId="0" xr:uid="{00000000-0006-0000-0200-00001D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28" authorId="0" shapeId="0" xr:uid="{00000000-0006-0000-0200-0000B0000000}">
      <text>
        <r>
          <rPr>
            <sz val="10"/>
            <rFont val="Arial"/>
            <family val="2"/>
          </rPr>
          <t xml:space="preserve">Not stated – —:
</t>
        </r>
        <r>
          <rPr>
            <sz val="10"/>
            <rFont val="FreeSans"/>
            <family val="2"/>
          </rPr>
          <t>نوع پمپ در منبع ذکر نشده</t>
        </r>
      </text>
    </comment>
    <comment ref="G28" authorId="0" shapeId="0" xr:uid="{00000000-0006-0000-0200-000043010000}">
      <text>
        <r>
          <rPr>
            <sz val="10"/>
            <rFont val="FreeSans"/>
            <family val="2"/>
          </rPr>
          <t>کلاس متریال در منبع ذکر نشده است</t>
        </r>
        <r>
          <rPr>
            <sz val="10"/>
            <rFont val="Arial"/>
            <family val="2"/>
          </rPr>
          <t>.</t>
        </r>
      </text>
    </comment>
    <comment ref="M28" authorId="0" shapeId="0" xr:uid="{00000000-0006-0000-0200-0000F4010000}">
      <text>
        <r>
          <rPr>
            <sz val="10"/>
            <rFont val="Arial"/>
            <family val="2"/>
          </rPr>
          <t>PEP-Rev.140205 P.ME gives only flow / pressure / kW – no design standard stated (previous bank had "API 610 / IPS", unsupported)</t>
        </r>
      </text>
    </comment>
    <comment ref="S28" authorId="0" shapeId="0" xr:uid="{00000000-0006-0000-0200-0000E2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28" authorId="0" shapeId="0" xr:uid="{00000000-0006-0000-0200-000068030000}">
      <text>
        <r>
          <rPr>
            <sz val="10"/>
            <rFont val="Arial"/>
            <family val="2"/>
          </rPr>
          <t>INFERRED – source does not state pump type; "Centrifugal (assumed)" carried from previous bank</t>
        </r>
      </text>
    </comment>
    <comment ref="W28" authorId="0" shapeId="0" xr:uid="{00000000-0006-0000-0200-00008E030000}">
      <text>
        <r>
          <rPr>
            <sz val="10"/>
            <rFont val="Arial"/>
            <family val="2"/>
          </rPr>
          <t>PEP P.ME: pressure given as "bar" – discharge / differential / design not specified</t>
        </r>
      </text>
    </comment>
    <comment ref="Y28" authorId="0" shapeId="0" xr:uid="{00000000-0006-0000-0200-0000AA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28" authorId="0" shapeId="0" xr:uid="{00000000-0006-0000-0200-000021040000}">
      <text>
        <r>
          <rPr>
            <sz val="10"/>
            <rFont val="Arial"/>
            <family val="2"/>
          </rPr>
          <t>SOURCE – PEP-Rev.140205 Gachsaran 4 P.ME H24: formula =ROUND(430000*per_Euro*USD_Change_IRR,-3) → base price is EUR (IRR value is only a conversion at per_Euro 1.085 × 420,000)</t>
        </r>
      </text>
    </comment>
    <comment ref="AA28" authorId="0" shapeId="0" xr:uid="{00000000-0006-0000-0200-00004F040000}">
      <text>
        <r>
          <rPr>
            <sz val="10"/>
            <rFont val="Arial"/>
            <family val="2"/>
          </rPr>
          <t>SOURCE – PEP-Rev.140205 Gachsaran 4 P.ME H24: EUR constant inside the formula</t>
        </r>
      </text>
    </comment>
    <comment ref="AD28" authorId="0" shapeId="0" xr:uid="{00000000-0006-0000-0200-00007E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H24)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195,947,459,000 ریال بوده است. این سلول با نرخ جدول FX </t>
        </r>
        <r>
          <rPr>
            <sz val="10"/>
            <rFont val="FreeSans"/>
            <family val="2"/>
          </rPr>
          <t>بانک (سال ۱۴۰۲</t>
        </r>
        <r>
          <rPr>
            <sz val="10"/>
            <rFont val="Arial"/>
            <family val="2"/>
          </rPr>
          <t>) محاسبه شده است.</t>
        </r>
      </text>
    </comment>
    <comment ref="AF28" authorId="0" shapeId="0" xr:uid="{00000000-0006-0000-0200-0000A5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28" authorId="0" shapeId="0" xr:uid="{00000000-0006-0000-0200-000032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28" authorId="0" shapeId="0" xr:uid="{00000000-0006-0000-0200-00004D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28" authorId="0" shapeId="0" xr:uid="{00000000-0006-0000-0200-000068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29" authorId="0" shapeId="0" xr:uid="{00000000-0006-0000-0200-00001E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29" authorId="0" shapeId="0" xr:uid="{00000000-0006-0000-0200-0000B1000000}">
      <text>
        <r>
          <rPr>
            <sz val="10"/>
            <rFont val="Arial"/>
            <family val="2"/>
          </rPr>
          <t xml:space="preserve">Not stated – —:
</t>
        </r>
        <r>
          <rPr>
            <sz val="10"/>
            <rFont val="FreeSans"/>
            <family val="2"/>
          </rPr>
          <t>نوع پمپ در منبع ذکر نشده</t>
        </r>
      </text>
    </comment>
    <comment ref="G29" authorId="0" shapeId="0" xr:uid="{00000000-0006-0000-0200-000044010000}">
      <text>
        <r>
          <rPr>
            <sz val="10"/>
            <rFont val="FreeSans"/>
            <family val="2"/>
          </rPr>
          <t>کلاس متریال در منبع ذکر نشده است</t>
        </r>
        <r>
          <rPr>
            <sz val="10"/>
            <rFont val="Arial"/>
            <family val="2"/>
          </rPr>
          <t>.</t>
        </r>
      </text>
    </comment>
    <comment ref="M29" authorId="0" shapeId="0" xr:uid="{00000000-0006-0000-0200-0000F5010000}">
      <text>
        <r>
          <rPr>
            <sz val="10"/>
            <rFont val="Arial"/>
            <family val="2"/>
          </rPr>
          <t>PEP-Rev.140205 P.ME gives only flow / pressure / kW – no design standard stated (previous bank had "API 610 / IPS", unsupported)</t>
        </r>
      </text>
    </comment>
    <comment ref="S29" authorId="0" shapeId="0" xr:uid="{00000000-0006-0000-0200-0000E3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29" authorId="0" shapeId="0" xr:uid="{00000000-0006-0000-0200-000069030000}">
      <text>
        <r>
          <rPr>
            <sz val="10"/>
            <rFont val="Arial"/>
            <family val="2"/>
          </rPr>
          <t>INFERRED – source does not state pump type; "Centrifugal (assumed)" carried from previous bank</t>
        </r>
      </text>
    </comment>
    <comment ref="W29" authorId="0" shapeId="0" xr:uid="{00000000-0006-0000-0200-00008F030000}">
      <text>
        <r>
          <rPr>
            <sz val="10"/>
            <rFont val="Arial"/>
            <family val="2"/>
          </rPr>
          <t>PEP P.ME: pressure given as "bar" – discharge / differential / design not specified</t>
        </r>
      </text>
    </comment>
    <comment ref="Y29" authorId="0" shapeId="0" xr:uid="{00000000-0006-0000-0200-0000AB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29" authorId="0" shapeId="0" xr:uid="{00000000-0006-0000-0200-000022040000}">
      <text>
        <r>
          <rPr>
            <sz val="10"/>
            <rFont val="Arial"/>
            <family val="2"/>
          </rPr>
          <t>SOURCE – PEP-Rev.140205 Gachsaran 4 P.ME H25: formula =ROUND(285000*per_Euro*USD_Change_IRR,-3) → base price is EUR (IRR value is only a conversion at per_Euro 1.085 × 420,000)</t>
        </r>
      </text>
    </comment>
    <comment ref="AA29" authorId="0" shapeId="0" xr:uid="{00000000-0006-0000-0200-000050040000}">
      <text>
        <r>
          <rPr>
            <sz val="10"/>
            <rFont val="Arial"/>
            <family val="2"/>
          </rPr>
          <t>SOURCE – PEP-Rev.140205 Gachsaran 4 P.ME H25: EUR constant inside the formula</t>
        </r>
      </text>
    </comment>
    <comment ref="AD29" authorId="0" shapeId="0" xr:uid="{00000000-0006-0000-0200-00007F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H25)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129,872,153,000 ریال بوده است. این سلول با نرخ جدول FX </t>
        </r>
        <r>
          <rPr>
            <sz val="10"/>
            <rFont val="FreeSans"/>
            <family val="2"/>
          </rPr>
          <t>بانک (سال ۱۴۰۲</t>
        </r>
        <r>
          <rPr>
            <sz val="10"/>
            <rFont val="Arial"/>
            <family val="2"/>
          </rPr>
          <t>) محاسبه شده است.</t>
        </r>
      </text>
    </comment>
    <comment ref="AF29" authorId="0" shapeId="0" xr:uid="{00000000-0006-0000-0200-0000A6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29" authorId="0" shapeId="0" xr:uid="{00000000-0006-0000-0200-000033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29" authorId="0" shapeId="0" xr:uid="{00000000-0006-0000-0200-00004E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29" authorId="0" shapeId="0" xr:uid="{00000000-0006-0000-0200-000069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30" authorId="0" shapeId="0" xr:uid="{00000000-0006-0000-0200-00001F000000}">
      <text>
        <r>
          <rPr>
            <sz val="10"/>
            <rFont val="Arial"/>
            <family val="2"/>
          </rPr>
          <t xml:space="preserve">ROT-AUX = Chemical, Fuel &amp; Auxiliary Pumps
</t>
        </r>
        <r>
          <rPr>
            <sz val="10"/>
            <rFont val="FreeSans"/>
            <family val="2"/>
          </rPr>
          <t xml:space="preserve">پمپ‌های جانبی: مواد شیمیایی، گلایکول، گازوئیل و سوخت
—
</t>
        </r>
        <r>
          <rPr>
            <sz val="10"/>
            <rFont val="Arial"/>
            <family val="2"/>
          </rPr>
          <t>Reclassified 1405-07: ROT-INJ → ROT-AUX (service-based classification; approved)</t>
        </r>
      </text>
    </comment>
    <comment ref="F30" authorId="0" shapeId="0" xr:uid="{00000000-0006-0000-0200-0000B2000000}">
      <text>
        <r>
          <rPr>
            <sz val="10"/>
            <rFont val="Arial"/>
            <family val="2"/>
          </rPr>
          <t xml:space="preserve">Not stated – —:
</t>
        </r>
        <r>
          <rPr>
            <sz val="10"/>
            <rFont val="FreeSans"/>
            <family val="2"/>
          </rPr>
          <t>نوع پمپ در منبع ذکر نشده</t>
        </r>
      </text>
    </comment>
    <comment ref="G30" authorId="0" shapeId="0" xr:uid="{00000000-0006-0000-0200-000045010000}">
      <text>
        <r>
          <rPr>
            <sz val="10"/>
            <rFont val="FreeSans"/>
            <family val="2"/>
          </rPr>
          <t>کلاس متریال در منبع ذکر نشده است</t>
        </r>
        <r>
          <rPr>
            <sz val="10"/>
            <rFont val="Arial"/>
            <family val="2"/>
          </rPr>
          <t>.</t>
        </r>
      </text>
    </comment>
    <comment ref="M30" authorId="0" shapeId="0" xr:uid="{00000000-0006-0000-0200-0000F6010000}">
      <text>
        <r>
          <rPr>
            <sz val="10"/>
            <rFont val="Arial"/>
            <family val="2"/>
          </rPr>
          <t>PEP-Rev.140205 P.ME gives only flow / pressure / kW – no design standard stated (previous bank had "API 610 / IPS", unsupported)</t>
        </r>
      </text>
    </comment>
    <comment ref="S30" authorId="0" shapeId="0" xr:uid="{00000000-0006-0000-0200-0000E4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30" authorId="0" shapeId="0" xr:uid="{00000000-0006-0000-0200-00006A030000}">
      <text>
        <r>
          <rPr>
            <sz val="10"/>
            <rFont val="Arial"/>
            <family val="2"/>
          </rPr>
          <t>INFERRED – source does not state pump type; "Centrifugal (assumed)" carried from previous bank</t>
        </r>
      </text>
    </comment>
    <comment ref="W30" authorId="0" shapeId="0" xr:uid="{00000000-0006-0000-0200-000090030000}">
      <text>
        <r>
          <rPr>
            <sz val="10"/>
            <rFont val="Arial"/>
            <family val="2"/>
          </rPr>
          <t>PEP P.ME: pressure given as "bar" – discharge / differential / design not specified</t>
        </r>
      </text>
    </comment>
    <comment ref="Y30" authorId="0" shapeId="0" xr:uid="{00000000-0006-0000-0200-0000AC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30" authorId="0" shapeId="0" xr:uid="{00000000-0006-0000-0200-000023040000}">
      <text>
        <r>
          <rPr>
            <sz val="10"/>
            <rFont val="Arial"/>
            <family val="2"/>
          </rPr>
          <t>SOURCE – PEP-Rev.140205 Gachsaran 4 P.ME H36: formula =ROUND(9000*per_Euro*USD_Change_IRR,-3) → base price is EUR (IRR value is only a conversion at per_Euro 1.085 × 420,000)</t>
        </r>
      </text>
    </comment>
    <comment ref="AA30" authorId="0" shapeId="0" xr:uid="{00000000-0006-0000-0200-000051040000}">
      <text>
        <r>
          <rPr>
            <sz val="10"/>
            <rFont val="Arial"/>
            <family val="2"/>
          </rPr>
          <t>SOURCE – PEP-Rev.140205 Gachsaran 4 P.ME H36: EUR constant inside the formula</t>
        </r>
      </text>
    </comment>
    <comment ref="AD30" authorId="0" shapeId="0" xr:uid="{00000000-0006-0000-0200-000080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H36)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4,101,226,000 ریال بوده است. این سلول با نرخ جدول FX </t>
        </r>
        <r>
          <rPr>
            <sz val="10"/>
            <rFont val="FreeSans"/>
            <family val="2"/>
          </rPr>
          <t>بانک (سال ۱۴۰۲</t>
        </r>
        <r>
          <rPr>
            <sz val="10"/>
            <rFont val="Arial"/>
            <family val="2"/>
          </rPr>
          <t>) محاسبه شده است.</t>
        </r>
      </text>
    </comment>
    <comment ref="AF30" authorId="0" shapeId="0" xr:uid="{00000000-0006-0000-0200-0000A7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30" authorId="0" shapeId="0" xr:uid="{00000000-0006-0000-0200-000034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30" authorId="0" shapeId="0" xr:uid="{00000000-0006-0000-0200-00004F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30" authorId="0" shapeId="0" xr:uid="{00000000-0006-0000-0200-00006A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31" authorId="0" shapeId="0" xr:uid="{00000000-0006-0000-0200-000020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31" authorId="0" shapeId="0" xr:uid="{00000000-0006-0000-0200-0000B3000000}">
      <text>
        <r>
          <rPr>
            <sz val="10"/>
            <rFont val="Arial"/>
            <family val="2"/>
          </rPr>
          <t xml:space="preserve">Not stated – —:
</t>
        </r>
        <r>
          <rPr>
            <sz val="10"/>
            <rFont val="FreeSans"/>
            <family val="2"/>
          </rPr>
          <t>نوع پمپ در منبع ذکر نشده</t>
        </r>
      </text>
    </comment>
    <comment ref="G31" authorId="0" shapeId="0" xr:uid="{00000000-0006-0000-0200-000046010000}">
      <text>
        <r>
          <rPr>
            <sz val="10"/>
            <rFont val="FreeSans"/>
            <family val="2"/>
          </rPr>
          <t>کلاس متریال در منبع ذکر نشده است</t>
        </r>
        <r>
          <rPr>
            <sz val="10"/>
            <rFont val="Arial"/>
            <family val="2"/>
          </rPr>
          <t>.</t>
        </r>
      </text>
    </comment>
    <comment ref="M31" authorId="0" shapeId="0" xr:uid="{00000000-0006-0000-0200-0000F7010000}">
      <text>
        <r>
          <rPr>
            <sz val="10"/>
            <rFont val="Arial"/>
            <family val="2"/>
          </rPr>
          <t>PEP-Rev.140205 P.ME gives only flow / pressure / kW – no design standard stated (previous bank had "API 610 / IPS", unsupported)</t>
        </r>
      </text>
    </comment>
    <comment ref="S31" authorId="0" shapeId="0" xr:uid="{00000000-0006-0000-0200-0000E5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31" authorId="0" shapeId="0" xr:uid="{00000000-0006-0000-0200-00006B030000}">
      <text>
        <r>
          <rPr>
            <sz val="10"/>
            <rFont val="Arial"/>
            <family val="2"/>
          </rPr>
          <t>INFERRED – source does not state pump type; "Centrifugal (assumed)" carried from previous bank</t>
        </r>
      </text>
    </comment>
    <comment ref="W31" authorId="0" shapeId="0" xr:uid="{00000000-0006-0000-0200-000091030000}">
      <text>
        <r>
          <rPr>
            <sz val="10"/>
            <rFont val="Arial"/>
            <family val="2"/>
          </rPr>
          <t>PEP P.ME: pressure given as "bar" – discharge / differential / design not specified</t>
        </r>
      </text>
    </comment>
    <comment ref="Y31" authorId="0" shapeId="0" xr:uid="{00000000-0006-0000-0200-0000AD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31" authorId="0" shapeId="0" xr:uid="{00000000-0006-0000-0200-000024040000}">
      <text>
        <r>
          <rPr>
            <sz val="10"/>
            <rFont val="Arial"/>
            <family val="2"/>
          </rPr>
          <t>SOURCE – PEP-Rev.140205 Gachsaran 4 P.ME H46: formula =ROUND(28000*per_Euro*USD_Change_IRR,-3) → base price is EUR (IRR value is only a conversion at per_Euro 1.085 × 420,000)</t>
        </r>
      </text>
    </comment>
    <comment ref="AA31" authorId="0" shapeId="0" xr:uid="{00000000-0006-0000-0200-000052040000}">
      <text>
        <r>
          <rPr>
            <sz val="10"/>
            <rFont val="Arial"/>
            <family val="2"/>
          </rPr>
          <t>SOURCE – PEP-Rev.140205 Gachsaran 4 P.ME H46: EUR constant inside the formula</t>
        </r>
      </text>
    </comment>
    <comment ref="AD31" authorId="0" shapeId="0" xr:uid="{00000000-0006-0000-0200-000081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H46)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12,759,369,000 ریال بوده است. این سلول با نرخ جدول FX </t>
        </r>
        <r>
          <rPr>
            <sz val="10"/>
            <rFont val="FreeSans"/>
            <family val="2"/>
          </rPr>
          <t>بانک (سال ۱۴۰۲</t>
        </r>
        <r>
          <rPr>
            <sz val="10"/>
            <rFont val="Arial"/>
            <family val="2"/>
          </rPr>
          <t>) محاسبه شده است.</t>
        </r>
      </text>
    </comment>
    <comment ref="AF31" authorId="0" shapeId="0" xr:uid="{00000000-0006-0000-0200-0000A8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31" authorId="0" shapeId="0" xr:uid="{00000000-0006-0000-0200-000035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31" authorId="0" shapeId="0" xr:uid="{00000000-0006-0000-0200-000050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31" authorId="0" shapeId="0" xr:uid="{00000000-0006-0000-0200-00006B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32" authorId="0" shapeId="0" xr:uid="{00000000-0006-0000-0200-000021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32" authorId="0" shapeId="0" xr:uid="{00000000-0006-0000-0200-0000B4000000}">
      <text>
        <r>
          <rPr>
            <sz val="10"/>
            <rFont val="Arial"/>
            <family val="2"/>
          </rPr>
          <t xml:space="preserve">Not stated – —:
</t>
        </r>
        <r>
          <rPr>
            <sz val="10"/>
            <rFont val="FreeSans"/>
            <family val="2"/>
          </rPr>
          <t>نوع پمپ در منبع ذکر نشده</t>
        </r>
      </text>
    </comment>
    <comment ref="G32" authorId="0" shapeId="0" xr:uid="{00000000-0006-0000-0200-000047010000}">
      <text>
        <r>
          <rPr>
            <sz val="10"/>
            <rFont val="FreeSans"/>
            <family val="2"/>
          </rPr>
          <t>کلاس متریال در منبع ذکر نشده است</t>
        </r>
        <r>
          <rPr>
            <sz val="10"/>
            <rFont val="Arial"/>
            <family val="2"/>
          </rPr>
          <t>.</t>
        </r>
      </text>
    </comment>
    <comment ref="M32" authorId="0" shapeId="0" xr:uid="{00000000-0006-0000-0200-0000F8010000}">
      <text>
        <r>
          <rPr>
            <sz val="10"/>
            <rFont val="Arial"/>
            <family val="2"/>
          </rPr>
          <t>PEP-Rev.140205 P.ME gives only flow / pressure / kW – no design standard stated (previous bank had "API 610 / IPS", unsupported)</t>
        </r>
      </text>
    </comment>
    <comment ref="S32" authorId="0" shapeId="0" xr:uid="{00000000-0006-0000-0200-0000E6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32" authorId="0" shapeId="0" xr:uid="{00000000-0006-0000-0200-00006C030000}">
      <text>
        <r>
          <rPr>
            <sz val="10"/>
            <rFont val="Arial"/>
            <family val="2"/>
          </rPr>
          <t>INFERRED – source does not state pump type; "Centrifugal (assumed)" carried from previous bank</t>
        </r>
      </text>
    </comment>
    <comment ref="W32" authorId="0" shapeId="0" xr:uid="{00000000-0006-0000-0200-000092030000}">
      <text>
        <r>
          <rPr>
            <sz val="10"/>
            <rFont val="Arial"/>
            <family val="2"/>
          </rPr>
          <t>PEP P.ME: pressure given as "bar" – discharge / differential / design not specified</t>
        </r>
      </text>
    </comment>
    <comment ref="Y32" authorId="0" shapeId="0" xr:uid="{00000000-0006-0000-0200-0000AE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32" authorId="0" shapeId="0" xr:uid="{00000000-0006-0000-0200-000025040000}">
      <text>
        <r>
          <rPr>
            <sz val="10"/>
            <rFont val="Arial"/>
            <family val="2"/>
          </rPr>
          <t>SOURCE – PEP-Rev.140205 Gachsaran 4 P.ME H50: formula =ROUND(53000*per_Euro*USD_Change_IRR,-3) → base price is EUR (IRR value is only a conversion at per_Euro 1.085 × 420,000)</t>
        </r>
      </text>
    </comment>
    <comment ref="AA32" authorId="0" shapeId="0" xr:uid="{00000000-0006-0000-0200-000053040000}">
      <text>
        <r>
          <rPr>
            <sz val="10"/>
            <rFont val="Arial"/>
            <family val="2"/>
          </rPr>
          <t>SOURCE – PEP-Rev.140205 Gachsaran 4 P.ME H50: EUR constant inside the formula</t>
        </r>
      </text>
    </comment>
    <comment ref="AD32" authorId="0" shapeId="0" xr:uid="{00000000-0006-0000-0200-000082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H50)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24,151,664,000 ریال بوده است. این سلول با نرخ جدول FX </t>
        </r>
        <r>
          <rPr>
            <sz val="10"/>
            <rFont val="FreeSans"/>
            <family val="2"/>
          </rPr>
          <t>بانک (سال ۱۴۰۲</t>
        </r>
        <r>
          <rPr>
            <sz val="10"/>
            <rFont val="Arial"/>
            <family val="2"/>
          </rPr>
          <t>) محاسبه شده است.</t>
        </r>
      </text>
    </comment>
    <comment ref="AF32" authorId="0" shapeId="0" xr:uid="{00000000-0006-0000-0200-0000A9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32" authorId="0" shapeId="0" xr:uid="{00000000-0006-0000-0200-000036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32" authorId="0" shapeId="0" xr:uid="{00000000-0006-0000-0200-000051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32" authorId="0" shapeId="0" xr:uid="{00000000-0006-0000-0200-00006C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33" authorId="0" shapeId="0" xr:uid="{00000000-0006-0000-0200-000022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33" authorId="0" shapeId="0" xr:uid="{00000000-0006-0000-0200-0000B5000000}">
      <text>
        <r>
          <rPr>
            <sz val="10"/>
            <rFont val="Arial"/>
            <family val="2"/>
          </rPr>
          <t xml:space="preserve">Not stated – —:
</t>
        </r>
        <r>
          <rPr>
            <sz val="10"/>
            <rFont val="FreeSans"/>
            <family val="2"/>
          </rPr>
          <t>نوع پمپ در منبع ذکر نشده</t>
        </r>
      </text>
    </comment>
    <comment ref="G33" authorId="0" shapeId="0" xr:uid="{00000000-0006-0000-0200-000048010000}">
      <text>
        <r>
          <rPr>
            <sz val="10"/>
            <rFont val="FreeSans"/>
            <family val="2"/>
          </rPr>
          <t>کلاس متریال در منبع ذکر نشده است</t>
        </r>
        <r>
          <rPr>
            <sz val="10"/>
            <rFont val="Arial"/>
            <family val="2"/>
          </rPr>
          <t>.</t>
        </r>
      </text>
    </comment>
    <comment ref="M33" authorId="0" shapeId="0" xr:uid="{00000000-0006-0000-0200-0000F9010000}">
      <text>
        <r>
          <rPr>
            <sz val="10"/>
            <rFont val="Arial"/>
            <family val="2"/>
          </rPr>
          <t>PEP-Rev.140205 P.ME gives only flow / pressure / kW – no design standard stated (previous bank had "API 610 / IPS", unsupported)</t>
        </r>
      </text>
    </comment>
    <comment ref="S33" authorId="0" shapeId="0" xr:uid="{00000000-0006-0000-0200-0000E7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33" authorId="0" shapeId="0" xr:uid="{00000000-0006-0000-0200-00006D030000}">
      <text>
        <r>
          <rPr>
            <sz val="10"/>
            <rFont val="Arial"/>
            <family val="2"/>
          </rPr>
          <t>INFERRED – source does not state pump type; "Centrifugal (assumed)" carried from previous bank</t>
        </r>
      </text>
    </comment>
    <comment ref="W33" authorId="0" shapeId="0" xr:uid="{00000000-0006-0000-0200-000093030000}">
      <text>
        <r>
          <rPr>
            <sz val="10"/>
            <rFont val="Arial"/>
            <family val="2"/>
          </rPr>
          <t>PEP P.ME: pressure given as "bar" – discharge / differential / design not specified</t>
        </r>
      </text>
    </comment>
    <comment ref="Y33" authorId="0" shapeId="0" xr:uid="{00000000-0006-0000-0200-0000AF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33" authorId="0" shapeId="0" xr:uid="{00000000-0006-0000-0200-000026040000}">
      <text>
        <r>
          <rPr>
            <sz val="10"/>
            <rFont val="Arial"/>
            <family val="2"/>
          </rPr>
          <t>SOURCE – PEP-Rev.140205 Gachsaran 4 P.ME H51: formula =ROUND(53000*per_Euro*USD_Change_IRR,-3) → base price is EUR (IRR value is only a conversion at per_Euro 1.085 × 420,000)</t>
        </r>
      </text>
    </comment>
    <comment ref="AA33" authorId="0" shapeId="0" xr:uid="{00000000-0006-0000-0200-000054040000}">
      <text>
        <r>
          <rPr>
            <sz val="10"/>
            <rFont val="Arial"/>
            <family val="2"/>
          </rPr>
          <t>SOURCE – PEP-Rev.140205 Gachsaran 4 P.ME H51: EUR constant inside the formula</t>
        </r>
      </text>
    </comment>
    <comment ref="AD33" authorId="0" shapeId="0" xr:uid="{00000000-0006-0000-0200-000083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H51)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24,151,664,000 ریال بوده است. این سلول با نرخ جدول FX </t>
        </r>
        <r>
          <rPr>
            <sz val="10"/>
            <rFont val="FreeSans"/>
            <family val="2"/>
          </rPr>
          <t>بانک (سال ۱۴۰۲</t>
        </r>
        <r>
          <rPr>
            <sz val="10"/>
            <rFont val="Arial"/>
            <family val="2"/>
          </rPr>
          <t>) محاسبه شده است.</t>
        </r>
      </text>
    </comment>
    <comment ref="AF33" authorId="0" shapeId="0" xr:uid="{00000000-0006-0000-0200-0000AA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33" authorId="0" shapeId="0" xr:uid="{00000000-0006-0000-0200-000037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33" authorId="0" shapeId="0" xr:uid="{00000000-0006-0000-0200-000052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33" authorId="0" shapeId="0" xr:uid="{00000000-0006-0000-0200-00006D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34" authorId="0" shapeId="0" xr:uid="{00000000-0006-0000-0200-000023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34" authorId="0" shapeId="0" xr:uid="{00000000-0006-0000-0200-0000B6000000}">
      <text>
        <r>
          <rPr>
            <sz val="10"/>
            <rFont val="Arial"/>
            <family val="2"/>
          </rPr>
          <t xml:space="preserve">Not stated – —:
</t>
        </r>
        <r>
          <rPr>
            <sz val="10"/>
            <rFont val="FreeSans"/>
            <family val="2"/>
          </rPr>
          <t>نوع پمپ در منبع ذکر نشده</t>
        </r>
      </text>
    </comment>
    <comment ref="G34" authorId="0" shapeId="0" xr:uid="{00000000-0006-0000-0200-000049010000}">
      <text>
        <r>
          <rPr>
            <sz val="10"/>
            <rFont val="FreeSans"/>
            <family val="2"/>
          </rPr>
          <t>کلاس متریال در منبع ذکر نشده است</t>
        </r>
        <r>
          <rPr>
            <sz val="10"/>
            <rFont val="Arial"/>
            <family val="2"/>
          </rPr>
          <t>.</t>
        </r>
      </text>
    </comment>
    <comment ref="M34" authorId="0" shapeId="0" xr:uid="{00000000-0006-0000-0200-0000FA010000}">
      <text>
        <r>
          <rPr>
            <sz val="10"/>
            <rFont val="Arial"/>
            <family val="2"/>
          </rPr>
          <t>PEP-Rev.140205 P.ME gives only flow / pressure / kW – no design standard stated (previous bank had "API 610 / IPS", unsupported)</t>
        </r>
      </text>
    </comment>
    <comment ref="S34" authorId="0" shapeId="0" xr:uid="{00000000-0006-0000-0200-0000E8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34" authorId="0" shapeId="0" xr:uid="{00000000-0006-0000-0200-00006E030000}">
      <text>
        <r>
          <rPr>
            <sz val="10"/>
            <rFont val="Arial"/>
            <family val="2"/>
          </rPr>
          <t>INFERRED – source does not state pump type; "Centrifugal (assumed)" carried from previous bank</t>
        </r>
      </text>
    </comment>
    <comment ref="W34" authorId="0" shapeId="0" xr:uid="{00000000-0006-0000-0200-000094030000}">
      <text>
        <r>
          <rPr>
            <sz val="10"/>
            <rFont val="Arial"/>
            <family val="2"/>
          </rPr>
          <t>PEP P.ME: pressure given as "bar" – discharge / differential / design not specified</t>
        </r>
      </text>
    </comment>
    <comment ref="Y34" authorId="0" shapeId="0" xr:uid="{00000000-0006-0000-0200-0000B0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34" authorId="0" shapeId="0" xr:uid="{00000000-0006-0000-0200-000027040000}">
      <text>
        <r>
          <rPr>
            <sz val="10"/>
            <rFont val="Arial"/>
            <family val="2"/>
          </rPr>
          <t>SOURCE – PEP-Rev.140205 Gachsaran 4 P.ME H53: formula =ROUND(29000*per_Euro*USD_Change_IRR,-3) → base price is EUR (IRR value is only a conversion at per_Euro 1.085 × 420,000)</t>
        </r>
      </text>
    </comment>
    <comment ref="AA34" authorId="0" shapeId="0" xr:uid="{00000000-0006-0000-0200-000055040000}">
      <text>
        <r>
          <rPr>
            <sz val="10"/>
            <rFont val="Arial"/>
            <family val="2"/>
          </rPr>
          <t>SOURCE – PEP-Rev.140205 Gachsaran 4 P.ME H53: EUR constant inside the formula</t>
        </r>
      </text>
    </comment>
    <comment ref="AD34" authorId="0" shapeId="0" xr:uid="{00000000-0006-0000-0200-000084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H53)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13,215,061,000 ریال بوده است. این سلول با نرخ جدول FX </t>
        </r>
        <r>
          <rPr>
            <sz val="10"/>
            <rFont val="FreeSans"/>
            <family val="2"/>
          </rPr>
          <t>بانک (سال ۱۴۰۲</t>
        </r>
        <r>
          <rPr>
            <sz val="10"/>
            <rFont val="Arial"/>
            <family val="2"/>
          </rPr>
          <t>) محاسبه شده است.</t>
        </r>
      </text>
    </comment>
    <comment ref="AF34" authorId="0" shapeId="0" xr:uid="{00000000-0006-0000-0200-0000AB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34" authorId="0" shapeId="0" xr:uid="{00000000-0006-0000-0200-000038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34" authorId="0" shapeId="0" xr:uid="{00000000-0006-0000-0200-000053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34" authorId="0" shapeId="0" xr:uid="{00000000-0006-0000-0200-00006E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35" authorId="0" shapeId="0" xr:uid="{00000000-0006-0000-0200-000024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35" authorId="0" shapeId="0" xr:uid="{00000000-0006-0000-0200-0000B7000000}">
      <text>
        <r>
          <rPr>
            <sz val="10"/>
            <rFont val="Arial"/>
            <family val="2"/>
          </rPr>
          <t xml:space="preserve">Not stated – —:
</t>
        </r>
        <r>
          <rPr>
            <sz val="10"/>
            <rFont val="FreeSans"/>
            <family val="2"/>
          </rPr>
          <t>نوع پمپ در منبع ذکر نشده</t>
        </r>
      </text>
    </comment>
    <comment ref="G35" authorId="0" shapeId="0" xr:uid="{00000000-0006-0000-0200-00004A010000}">
      <text>
        <r>
          <rPr>
            <sz val="10"/>
            <rFont val="FreeSans"/>
            <family val="2"/>
          </rPr>
          <t>کلاس متریال در منبع ذکر نشده است</t>
        </r>
        <r>
          <rPr>
            <sz val="10"/>
            <rFont val="Arial"/>
            <family val="2"/>
          </rPr>
          <t>.</t>
        </r>
      </text>
    </comment>
    <comment ref="M35" authorId="0" shapeId="0" xr:uid="{00000000-0006-0000-0200-0000FB010000}">
      <text>
        <r>
          <rPr>
            <sz val="10"/>
            <rFont val="Arial"/>
            <family val="2"/>
          </rPr>
          <t>PEP-Rev.140205 P.ME gives only flow / pressure / kW – no design standard stated (previous bank had "API 610 / IPS", unsupported)</t>
        </r>
      </text>
    </comment>
    <comment ref="S35" authorId="0" shapeId="0" xr:uid="{00000000-0006-0000-0200-0000E9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35" authorId="0" shapeId="0" xr:uid="{00000000-0006-0000-0200-00006F030000}">
      <text>
        <r>
          <rPr>
            <sz val="10"/>
            <rFont val="Arial"/>
            <family val="2"/>
          </rPr>
          <t>INFERRED – source does not state pump type; "Centrifugal (assumed)" carried from previous bank</t>
        </r>
      </text>
    </comment>
    <comment ref="W35" authorId="0" shapeId="0" xr:uid="{00000000-0006-0000-0200-000095030000}">
      <text>
        <r>
          <rPr>
            <sz val="10"/>
            <rFont val="Arial"/>
            <family val="2"/>
          </rPr>
          <t>PEP P.ME: pressure given as "bar" – discharge / differential / design not specified</t>
        </r>
      </text>
    </comment>
    <comment ref="Y35" authorId="0" shapeId="0" xr:uid="{00000000-0006-0000-0200-0000B1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35" authorId="0" shapeId="0" xr:uid="{00000000-0006-0000-0200-000028040000}">
      <text>
        <r>
          <rPr>
            <sz val="10"/>
            <rFont val="Arial"/>
            <family val="2"/>
          </rPr>
          <t>SOURCE – PEP-Rev.140205 Gachsaran 4 P.ME H54: formula =ROUND(35000*per_Euro*USD_Change_IRR,-3) → base price is EUR (IRR value is only a conversion at per_Euro 1.085 × 420,000)</t>
        </r>
      </text>
    </comment>
    <comment ref="AA35" authorId="0" shapeId="0" xr:uid="{00000000-0006-0000-0200-000056040000}">
      <text>
        <r>
          <rPr>
            <sz val="10"/>
            <rFont val="Arial"/>
            <family val="2"/>
          </rPr>
          <t>SOURCE – PEP-Rev.140205 Gachsaran 4 P.ME H54: EUR constant inside the formula</t>
        </r>
      </text>
    </comment>
    <comment ref="AD35" authorId="0" shapeId="0" xr:uid="{00000000-0006-0000-0200-000085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H54)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15,949,212,000 ریال بوده است. این سلول با نرخ جدول FX </t>
        </r>
        <r>
          <rPr>
            <sz val="10"/>
            <rFont val="FreeSans"/>
            <family val="2"/>
          </rPr>
          <t>بانک (سال ۱۴۰۲</t>
        </r>
        <r>
          <rPr>
            <sz val="10"/>
            <rFont val="Arial"/>
            <family val="2"/>
          </rPr>
          <t>) محاسبه شده است.</t>
        </r>
      </text>
    </comment>
    <comment ref="AF35" authorId="0" shapeId="0" xr:uid="{00000000-0006-0000-0200-0000AC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35" authorId="0" shapeId="0" xr:uid="{00000000-0006-0000-0200-000039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35" authorId="0" shapeId="0" xr:uid="{00000000-0006-0000-0200-000054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35" authorId="0" shapeId="0" xr:uid="{00000000-0006-0000-0200-00006F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36" authorId="0" shapeId="0" xr:uid="{00000000-0006-0000-0200-000025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36" authorId="0" shapeId="0" xr:uid="{00000000-0006-0000-0200-0000B8000000}">
      <text>
        <r>
          <rPr>
            <sz val="10"/>
            <rFont val="Arial"/>
            <family val="2"/>
          </rPr>
          <t xml:space="preserve">Not stated – —:
</t>
        </r>
        <r>
          <rPr>
            <sz val="10"/>
            <rFont val="FreeSans"/>
            <family val="2"/>
          </rPr>
          <t>نوع پمپ در منبع ذکر نشده</t>
        </r>
      </text>
    </comment>
    <comment ref="G36" authorId="0" shapeId="0" xr:uid="{00000000-0006-0000-0200-00004B010000}">
      <text>
        <r>
          <rPr>
            <sz val="10"/>
            <rFont val="FreeSans"/>
            <family val="2"/>
          </rPr>
          <t>کلاس متریال در منبع ذکر نشده است</t>
        </r>
        <r>
          <rPr>
            <sz val="10"/>
            <rFont val="Arial"/>
            <family val="2"/>
          </rPr>
          <t>.</t>
        </r>
      </text>
    </comment>
    <comment ref="M36" authorId="0" shapeId="0" xr:uid="{00000000-0006-0000-0200-0000FC010000}">
      <text>
        <r>
          <rPr>
            <sz val="10"/>
            <rFont val="Arial"/>
            <family val="2"/>
          </rPr>
          <t>PEP-Rev.140205 P.ME gives only flow / pressure / kW – no design standard stated (previous bank had "API 610 / IPS", unsupported)</t>
        </r>
      </text>
    </comment>
    <comment ref="S36" authorId="0" shapeId="0" xr:uid="{00000000-0006-0000-0200-0000EA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36" authorId="0" shapeId="0" xr:uid="{00000000-0006-0000-0200-000070030000}">
      <text>
        <r>
          <rPr>
            <sz val="10"/>
            <rFont val="Arial"/>
            <family val="2"/>
          </rPr>
          <t>INFERRED – source does not state pump type; "Centrifugal (assumed)" carried from previous bank</t>
        </r>
      </text>
    </comment>
    <comment ref="W36" authorId="0" shapeId="0" xr:uid="{00000000-0006-0000-0200-000096030000}">
      <text>
        <r>
          <rPr>
            <sz val="10"/>
            <rFont val="Arial"/>
            <family val="2"/>
          </rPr>
          <t>PEP P.ME: pressure given as "bar" – discharge / differential / design not specified</t>
        </r>
      </text>
    </comment>
    <comment ref="Y36" authorId="0" shapeId="0" xr:uid="{00000000-0006-0000-0200-0000B2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36" authorId="0" shapeId="0" xr:uid="{00000000-0006-0000-0200-000029040000}">
      <text>
        <r>
          <rPr>
            <sz val="10"/>
            <rFont val="Arial"/>
            <family val="2"/>
          </rPr>
          <t>SOURCE – PEP-Rev.140205 Gachsaran 4 P.ME H55: formula =ROUND(13350*per_Euro*USD_Change_IRR,-3) → base price is EUR (IRR value is only a conversion at per_Euro 1.085 × 420,000)</t>
        </r>
      </text>
    </comment>
    <comment ref="AA36" authorId="0" shapeId="0" xr:uid="{00000000-0006-0000-0200-000057040000}">
      <text>
        <r>
          <rPr>
            <sz val="10"/>
            <rFont val="Arial"/>
            <family val="2"/>
          </rPr>
          <t>SOURCE – PEP-Rev.140205 Gachsaran 4 P.ME H55: EUR constant inside the formula</t>
        </r>
      </text>
    </comment>
    <comment ref="AD36" authorId="0" shapeId="0" xr:uid="{00000000-0006-0000-0200-000086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H55)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6,083,485,000 ریال بوده است. این سلول با نرخ جدول FX </t>
        </r>
        <r>
          <rPr>
            <sz val="10"/>
            <rFont val="FreeSans"/>
            <family val="2"/>
          </rPr>
          <t>بانک (سال ۱۴۰۲</t>
        </r>
        <r>
          <rPr>
            <sz val="10"/>
            <rFont val="Arial"/>
            <family val="2"/>
          </rPr>
          <t>) محاسبه شده است.</t>
        </r>
      </text>
    </comment>
    <comment ref="AF36" authorId="0" shapeId="0" xr:uid="{00000000-0006-0000-0200-0000AD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36" authorId="0" shapeId="0" xr:uid="{00000000-0006-0000-0200-00003A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36" authorId="0" shapeId="0" xr:uid="{00000000-0006-0000-0200-000055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36" authorId="0" shapeId="0" xr:uid="{00000000-0006-0000-0200-000070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37" authorId="0" shapeId="0" xr:uid="{00000000-0006-0000-0200-000026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xml:space="preserve">، جداکننده آب و نفت (OWS)، نفت بازیافتی و لجن
—
</t>
        </r>
        <r>
          <rPr>
            <sz val="10"/>
            <rFont val="Arial"/>
            <family val="2"/>
          </rPr>
          <t>Reclassified 1405-07: ROT-CRU → ROT-DRN (service-based classification; approved)</t>
        </r>
      </text>
    </comment>
    <comment ref="F37" authorId="0" shapeId="0" xr:uid="{00000000-0006-0000-0200-0000B9000000}">
      <text>
        <r>
          <rPr>
            <sz val="10"/>
            <rFont val="Arial"/>
            <family val="2"/>
          </rPr>
          <t xml:space="preserve">Not stated – —:
</t>
        </r>
        <r>
          <rPr>
            <sz val="10"/>
            <rFont val="FreeSans"/>
            <family val="2"/>
          </rPr>
          <t>نوع پمپ در منبع ذکر نشده</t>
        </r>
      </text>
    </comment>
    <comment ref="G37" authorId="0" shapeId="0" xr:uid="{00000000-0006-0000-0200-00004C010000}">
      <text>
        <r>
          <rPr>
            <sz val="10"/>
            <rFont val="FreeSans"/>
            <family val="2"/>
          </rPr>
          <t>کلاس متریال در منبع ذکر نشده است</t>
        </r>
        <r>
          <rPr>
            <sz val="10"/>
            <rFont val="Arial"/>
            <family val="2"/>
          </rPr>
          <t>.</t>
        </r>
      </text>
    </comment>
    <comment ref="M37" authorId="0" shapeId="0" xr:uid="{00000000-0006-0000-0200-0000FD010000}">
      <text>
        <r>
          <rPr>
            <sz val="10"/>
            <rFont val="Arial"/>
            <family val="2"/>
          </rPr>
          <t>PEP-Rev.140205 P.ME gives only flow / pressure / kW – no design standard stated (previous bank had "API 610 / IPS", unsupported)</t>
        </r>
      </text>
    </comment>
    <comment ref="S37" authorId="0" shapeId="0" xr:uid="{00000000-0006-0000-0200-0000EB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37" authorId="0" shapeId="0" xr:uid="{00000000-0006-0000-0200-000071030000}">
      <text>
        <r>
          <rPr>
            <sz val="10"/>
            <rFont val="Arial"/>
            <family val="2"/>
          </rPr>
          <t>INFERRED – source does not state pump type; "Centrifugal (assumed)" carried from previous bank</t>
        </r>
      </text>
    </comment>
    <comment ref="W37" authorId="0" shapeId="0" xr:uid="{00000000-0006-0000-0200-000097030000}">
      <text>
        <r>
          <rPr>
            <sz val="10"/>
            <rFont val="Arial"/>
            <family val="2"/>
          </rPr>
          <t>PEP P.ME: pressure given as "bar" – discharge / differential / design not specified</t>
        </r>
      </text>
    </comment>
    <comment ref="Y37" authorId="0" shapeId="0" xr:uid="{00000000-0006-0000-0200-0000B3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37" authorId="0" shapeId="0" xr:uid="{00000000-0006-0000-0200-00002A040000}">
      <text>
        <r>
          <rPr>
            <sz val="10"/>
            <rFont val="Arial"/>
            <family val="2"/>
          </rPr>
          <t>SOURCE – PEP-Rev.140205 Gachsaran 4 P.ME H57: formula =ROUND(31000*per_Euro*USD_Change_IRR,-3) → base price is EUR (IRR value is only a conversion at per_Euro 1.085 × 420,000)</t>
        </r>
      </text>
    </comment>
    <comment ref="AA37" authorId="0" shapeId="0" xr:uid="{00000000-0006-0000-0200-000058040000}">
      <text>
        <r>
          <rPr>
            <sz val="10"/>
            <rFont val="Arial"/>
            <family val="2"/>
          </rPr>
          <t>SOURCE – PEP-Rev.140205 Gachsaran 4 P.ME H57: EUR constant inside the formula</t>
        </r>
      </text>
    </comment>
    <comment ref="AD37" authorId="0" shapeId="0" xr:uid="{00000000-0006-0000-0200-000087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H57)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14,126,445,000 ریال بوده است. این سلول با نرخ جدول FX </t>
        </r>
        <r>
          <rPr>
            <sz val="10"/>
            <rFont val="FreeSans"/>
            <family val="2"/>
          </rPr>
          <t>بانک (سال ۱۴۰۲</t>
        </r>
        <r>
          <rPr>
            <sz val="10"/>
            <rFont val="Arial"/>
            <family val="2"/>
          </rPr>
          <t>) محاسبه شده است.</t>
        </r>
      </text>
    </comment>
    <comment ref="AF37" authorId="0" shapeId="0" xr:uid="{00000000-0006-0000-0200-0000AE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37" authorId="0" shapeId="0" xr:uid="{00000000-0006-0000-0200-00003B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37" authorId="0" shapeId="0" xr:uid="{00000000-0006-0000-0200-000056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37" authorId="0" shapeId="0" xr:uid="{00000000-0006-0000-0200-000071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38" authorId="0" shapeId="0" xr:uid="{00000000-0006-0000-0200-000027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38" authorId="0" shapeId="0" xr:uid="{00000000-0006-0000-0200-0000BA000000}">
      <text>
        <r>
          <rPr>
            <sz val="10"/>
            <rFont val="Arial"/>
            <family val="2"/>
          </rPr>
          <t xml:space="preserve">Not stated – —:
</t>
        </r>
        <r>
          <rPr>
            <sz val="10"/>
            <rFont val="FreeSans"/>
            <family val="2"/>
          </rPr>
          <t>نوع پمپ در منبع ذکر نشده</t>
        </r>
      </text>
    </comment>
    <comment ref="G38" authorId="0" shapeId="0" xr:uid="{00000000-0006-0000-0200-00004D010000}">
      <text>
        <r>
          <rPr>
            <sz val="10"/>
            <rFont val="FreeSans"/>
            <family val="2"/>
          </rPr>
          <t>کلاس متریال در منبع ذکر نشده است</t>
        </r>
        <r>
          <rPr>
            <sz val="10"/>
            <rFont val="Arial"/>
            <family val="2"/>
          </rPr>
          <t>.</t>
        </r>
      </text>
    </comment>
    <comment ref="M38" authorId="0" shapeId="0" xr:uid="{00000000-0006-0000-0200-0000FE010000}">
      <text>
        <r>
          <rPr>
            <sz val="10"/>
            <rFont val="Arial"/>
            <family val="2"/>
          </rPr>
          <t>PEP-Rev.140205 P.ME gives only flow / pressure / kW – no design standard stated (previous bank had "API 610 / IPS", unsupported)</t>
        </r>
      </text>
    </comment>
    <comment ref="S38" authorId="0" shapeId="0" xr:uid="{00000000-0006-0000-0200-0000EC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38" authorId="0" shapeId="0" xr:uid="{00000000-0006-0000-0200-000072030000}">
      <text>
        <r>
          <rPr>
            <sz val="10"/>
            <rFont val="Arial"/>
            <family val="2"/>
          </rPr>
          <t>INFERRED – source does not state pump type; "Centrifugal (assumed)" carried from previous bank</t>
        </r>
      </text>
    </comment>
    <comment ref="W38" authorId="0" shapeId="0" xr:uid="{00000000-0006-0000-0200-000098030000}">
      <text>
        <r>
          <rPr>
            <sz val="10"/>
            <rFont val="Arial"/>
            <family val="2"/>
          </rPr>
          <t>PEP P.ME: pressure given as "bar" – discharge / differential / design not specified</t>
        </r>
      </text>
    </comment>
    <comment ref="Y38" authorId="0" shapeId="0" xr:uid="{00000000-0006-0000-0200-0000B4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38" authorId="0" shapeId="0" xr:uid="{00000000-0006-0000-0200-00002B040000}">
      <text>
        <r>
          <rPr>
            <sz val="10"/>
            <rFont val="Arial"/>
            <family val="2"/>
          </rPr>
          <t>SOURCE – PEP-Rev.140205 Gachsaran 4 P.ME H58: formula =ROUND(28000*per_Euro*USD_Change_IRR,-3) → base price is EUR (IRR value is only a conversion at per_Euro 1.085 × 420,000)</t>
        </r>
      </text>
    </comment>
    <comment ref="AA38" authorId="0" shapeId="0" xr:uid="{00000000-0006-0000-0200-000059040000}">
      <text>
        <r>
          <rPr>
            <sz val="10"/>
            <rFont val="Arial"/>
            <family val="2"/>
          </rPr>
          <t>SOURCE – PEP-Rev.140205 Gachsaran 4 P.ME H58: EUR constant inside the formula</t>
        </r>
      </text>
    </comment>
    <comment ref="AD38" authorId="0" shapeId="0" xr:uid="{00000000-0006-0000-0200-000088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H58)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12,759,369,000 ریال بوده است. این سلول با نرخ جدول FX </t>
        </r>
        <r>
          <rPr>
            <sz val="10"/>
            <rFont val="FreeSans"/>
            <family val="2"/>
          </rPr>
          <t>بانک (سال ۱۴۰۲</t>
        </r>
        <r>
          <rPr>
            <sz val="10"/>
            <rFont val="Arial"/>
            <family val="2"/>
          </rPr>
          <t>) محاسبه شده است.</t>
        </r>
      </text>
    </comment>
    <comment ref="AF38" authorId="0" shapeId="0" xr:uid="{00000000-0006-0000-0200-0000AF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38" authorId="0" shapeId="0" xr:uid="{00000000-0006-0000-0200-00003C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38" authorId="0" shapeId="0" xr:uid="{00000000-0006-0000-0200-000057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38" authorId="0" shapeId="0" xr:uid="{00000000-0006-0000-0200-000072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39" authorId="0" shapeId="0" xr:uid="{00000000-0006-0000-0200-000028000000}">
      <text>
        <r>
          <rPr>
            <sz val="10"/>
            <rFont val="Arial"/>
            <family val="2"/>
          </rPr>
          <t xml:space="preserve">ROT-AUX = Chemical, Fuel &amp; Auxiliary Pumps
</t>
        </r>
        <r>
          <rPr>
            <sz val="10"/>
            <rFont val="FreeSans"/>
            <family val="2"/>
          </rPr>
          <t>پمپ‌های جانبی: مواد شیمیایی، گلایکول، گازوئیل و سوخت</t>
        </r>
      </text>
    </comment>
    <comment ref="F39" authorId="0" shapeId="0" xr:uid="{00000000-0006-0000-0200-0000BB000000}">
      <text>
        <r>
          <rPr>
            <sz val="10"/>
            <rFont val="Arial"/>
            <family val="2"/>
          </rPr>
          <t xml:space="preserve">Not stated – —:
</t>
        </r>
        <r>
          <rPr>
            <sz val="10"/>
            <rFont val="FreeSans"/>
            <family val="2"/>
          </rPr>
          <t>نوع پمپ در منبع ذکر نشده</t>
        </r>
      </text>
    </comment>
    <comment ref="G39" authorId="0" shapeId="0" xr:uid="{00000000-0006-0000-0200-00004E010000}">
      <text>
        <r>
          <rPr>
            <sz val="10"/>
            <rFont val="FreeSans"/>
            <family val="2"/>
          </rPr>
          <t>کلاس متریال در منبع ذکر نشده است</t>
        </r>
        <r>
          <rPr>
            <sz val="10"/>
            <rFont val="Arial"/>
            <family val="2"/>
          </rPr>
          <t>.</t>
        </r>
      </text>
    </comment>
    <comment ref="M39" authorId="0" shapeId="0" xr:uid="{00000000-0006-0000-0200-0000FF010000}">
      <text>
        <r>
          <rPr>
            <sz val="10"/>
            <rFont val="Arial"/>
            <family val="2"/>
          </rPr>
          <t>PEP-Rev.140205 P.ME gives only flow / pressure / kW – no design standard stated (previous bank had "API 610 / IPS", unsupported)</t>
        </r>
      </text>
    </comment>
    <comment ref="S39" authorId="0" shapeId="0" xr:uid="{00000000-0006-0000-0200-0000ED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 xml:space="preserve">) (P-801 </t>
        </r>
        <r>
          <rPr>
            <sz val="10"/>
            <rFont val="FreeSans"/>
            <family val="2"/>
          </rPr>
          <t xml:space="preserve">پمپ گازوئیل است، نه پمپ دیزلی؛ مقدار قبلی </t>
        </r>
        <r>
          <rPr>
            <sz val="10"/>
            <rFont val="Arial"/>
            <family val="2"/>
          </rPr>
          <t xml:space="preserve">Diesel Engine </t>
        </r>
        <r>
          <rPr>
            <sz val="10"/>
            <rFont val="FreeSans"/>
            <family val="2"/>
          </rPr>
          <t>اشتباه بود</t>
        </r>
        <r>
          <rPr>
            <sz val="10"/>
            <rFont val="Arial"/>
            <family val="2"/>
          </rPr>
          <t>)</t>
        </r>
      </text>
    </comment>
    <comment ref="V39" authorId="0" shapeId="0" xr:uid="{00000000-0006-0000-0200-000073030000}">
      <text>
        <r>
          <rPr>
            <sz val="10"/>
            <rFont val="Arial"/>
            <family val="2"/>
          </rPr>
          <t>INFERRED – source does not state pump type; "Centrifugal (assumed)" carried from previous bank</t>
        </r>
      </text>
    </comment>
    <comment ref="W39" authorId="0" shapeId="0" xr:uid="{00000000-0006-0000-0200-000099030000}">
      <text>
        <r>
          <rPr>
            <sz val="10"/>
            <rFont val="Arial"/>
            <family val="2"/>
          </rPr>
          <t>PEP P.ME: pressure given as "bar" – discharge / differential / design not specified</t>
        </r>
      </text>
    </comment>
    <comment ref="Y39" authorId="0" shapeId="0" xr:uid="{00000000-0006-0000-0200-0000B5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39" authorId="0" shapeId="0" xr:uid="{00000000-0006-0000-0200-00002C040000}">
      <text>
        <r>
          <rPr>
            <sz val="10"/>
            <rFont val="Arial"/>
            <family val="2"/>
          </rPr>
          <t>SOURCE – PEP-Rev.140205 Gachsaran 4 P.ME H60: formula =ROUND(13500*per_Euro*USD_Change_IRR,-3) → base price is EUR (IRR value is only a conversion at per_Euro 1.085 × 420,000)</t>
        </r>
      </text>
    </comment>
    <comment ref="AA39" authorId="0" shapeId="0" xr:uid="{00000000-0006-0000-0200-00005A040000}">
      <text>
        <r>
          <rPr>
            <sz val="10"/>
            <rFont val="Arial"/>
            <family val="2"/>
          </rPr>
          <t>SOURCE – PEP-Rev.140205 Gachsaran 4 P.ME H60: EUR constant inside the formula</t>
        </r>
      </text>
    </comment>
    <comment ref="AD39" authorId="0" shapeId="0" xr:uid="{00000000-0006-0000-0200-000089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H60)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6,151,839,000 ریال بوده است. این سلول با نرخ جدول FX </t>
        </r>
        <r>
          <rPr>
            <sz val="10"/>
            <rFont val="FreeSans"/>
            <family val="2"/>
          </rPr>
          <t>بانک (سال ۱۴۰۲</t>
        </r>
        <r>
          <rPr>
            <sz val="10"/>
            <rFont val="Arial"/>
            <family val="2"/>
          </rPr>
          <t>) محاسبه شده است.</t>
        </r>
      </text>
    </comment>
    <comment ref="AF39" authorId="0" shapeId="0" xr:uid="{00000000-0006-0000-0200-0000B0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39" authorId="0" shapeId="0" xr:uid="{00000000-0006-0000-0200-00003D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39" authorId="0" shapeId="0" xr:uid="{00000000-0006-0000-0200-000058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39" authorId="0" shapeId="0" xr:uid="{00000000-0006-0000-0200-000073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40" authorId="0" shapeId="0" xr:uid="{00000000-0006-0000-0200-00002900000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و بارگیری آب آتش‌نشانی</t>
        </r>
      </text>
    </comment>
    <comment ref="F40" authorId="0" shapeId="0" xr:uid="{00000000-0006-0000-0200-0000BC000000}">
      <text>
        <r>
          <rPr>
            <sz val="10"/>
            <rFont val="Arial"/>
            <family val="2"/>
          </rPr>
          <t xml:space="preserve">Not stated – —:
</t>
        </r>
        <r>
          <rPr>
            <sz val="10"/>
            <rFont val="FreeSans"/>
            <family val="2"/>
          </rPr>
          <t>نوع پمپ در منبع ذکر نشده</t>
        </r>
      </text>
    </comment>
    <comment ref="G40" authorId="0" shapeId="0" xr:uid="{00000000-0006-0000-0200-00004F010000}">
      <text>
        <r>
          <rPr>
            <sz val="10"/>
            <rFont val="FreeSans"/>
            <family val="2"/>
          </rPr>
          <t>کلاس متریال در منبع ذکر نشده است</t>
        </r>
        <r>
          <rPr>
            <sz val="10"/>
            <rFont val="Arial"/>
            <family val="2"/>
          </rPr>
          <t>.</t>
        </r>
      </text>
    </comment>
    <comment ref="M40" authorId="0" shapeId="0" xr:uid="{00000000-0006-0000-0200-000000020000}">
      <text>
        <r>
          <rPr>
            <sz val="10"/>
            <rFont val="Arial"/>
            <family val="2"/>
          </rPr>
          <t>PEP-Rev.140205 P.ME gives only flow / pressure / kW – no design standard stated (previous bank had "API 610 / IPS", unsupported)</t>
        </r>
      </text>
    </comment>
    <comment ref="S40" authorId="0" shapeId="0" xr:uid="{00000000-0006-0000-0200-0000EE020000}">
      <text>
        <r>
          <rPr>
            <sz val="10"/>
            <rFont val="Arial"/>
            <family val="2"/>
          </rPr>
          <t>SOURCE – equipment name states electric motor driven</t>
        </r>
      </text>
    </comment>
    <comment ref="V40" authorId="0" shapeId="0" xr:uid="{00000000-0006-0000-0200-000074030000}">
      <text>
        <r>
          <rPr>
            <sz val="10"/>
            <rFont val="Arial"/>
            <family val="2"/>
          </rPr>
          <t>INFERRED – source does not state pump type; "Centrifugal (assumed)" carried from previous bank</t>
        </r>
      </text>
    </comment>
    <comment ref="W40" authorId="0" shapeId="0" xr:uid="{00000000-0006-0000-0200-00009A030000}">
      <text>
        <r>
          <rPr>
            <sz val="10"/>
            <rFont val="Arial"/>
            <family val="2"/>
          </rPr>
          <t>PEP P.ME: pressure given as "bar" – discharge / differential / design not specified</t>
        </r>
      </text>
    </comment>
    <comment ref="Y40" authorId="0" shapeId="0" xr:uid="{00000000-0006-0000-0200-0000B6030000}">
      <text>
        <r>
          <rPr>
            <sz val="10"/>
            <rFont val="Arial"/>
            <family val="2"/>
          </rPr>
          <t>INFERRED – PEP-Rev.140205 Gachsaran 4 P.ME H61: IRR constant (no formula) in PEP Rev.1402/05 → 1402 assumed (previous bank had 1399 – not supported by the file)</t>
        </r>
      </text>
    </comment>
    <comment ref="AF40" authorId="0" shapeId="0" xr:uid="{00000000-0006-0000-0200-0000B1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40" authorId="0" shapeId="0" xr:uid="{00000000-0006-0000-0200-00003E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40" authorId="0" shapeId="0" xr:uid="{00000000-0006-0000-0200-000059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40" authorId="0" shapeId="0" xr:uid="{00000000-0006-0000-0200-000074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41" authorId="0" shapeId="0" xr:uid="{00000000-0006-0000-0200-00002A00000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و بارگیری آب آتش‌نشانی</t>
        </r>
      </text>
    </comment>
    <comment ref="F41" authorId="0" shapeId="0" xr:uid="{00000000-0006-0000-0200-0000BD000000}">
      <text>
        <r>
          <rPr>
            <sz val="10"/>
            <rFont val="Arial"/>
            <family val="2"/>
          </rPr>
          <t xml:space="preserve">Not stated – —:
</t>
        </r>
        <r>
          <rPr>
            <sz val="10"/>
            <rFont val="FreeSans"/>
            <family val="2"/>
          </rPr>
          <t>نوع پمپ در منبع ذکر نشده</t>
        </r>
      </text>
    </comment>
    <comment ref="G41" authorId="0" shapeId="0" xr:uid="{00000000-0006-0000-0200-000050010000}">
      <text>
        <r>
          <rPr>
            <sz val="10"/>
            <rFont val="FreeSans"/>
            <family val="2"/>
          </rPr>
          <t>کلاس متریال در منبع ذکر نشده است</t>
        </r>
        <r>
          <rPr>
            <sz val="10"/>
            <rFont val="Arial"/>
            <family val="2"/>
          </rPr>
          <t>.</t>
        </r>
      </text>
    </comment>
    <comment ref="M41" authorId="0" shapeId="0" xr:uid="{00000000-0006-0000-0200-000001020000}">
      <text>
        <r>
          <rPr>
            <sz val="10"/>
            <rFont val="Arial"/>
            <family val="2"/>
          </rPr>
          <t>PEP-Rev.140205 P.ME gives only flow / pressure / kW – no design standard stated (previous bank had "API 610 / IPS", unsupported)</t>
        </r>
      </text>
    </comment>
    <comment ref="S41" authorId="0" shapeId="0" xr:uid="{00000000-0006-0000-0200-0000EF020000}">
      <text>
        <r>
          <rPr>
            <sz val="10"/>
            <rFont val="Arial"/>
            <family val="2"/>
          </rPr>
          <t>SOURCE – equipment name states diesel engine driven</t>
        </r>
      </text>
    </comment>
    <comment ref="V41" authorId="0" shapeId="0" xr:uid="{00000000-0006-0000-0200-000075030000}">
      <text>
        <r>
          <rPr>
            <sz val="10"/>
            <rFont val="Arial"/>
            <family val="2"/>
          </rPr>
          <t>INFERRED – source does not state pump type; "Centrifugal (assumed)" carried from previous bank</t>
        </r>
      </text>
    </comment>
    <comment ref="W41" authorId="0" shapeId="0" xr:uid="{00000000-0006-0000-0200-00009B030000}">
      <text>
        <r>
          <rPr>
            <sz val="10"/>
            <rFont val="Arial"/>
            <family val="2"/>
          </rPr>
          <t>PEP P.ME: pressure given as "bar" – discharge / differential / design not specified</t>
        </r>
      </text>
    </comment>
    <comment ref="Y41" authorId="0" shapeId="0" xr:uid="{00000000-0006-0000-0200-0000B7030000}">
      <text>
        <r>
          <rPr>
            <sz val="10"/>
            <rFont val="Arial"/>
            <family val="2"/>
          </rPr>
          <t>INFERRED – PEP-Rev.140205 Gachsaran 4 P.ME H62: IRR constant (no formula) in PEP Rev.1402/05 → 1402 assumed (previous bank had 1399 – not supported by the file)</t>
        </r>
      </text>
    </comment>
    <comment ref="AF41" authorId="0" shapeId="0" xr:uid="{00000000-0006-0000-0200-0000B2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41" authorId="0" shapeId="0" xr:uid="{00000000-0006-0000-0200-00003F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41" authorId="0" shapeId="0" xr:uid="{00000000-0006-0000-0200-00005A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41" authorId="0" shapeId="0" xr:uid="{00000000-0006-0000-0200-000075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42" authorId="0" shapeId="0" xr:uid="{00000000-0006-0000-0200-00002B00000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و بارگیری آب آتش‌نشانی</t>
        </r>
      </text>
    </comment>
    <comment ref="F42" authorId="0" shapeId="0" xr:uid="{00000000-0006-0000-0200-0000BE000000}">
      <text>
        <r>
          <rPr>
            <sz val="10"/>
            <rFont val="Arial"/>
            <family val="2"/>
          </rPr>
          <t xml:space="preserve">Not stated – —:
</t>
        </r>
        <r>
          <rPr>
            <sz val="10"/>
            <rFont val="FreeSans"/>
            <family val="2"/>
          </rPr>
          <t>نوع پمپ در منبع ذکر نشده</t>
        </r>
      </text>
    </comment>
    <comment ref="G42" authorId="0" shapeId="0" xr:uid="{00000000-0006-0000-0200-000051010000}">
      <text>
        <r>
          <rPr>
            <sz val="10"/>
            <rFont val="FreeSans"/>
            <family val="2"/>
          </rPr>
          <t>کلاس متریال در منبع ذکر نشده است</t>
        </r>
        <r>
          <rPr>
            <sz val="10"/>
            <rFont val="Arial"/>
            <family val="2"/>
          </rPr>
          <t>.</t>
        </r>
      </text>
    </comment>
    <comment ref="M42" authorId="0" shapeId="0" xr:uid="{00000000-0006-0000-0200-000002020000}">
      <text>
        <r>
          <rPr>
            <sz val="10"/>
            <rFont val="Arial"/>
            <family val="2"/>
          </rPr>
          <t>PEP-Rev.140205 P.ME gives only flow / pressure / kW – no design standard stated (previous bank had "API 610 / IPS", unsupported)</t>
        </r>
      </text>
    </comment>
    <comment ref="S42" authorId="0" shapeId="0" xr:uid="{00000000-0006-0000-0200-0000F0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42" authorId="0" shapeId="0" xr:uid="{00000000-0006-0000-0200-000076030000}">
      <text>
        <r>
          <rPr>
            <sz val="10"/>
            <rFont val="Arial"/>
            <family val="2"/>
          </rPr>
          <t>INFERRED – source does not state pump type; "Centrifugal (assumed)" carried from previous bank</t>
        </r>
      </text>
    </comment>
    <comment ref="W42" authorId="0" shapeId="0" xr:uid="{00000000-0006-0000-0200-00009C030000}">
      <text>
        <r>
          <rPr>
            <sz val="10"/>
            <rFont val="Arial"/>
            <family val="2"/>
          </rPr>
          <t>PEP P.ME: pressure given as "bar" – discharge / differential / design not specified</t>
        </r>
      </text>
    </comment>
    <comment ref="Y42" authorId="0" shapeId="0" xr:uid="{00000000-0006-0000-0200-0000B8030000}">
      <text>
        <r>
          <rPr>
            <sz val="10"/>
            <rFont val="Arial"/>
            <family val="2"/>
          </rPr>
          <t>INFERRED – PEP-Rev.140205 Gachsaran 4 P.ME H63: IRR constant (no formula) in PEP Rev.1402/05 → 1402 assumed (previous bank had 1399 – not supported by the file)</t>
        </r>
      </text>
    </comment>
    <comment ref="AF42" authorId="0" shapeId="0" xr:uid="{00000000-0006-0000-0200-0000B3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42" authorId="0" shapeId="0" xr:uid="{00000000-0006-0000-0200-000040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42" authorId="0" shapeId="0" xr:uid="{00000000-0006-0000-0200-00005B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42" authorId="0" shapeId="0" xr:uid="{00000000-0006-0000-0200-000076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43" authorId="0" shapeId="0" xr:uid="{00000000-0006-0000-0200-00002C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43" authorId="0" shapeId="0" xr:uid="{00000000-0006-0000-0200-0000BF000000}">
      <text>
        <r>
          <rPr>
            <sz val="10"/>
            <rFont val="Arial"/>
            <family val="2"/>
          </rPr>
          <t xml:space="preserve">Not stated – —:
</t>
        </r>
        <r>
          <rPr>
            <sz val="10"/>
            <rFont val="FreeSans"/>
            <family val="2"/>
          </rPr>
          <t>نوع پمپ در منبع ذکر نشده</t>
        </r>
      </text>
    </comment>
    <comment ref="G43" authorId="0" shapeId="0" xr:uid="{00000000-0006-0000-0200-000052010000}">
      <text>
        <r>
          <rPr>
            <sz val="10"/>
            <rFont val="FreeSans"/>
            <family val="2"/>
          </rPr>
          <t>کلاس متریال در منبع ذکر نشده است</t>
        </r>
        <r>
          <rPr>
            <sz val="10"/>
            <rFont val="Arial"/>
            <family val="2"/>
          </rPr>
          <t>.</t>
        </r>
      </text>
    </comment>
    <comment ref="M43" authorId="0" shapeId="0" xr:uid="{00000000-0006-0000-0200-000003020000}">
      <text>
        <r>
          <rPr>
            <sz val="10"/>
            <rFont val="Arial"/>
            <family val="2"/>
          </rPr>
          <t>PEP-Rev.140205 P.ME gives only flow / pressure / kW – no design standard stated (previous bank had "API 610 / IPS", unsupported)</t>
        </r>
      </text>
    </comment>
    <comment ref="S43" authorId="0" shapeId="0" xr:uid="{00000000-0006-0000-0200-0000F1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43" authorId="0" shapeId="0" xr:uid="{00000000-0006-0000-0200-000077030000}">
      <text>
        <r>
          <rPr>
            <sz val="10"/>
            <rFont val="Arial"/>
            <family val="2"/>
          </rPr>
          <t>INFERRED – source does not state pump type; "Centrifugal (assumed)" carried from previous bank</t>
        </r>
      </text>
    </comment>
    <comment ref="W43" authorId="0" shapeId="0" xr:uid="{00000000-0006-0000-0200-00009D030000}">
      <text>
        <r>
          <rPr>
            <sz val="10"/>
            <rFont val="Arial"/>
            <family val="2"/>
          </rPr>
          <t>PEP P.ME: pressure given as "bar" – discharge / differential / design not specified</t>
        </r>
      </text>
    </comment>
    <comment ref="Y43" authorId="0" shapeId="0" xr:uid="{00000000-0006-0000-0200-0000B9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43" authorId="0" shapeId="0" xr:uid="{00000000-0006-0000-0200-00002D040000}">
      <text>
        <r>
          <rPr>
            <sz val="10"/>
            <rFont val="Arial"/>
            <family val="2"/>
          </rPr>
          <t>SOURCE – PEP-Rev.140205 Gachsaran 4 P.ME H64: formula =ROUND(17500*per_Euro*USD_Change_IRR,-3) → base price is EUR (IRR value is only a conversion at per_Euro 1.085 × 420,000)</t>
        </r>
      </text>
    </comment>
    <comment ref="AA43" authorId="0" shapeId="0" xr:uid="{00000000-0006-0000-0200-00005B040000}">
      <text>
        <r>
          <rPr>
            <sz val="10"/>
            <rFont val="Arial"/>
            <family val="2"/>
          </rPr>
          <t>SOURCE – PEP-Rev.140205 Gachsaran 4 P.ME H64: EUR constant inside the formula</t>
        </r>
      </text>
    </comment>
    <comment ref="AD43" authorId="0" shapeId="0" xr:uid="{00000000-0006-0000-0200-00008A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H64)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7,974,606,000 ریال بوده است. این سلول با نرخ جدول FX </t>
        </r>
        <r>
          <rPr>
            <sz val="10"/>
            <rFont val="FreeSans"/>
            <family val="2"/>
          </rPr>
          <t>بانک (سال ۱۴۰۲</t>
        </r>
        <r>
          <rPr>
            <sz val="10"/>
            <rFont val="Arial"/>
            <family val="2"/>
          </rPr>
          <t>) محاسبه شده است.</t>
        </r>
      </text>
    </comment>
    <comment ref="AF43" authorId="0" shapeId="0" xr:uid="{00000000-0006-0000-0200-0000B4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43" authorId="0" shapeId="0" xr:uid="{00000000-0006-0000-0200-000041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43" authorId="0" shapeId="0" xr:uid="{00000000-0006-0000-0200-00005C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43" authorId="0" shapeId="0" xr:uid="{00000000-0006-0000-0200-000077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44" authorId="0" shapeId="0" xr:uid="{00000000-0006-0000-0200-00002D00000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و بارگیری آب آتش‌نشانی</t>
        </r>
      </text>
    </comment>
    <comment ref="F44" authorId="0" shapeId="0" xr:uid="{00000000-0006-0000-0200-0000C0000000}">
      <text>
        <r>
          <rPr>
            <sz val="10"/>
            <rFont val="Arial"/>
            <family val="2"/>
          </rPr>
          <t xml:space="preserve">Not stated – —:
</t>
        </r>
        <r>
          <rPr>
            <sz val="10"/>
            <rFont val="FreeSans"/>
            <family val="2"/>
          </rPr>
          <t>نوع پمپ در منبع ذکر نشده</t>
        </r>
      </text>
    </comment>
    <comment ref="G44" authorId="0" shapeId="0" xr:uid="{00000000-0006-0000-0200-000053010000}">
      <text>
        <r>
          <rPr>
            <sz val="10"/>
            <rFont val="FreeSans"/>
            <family val="2"/>
          </rPr>
          <t>کلاس متریال در منبع ذکر نشده است</t>
        </r>
        <r>
          <rPr>
            <sz val="10"/>
            <rFont val="Arial"/>
            <family val="2"/>
          </rPr>
          <t>.</t>
        </r>
      </text>
    </comment>
    <comment ref="M44" authorId="0" shapeId="0" xr:uid="{00000000-0006-0000-0200-000004020000}">
      <text>
        <r>
          <rPr>
            <sz val="10"/>
            <rFont val="Arial"/>
            <family val="2"/>
          </rPr>
          <t>PEP-Rev.140205 P.ME gives only flow / pressure / kW – no design standard stated (previous bank had "API 610 / IPS", unsupported)</t>
        </r>
      </text>
    </comment>
    <comment ref="S44" authorId="0" shapeId="0" xr:uid="{00000000-0006-0000-0200-0000F202000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را داده است</t>
        </r>
        <r>
          <rPr>
            <sz val="10"/>
            <rFont val="Arial"/>
            <family val="2"/>
          </rPr>
          <t>)</t>
        </r>
      </text>
    </comment>
    <comment ref="V44" authorId="0" shapeId="0" xr:uid="{00000000-0006-0000-0200-000078030000}">
      <text>
        <r>
          <rPr>
            <sz val="10"/>
            <rFont val="Arial"/>
            <family val="2"/>
          </rPr>
          <t>INFERRED – source does not state pump type; "Centrifugal (assumed)" carried from previous bank</t>
        </r>
      </text>
    </comment>
    <comment ref="W44" authorId="0" shapeId="0" xr:uid="{00000000-0006-0000-0200-00009E030000}">
      <text>
        <r>
          <rPr>
            <sz val="10"/>
            <rFont val="Arial"/>
            <family val="2"/>
          </rPr>
          <t>PEP P.ME: pressure given as "bar" – discharge / differential / design not specified</t>
        </r>
      </text>
    </comment>
    <comment ref="Y44" authorId="0" shapeId="0" xr:uid="{00000000-0006-0000-0200-0000BA030000}">
      <text>
        <r>
          <rPr>
            <sz val="10"/>
            <rFont val="Arial"/>
            <family val="2"/>
          </rPr>
          <t>INFERRED – PEP-Rev.140205 Gachsaran 4 PEP Rev.1402/05: IRR value is built with USD_Change_IRR = 420,000 ('basic data' B2 = 'Procurement' G1 '</t>
        </r>
        <r>
          <rPr>
            <sz val="10"/>
            <rFont val="FreeSans"/>
            <family val="2"/>
          </rPr>
          <t>ارز مرجع</t>
        </r>
        <r>
          <rPr>
            <sz val="10"/>
            <rFont val="Arial"/>
            <family val="2"/>
          </rPr>
          <t>'), i.e. the 1402 rate; base year of the EUR figure itself is not stated → 1402 assumed (previous bank had 1399 – not supported by the file)</t>
        </r>
      </text>
    </comment>
    <comment ref="Z44" authorId="0" shapeId="0" xr:uid="{00000000-0006-0000-0200-00002E040000}">
      <text>
        <r>
          <rPr>
            <sz val="10"/>
            <rFont val="Arial"/>
            <family val="2"/>
          </rPr>
          <t>SOURCE – PEP-Rev.140205 Gachsaran 4 P.ME H68: formula =ROUND(19500*per_Euro*USD_Change_IRR,-3) → base price is EUR (IRR value is only a conversion at per_Euro 1.085 × 420,000)</t>
        </r>
      </text>
    </comment>
    <comment ref="AA44" authorId="0" shapeId="0" xr:uid="{00000000-0006-0000-0200-00005C040000}">
      <text>
        <r>
          <rPr>
            <sz val="10"/>
            <rFont val="Arial"/>
            <family val="2"/>
          </rPr>
          <t>SOURCE – PEP-Rev.140205 Gachsaran 4 P.ME H68: EUR constant inside the formula</t>
        </r>
      </text>
    </comment>
    <comment ref="AD44" authorId="0" shapeId="0" xr:uid="{00000000-0006-0000-0200-00008B04000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H68) </t>
        </r>
        <r>
          <rPr>
            <sz val="10"/>
            <rFont val="FreeSans"/>
            <family val="2"/>
          </rPr>
          <t xml:space="preserve">قیمت با نرخ یورو </t>
        </r>
        <r>
          <rPr>
            <sz val="10"/>
            <rFont val="Arial"/>
            <family val="2"/>
          </rPr>
          <t xml:space="preserve">455,692 ریال (= </t>
        </r>
        <r>
          <rPr>
            <sz val="10"/>
            <rFont val="FreeSans"/>
            <family val="2"/>
          </rPr>
          <t>۴۲۰٬۰۰۰ ریال/دلار × ۱٫۰۸۵</t>
        </r>
        <r>
          <rPr>
            <sz val="10"/>
            <rFont val="Arial"/>
            <family val="2"/>
          </rPr>
          <t xml:space="preserve">) برابر 8,885,989,000 ریال بوده است. این سلول با نرخ جدول FX </t>
        </r>
        <r>
          <rPr>
            <sz val="10"/>
            <rFont val="FreeSans"/>
            <family val="2"/>
          </rPr>
          <t>بانک (سال ۱۴۰۲</t>
        </r>
        <r>
          <rPr>
            <sz val="10"/>
            <rFont val="Arial"/>
            <family val="2"/>
          </rPr>
          <t>) محاسبه شده است.</t>
        </r>
      </text>
    </comment>
    <comment ref="AF44" authorId="0" shapeId="0" xr:uid="{00000000-0006-0000-0200-0000B5040000}">
      <text>
        <r>
          <rPr>
            <sz val="10"/>
            <rFont val="FreeSans"/>
            <family val="2"/>
          </rPr>
          <t>شرط تحویل</t>
        </r>
        <r>
          <rPr>
            <sz val="10"/>
            <rFont val="Arial"/>
            <family val="2"/>
          </rPr>
          <t>: EXW (</t>
        </r>
        <r>
          <rPr>
            <sz val="10"/>
            <rFont val="FreeSans"/>
            <family val="2"/>
          </rPr>
          <t>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N)</t>
        </r>
        <r>
          <rPr>
            <sz val="10"/>
            <rFont val="FreeSans"/>
            <family val="2"/>
          </rPr>
          <t>،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t>
        </r>
        <r>
          <rPr>
            <sz val="10"/>
            <rFont val="FreeSans"/>
            <family val="2"/>
          </rPr>
          <t>، نصب و مالیات</t>
        </r>
        <r>
          <rPr>
            <sz val="10"/>
            <rFont val="Arial"/>
            <family val="2"/>
          </rPr>
          <t>.</t>
        </r>
      </text>
    </comment>
    <comment ref="AO44" authorId="0" shapeId="0" xr:uid="{00000000-0006-0000-0200-000042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P44" authorId="0" shapeId="0" xr:uid="{00000000-0006-0000-0200-00005D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AQ44" authorId="0" shapeId="0" xr:uid="{00000000-0006-0000-0200-000078050000}">
      <text>
        <r>
          <rPr>
            <sz val="10"/>
            <rFont val="Arial"/>
            <family val="2"/>
          </rPr>
          <t>INFERRED – PEP-Rev.140205 Gachsaran 4 'Procurement' rows 49–54: spares (commissioning + 2-yr) D49, insurance D51, transport D52, TPI D53 and vendor site services D54 are separate lines on top of the P.ME unit prices; P.ME column N (</t>
        </r>
        <r>
          <rPr>
            <sz val="10"/>
            <rFont val="FreeSans"/>
            <family val="2"/>
          </rPr>
          <t>حمل</t>
        </r>
        <r>
          <rPr>
            <sz val="10"/>
            <rFont val="Arial"/>
            <family val="2"/>
          </rPr>
          <t>) carries transport per item</t>
        </r>
      </text>
    </comment>
    <comment ref="E45" authorId="0" shapeId="0" xr:uid="{00000000-0006-0000-0200-00002E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و انتقال اصلی</t>
        </r>
      </text>
    </comment>
    <comment ref="F45" authorId="0" shapeId="0" xr:uid="{00000000-0006-0000-0200-0000C1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45" authorId="0" shapeId="0" xr:uid="{00000000-0006-0000-0200-000054010000}">
      <text>
        <r>
          <rPr>
            <sz val="10"/>
            <rFont val="Arial"/>
            <family val="2"/>
          </rPr>
          <t xml:space="preserve">D-1: </t>
        </r>
        <r>
          <rPr>
            <sz val="10"/>
            <rFont val="FreeSans"/>
            <family val="2"/>
          </rPr>
          <t>بدنه داپلکس، پروانه داپلکس؛ رینگ با روکش سخت؛ شفت داپلکس</t>
        </r>
        <r>
          <rPr>
            <sz val="10"/>
            <rFont val="Arial"/>
            <family val="2"/>
          </rPr>
          <t xml:space="preserve">.
</t>
        </r>
        <r>
          <rPr>
            <sz val="10"/>
            <rFont val="FreeSans"/>
            <family val="2"/>
          </rPr>
          <t>کاربرد معمول: آب شور و آب تولیدی دارای کلراید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45" authorId="0" shapeId="0" xr:uid="{00000000-0006-0000-0200-000014020000}">
      <text>
        <r>
          <rPr>
            <sz val="10"/>
            <rFont val="Arial"/>
            <family val="2"/>
          </rPr>
          <t>SOURCE – design code line "&amp; IPS-G-PM-105" in the project item description</t>
        </r>
      </text>
    </comment>
    <comment ref="O45" authorId="0" shapeId="0" xr:uid="{00000000-0006-0000-0200-00006B020000}">
      <text>
        <r>
          <rPr>
            <sz val="10"/>
            <rFont val="Arial"/>
            <family val="2"/>
          </rPr>
          <t>INFERRED – KPL-476 R03 PUMPS-A (1) F19:F26: no "NACE MR-0175" line anywhere in Asmari (-A) or Common (-C) sheets, while the document states it item-by-item for the Bangestan train (12 "-B" sheets) → N</t>
        </r>
      </text>
    </comment>
    <comment ref="S45" authorId="0" shapeId="0" xr:uid="{00000000-0006-0000-0200-0000F3020000}">
      <text>
        <r>
          <rPr>
            <sz val="10"/>
            <rFont val="Arial"/>
            <family val="2"/>
          </rPr>
          <t xml:space="preserve">INFERRED – </t>
        </r>
        <r>
          <rPr>
            <sz val="10"/>
            <rFont val="FreeSans"/>
            <family val="2"/>
          </rPr>
          <t>نوع محرک در منبع ذکر نشده؛ موتور برقی فرض شده است</t>
        </r>
      </text>
    </comment>
    <comment ref="Y45" authorId="0" shapeId="0" xr:uid="{00000000-0006-0000-0200-0000BB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45" authorId="0" shapeId="0" xr:uid="{00000000-0006-0000-0200-0000B6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45" authorId="0" shapeId="0" xr:uid="{00000000-0006-0000-0200-000079050000}">
      <text>
        <r>
          <rPr>
            <sz val="10"/>
            <rFont val="Arial"/>
            <family val="2"/>
          </rPr>
          <t>INFERRED – KPL-476 R03 TOTAL (2) A29: inspection cost carried in overhead factor, not in vendor unit price</t>
        </r>
      </text>
    </comment>
    <comment ref="E46" authorId="0" shapeId="0" xr:uid="{00000000-0006-0000-0200-00002F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 xml:space="preserve">و انتقال اصلی
—
</t>
        </r>
        <r>
          <rPr>
            <sz val="10"/>
            <rFont val="Arial"/>
            <family val="2"/>
          </rPr>
          <t>Reclassified 1405-07: ROT-INJ → ROT-CRU (service-based classification; approved)</t>
        </r>
      </text>
    </comment>
    <comment ref="F46" authorId="0" shapeId="0" xr:uid="{00000000-0006-0000-0200-0000C2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46" authorId="0" shapeId="0" xr:uid="{00000000-0006-0000-0200-000055010000}">
      <text>
        <r>
          <rPr>
            <sz val="10"/>
            <rFont val="Arial"/>
            <family val="2"/>
          </rPr>
          <t xml:space="preserve">D-1: </t>
        </r>
        <r>
          <rPr>
            <sz val="10"/>
            <rFont val="FreeSans"/>
            <family val="2"/>
          </rPr>
          <t>بدنه داپلکس، پروانه داپلکس؛ رینگ با روکش سخت؛ شفت داپلکس</t>
        </r>
        <r>
          <rPr>
            <sz val="10"/>
            <rFont val="Arial"/>
            <family val="2"/>
          </rPr>
          <t xml:space="preserve">.
</t>
        </r>
        <r>
          <rPr>
            <sz val="10"/>
            <rFont val="FreeSans"/>
            <family val="2"/>
          </rPr>
          <t>کاربرد معمول: آب شور و آب تولیدی دارای کلراید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46" authorId="0" shapeId="0" xr:uid="{00000000-0006-0000-0200-000015020000}">
      <text>
        <r>
          <rPr>
            <sz val="10"/>
            <rFont val="Arial"/>
            <family val="2"/>
          </rPr>
          <t>SOURCE – design code line "&amp; IPS-G-PM-105" in the project item description</t>
        </r>
      </text>
    </comment>
    <comment ref="O46" authorId="0" shapeId="0" xr:uid="{00000000-0006-0000-0200-00006C020000}">
      <text>
        <r>
          <rPr>
            <sz val="10"/>
            <rFont val="Arial"/>
            <family val="2"/>
          </rPr>
          <t>INFERRED – KPL-476 R03 PUMPS-A (1) F27:F34: no "NACE MR-0175" line anywhere in Asmari (-A) or Common (-C) sheets, while the document states it item-by-item for the Bangestan train (12 "-B" sheets) → N</t>
        </r>
      </text>
    </comment>
    <comment ref="S46" authorId="0" shapeId="0" xr:uid="{00000000-0006-0000-0200-0000F4020000}">
      <text>
        <r>
          <rPr>
            <sz val="10"/>
            <rFont val="Arial"/>
            <family val="2"/>
          </rPr>
          <t xml:space="preserve">INFERRED – </t>
        </r>
        <r>
          <rPr>
            <sz val="10"/>
            <rFont val="FreeSans"/>
            <family val="2"/>
          </rPr>
          <t>نوع محرک در منبع ذکر نشده؛ موتور برقی فرض شده است</t>
        </r>
      </text>
    </comment>
    <comment ref="Y46" authorId="0" shapeId="0" xr:uid="{00000000-0006-0000-0200-0000BC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46" authorId="0" shapeId="0" xr:uid="{00000000-0006-0000-0200-0000B7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46" authorId="0" shapeId="0" xr:uid="{00000000-0006-0000-0200-00007A050000}">
      <text>
        <r>
          <rPr>
            <sz val="10"/>
            <rFont val="Arial"/>
            <family val="2"/>
          </rPr>
          <t>INFERRED – KPL-476 R03 TOTAL (2) A29: inspection cost carried in overhead factor, not in vendor unit price</t>
        </r>
      </text>
    </comment>
    <comment ref="E47" authorId="0" shapeId="0" xr:uid="{00000000-0006-0000-0200-000030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xml:space="preserve">، جداکننده آب و نفت (OWS)، نفت بازیافتی و لجن
—
</t>
        </r>
        <r>
          <rPr>
            <sz val="10"/>
            <rFont val="Arial"/>
            <family val="2"/>
          </rPr>
          <t>Reclassified 1405-07: ROT-CRU → ROT-DRN (service-based classification; approved)</t>
        </r>
      </text>
    </comment>
    <comment ref="F47" authorId="0" shapeId="0" xr:uid="{00000000-0006-0000-0200-0000C3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47" authorId="0" shapeId="0" xr:uid="{00000000-0006-0000-0200-000056010000}">
      <text>
        <r>
          <rPr>
            <sz val="10"/>
            <rFont val="Arial"/>
            <family val="2"/>
          </rPr>
          <t xml:space="preserve">D-1: </t>
        </r>
        <r>
          <rPr>
            <sz val="10"/>
            <rFont val="FreeSans"/>
            <family val="2"/>
          </rPr>
          <t>بدنه داپلکس، پروانه داپلکس؛ رینگ با روکش سخت؛ شفت داپلکس</t>
        </r>
        <r>
          <rPr>
            <sz val="10"/>
            <rFont val="Arial"/>
            <family val="2"/>
          </rPr>
          <t xml:space="preserve">.
</t>
        </r>
        <r>
          <rPr>
            <sz val="10"/>
            <rFont val="FreeSans"/>
            <family val="2"/>
          </rPr>
          <t>کاربرد معمول: آب شور و آب تولیدی دارای کلراید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47" authorId="0" shapeId="0" xr:uid="{00000000-0006-0000-0200-000016020000}">
      <text>
        <r>
          <rPr>
            <sz val="10"/>
            <rFont val="Arial"/>
            <family val="2"/>
          </rPr>
          <t>SOURCE – design code line "&amp; IPS-M-PM-140" in the project item description</t>
        </r>
      </text>
    </comment>
    <comment ref="O47" authorId="0" shapeId="0" xr:uid="{00000000-0006-0000-0200-00006D020000}">
      <text>
        <r>
          <rPr>
            <sz val="10"/>
            <rFont val="Arial"/>
            <family val="2"/>
          </rPr>
          <t>INFERRED – KPL-476 R03 PUMPS-A (1) F35:F41: no "NACE MR-0175" line anywhere in Asmari (-A) or Common (-C) sheets, while the document states it item-by-item for the Bangestan train (12 "-B" sheets) → N</t>
        </r>
      </text>
    </comment>
    <comment ref="S47" authorId="0" shapeId="0" xr:uid="{00000000-0006-0000-0200-0000F5020000}">
      <text>
        <r>
          <rPr>
            <sz val="10"/>
            <rFont val="Arial"/>
            <family val="2"/>
          </rPr>
          <t xml:space="preserve">INFERRED – </t>
        </r>
        <r>
          <rPr>
            <sz val="10"/>
            <rFont val="FreeSans"/>
            <family val="2"/>
          </rPr>
          <t>نوع محرک در منبع ذکر نشده؛ موتور برقی فرض شده است</t>
        </r>
      </text>
    </comment>
    <comment ref="Y47" authorId="0" shapeId="0" xr:uid="{00000000-0006-0000-0200-0000BD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47" authorId="0" shapeId="0" xr:uid="{00000000-0006-0000-0200-0000B8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47" authorId="0" shapeId="0" xr:uid="{00000000-0006-0000-0200-00007B050000}">
      <text>
        <r>
          <rPr>
            <sz val="10"/>
            <rFont val="Arial"/>
            <family val="2"/>
          </rPr>
          <t>INFERRED – KPL-476 R03 TOTAL (2) A29: inspection cost carried in overhead factor, not in vendor unit price</t>
        </r>
      </text>
    </comment>
    <comment ref="E48" authorId="0" shapeId="0" xr:uid="{00000000-0006-0000-0200-000031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48" authorId="0" shapeId="0" xr:uid="{00000000-0006-0000-0200-0000C4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48" authorId="0" shapeId="0" xr:uid="{00000000-0006-0000-0200-000057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48" authorId="0" shapeId="0" xr:uid="{00000000-0006-0000-0200-000017020000}">
      <text>
        <r>
          <rPr>
            <sz val="10"/>
            <rFont val="Arial"/>
            <family val="2"/>
          </rPr>
          <t>SOURCE – design code line "&amp; IPS-G-PM-105" in the project item description</t>
        </r>
      </text>
    </comment>
    <comment ref="O48" authorId="0" shapeId="0" xr:uid="{00000000-0006-0000-0200-00006E020000}">
      <text>
        <r>
          <rPr>
            <sz val="10"/>
            <rFont val="Arial"/>
            <family val="2"/>
          </rPr>
          <t>INFERRED – KPL-476 R03 PUMPS-A (1) F42:F49: no "NACE MR-0175" line anywhere in Asmari (-A) or Common (-C) sheets, while the document states it item-by-item for the Bangestan train (12 "-B" sheets) → N</t>
        </r>
      </text>
    </comment>
    <comment ref="S48" authorId="0" shapeId="0" xr:uid="{00000000-0006-0000-0200-0000F6020000}">
      <text>
        <r>
          <rPr>
            <sz val="10"/>
            <rFont val="Arial"/>
            <family val="2"/>
          </rPr>
          <t xml:space="preserve">INFERRED – </t>
        </r>
        <r>
          <rPr>
            <sz val="10"/>
            <rFont val="FreeSans"/>
            <family val="2"/>
          </rPr>
          <t>نوع محرک در منبع ذکر نشده؛ موتور برقی فرض شده است</t>
        </r>
      </text>
    </comment>
    <comment ref="Y48" authorId="0" shapeId="0" xr:uid="{00000000-0006-0000-0200-0000BE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48" authorId="0" shapeId="0" xr:uid="{00000000-0006-0000-0200-0000B9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48" authorId="0" shapeId="0" xr:uid="{00000000-0006-0000-0200-00007C050000}">
      <text>
        <r>
          <rPr>
            <sz val="10"/>
            <rFont val="Arial"/>
            <family val="2"/>
          </rPr>
          <t>INFERRED – KPL-476 R03 TOTAL (2) A29: inspection cost carried in overhead factor, not in vendor unit price</t>
        </r>
      </text>
    </comment>
    <comment ref="E49" authorId="0" shapeId="0" xr:uid="{00000000-0006-0000-0200-000032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49" authorId="0" shapeId="0" xr:uid="{00000000-0006-0000-0200-0000C5000000}">
      <text>
        <r>
          <rPr>
            <sz val="10"/>
            <rFont val="Arial"/>
            <family val="2"/>
          </rPr>
          <t xml:space="preserve">BB3 – Between bearings, multistage, axially split:
</t>
        </r>
        <r>
          <rPr>
            <sz val="10"/>
            <rFont val="FreeSans"/>
            <family val="2"/>
          </rPr>
          <t>چندمرحله‌ای، بدنه دوتکه افقی؛ تزریق آب و انتقال پرفشار</t>
        </r>
      </text>
    </comment>
    <comment ref="G49" authorId="0" shapeId="0" xr:uid="{00000000-0006-0000-0200-000058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49" authorId="0" shapeId="0" xr:uid="{00000000-0006-0000-0200-000018020000}">
      <text>
        <r>
          <rPr>
            <sz val="10"/>
            <rFont val="Arial"/>
            <family val="2"/>
          </rPr>
          <t>SOURCE – design code line "&amp; IPS-G-PM-105" in the project item description</t>
        </r>
      </text>
    </comment>
    <comment ref="O49" authorId="0" shapeId="0" xr:uid="{00000000-0006-0000-0200-00006F020000}">
      <text>
        <r>
          <rPr>
            <sz val="10"/>
            <rFont val="Arial"/>
            <family val="2"/>
          </rPr>
          <t>INFERRED – KPL-476 R03 PUMPS-A (2) F19:F26: no "NACE MR-0175" line anywhere in Asmari (-A) or Common (-C) sheets, while the document states it item-by-item for the Bangestan train (12 "-B" sheets) → N</t>
        </r>
      </text>
    </comment>
    <comment ref="S49" authorId="0" shapeId="0" xr:uid="{00000000-0006-0000-0200-0000F7020000}">
      <text>
        <r>
          <rPr>
            <sz val="10"/>
            <rFont val="Arial"/>
            <family val="2"/>
          </rPr>
          <t xml:space="preserve">INFERRED – </t>
        </r>
        <r>
          <rPr>
            <sz val="10"/>
            <rFont val="FreeSans"/>
            <family val="2"/>
          </rPr>
          <t>نوع محرک در منبع ذکر نشده؛ موتور برقی فرض شده است</t>
        </r>
      </text>
    </comment>
    <comment ref="Y49" authorId="0" shapeId="0" xr:uid="{00000000-0006-0000-0200-0000BF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49" authorId="0" shapeId="0" xr:uid="{00000000-0006-0000-0200-0000BA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49" authorId="0" shapeId="0" xr:uid="{00000000-0006-0000-0200-00007D050000}">
      <text>
        <r>
          <rPr>
            <sz val="10"/>
            <rFont val="Arial"/>
            <family val="2"/>
          </rPr>
          <t>INFERRED – KPL-476 R03 TOTAL (2) A29: inspection cost carried in overhead factor, not in vendor unit price</t>
        </r>
      </text>
    </comment>
    <comment ref="E50" authorId="0" shapeId="0" xr:uid="{00000000-0006-0000-0200-000033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50" authorId="0" shapeId="0" xr:uid="{00000000-0006-0000-0200-0000C6000000}">
      <text>
        <r>
          <rPr>
            <sz val="10"/>
            <rFont val="Arial"/>
            <family val="2"/>
          </rPr>
          <t xml:space="preserve">BB3 – Between bearings, multistage, axially split:
</t>
        </r>
        <r>
          <rPr>
            <sz val="10"/>
            <rFont val="FreeSans"/>
            <family val="2"/>
          </rPr>
          <t>چندمرحله‌ای، بدنه دوتکه افقی؛ تزریق آب و انتقال پرفشار</t>
        </r>
      </text>
    </comment>
    <comment ref="G50" authorId="0" shapeId="0" xr:uid="{00000000-0006-0000-0200-000059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50" authorId="0" shapeId="0" xr:uid="{00000000-0006-0000-0200-000019020000}">
      <text>
        <r>
          <rPr>
            <sz val="10"/>
            <rFont val="Arial"/>
            <family val="2"/>
          </rPr>
          <t>SOURCE – design code line "&amp; IPS-G-PM-105" in the project item description</t>
        </r>
      </text>
    </comment>
    <comment ref="O50" authorId="0" shapeId="0" xr:uid="{00000000-0006-0000-0200-000070020000}">
      <text>
        <r>
          <rPr>
            <sz val="10"/>
            <rFont val="Arial"/>
            <family val="2"/>
          </rPr>
          <t>INFERRED – KPL-476 R03 PUMPS-A (2) F27:F34: no "NACE MR-0175" line anywhere in Asmari (-A) or Common (-C) sheets, while the document states it item-by-item for the Bangestan train (12 "-B" sheets) → N</t>
        </r>
      </text>
    </comment>
    <comment ref="S50" authorId="0" shapeId="0" xr:uid="{00000000-0006-0000-0200-0000F8020000}">
      <text>
        <r>
          <rPr>
            <sz val="10"/>
            <rFont val="Arial"/>
            <family val="2"/>
          </rPr>
          <t xml:space="preserve">INFERRED – </t>
        </r>
        <r>
          <rPr>
            <sz val="10"/>
            <rFont val="FreeSans"/>
            <family val="2"/>
          </rPr>
          <t>نوع محرک در منبع ذکر نشده؛ موتور برقی فرض شده است</t>
        </r>
      </text>
    </comment>
    <comment ref="Y50" authorId="0" shapeId="0" xr:uid="{00000000-0006-0000-0200-0000C0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50" authorId="0" shapeId="0" xr:uid="{00000000-0006-0000-0200-0000BB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50" authorId="0" shapeId="0" xr:uid="{00000000-0006-0000-0200-00007E050000}">
      <text>
        <r>
          <rPr>
            <sz val="10"/>
            <rFont val="Arial"/>
            <family val="2"/>
          </rPr>
          <t>INFERRED – KPL-476 R03 TOTAL (2) A29: inspection cost carried in overhead factor, not in vendor unit price</t>
        </r>
      </text>
    </comment>
    <comment ref="E51" authorId="0" shapeId="0" xr:uid="{00000000-0006-0000-0200-000034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51" authorId="0" shapeId="0" xr:uid="{00000000-0006-0000-0200-0000C7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51" authorId="0" shapeId="0" xr:uid="{00000000-0006-0000-0200-00005A010000}">
      <text>
        <r>
          <rPr>
            <sz val="10"/>
            <rFont val="Arial"/>
            <family val="2"/>
          </rPr>
          <t xml:space="preserve">S-5: </t>
        </r>
        <r>
          <rPr>
            <sz val="10"/>
            <rFont val="FreeSans"/>
            <family val="2"/>
          </rPr>
          <t xml:space="preserve">بدنه فولاد کربنی، پروانه فولاد کربنی؛ رینگ کروم ۱۲٪ سخت‌شده؛ شفت </t>
        </r>
        <r>
          <rPr>
            <sz val="10"/>
            <rFont val="Arial"/>
            <family val="2"/>
          </rPr>
          <t xml:space="preserve">AISI 4140.
</t>
        </r>
        <r>
          <rPr>
            <sz val="10"/>
            <rFont val="FreeSans"/>
            <family val="2"/>
          </rPr>
          <t>کاربرد معمول: هیدروکربن عمومی و داغ</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51" authorId="0" shapeId="0" xr:uid="{00000000-0006-0000-0200-00001A020000}">
      <text>
        <r>
          <rPr>
            <sz val="10"/>
            <rFont val="Arial"/>
            <family val="2"/>
          </rPr>
          <t>SOURCE – design code line "&amp; IPS-G-PM-105" in the project item description</t>
        </r>
      </text>
    </comment>
    <comment ref="O51" authorId="0" shapeId="0" xr:uid="{00000000-0006-0000-0200-000071020000}">
      <text>
        <r>
          <rPr>
            <sz val="10"/>
            <rFont val="Arial"/>
            <family val="2"/>
          </rPr>
          <t>INFERRED – KPL-476 R03 PUMPS-A (2) F35:F42: no "NACE MR-0175" line anywhere in Asmari (-A) or Common (-C) sheets, while the document states it item-by-item for the Bangestan train (12 "-B" sheets) → N</t>
        </r>
      </text>
    </comment>
    <comment ref="S51" authorId="0" shapeId="0" xr:uid="{00000000-0006-0000-0200-0000F9020000}">
      <text>
        <r>
          <rPr>
            <sz val="10"/>
            <rFont val="Arial"/>
            <family val="2"/>
          </rPr>
          <t xml:space="preserve">INFERRED – </t>
        </r>
        <r>
          <rPr>
            <sz val="10"/>
            <rFont val="FreeSans"/>
            <family val="2"/>
          </rPr>
          <t>نوع محرک در منبع ذکر نشده؛ موتور برقی فرض شده است</t>
        </r>
      </text>
    </comment>
    <comment ref="Y51" authorId="0" shapeId="0" xr:uid="{00000000-0006-0000-0200-0000C1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51" authorId="0" shapeId="0" xr:uid="{00000000-0006-0000-0200-0000BC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51" authorId="0" shapeId="0" xr:uid="{00000000-0006-0000-0200-00007F050000}">
      <text>
        <r>
          <rPr>
            <sz val="10"/>
            <rFont val="Arial"/>
            <family val="2"/>
          </rPr>
          <t>INFERRED – KPL-476 R03 TOTAL (2) A29: inspection cost carried in overhead factor, not in vendor unit price</t>
        </r>
      </text>
    </comment>
    <comment ref="E52" authorId="0" shapeId="0" xr:uid="{00000000-0006-0000-0200-000035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52" authorId="0" shapeId="0" xr:uid="{00000000-0006-0000-0200-0000C8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52" authorId="0" shapeId="0" xr:uid="{00000000-0006-0000-0200-00005B010000}">
      <text>
        <r>
          <rPr>
            <sz val="10"/>
            <rFont val="Arial"/>
            <family val="2"/>
          </rPr>
          <t xml:space="preserve">S-5: </t>
        </r>
        <r>
          <rPr>
            <sz val="10"/>
            <rFont val="FreeSans"/>
            <family val="2"/>
          </rPr>
          <t xml:space="preserve">بدنه فولاد کربنی، پروانه فولاد کربنی؛ رینگ کروم ۱۲٪ سخت‌شده؛ شفت </t>
        </r>
        <r>
          <rPr>
            <sz val="10"/>
            <rFont val="Arial"/>
            <family val="2"/>
          </rPr>
          <t xml:space="preserve">AISI 4140.
</t>
        </r>
        <r>
          <rPr>
            <sz val="10"/>
            <rFont val="FreeSans"/>
            <family val="2"/>
          </rPr>
          <t>کاربرد معمول: هیدروکربن عمومی و داغ</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52" authorId="0" shapeId="0" xr:uid="{00000000-0006-0000-0200-00001B020000}">
      <text>
        <r>
          <rPr>
            <sz val="10"/>
            <rFont val="Arial"/>
            <family val="2"/>
          </rPr>
          <t>SOURCE – design code line "&amp; IPS-G-PM-105" in the project item description</t>
        </r>
      </text>
    </comment>
    <comment ref="O52" authorId="0" shapeId="0" xr:uid="{00000000-0006-0000-0200-000072020000}">
      <text>
        <r>
          <rPr>
            <sz val="10"/>
            <rFont val="Arial"/>
            <family val="2"/>
          </rPr>
          <t>INFERRED – KPL-476 R03 PUMPS-A (2) F43:F50: no "NACE MR-0175" line anywhere in Asmari (-A) or Common (-C) sheets, while the document states it item-by-item for the Bangestan train (12 "-B" sheets) → N</t>
        </r>
      </text>
    </comment>
    <comment ref="S52" authorId="0" shapeId="0" xr:uid="{00000000-0006-0000-0200-0000FA020000}">
      <text>
        <r>
          <rPr>
            <sz val="10"/>
            <rFont val="Arial"/>
            <family val="2"/>
          </rPr>
          <t xml:space="preserve">INFERRED – </t>
        </r>
        <r>
          <rPr>
            <sz val="10"/>
            <rFont val="FreeSans"/>
            <family val="2"/>
          </rPr>
          <t>نوع محرک در منبع ذکر نشده؛ موتور برقی فرض شده است</t>
        </r>
      </text>
    </comment>
    <comment ref="Y52" authorId="0" shapeId="0" xr:uid="{00000000-0006-0000-0200-0000C2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52" authorId="0" shapeId="0" xr:uid="{00000000-0006-0000-0200-0000BD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52" authorId="0" shapeId="0" xr:uid="{00000000-0006-0000-0200-000080050000}">
      <text>
        <r>
          <rPr>
            <sz val="10"/>
            <rFont val="Arial"/>
            <family val="2"/>
          </rPr>
          <t>INFERRED – KPL-476 R03 TOTAL (2) A29: inspection cost carried in overhead factor, not in vendor unit price</t>
        </r>
      </text>
    </comment>
    <comment ref="E53" authorId="0" shapeId="0" xr:uid="{00000000-0006-0000-0200-000036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53" authorId="0" shapeId="0" xr:uid="{00000000-0006-0000-0200-0000C9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53" authorId="0" shapeId="0" xr:uid="{00000000-0006-0000-0200-00005C010000}">
      <text>
        <r>
          <rPr>
            <sz val="10"/>
            <rFont val="Arial"/>
            <family val="2"/>
          </rPr>
          <t xml:space="preserve">S-6: </t>
        </r>
        <r>
          <rPr>
            <sz val="10"/>
            <rFont val="FreeSans"/>
            <family val="2"/>
          </rPr>
          <t>بدنه فولاد کربنی، پروانه کروم ۱۲٪؛ رینگ کروم ۱۲٪ سخت‌شده؛ شفت کروم ۱۲٪</t>
        </r>
        <r>
          <rPr>
            <sz val="10"/>
            <rFont val="Arial"/>
            <family val="2"/>
          </rPr>
          <t xml:space="preserve">.
</t>
        </r>
        <r>
          <rPr>
            <sz val="10"/>
            <rFont val="FreeSans"/>
            <family val="2"/>
          </rPr>
          <t>کاربرد معمول: هیدروکربن داغ، آب ترش و خوردگی ملایم</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53" authorId="0" shapeId="0" xr:uid="{00000000-0006-0000-0200-00001C020000}">
      <text>
        <r>
          <rPr>
            <sz val="10"/>
            <rFont val="Arial"/>
            <family val="2"/>
          </rPr>
          <t>SOURCE – design code line "&amp; IPS-G-PM-105" in the project item description</t>
        </r>
      </text>
    </comment>
    <comment ref="O53" authorId="0" shapeId="0" xr:uid="{00000000-0006-0000-0200-000073020000}">
      <text>
        <r>
          <rPr>
            <sz val="10"/>
            <rFont val="Arial"/>
            <family val="2"/>
          </rPr>
          <t>INFERRED – KPL-476 R03 PUMPS-A (3) F19:F26: no "NACE MR-0175" line anywhere in Asmari (-A) or Common (-C) sheets, while the document states it item-by-item for the Bangestan train (12 "-B" sheets) → N</t>
        </r>
      </text>
    </comment>
    <comment ref="S53" authorId="0" shapeId="0" xr:uid="{00000000-0006-0000-0200-0000FB020000}">
      <text>
        <r>
          <rPr>
            <sz val="10"/>
            <rFont val="Arial"/>
            <family val="2"/>
          </rPr>
          <t xml:space="preserve">INFERRED – </t>
        </r>
        <r>
          <rPr>
            <sz val="10"/>
            <rFont val="FreeSans"/>
            <family val="2"/>
          </rPr>
          <t>نوع محرک در منبع ذکر نشده؛ موتور برقی فرض شده است</t>
        </r>
      </text>
    </comment>
    <comment ref="Y53" authorId="0" shapeId="0" xr:uid="{00000000-0006-0000-0200-0000C3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53" authorId="0" shapeId="0" xr:uid="{00000000-0006-0000-0200-0000BE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53" authorId="0" shapeId="0" xr:uid="{00000000-0006-0000-0200-000081050000}">
      <text>
        <r>
          <rPr>
            <sz val="10"/>
            <rFont val="Arial"/>
            <family val="2"/>
          </rPr>
          <t>INFERRED – KPL-476 R03 TOTAL (2) A29: inspection cost carried in overhead factor, not in vendor unit price</t>
        </r>
      </text>
    </comment>
    <comment ref="E54" authorId="0" shapeId="0" xr:uid="{00000000-0006-0000-0200-000037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xml:space="preserve">، جداکننده آب و نفت (OWS)، نفت بازیافتی و لجن
—
</t>
        </r>
        <r>
          <rPr>
            <sz val="10"/>
            <rFont val="Arial"/>
            <family val="2"/>
          </rPr>
          <t>Reclassified 1405-07: ROT-CRU → ROT-DRN (service-based classification; approved)</t>
        </r>
      </text>
    </comment>
    <comment ref="F54" authorId="0" shapeId="0" xr:uid="{00000000-0006-0000-0200-0000CA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54" authorId="0" shapeId="0" xr:uid="{00000000-0006-0000-0200-00005D010000}">
      <text>
        <r>
          <rPr>
            <sz val="10"/>
            <rFont val="Arial"/>
            <family val="2"/>
          </rPr>
          <t xml:space="preserve">D-1: </t>
        </r>
        <r>
          <rPr>
            <sz val="10"/>
            <rFont val="FreeSans"/>
            <family val="2"/>
          </rPr>
          <t>بدنه داپلکس، پروانه داپلکس؛ رینگ با روکش سخت؛ شفت داپلکس</t>
        </r>
        <r>
          <rPr>
            <sz val="10"/>
            <rFont val="Arial"/>
            <family val="2"/>
          </rPr>
          <t xml:space="preserve">.
</t>
        </r>
        <r>
          <rPr>
            <sz val="10"/>
            <rFont val="FreeSans"/>
            <family val="2"/>
          </rPr>
          <t>کاربرد معمول: آب شور و آب تولیدی دارای کلراید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54" authorId="0" shapeId="0" xr:uid="{00000000-0006-0000-0200-00001D020000}">
      <text>
        <r>
          <rPr>
            <sz val="10"/>
            <rFont val="Arial"/>
            <family val="2"/>
          </rPr>
          <t>SOURCE – design code line "&amp; IPS-M-PM-140" in the project item description</t>
        </r>
      </text>
    </comment>
    <comment ref="O54" authorId="0" shapeId="0" xr:uid="{00000000-0006-0000-0200-000074020000}">
      <text>
        <r>
          <rPr>
            <sz val="10"/>
            <rFont val="Arial"/>
            <family val="2"/>
          </rPr>
          <t>INFERRED – KPL-476 R03 PUMPS-A (3) F27:F33: no "NACE MR-0175" line anywhere in Asmari (-A) or Common (-C) sheets, while the document states it item-by-item for the Bangestan train (12 "-B" sheets) → N</t>
        </r>
      </text>
    </comment>
    <comment ref="S54" authorId="0" shapeId="0" xr:uid="{00000000-0006-0000-0200-0000FC020000}">
      <text>
        <r>
          <rPr>
            <sz val="10"/>
            <rFont val="Arial"/>
            <family val="2"/>
          </rPr>
          <t xml:space="preserve">INFERRED – </t>
        </r>
        <r>
          <rPr>
            <sz val="10"/>
            <rFont val="FreeSans"/>
            <family val="2"/>
          </rPr>
          <t>نوع محرک در منبع ذکر نشده؛ موتور برقی فرض شده است</t>
        </r>
      </text>
    </comment>
    <comment ref="Y54" authorId="0" shapeId="0" xr:uid="{00000000-0006-0000-0200-0000C4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54" authorId="0" shapeId="0" xr:uid="{00000000-0006-0000-0200-0000BF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54" authorId="0" shapeId="0" xr:uid="{00000000-0006-0000-0200-000082050000}">
      <text>
        <r>
          <rPr>
            <sz val="10"/>
            <rFont val="Arial"/>
            <family val="2"/>
          </rPr>
          <t>INFERRED – KPL-476 R03 TOTAL (2) A29: inspection cost carried in overhead factor, not in vendor unit price</t>
        </r>
      </text>
    </comment>
    <comment ref="E55" authorId="0" shapeId="0" xr:uid="{00000000-0006-0000-0200-000038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55" authorId="0" shapeId="0" xr:uid="{00000000-0006-0000-0200-0000CB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55" authorId="0" shapeId="0" xr:uid="{00000000-0006-0000-0200-00005E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55" authorId="0" shapeId="0" xr:uid="{00000000-0006-0000-0200-00001E020000}">
      <text>
        <r>
          <rPr>
            <sz val="10"/>
            <rFont val="Arial"/>
            <family val="2"/>
          </rPr>
          <t>SOURCE – design code line "&amp; IPS-G-PM-105" in the project item description</t>
        </r>
      </text>
    </comment>
    <comment ref="O55" authorId="0" shapeId="0" xr:uid="{00000000-0006-0000-0200-000075020000}">
      <text>
        <r>
          <rPr>
            <sz val="10"/>
            <rFont val="Arial"/>
            <family val="2"/>
          </rPr>
          <t>INFERRED – KPL-476 R03 PUMPS-A (3) F34:F41: no "NACE MR-0175" line anywhere in Asmari (-A) or Common (-C) sheets, while the document states it item-by-item for the Bangestan train (12 "-B" sheets) → N</t>
        </r>
      </text>
    </comment>
    <comment ref="S55" authorId="0" shapeId="0" xr:uid="{00000000-0006-0000-0200-0000FD020000}">
      <text>
        <r>
          <rPr>
            <sz val="10"/>
            <rFont val="Arial"/>
            <family val="2"/>
          </rPr>
          <t xml:space="preserve">INFERRED – </t>
        </r>
        <r>
          <rPr>
            <sz val="10"/>
            <rFont val="FreeSans"/>
            <family val="2"/>
          </rPr>
          <t>نوع محرک در منبع ذکر نشده؛ موتور برقی فرض شده است</t>
        </r>
      </text>
    </comment>
    <comment ref="Y55" authorId="0" shapeId="0" xr:uid="{00000000-0006-0000-0200-0000C5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55" authorId="0" shapeId="0" xr:uid="{00000000-0006-0000-0200-0000C0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55" authorId="0" shapeId="0" xr:uid="{00000000-0006-0000-0200-000083050000}">
      <text>
        <r>
          <rPr>
            <sz val="10"/>
            <rFont val="Arial"/>
            <family val="2"/>
          </rPr>
          <t>INFERRED – KPL-476 R03 TOTAL (2) A29: inspection cost carried in overhead factor, not in vendor unit price</t>
        </r>
      </text>
    </comment>
    <comment ref="E56" authorId="0" shapeId="0" xr:uid="{00000000-0006-0000-0200-000039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56" authorId="0" shapeId="0" xr:uid="{00000000-0006-0000-0200-0000CC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56" authorId="0" shapeId="0" xr:uid="{00000000-0006-0000-0200-00005F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56" authorId="0" shapeId="0" xr:uid="{00000000-0006-0000-0200-00001F020000}">
      <text>
        <r>
          <rPr>
            <sz val="10"/>
            <rFont val="Arial"/>
            <family val="2"/>
          </rPr>
          <t>SOURCE – design code line "&amp; IPS-G-PM-105" in the project item description</t>
        </r>
      </text>
    </comment>
    <comment ref="O56" authorId="0" shapeId="0" xr:uid="{00000000-0006-0000-0200-000076020000}">
      <text>
        <r>
          <rPr>
            <sz val="10"/>
            <rFont val="Arial"/>
            <family val="2"/>
          </rPr>
          <t>INFERRED – KPL-476 R03 PUMPS-A (3) F42:F49: no "NACE MR-0175" line anywhere in Asmari (-A) or Common (-C) sheets, while the document states it item-by-item for the Bangestan train (12 "-B" sheets) → N</t>
        </r>
      </text>
    </comment>
    <comment ref="S56" authorId="0" shapeId="0" xr:uid="{00000000-0006-0000-0200-0000FE020000}">
      <text>
        <r>
          <rPr>
            <sz val="10"/>
            <rFont val="Arial"/>
            <family val="2"/>
          </rPr>
          <t xml:space="preserve">INFERRED – </t>
        </r>
        <r>
          <rPr>
            <sz val="10"/>
            <rFont val="FreeSans"/>
            <family val="2"/>
          </rPr>
          <t>نوع محرک در منبع ذکر نشده؛ موتور برقی فرض شده است</t>
        </r>
      </text>
    </comment>
    <comment ref="Y56" authorId="0" shapeId="0" xr:uid="{00000000-0006-0000-0200-0000C6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56" authorId="0" shapeId="0" xr:uid="{00000000-0006-0000-0200-0000C1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56" authorId="0" shapeId="0" xr:uid="{00000000-0006-0000-0200-000084050000}">
      <text>
        <r>
          <rPr>
            <sz val="10"/>
            <rFont val="Arial"/>
            <family val="2"/>
          </rPr>
          <t>INFERRED – KPL-476 R03 TOTAL (2) A29: inspection cost carried in overhead factor, not in vendor unit price</t>
        </r>
      </text>
    </comment>
    <comment ref="E57" authorId="0" shapeId="0" xr:uid="{00000000-0006-0000-0200-00003A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57" authorId="0" shapeId="0" xr:uid="{00000000-0006-0000-0200-0000CD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
—
</t>
        </r>
        <r>
          <rPr>
            <sz val="10"/>
            <rFont val="Arial"/>
            <family val="2"/>
          </rPr>
          <t>SOURCE – KPL-476 R03 DESALTERS-A F32</t>
        </r>
      </text>
    </comment>
    <comment ref="G57" authorId="0" shapeId="0" xr:uid="{00000000-0006-0000-0200-000060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
—
SOURCE – KPL-476 R03 DESALTERS-A F35</t>
        </r>
      </text>
    </comment>
    <comment ref="H57" authorId="0" shapeId="0" xr:uid="{00000000-0006-0000-0200-0000BF010000}">
      <text>
        <r>
          <rPr>
            <sz val="10"/>
            <rFont val="Arial"/>
            <family val="2"/>
          </rPr>
          <t>SOURCE – KPL-476 R03 DESALTERS-A F33: Pumps Rated Flow 21 m3/hr</t>
        </r>
      </text>
    </comment>
    <comment ref="I57" authorId="0" shapeId="0" xr:uid="{00000000-0006-0000-0200-0000D4010000}">
      <text>
        <r>
          <rPr>
            <sz val="10"/>
            <rFont val="Arial"/>
            <family val="2"/>
          </rPr>
          <t>INFERRED – KPL-476 R03 DESALTERS-A F34: Differential Pressure 4.4 barg → head ≈ 4.4×10.2 m (SG 1.0 assumed)</t>
        </r>
      </text>
    </comment>
    <comment ref="N57" authorId="0" shapeId="0" xr:uid="{00000000-0006-0000-0200-000020020000}">
      <text>
        <r>
          <rPr>
            <sz val="10"/>
            <rFont val="Arial"/>
            <family val="2"/>
          </rPr>
          <t>SOURCE – design code line "&amp; IPS-G-PM-105" in the project item description</t>
        </r>
      </text>
    </comment>
    <comment ref="O57" authorId="0" shapeId="0" xr:uid="{00000000-0006-0000-0200-000077020000}">
      <text>
        <r>
          <rPr>
            <sz val="10"/>
            <rFont val="Arial"/>
            <family val="2"/>
          </rPr>
          <t>INFERRED – KPL-476 R03 DESALTERS-A F19:F37: no "NACE MR-0175" line anywhere in Asmari (-A) or Common (-C) sheets, while the document states it item-by-item for the Bangestan train (12 "-B" sheets) → N</t>
        </r>
      </text>
    </comment>
    <comment ref="S57" authorId="0" shapeId="0" xr:uid="{00000000-0006-0000-0200-0000FF020000}">
      <text>
        <r>
          <rPr>
            <sz val="10"/>
            <rFont val="Arial"/>
            <family val="2"/>
          </rPr>
          <t xml:space="preserve">INFERRED – </t>
        </r>
        <r>
          <rPr>
            <sz val="10"/>
            <rFont val="FreeSans"/>
            <family val="2"/>
          </rPr>
          <t>نوع محرک در منبع ذکر نشده؛ موتور برقی فرض شده است</t>
        </r>
      </text>
    </comment>
    <comment ref="Y57" authorId="0" shapeId="0" xr:uid="{00000000-0006-0000-0200-0000C7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57" authorId="0" shapeId="0" xr:uid="{00000000-0006-0000-0200-0000C204000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(FOB</t>
        </r>
        <r>
          <rPr>
            <sz val="10"/>
            <rFont val="FreeSans"/>
            <family val="2"/>
          </rPr>
          <t>، با ضریب ×۱٫۵۸ جداگانه</t>
        </r>
        <r>
          <rPr>
            <sz val="10"/>
            <rFont val="Arial"/>
            <family val="2"/>
          </rPr>
          <t>).</t>
        </r>
      </text>
    </comment>
    <comment ref="E58" authorId="0" shapeId="0" xr:uid="{00000000-0006-0000-0200-00003B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58" authorId="0" shapeId="0" xr:uid="{00000000-0006-0000-0200-0000CE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
—
</t>
        </r>
        <r>
          <rPr>
            <sz val="10"/>
            <rFont val="Arial"/>
            <family val="2"/>
          </rPr>
          <t>SOURCE – KPL-476 R03 IWWTP-A (1) F32:F36</t>
        </r>
      </text>
    </comment>
    <comment ref="G58" authorId="0" shapeId="0" xr:uid="{00000000-0006-0000-0200-000061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
—
SOURCE – KPL-476 R03 IWWTP-A (1) F32:F36</t>
        </r>
      </text>
    </comment>
    <comment ref="M58" authorId="0" shapeId="0" xr:uid="{00000000-0006-0000-0200-000005020000}">
      <text>
        <r>
          <rPr>
            <sz val="10"/>
            <rFont val="Arial"/>
            <family val="2"/>
          </rPr>
          <t>SOURCE – KPL-476 R03 IWWTP-A (1) F32:F36</t>
        </r>
      </text>
    </comment>
    <comment ref="N58" authorId="0" shapeId="0" xr:uid="{00000000-0006-0000-0200-000021020000}">
      <text>
        <r>
          <rPr>
            <sz val="10"/>
            <rFont val="Arial"/>
            <family val="2"/>
          </rPr>
          <t>SOURCE – KPL-476 IWWTP-A (1) F35:F36: design code line "&amp; IPS-G-PM-105"</t>
        </r>
      </text>
    </comment>
    <comment ref="O58" authorId="0" shapeId="0" xr:uid="{00000000-0006-0000-0200-000078020000}">
      <text>
        <r>
          <rPr>
            <sz val="10"/>
            <rFont val="Arial"/>
            <family val="2"/>
          </rPr>
          <t>INFERRED – KPL-476 R03 IWWTP-A (1) F32:F36: no "NACE MR-0175" line anywhere in Asmari (-A) or Common (-C) sheets, while the document states it item-by-item for the Bangestan train (12 "-B" sheets) → N</t>
        </r>
      </text>
    </comment>
    <comment ref="S58" authorId="0" shapeId="0" xr:uid="{00000000-0006-0000-0200-000000030000}">
      <text>
        <r>
          <rPr>
            <sz val="10"/>
            <rFont val="Arial"/>
            <family val="2"/>
          </rPr>
          <t xml:space="preserve">INFERRED – </t>
        </r>
        <r>
          <rPr>
            <sz val="10"/>
            <rFont val="FreeSans"/>
            <family val="2"/>
          </rPr>
          <t>نوع محرک در منبع ذکر نشده؛ موتور برقی فرض شده است</t>
        </r>
      </text>
    </comment>
    <comment ref="V58" authorId="0" shapeId="0" xr:uid="{00000000-0006-0000-0200-000079030000}">
      <text>
        <r>
          <rPr>
            <sz val="10"/>
            <rFont val="Arial"/>
            <family val="2"/>
          </rPr>
          <t>SOURCE – KPL-476 R03 IWWTP-A (1) F32:F36</t>
        </r>
      </text>
    </comment>
    <comment ref="Y58" authorId="0" shapeId="0" xr:uid="{00000000-0006-0000-0200-0000C8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58" authorId="0" shapeId="0" xr:uid="{00000000-0006-0000-0200-0000C304000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(FOB</t>
        </r>
        <r>
          <rPr>
            <sz val="10"/>
            <rFont val="FreeSans"/>
            <family val="2"/>
          </rPr>
          <t>، با ضریب ×۱٫۵۸ جداگانه</t>
        </r>
        <r>
          <rPr>
            <sz val="10"/>
            <rFont val="Arial"/>
            <family val="2"/>
          </rPr>
          <t>).</t>
        </r>
      </text>
    </comment>
    <comment ref="E59" authorId="0" shapeId="0" xr:uid="{00000000-0006-0000-0200-00003C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59" authorId="0" shapeId="0" xr:uid="{00000000-0006-0000-0200-0000CF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
—
</t>
        </r>
        <r>
          <rPr>
            <sz val="10"/>
            <rFont val="Arial"/>
            <family val="2"/>
          </rPr>
          <t>SOURCE – KPL-476 R03 IWWTP-A (1) F37:F41</t>
        </r>
      </text>
    </comment>
    <comment ref="G59" authorId="0" shapeId="0" xr:uid="{00000000-0006-0000-0200-000062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
—
SOURCE – KPL-476 R03 IWWTP-A (1) F37:F41</t>
        </r>
      </text>
    </comment>
    <comment ref="M59" authorId="0" shapeId="0" xr:uid="{00000000-0006-0000-0200-000006020000}">
      <text>
        <r>
          <rPr>
            <sz val="10"/>
            <rFont val="Arial"/>
            <family val="2"/>
          </rPr>
          <t>SOURCE – KPL-476 R03 IWWTP-A (1) F37:F41</t>
        </r>
      </text>
    </comment>
    <comment ref="N59" authorId="0" shapeId="0" xr:uid="{00000000-0006-0000-0200-000022020000}">
      <text>
        <r>
          <rPr>
            <sz val="10"/>
            <rFont val="Arial"/>
            <family val="2"/>
          </rPr>
          <t>SOURCE – KPL-476 IWWTP-A (1) F40:F41: design code line "&amp; IPS-G-PM-105"</t>
        </r>
      </text>
    </comment>
    <comment ref="O59" authorId="0" shapeId="0" xr:uid="{00000000-0006-0000-0200-000079020000}">
      <text>
        <r>
          <rPr>
            <sz val="10"/>
            <rFont val="Arial"/>
            <family val="2"/>
          </rPr>
          <t>INFERRED – KPL-476 R03 IWWTP-A (1) F37:F41: no "NACE MR-0175" line anywhere in Asmari (-A) or Common (-C) sheets, while the document states it item-by-item for the Bangestan train (12 "-B" sheets) → N</t>
        </r>
      </text>
    </comment>
    <comment ref="S59" authorId="0" shapeId="0" xr:uid="{00000000-0006-0000-0200-000001030000}">
      <text>
        <r>
          <rPr>
            <sz val="10"/>
            <rFont val="Arial"/>
            <family val="2"/>
          </rPr>
          <t xml:space="preserve">INFERRED – </t>
        </r>
        <r>
          <rPr>
            <sz val="10"/>
            <rFont val="FreeSans"/>
            <family val="2"/>
          </rPr>
          <t>نوع محرک در منبع ذکر نشده؛ موتور برقی فرض شده است</t>
        </r>
      </text>
    </comment>
    <comment ref="V59" authorId="0" shapeId="0" xr:uid="{00000000-0006-0000-0200-00007A030000}">
      <text>
        <r>
          <rPr>
            <sz val="10"/>
            <rFont val="Arial"/>
            <family val="2"/>
          </rPr>
          <t>SOURCE – KPL-476 R03 IWWTP-A (1) F37:F41</t>
        </r>
      </text>
    </comment>
    <comment ref="Y59" authorId="0" shapeId="0" xr:uid="{00000000-0006-0000-0200-0000C9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59" authorId="0" shapeId="0" xr:uid="{00000000-0006-0000-0200-0000C404000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(FOB</t>
        </r>
        <r>
          <rPr>
            <sz val="10"/>
            <rFont val="FreeSans"/>
            <family val="2"/>
          </rPr>
          <t>، با ضریب ×۱٫۵۸ جداگانه</t>
        </r>
        <r>
          <rPr>
            <sz val="10"/>
            <rFont val="Arial"/>
            <family val="2"/>
          </rPr>
          <t>).</t>
        </r>
      </text>
    </comment>
    <comment ref="E60" authorId="0" shapeId="0" xr:uid="{00000000-0006-0000-0200-00003D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60" authorId="0" shapeId="0" xr:uid="{00000000-0006-0000-0200-0000D0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
—
</t>
        </r>
        <r>
          <rPr>
            <sz val="10"/>
            <rFont val="Arial"/>
            <family val="2"/>
          </rPr>
          <t>SOURCE – KPL-476 R03 IWWTP-A (1) F37:F41</t>
        </r>
      </text>
    </comment>
    <comment ref="G60" authorId="0" shapeId="0" xr:uid="{00000000-0006-0000-0200-000063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
—
SOURCE – KPL-476 R03 IWWTP-A (1) F37:F41</t>
        </r>
      </text>
    </comment>
    <comment ref="M60" authorId="0" shapeId="0" xr:uid="{00000000-0006-0000-0200-000007020000}">
      <text>
        <r>
          <rPr>
            <sz val="10"/>
            <rFont val="Arial"/>
            <family val="2"/>
          </rPr>
          <t>SOURCE – KPL-476 R03 IWWTP-A (1) F37:F41</t>
        </r>
      </text>
    </comment>
    <comment ref="N60" authorId="0" shapeId="0" xr:uid="{00000000-0006-0000-0200-000023020000}">
      <text>
        <r>
          <rPr>
            <sz val="10"/>
            <rFont val="Arial"/>
            <family val="2"/>
          </rPr>
          <t>SOURCE – KPL-476 IWWTP-A (1) F40:F41: design code line "&amp; IPS-G-PM-105"</t>
        </r>
      </text>
    </comment>
    <comment ref="O60" authorId="0" shapeId="0" xr:uid="{00000000-0006-0000-0200-00007A020000}">
      <text>
        <r>
          <rPr>
            <sz val="10"/>
            <rFont val="Arial"/>
            <family val="2"/>
          </rPr>
          <t>INFERRED – KPL-476 R03 IWWTP-A (1) F37:F41: no "NACE MR-0175" line anywhere in Asmari (-A) or Common (-C) sheets, while the document states it item-by-item for the Bangestan train (12 "-B" sheets) → N</t>
        </r>
      </text>
    </comment>
    <comment ref="S60" authorId="0" shapeId="0" xr:uid="{00000000-0006-0000-0200-000002030000}">
      <text>
        <r>
          <rPr>
            <sz val="10"/>
            <rFont val="Arial"/>
            <family val="2"/>
          </rPr>
          <t xml:space="preserve">INFERRED – </t>
        </r>
        <r>
          <rPr>
            <sz val="10"/>
            <rFont val="FreeSans"/>
            <family val="2"/>
          </rPr>
          <t>نوع محرک در منبع ذکر نشده؛ موتور برقی فرض شده است</t>
        </r>
      </text>
    </comment>
    <comment ref="V60" authorId="0" shapeId="0" xr:uid="{00000000-0006-0000-0200-00007B030000}">
      <text>
        <r>
          <rPr>
            <sz val="10"/>
            <rFont val="Arial"/>
            <family val="2"/>
          </rPr>
          <t>SOURCE – KPL-476 R03 IWWTP-A (1) F37:F41</t>
        </r>
      </text>
    </comment>
    <comment ref="Y60" authorId="0" shapeId="0" xr:uid="{00000000-0006-0000-0200-0000CA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60" authorId="0" shapeId="0" xr:uid="{00000000-0006-0000-0200-0000C504000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(FOB</t>
        </r>
        <r>
          <rPr>
            <sz val="10"/>
            <rFont val="FreeSans"/>
            <family val="2"/>
          </rPr>
          <t>، با ضریب ×۱٫۵۸ جداگانه</t>
        </r>
        <r>
          <rPr>
            <sz val="10"/>
            <rFont val="Arial"/>
            <family val="2"/>
          </rPr>
          <t>).</t>
        </r>
      </text>
    </comment>
    <comment ref="E61" authorId="0" shapeId="0" xr:uid="{00000000-0006-0000-0200-00003E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61" authorId="0" shapeId="0" xr:uid="{00000000-0006-0000-0200-0000D1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 xml:space="preserve">کاربرد ندارد
—
</t>
        </r>
        <r>
          <rPr>
            <sz val="10"/>
            <rFont val="Arial"/>
            <family val="2"/>
          </rPr>
          <t>SOURCE – KPL-476 R03 IWWTP-A (1) F42:F46</t>
        </r>
      </text>
    </comment>
    <comment ref="G61" authorId="0" shapeId="0" xr:uid="{00000000-0006-0000-0200-000064010000}">
      <text>
        <r>
          <rPr>
            <sz val="10"/>
            <rFont val="Arial"/>
            <family val="2"/>
          </rPr>
          <t xml:space="preserve">D-1: </t>
        </r>
        <r>
          <rPr>
            <sz val="10"/>
            <rFont val="FreeSans"/>
            <family val="2"/>
          </rPr>
          <t>بدنه داپلکس، پروانه داپلکس؛ رینگ با روکش سخت؛ شفت داپلکس</t>
        </r>
        <r>
          <rPr>
            <sz val="10"/>
            <rFont val="Arial"/>
            <family val="2"/>
          </rPr>
          <t xml:space="preserve">.
</t>
        </r>
        <r>
          <rPr>
            <sz val="10"/>
            <rFont val="FreeSans"/>
            <family val="2"/>
          </rPr>
          <t>کاربرد معمول: آب شور و آب تولیدی دارای کلراید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
—
SOURCE – KPL-476 R03 IWWTP-A (1) F42:F46</t>
        </r>
      </text>
    </comment>
    <comment ref="M61" authorId="0" shapeId="0" xr:uid="{00000000-0006-0000-0200-000008020000}">
      <text>
        <r>
          <rPr>
            <sz val="10"/>
            <rFont val="Arial"/>
            <family val="2"/>
          </rPr>
          <t>SOURCE – KPL-476 R03 IWWTP-A (1) F42:F46</t>
        </r>
      </text>
    </comment>
    <comment ref="N61" authorId="0" shapeId="0" xr:uid="{00000000-0006-0000-0200-000024020000}">
      <text>
        <r>
          <rPr>
            <sz val="10"/>
            <rFont val="Arial"/>
            <family val="2"/>
          </rPr>
          <t>SOURCE – KPL-476 IWWTP-A (1) F45:F46: design code line "&amp; IPS-M-PM-140"</t>
        </r>
      </text>
    </comment>
    <comment ref="O61" authorId="0" shapeId="0" xr:uid="{00000000-0006-0000-0200-00007B020000}">
      <text>
        <r>
          <rPr>
            <sz val="10"/>
            <rFont val="Arial"/>
            <family val="2"/>
          </rPr>
          <t>INFERRED – KPL-476 R03 IWWTP-A (1) F42:F46: no "NACE MR-0175" line anywhere in Asmari (-A) or Common (-C) sheets, while the document states it item-by-item for the Bangestan train (12 "-B" sheets) → N</t>
        </r>
      </text>
    </comment>
    <comment ref="S61" authorId="0" shapeId="0" xr:uid="{00000000-0006-0000-0200-000003030000}">
      <text>
        <r>
          <rPr>
            <sz val="10"/>
            <rFont val="Arial"/>
            <family val="2"/>
          </rPr>
          <t xml:space="preserve">INFERRED – </t>
        </r>
        <r>
          <rPr>
            <sz val="10"/>
            <rFont val="FreeSans"/>
            <family val="2"/>
          </rPr>
          <t>نوع محرک در منبع ذکر نشده؛ موتور برقی فرض شده است</t>
        </r>
      </text>
    </comment>
    <comment ref="V61" authorId="0" shapeId="0" xr:uid="{00000000-0006-0000-0200-00007C030000}">
      <text>
        <r>
          <rPr>
            <sz val="10"/>
            <rFont val="Arial"/>
            <family val="2"/>
          </rPr>
          <t>SOURCE – KPL-476 R03 IWWTP-A (1) F42:F46</t>
        </r>
      </text>
    </comment>
    <comment ref="Y61" authorId="0" shapeId="0" xr:uid="{00000000-0006-0000-0200-0000CB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61" authorId="0" shapeId="0" xr:uid="{00000000-0006-0000-0200-0000C604000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(FOB</t>
        </r>
        <r>
          <rPr>
            <sz val="10"/>
            <rFont val="FreeSans"/>
            <family val="2"/>
          </rPr>
          <t>، با ضریب ×۱٫۵۸ جداگانه</t>
        </r>
        <r>
          <rPr>
            <sz val="10"/>
            <rFont val="Arial"/>
            <family val="2"/>
          </rPr>
          <t>).</t>
        </r>
      </text>
    </comment>
    <comment ref="E62" authorId="0" shapeId="0" xr:uid="{00000000-0006-0000-0200-00003F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xml:space="preserve">، جداکننده آب و نفت (OWS)، نفت بازیافتی و لجن
—
</t>
        </r>
        <r>
          <rPr>
            <sz val="10"/>
            <rFont val="Arial"/>
            <family val="2"/>
          </rPr>
          <t>Reclassified 1405-07: ROT-CRU → ROT-DRN (service-based classification; approved)</t>
        </r>
      </text>
    </comment>
    <comment ref="F62" authorId="0" shapeId="0" xr:uid="{00000000-0006-0000-0200-0000D2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 xml:space="preserve">کاربرد ندارد
—
</t>
        </r>
        <r>
          <rPr>
            <sz val="10"/>
            <rFont val="Arial"/>
            <family val="2"/>
          </rPr>
          <t>SOURCE – KPL-476 R03 IWWTP-A (2) F16:F20</t>
        </r>
      </text>
    </comment>
    <comment ref="G62" authorId="0" shapeId="0" xr:uid="{00000000-0006-0000-0200-000065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
—
SOURCE – KPL-476 R03 IWWTP-A (2) F16:F20</t>
        </r>
      </text>
    </comment>
    <comment ref="M62" authorId="0" shapeId="0" xr:uid="{00000000-0006-0000-0200-000009020000}">
      <text>
        <r>
          <rPr>
            <sz val="10"/>
            <rFont val="Arial"/>
            <family val="2"/>
          </rPr>
          <t>SOURCE – KPL-476 R03 IWWTP-A (2) F16:F20 – NOTE: twin-screw pump stated as API 610 in source; API 676 expected – verify</t>
        </r>
      </text>
    </comment>
    <comment ref="N62" authorId="0" shapeId="0" xr:uid="{00000000-0006-0000-0200-000025020000}">
      <text>
        <r>
          <rPr>
            <sz val="10"/>
            <rFont val="Arial"/>
            <family val="2"/>
          </rPr>
          <t>SOURCE – KPL-476 IWWTP-A (2) F19:F20: design code line "&amp; IPS-G-PM-105"</t>
        </r>
      </text>
    </comment>
    <comment ref="O62" authorId="0" shapeId="0" xr:uid="{00000000-0006-0000-0200-00007C020000}">
      <text>
        <r>
          <rPr>
            <sz val="10"/>
            <rFont val="Arial"/>
            <family val="2"/>
          </rPr>
          <t>INFERRED – KPL-476 R03 IWWTP-A (2) F16:F20: no "NACE MR-0175" line anywhere in Asmari (-A) or Common (-C) sheets, while the document states it item-by-item for the Bangestan train (12 "-B" sheets) → N</t>
        </r>
      </text>
    </comment>
    <comment ref="S62" authorId="0" shapeId="0" xr:uid="{00000000-0006-0000-0200-000004030000}">
      <text>
        <r>
          <rPr>
            <sz val="10"/>
            <rFont val="Arial"/>
            <family val="2"/>
          </rPr>
          <t xml:space="preserve">INFERRED – </t>
        </r>
        <r>
          <rPr>
            <sz val="10"/>
            <rFont val="FreeSans"/>
            <family val="2"/>
          </rPr>
          <t>نوع محرک در منبع ذکر نشده؛ موتور برقی فرض شده است</t>
        </r>
      </text>
    </comment>
    <comment ref="V62" authorId="0" shapeId="0" xr:uid="{00000000-0006-0000-0200-00007D030000}">
      <text>
        <r>
          <rPr>
            <sz val="10"/>
            <rFont val="Arial"/>
            <family val="2"/>
          </rPr>
          <t>SOURCE – KPL-476 R03 IWWTP-A (2) F16:F20</t>
        </r>
      </text>
    </comment>
    <comment ref="Y62" authorId="0" shapeId="0" xr:uid="{00000000-0006-0000-0200-0000CC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62" authorId="0" shapeId="0" xr:uid="{00000000-0006-0000-0200-0000C704000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(FOB</t>
        </r>
        <r>
          <rPr>
            <sz val="10"/>
            <rFont val="FreeSans"/>
            <family val="2"/>
          </rPr>
          <t>، با ضریب ×۱٫۵۸ جداگانه</t>
        </r>
        <r>
          <rPr>
            <sz val="10"/>
            <rFont val="Arial"/>
            <family val="2"/>
          </rPr>
          <t>).</t>
        </r>
      </text>
    </comment>
    <comment ref="E63" authorId="0" shapeId="0" xr:uid="{00000000-0006-0000-0200-000040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و انتقال اصلی</t>
        </r>
      </text>
    </comment>
    <comment ref="F63" authorId="0" shapeId="0" xr:uid="{00000000-0006-0000-0200-0000D3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63" authorId="0" shapeId="0" xr:uid="{00000000-0006-0000-0200-000066010000}">
      <text>
        <r>
          <rPr>
            <sz val="10"/>
            <rFont val="Arial"/>
            <family val="2"/>
          </rPr>
          <t xml:space="preserve">D-1: </t>
        </r>
        <r>
          <rPr>
            <sz val="10"/>
            <rFont val="FreeSans"/>
            <family val="2"/>
          </rPr>
          <t>بدنه داپلکس، پروانه داپلکس؛ رینگ با روکش سخت؛ شفت داپلکس</t>
        </r>
        <r>
          <rPr>
            <sz val="10"/>
            <rFont val="Arial"/>
            <family val="2"/>
          </rPr>
          <t xml:space="preserve">.
</t>
        </r>
        <r>
          <rPr>
            <sz val="10"/>
            <rFont val="FreeSans"/>
            <family val="2"/>
          </rPr>
          <t>کاربرد معمول: آب شور و آب تولیدی دارای کلراید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63" authorId="0" shapeId="0" xr:uid="{00000000-0006-0000-0200-000026020000}">
      <text>
        <r>
          <rPr>
            <sz val="10"/>
            <rFont val="Arial"/>
            <family val="2"/>
          </rPr>
          <t>SOURCE – design code line "&amp; IPS-G-PM-105" in the project item description</t>
        </r>
      </text>
    </comment>
    <comment ref="O63" authorId="0" shapeId="0" xr:uid="{00000000-0006-0000-0200-00007D020000}">
      <text>
        <r>
          <rPr>
            <sz val="10"/>
            <rFont val="Arial"/>
            <family val="2"/>
          </rPr>
          <t>SOURCE – KPL-476 R03 PUMPS-B F25: NACE 'MR-0175' Required: Yes</t>
        </r>
      </text>
    </comment>
    <comment ref="S63" authorId="0" shapeId="0" xr:uid="{00000000-0006-0000-0200-000005030000}">
      <text>
        <r>
          <rPr>
            <sz val="10"/>
            <rFont val="Arial"/>
            <family val="2"/>
          </rPr>
          <t xml:space="preserve">INFERRED – </t>
        </r>
        <r>
          <rPr>
            <sz val="10"/>
            <rFont val="FreeSans"/>
            <family val="2"/>
          </rPr>
          <t>نوع محرک در منبع ذکر نشده؛ موتور برقی فرض شده است</t>
        </r>
      </text>
    </comment>
    <comment ref="Y63" authorId="0" shapeId="0" xr:uid="{00000000-0006-0000-0200-0000CD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63" authorId="0" shapeId="0" xr:uid="{00000000-0006-0000-0200-0000C8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63" authorId="0" shapeId="0" xr:uid="{00000000-0006-0000-0200-000085050000}">
      <text>
        <r>
          <rPr>
            <sz val="10"/>
            <rFont val="Arial"/>
            <family val="2"/>
          </rPr>
          <t>INFERRED – KPL-476 R03 TOTAL (2) A29: inspection cost carried in overhead factor, not in vendor unit price</t>
        </r>
      </text>
    </comment>
    <comment ref="E64" authorId="0" shapeId="0" xr:uid="{00000000-0006-0000-0200-000041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و انتقال اصلی</t>
        </r>
      </text>
    </comment>
    <comment ref="F64" authorId="0" shapeId="0" xr:uid="{00000000-0006-0000-0200-0000D4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64" authorId="0" shapeId="0" xr:uid="{00000000-0006-0000-0200-000067010000}">
      <text>
        <r>
          <rPr>
            <sz val="10"/>
            <rFont val="Arial"/>
            <family val="2"/>
          </rPr>
          <t xml:space="preserve">D-1: </t>
        </r>
        <r>
          <rPr>
            <sz val="10"/>
            <rFont val="FreeSans"/>
            <family val="2"/>
          </rPr>
          <t>بدنه داپلکس، پروانه داپلکس؛ رینگ با روکش سخت؛ شفت داپلکس</t>
        </r>
        <r>
          <rPr>
            <sz val="10"/>
            <rFont val="Arial"/>
            <family val="2"/>
          </rPr>
          <t xml:space="preserve">.
</t>
        </r>
        <r>
          <rPr>
            <sz val="10"/>
            <rFont val="FreeSans"/>
            <family val="2"/>
          </rPr>
          <t>کاربرد معمول: آب شور و آب تولیدی دارای کلراید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64" authorId="0" shapeId="0" xr:uid="{00000000-0006-0000-0200-000027020000}">
      <text>
        <r>
          <rPr>
            <sz val="10"/>
            <rFont val="Arial"/>
            <family val="2"/>
          </rPr>
          <t>SOURCE – design code line "&amp; IPS-G-PM-105" in the project item description</t>
        </r>
      </text>
    </comment>
    <comment ref="O64" authorId="0" shapeId="0" xr:uid="{00000000-0006-0000-0200-00007E020000}">
      <text>
        <r>
          <rPr>
            <sz val="10"/>
            <rFont val="Arial"/>
            <family val="2"/>
          </rPr>
          <t>SOURCE – KPL-476 R03 PUMPS-B F34: NACE 'MR-0175' Required: Yes</t>
        </r>
      </text>
    </comment>
    <comment ref="S64" authorId="0" shapeId="0" xr:uid="{00000000-0006-0000-0200-000006030000}">
      <text>
        <r>
          <rPr>
            <sz val="10"/>
            <rFont val="Arial"/>
            <family val="2"/>
          </rPr>
          <t xml:space="preserve">INFERRED – </t>
        </r>
        <r>
          <rPr>
            <sz val="10"/>
            <rFont val="FreeSans"/>
            <family val="2"/>
          </rPr>
          <t>نوع محرک در منبع ذکر نشده؛ موتور برقی فرض شده است</t>
        </r>
      </text>
    </comment>
    <comment ref="Y64" authorId="0" shapeId="0" xr:uid="{00000000-0006-0000-0200-0000CE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64" authorId="0" shapeId="0" xr:uid="{00000000-0006-0000-0200-0000C9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64" authorId="0" shapeId="0" xr:uid="{00000000-0006-0000-0200-000086050000}">
      <text>
        <r>
          <rPr>
            <sz val="10"/>
            <rFont val="Arial"/>
            <family val="2"/>
          </rPr>
          <t>INFERRED – KPL-476 R03 TOTAL (2) A29: inspection cost carried in overhead factor, not in vendor unit price</t>
        </r>
      </text>
    </comment>
    <comment ref="E65" authorId="0" shapeId="0" xr:uid="{00000000-0006-0000-0200-000042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 xml:space="preserve">و انتقال اصلی
—
</t>
        </r>
        <r>
          <rPr>
            <sz val="10"/>
            <rFont val="Arial"/>
            <family val="2"/>
          </rPr>
          <t>Reclassified 1405-07: ROT-INJ → ROT-CRU (service-based classification; approved)</t>
        </r>
      </text>
    </comment>
    <comment ref="F65" authorId="0" shapeId="0" xr:uid="{00000000-0006-0000-0200-0000D5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65" authorId="0" shapeId="0" xr:uid="{00000000-0006-0000-0200-000068010000}">
      <text>
        <r>
          <rPr>
            <sz val="10"/>
            <rFont val="Arial"/>
            <family val="2"/>
          </rPr>
          <t xml:space="preserve">D-1: </t>
        </r>
        <r>
          <rPr>
            <sz val="10"/>
            <rFont val="FreeSans"/>
            <family val="2"/>
          </rPr>
          <t>بدنه داپلکس، پروانه داپلکس؛ رینگ با روکش سخت؛ شفت داپلکس</t>
        </r>
        <r>
          <rPr>
            <sz val="10"/>
            <rFont val="Arial"/>
            <family val="2"/>
          </rPr>
          <t xml:space="preserve">.
</t>
        </r>
        <r>
          <rPr>
            <sz val="10"/>
            <rFont val="FreeSans"/>
            <family val="2"/>
          </rPr>
          <t>کاربرد معمول: آب شور و آب تولیدی دارای کلراید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65" authorId="0" shapeId="0" xr:uid="{00000000-0006-0000-0200-000028020000}">
      <text>
        <r>
          <rPr>
            <sz val="10"/>
            <rFont val="Arial"/>
            <family val="2"/>
          </rPr>
          <t>SOURCE – design code line "&amp; IPS-G-PM-105" in the project item description</t>
        </r>
      </text>
    </comment>
    <comment ref="O65" authorId="0" shapeId="0" xr:uid="{00000000-0006-0000-0200-00007F020000}">
      <text>
        <r>
          <rPr>
            <sz val="10"/>
            <rFont val="Arial"/>
            <family val="2"/>
          </rPr>
          <t>SOURCE – KPL-476 R03 PUMPS-B F43: NACE 'MR-0175' Required: Yes</t>
        </r>
      </text>
    </comment>
    <comment ref="S65" authorId="0" shapeId="0" xr:uid="{00000000-0006-0000-0200-000007030000}">
      <text>
        <r>
          <rPr>
            <sz val="10"/>
            <rFont val="Arial"/>
            <family val="2"/>
          </rPr>
          <t xml:space="preserve">INFERRED – </t>
        </r>
        <r>
          <rPr>
            <sz val="10"/>
            <rFont val="FreeSans"/>
            <family val="2"/>
          </rPr>
          <t>نوع محرک در منبع ذکر نشده؛ موتور برقی فرض شده است</t>
        </r>
      </text>
    </comment>
    <comment ref="Y65" authorId="0" shapeId="0" xr:uid="{00000000-0006-0000-0200-0000CF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65" authorId="0" shapeId="0" xr:uid="{00000000-0006-0000-0200-0000CA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65" authorId="0" shapeId="0" xr:uid="{00000000-0006-0000-0200-000087050000}">
      <text>
        <r>
          <rPr>
            <sz val="10"/>
            <rFont val="Arial"/>
            <family val="2"/>
          </rPr>
          <t>INFERRED – KPL-476 R03 TOTAL (2) A29: inspection cost carried in overhead factor, not in vendor unit price</t>
        </r>
      </text>
    </comment>
    <comment ref="E66" authorId="0" shapeId="0" xr:uid="{00000000-0006-0000-0200-000043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xml:space="preserve">، جداکننده آب و نفت (OWS)، نفت بازیافتی و لجن
—
</t>
        </r>
        <r>
          <rPr>
            <sz val="10"/>
            <rFont val="Arial"/>
            <family val="2"/>
          </rPr>
          <t>Reclassified 1405-07: ROT-CRU → ROT-DRN (service-based classification; approved)</t>
        </r>
      </text>
    </comment>
    <comment ref="F66" authorId="0" shapeId="0" xr:uid="{00000000-0006-0000-0200-0000D6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66" authorId="0" shapeId="0" xr:uid="{00000000-0006-0000-0200-000069010000}">
      <text>
        <r>
          <rPr>
            <sz val="10"/>
            <rFont val="Arial"/>
            <family val="2"/>
          </rPr>
          <t xml:space="preserve">D-1: </t>
        </r>
        <r>
          <rPr>
            <sz val="10"/>
            <rFont val="FreeSans"/>
            <family val="2"/>
          </rPr>
          <t>بدنه داپلکس، پروانه داپلکس؛ رینگ با روکش سخت؛ شفت داپلکس</t>
        </r>
        <r>
          <rPr>
            <sz val="10"/>
            <rFont val="Arial"/>
            <family val="2"/>
          </rPr>
          <t xml:space="preserve">.
</t>
        </r>
        <r>
          <rPr>
            <sz val="10"/>
            <rFont val="FreeSans"/>
            <family val="2"/>
          </rPr>
          <t>کاربرد معمول: آب شور و آب تولیدی دارای کلراید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66" authorId="0" shapeId="0" xr:uid="{00000000-0006-0000-0200-000029020000}">
      <text>
        <r>
          <rPr>
            <sz val="10"/>
            <rFont val="Arial"/>
            <family val="2"/>
          </rPr>
          <t>SOURCE – design code line "&amp; IPS-M-PM-140" in the project item description</t>
        </r>
      </text>
    </comment>
    <comment ref="O66" authorId="0" shapeId="0" xr:uid="{00000000-0006-0000-0200-000080020000}">
      <text>
        <r>
          <rPr>
            <sz val="10"/>
            <rFont val="Arial"/>
            <family val="2"/>
          </rPr>
          <t>SOURCE – KPL-476 R03 PUMPS-B (2) F24: NACE 'MR-0175' Required: Yes</t>
        </r>
      </text>
    </comment>
    <comment ref="S66" authorId="0" shapeId="0" xr:uid="{00000000-0006-0000-0200-000008030000}">
      <text>
        <r>
          <rPr>
            <sz val="10"/>
            <rFont val="Arial"/>
            <family val="2"/>
          </rPr>
          <t xml:space="preserve">INFERRED – </t>
        </r>
        <r>
          <rPr>
            <sz val="10"/>
            <rFont val="FreeSans"/>
            <family val="2"/>
          </rPr>
          <t>نوع محرک در منبع ذکر نشده؛ موتور برقی فرض شده است</t>
        </r>
      </text>
    </comment>
    <comment ref="Y66" authorId="0" shapeId="0" xr:uid="{00000000-0006-0000-0200-0000D0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66" authorId="0" shapeId="0" xr:uid="{00000000-0006-0000-0200-0000CB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66" authorId="0" shapeId="0" xr:uid="{00000000-0006-0000-0200-000088050000}">
      <text>
        <r>
          <rPr>
            <sz val="10"/>
            <rFont val="Arial"/>
            <family val="2"/>
          </rPr>
          <t>INFERRED – KPL-476 R03 TOTAL (2) A29: inspection cost carried in overhead factor, not in vendor unit price</t>
        </r>
      </text>
    </comment>
    <comment ref="E67" authorId="0" shapeId="0" xr:uid="{00000000-0006-0000-0200-000044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67" authorId="0" shapeId="0" xr:uid="{00000000-0006-0000-0200-0000D7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67" authorId="0" shapeId="0" xr:uid="{00000000-0006-0000-0200-00006A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67" authorId="0" shapeId="0" xr:uid="{00000000-0006-0000-0200-00002A020000}">
      <text>
        <r>
          <rPr>
            <sz val="10"/>
            <rFont val="Arial"/>
            <family val="2"/>
          </rPr>
          <t>SOURCE – design code line "&amp; IPS-G-PM-105" in the project item description</t>
        </r>
      </text>
    </comment>
    <comment ref="O67" authorId="0" shapeId="0" xr:uid="{00000000-0006-0000-0200-000081020000}">
      <text>
        <r>
          <rPr>
            <sz val="10"/>
            <rFont val="Arial"/>
            <family val="2"/>
          </rPr>
          <t>SOURCE – KPL-476 R03 PUMPS-B (2) F33: NACE 'MR-0175' Required: Yes</t>
        </r>
      </text>
    </comment>
    <comment ref="S67" authorId="0" shapeId="0" xr:uid="{00000000-0006-0000-0200-000009030000}">
      <text>
        <r>
          <rPr>
            <sz val="10"/>
            <rFont val="Arial"/>
            <family val="2"/>
          </rPr>
          <t xml:space="preserve">INFERRED – </t>
        </r>
        <r>
          <rPr>
            <sz val="10"/>
            <rFont val="FreeSans"/>
            <family val="2"/>
          </rPr>
          <t>نوع محرک در منبع ذکر نشده؛ موتور برقی فرض شده است</t>
        </r>
      </text>
    </comment>
    <comment ref="Y67" authorId="0" shapeId="0" xr:uid="{00000000-0006-0000-0200-0000D1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67" authorId="0" shapeId="0" xr:uid="{00000000-0006-0000-0200-0000CC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67" authorId="0" shapeId="0" xr:uid="{00000000-0006-0000-0200-000089050000}">
      <text>
        <r>
          <rPr>
            <sz val="10"/>
            <rFont val="Arial"/>
            <family val="2"/>
          </rPr>
          <t>INFERRED – KPL-476 R03 TOTAL (2) A29: inspection cost carried in overhead factor, not in vendor unit price</t>
        </r>
      </text>
    </comment>
    <comment ref="E68" authorId="0" shapeId="0" xr:uid="{00000000-0006-0000-0200-000045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68" authorId="0" shapeId="0" xr:uid="{00000000-0006-0000-0200-0000D8000000}">
      <text>
        <r>
          <rPr>
            <sz val="10"/>
            <rFont val="Arial"/>
            <family val="2"/>
          </rPr>
          <t xml:space="preserve">BB3 – Between bearings, multistage, axially split:
</t>
        </r>
        <r>
          <rPr>
            <sz val="10"/>
            <rFont val="FreeSans"/>
            <family val="2"/>
          </rPr>
          <t>چندمرحله‌ای، بدنه دوتکه افقی؛ تزریق آب و انتقال پرفشار</t>
        </r>
      </text>
    </comment>
    <comment ref="G68" authorId="0" shapeId="0" xr:uid="{00000000-0006-0000-0200-00006B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68" authorId="0" shapeId="0" xr:uid="{00000000-0006-0000-0200-00002B020000}">
      <text>
        <r>
          <rPr>
            <sz val="10"/>
            <rFont val="Arial"/>
            <family val="2"/>
          </rPr>
          <t>SOURCE – design code line "&amp; IPS-G-PM-105" in the project item description</t>
        </r>
      </text>
    </comment>
    <comment ref="O68" authorId="0" shapeId="0" xr:uid="{00000000-0006-0000-0200-000082020000}">
      <text>
        <r>
          <rPr>
            <sz val="10"/>
            <rFont val="Arial"/>
            <family val="2"/>
          </rPr>
          <t>SOURCE – KPL-476 R03 PUMPS-B (2) F42: NACE 'MR-0175' Required: Yes</t>
        </r>
      </text>
    </comment>
    <comment ref="S68" authorId="0" shapeId="0" xr:uid="{00000000-0006-0000-0200-00000A030000}">
      <text>
        <r>
          <rPr>
            <sz val="10"/>
            <rFont val="Arial"/>
            <family val="2"/>
          </rPr>
          <t xml:space="preserve">INFERRED – </t>
        </r>
        <r>
          <rPr>
            <sz val="10"/>
            <rFont val="FreeSans"/>
            <family val="2"/>
          </rPr>
          <t>نوع محرک در منبع ذکر نشده؛ موتور برقی فرض شده است</t>
        </r>
      </text>
    </comment>
    <comment ref="Y68" authorId="0" shapeId="0" xr:uid="{00000000-0006-0000-0200-0000D2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68" authorId="0" shapeId="0" xr:uid="{00000000-0006-0000-0200-0000CD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68" authorId="0" shapeId="0" xr:uid="{00000000-0006-0000-0200-00008A050000}">
      <text>
        <r>
          <rPr>
            <sz val="10"/>
            <rFont val="Arial"/>
            <family val="2"/>
          </rPr>
          <t>INFERRED – KPL-476 R03 TOTAL (2) A29: inspection cost carried in overhead factor, not in vendor unit price</t>
        </r>
      </text>
    </comment>
    <comment ref="E69" authorId="0" shapeId="0" xr:uid="{00000000-0006-0000-0200-000046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69" authorId="0" shapeId="0" xr:uid="{00000000-0006-0000-0200-0000D9000000}">
      <text>
        <r>
          <rPr>
            <sz val="10"/>
            <rFont val="Arial"/>
            <family val="2"/>
          </rPr>
          <t xml:space="preserve">BB3 – Between bearings, multistage, axially split:
</t>
        </r>
        <r>
          <rPr>
            <sz val="10"/>
            <rFont val="FreeSans"/>
            <family val="2"/>
          </rPr>
          <t>چندمرحله‌ای، بدنه دوتکه افقی؛ تزریق آب و انتقال پرفشار</t>
        </r>
      </text>
    </comment>
    <comment ref="G69" authorId="0" shapeId="0" xr:uid="{00000000-0006-0000-0200-00006C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69" authorId="0" shapeId="0" xr:uid="{00000000-0006-0000-0200-00002C020000}">
      <text>
        <r>
          <rPr>
            <sz val="10"/>
            <rFont val="Arial"/>
            <family val="2"/>
          </rPr>
          <t>SOURCE – design code line "&amp; IPS-G-PM-105" in the project item description</t>
        </r>
      </text>
    </comment>
    <comment ref="O69" authorId="0" shapeId="0" xr:uid="{00000000-0006-0000-0200-000083020000}">
      <text>
        <r>
          <rPr>
            <sz val="10"/>
            <rFont val="Arial"/>
            <family val="2"/>
          </rPr>
          <t>SOURCE – KPL-476 R03 PUMPS-B (3) F25: NACE 'MR-0175' Required: Yes</t>
        </r>
      </text>
    </comment>
    <comment ref="S69" authorId="0" shapeId="0" xr:uid="{00000000-0006-0000-0200-00000B030000}">
      <text>
        <r>
          <rPr>
            <sz val="10"/>
            <rFont val="Arial"/>
            <family val="2"/>
          </rPr>
          <t xml:space="preserve">INFERRED – </t>
        </r>
        <r>
          <rPr>
            <sz val="10"/>
            <rFont val="FreeSans"/>
            <family val="2"/>
          </rPr>
          <t>نوع محرک در منبع ذکر نشده؛ موتور برقی فرض شده است</t>
        </r>
      </text>
    </comment>
    <comment ref="Y69" authorId="0" shapeId="0" xr:uid="{00000000-0006-0000-0200-0000D3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69" authorId="0" shapeId="0" xr:uid="{00000000-0006-0000-0200-0000CE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69" authorId="0" shapeId="0" xr:uid="{00000000-0006-0000-0200-00008B050000}">
      <text>
        <r>
          <rPr>
            <sz val="10"/>
            <rFont val="Arial"/>
            <family val="2"/>
          </rPr>
          <t>INFERRED – KPL-476 R03 TOTAL (2) A29: inspection cost carried in overhead factor, not in vendor unit price</t>
        </r>
      </text>
    </comment>
    <comment ref="E70" authorId="0" shapeId="0" xr:uid="{00000000-0006-0000-0200-000047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70" authorId="0" shapeId="0" xr:uid="{00000000-0006-0000-0200-0000DA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70" authorId="0" shapeId="0" xr:uid="{00000000-0006-0000-0200-00006D010000}">
      <text>
        <r>
          <rPr>
            <sz val="10"/>
            <rFont val="Arial"/>
            <family val="2"/>
          </rPr>
          <t xml:space="preserve">S-5: </t>
        </r>
        <r>
          <rPr>
            <sz val="10"/>
            <rFont val="FreeSans"/>
            <family val="2"/>
          </rPr>
          <t xml:space="preserve">بدنه فولاد کربنی، پروانه فولاد کربنی؛ رینگ کروم ۱۲٪ سخت‌شده؛ شفت </t>
        </r>
        <r>
          <rPr>
            <sz val="10"/>
            <rFont val="Arial"/>
            <family val="2"/>
          </rPr>
          <t xml:space="preserve">AISI 4140.
</t>
        </r>
        <r>
          <rPr>
            <sz val="10"/>
            <rFont val="FreeSans"/>
            <family val="2"/>
          </rPr>
          <t>کاربرد معمول: هیدروکربن عمومی و داغ</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70" authorId="0" shapeId="0" xr:uid="{00000000-0006-0000-0200-00002D020000}">
      <text>
        <r>
          <rPr>
            <sz val="10"/>
            <rFont val="Arial"/>
            <family val="2"/>
          </rPr>
          <t>SOURCE – design code line "&amp; IPS-G-PM-105" in the project item description</t>
        </r>
      </text>
    </comment>
    <comment ref="O70" authorId="0" shapeId="0" xr:uid="{00000000-0006-0000-0200-000084020000}">
      <text>
        <r>
          <rPr>
            <sz val="10"/>
            <rFont val="Arial"/>
            <family val="2"/>
          </rPr>
          <t>INFERRED – KPL-476 R03 PUMPS-B (3) F28:F35: no "NACE MR-0175 Required" line in item description, while the document states it item-by-item where required → N</t>
        </r>
      </text>
    </comment>
    <comment ref="S70" authorId="0" shapeId="0" xr:uid="{00000000-0006-0000-0200-00000C030000}">
      <text>
        <r>
          <rPr>
            <sz val="10"/>
            <rFont val="Arial"/>
            <family val="2"/>
          </rPr>
          <t xml:space="preserve">INFERRED – </t>
        </r>
        <r>
          <rPr>
            <sz val="10"/>
            <rFont val="FreeSans"/>
            <family val="2"/>
          </rPr>
          <t>نوع محرک در منبع ذکر نشده؛ موتور برقی فرض شده است</t>
        </r>
      </text>
    </comment>
    <comment ref="Y70" authorId="0" shapeId="0" xr:uid="{00000000-0006-0000-0200-0000D4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70" authorId="0" shapeId="0" xr:uid="{00000000-0006-0000-0200-0000CF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70" authorId="0" shapeId="0" xr:uid="{00000000-0006-0000-0200-00008C050000}">
      <text>
        <r>
          <rPr>
            <sz val="10"/>
            <rFont val="Arial"/>
            <family val="2"/>
          </rPr>
          <t>INFERRED – KPL-476 R03 TOTAL (2) A29: inspection cost carried in overhead factor, not in vendor unit price</t>
        </r>
      </text>
    </comment>
    <comment ref="E71" authorId="0" shapeId="0" xr:uid="{00000000-0006-0000-0200-000048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71" authorId="0" shapeId="0" xr:uid="{00000000-0006-0000-0200-0000DB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71" authorId="0" shapeId="0" xr:uid="{00000000-0006-0000-0200-00006E010000}">
      <text>
        <r>
          <rPr>
            <sz val="10"/>
            <rFont val="Arial"/>
            <family val="2"/>
          </rPr>
          <t xml:space="preserve">S-5: </t>
        </r>
        <r>
          <rPr>
            <sz val="10"/>
            <rFont val="FreeSans"/>
            <family val="2"/>
          </rPr>
          <t xml:space="preserve">بدنه فولاد کربنی، پروانه فولاد کربنی؛ رینگ کروم ۱۲٪ سخت‌شده؛ شفت </t>
        </r>
        <r>
          <rPr>
            <sz val="10"/>
            <rFont val="Arial"/>
            <family val="2"/>
          </rPr>
          <t xml:space="preserve">AISI 4140.
</t>
        </r>
        <r>
          <rPr>
            <sz val="10"/>
            <rFont val="FreeSans"/>
            <family val="2"/>
          </rPr>
          <t>کاربرد معمول: هیدروکربن عمومی و داغ</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71" authorId="0" shapeId="0" xr:uid="{00000000-0006-0000-0200-00002E020000}">
      <text>
        <r>
          <rPr>
            <sz val="10"/>
            <rFont val="Arial"/>
            <family val="2"/>
          </rPr>
          <t>SOURCE – design code line "&amp; IPS-G-PM-105" in the project item description</t>
        </r>
      </text>
    </comment>
    <comment ref="O71" authorId="0" shapeId="0" xr:uid="{00000000-0006-0000-0200-000085020000}">
      <text>
        <r>
          <rPr>
            <sz val="10"/>
            <rFont val="Arial"/>
            <family val="2"/>
          </rPr>
          <t>INFERRED – KPL-476 R03 PUMPS-B (3) F36:F43: no "NACE MR-0175 Required" line in item description, while the document states it item-by-item where required → N</t>
        </r>
      </text>
    </comment>
    <comment ref="S71" authorId="0" shapeId="0" xr:uid="{00000000-0006-0000-0200-00000D030000}">
      <text>
        <r>
          <rPr>
            <sz val="10"/>
            <rFont val="Arial"/>
            <family val="2"/>
          </rPr>
          <t xml:space="preserve">INFERRED – </t>
        </r>
        <r>
          <rPr>
            <sz val="10"/>
            <rFont val="FreeSans"/>
            <family val="2"/>
          </rPr>
          <t>نوع محرک در منبع ذکر نشده؛ موتور برقی فرض شده است</t>
        </r>
      </text>
    </comment>
    <comment ref="Y71" authorId="0" shapeId="0" xr:uid="{00000000-0006-0000-0200-0000D5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71" authorId="0" shapeId="0" xr:uid="{00000000-0006-0000-0200-0000D0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71" authorId="0" shapeId="0" xr:uid="{00000000-0006-0000-0200-00008D050000}">
      <text>
        <r>
          <rPr>
            <sz val="10"/>
            <rFont val="Arial"/>
            <family val="2"/>
          </rPr>
          <t>INFERRED – KPL-476 R03 TOTAL (2) A29: inspection cost carried in overhead factor, not in vendor unit price</t>
        </r>
      </text>
    </comment>
    <comment ref="E72" authorId="0" shapeId="0" xr:uid="{00000000-0006-0000-0200-000049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72" authorId="0" shapeId="0" xr:uid="{00000000-0006-0000-0200-0000DC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72" authorId="0" shapeId="0" xr:uid="{00000000-0006-0000-0200-00006F010000}">
      <text>
        <r>
          <rPr>
            <sz val="10"/>
            <rFont val="Arial"/>
            <family val="2"/>
          </rPr>
          <t xml:space="preserve">S-6: </t>
        </r>
        <r>
          <rPr>
            <sz val="10"/>
            <rFont val="FreeSans"/>
            <family val="2"/>
          </rPr>
          <t>بدنه فولاد کربنی، پروانه کروم ۱۲٪؛ رینگ کروم ۱۲٪ سخت‌شده؛ شفت کروم ۱۲٪</t>
        </r>
        <r>
          <rPr>
            <sz val="10"/>
            <rFont val="Arial"/>
            <family val="2"/>
          </rPr>
          <t xml:space="preserve">.
</t>
        </r>
        <r>
          <rPr>
            <sz val="10"/>
            <rFont val="FreeSans"/>
            <family val="2"/>
          </rPr>
          <t>کاربرد معمول: هیدروکربن داغ، آب ترش و خوردگی ملایم</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72" authorId="0" shapeId="0" xr:uid="{00000000-0006-0000-0200-00002F020000}">
      <text>
        <r>
          <rPr>
            <sz val="10"/>
            <rFont val="Arial"/>
            <family val="2"/>
          </rPr>
          <t>SOURCE – design code line "&amp; IPS-G-PM-105" in the project item description</t>
        </r>
      </text>
    </comment>
    <comment ref="O72" authorId="0" shapeId="0" xr:uid="{00000000-0006-0000-0200-000086020000}">
      <text>
        <r>
          <rPr>
            <sz val="10"/>
            <rFont val="Arial"/>
            <family val="2"/>
          </rPr>
          <t>INFERRED – KPL-476 R03 PUMPS-B (4) F19:F26: no "NACE MR-0175 Required" line in item description, while the document states it item-by-item where required → N</t>
        </r>
      </text>
    </comment>
    <comment ref="S72" authorId="0" shapeId="0" xr:uid="{00000000-0006-0000-0200-00000E030000}">
      <text>
        <r>
          <rPr>
            <sz val="10"/>
            <rFont val="Arial"/>
            <family val="2"/>
          </rPr>
          <t xml:space="preserve">INFERRED – </t>
        </r>
        <r>
          <rPr>
            <sz val="10"/>
            <rFont val="FreeSans"/>
            <family val="2"/>
          </rPr>
          <t>نوع محرک در منبع ذکر نشده؛ موتور برقی فرض شده است</t>
        </r>
      </text>
    </comment>
    <comment ref="Y72" authorId="0" shapeId="0" xr:uid="{00000000-0006-0000-0200-0000D6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72" authorId="0" shapeId="0" xr:uid="{00000000-0006-0000-0200-0000D1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72" authorId="0" shapeId="0" xr:uid="{00000000-0006-0000-0200-00008E050000}">
      <text>
        <r>
          <rPr>
            <sz val="10"/>
            <rFont val="Arial"/>
            <family val="2"/>
          </rPr>
          <t>INFERRED – KPL-476 R03 TOTAL (2) A29: inspection cost carried in overhead factor, not in vendor unit price</t>
        </r>
      </text>
    </comment>
    <comment ref="E73" authorId="0" shapeId="0" xr:uid="{00000000-0006-0000-0200-00004A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xml:space="preserve">، جداکننده آب و نفت (OWS)، نفت بازیافتی و لجن
—
</t>
        </r>
        <r>
          <rPr>
            <sz val="10"/>
            <rFont val="Arial"/>
            <family val="2"/>
          </rPr>
          <t>Reclassified 1405-07: ROT-CRU → ROT-DRN (service-based classification; approved)</t>
        </r>
      </text>
    </comment>
    <comment ref="F73" authorId="0" shapeId="0" xr:uid="{00000000-0006-0000-0200-0000DD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73" authorId="0" shapeId="0" xr:uid="{00000000-0006-0000-0200-000070010000}">
      <text>
        <r>
          <rPr>
            <sz val="10"/>
            <rFont val="Arial"/>
            <family val="2"/>
          </rPr>
          <t xml:space="preserve">D-1: </t>
        </r>
        <r>
          <rPr>
            <sz val="10"/>
            <rFont val="FreeSans"/>
            <family val="2"/>
          </rPr>
          <t>بدنه داپلکس، پروانه داپلکس؛ رینگ با روکش سخت؛ شفت داپلکس</t>
        </r>
        <r>
          <rPr>
            <sz val="10"/>
            <rFont val="Arial"/>
            <family val="2"/>
          </rPr>
          <t xml:space="preserve">.
</t>
        </r>
        <r>
          <rPr>
            <sz val="10"/>
            <rFont val="FreeSans"/>
            <family val="2"/>
          </rPr>
          <t>کاربرد معمول: آب شور و آب تولیدی دارای کلراید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73" authorId="0" shapeId="0" xr:uid="{00000000-0006-0000-0200-000030020000}">
      <text>
        <r>
          <rPr>
            <sz val="10"/>
            <rFont val="Arial"/>
            <family val="2"/>
          </rPr>
          <t>SOURCE – design code line "&amp; IPS-M-PM-140" in the project item description</t>
        </r>
      </text>
    </comment>
    <comment ref="O73" authorId="0" shapeId="0" xr:uid="{00000000-0006-0000-0200-000087020000}">
      <text>
        <r>
          <rPr>
            <sz val="10"/>
            <rFont val="Arial"/>
            <family val="2"/>
          </rPr>
          <t>SOURCE – KPL-476 R03 PUMPS-B (4) F32: NACE 'MR-0175' Required: Yes</t>
        </r>
      </text>
    </comment>
    <comment ref="S73" authorId="0" shapeId="0" xr:uid="{00000000-0006-0000-0200-00000F030000}">
      <text>
        <r>
          <rPr>
            <sz val="10"/>
            <rFont val="Arial"/>
            <family val="2"/>
          </rPr>
          <t xml:space="preserve">INFERRED – </t>
        </r>
        <r>
          <rPr>
            <sz val="10"/>
            <rFont val="FreeSans"/>
            <family val="2"/>
          </rPr>
          <t>نوع محرک در منبع ذکر نشده؛ موتور برقی فرض شده است</t>
        </r>
      </text>
    </comment>
    <comment ref="Y73" authorId="0" shapeId="0" xr:uid="{00000000-0006-0000-0200-0000D7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73" authorId="0" shapeId="0" xr:uid="{00000000-0006-0000-0200-0000D2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73" authorId="0" shapeId="0" xr:uid="{00000000-0006-0000-0200-00008F050000}">
      <text>
        <r>
          <rPr>
            <sz val="10"/>
            <rFont val="Arial"/>
            <family val="2"/>
          </rPr>
          <t>INFERRED – KPL-476 R03 TOTAL (2) A29: inspection cost carried in overhead factor, not in vendor unit price</t>
        </r>
      </text>
    </comment>
    <comment ref="E74" authorId="0" shapeId="0" xr:uid="{00000000-0006-0000-0200-00004B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74" authorId="0" shapeId="0" xr:uid="{00000000-0006-0000-0200-0000DE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74" authorId="0" shapeId="0" xr:uid="{00000000-0006-0000-0200-000071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74" authorId="0" shapeId="0" xr:uid="{00000000-0006-0000-0200-000031020000}">
      <text>
        <r>
          <rPr>
            <sz val="10"/>
            <rFont val="Arial"/>
            <family val="2"/>
          </rPr>
          <t>SOURCE – design code line "&amp; IPS-G-PM-105" in the project item description</t>
        </r>
      </text>
    </comment>
    <comment ref="O74" authorId="0" shapeId="0" xr:uid="{00000000-0006-0000-0200-000088020000}">
      <text>
        <r>
          <rPr>
            <sz val="10"/>
            <rFont val="Arial"/>
            <family val="2"/>
          </rPr>
          <t>SOURCE – KPL-476 R03 PUMPS-B (4) F41: NACE 'MR-0175' Required: Yes</t>
        </r>
      </text>
    </comment>
    <comment ref="S74" authorId="0" shapeId="0" xr:uid="{00000000-0006-0000-0200-000010030000}">
      <text>
        <r>
          <rPr>
            <sz val="10"/>
            <rFont val="Arial"/>
            <family val="2"/>
          </rPr>
          <t xml:space="preserve">INFERRED – </t>
        </r>
        <r>
          <rPr>
            <sz val="10"/>
            <rFont val="FreeSans"/>
            <family val="2"/>
          </rPr>
          <t>نوع محرک در منبع ذکر نشده؛ موتور برقی فرض شده است</t>
        </r>
      </text>
    </comment>
    <comment ref="Y74" authorId="0" shapeId="0" xr:uid="{00000000-0006-0000-0200-0000D8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74" authorId="0" shapeId="0" xr:uid="{00000000-0006-0000-0200-0000D3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74" authorId="0" shapeId="0" xr:uid="{00000000-0006-0000-0200-000090050000}">
      <text>
        <r>
          <rPr>
            <sz val="10"/>
            <rFont val="Arial"/>
            <family val="2"/>
          </rPr>
          <t>INFERRED – KPL-476 R03 TOTAL (2) A29: inspection cost carried in overhead factor, not in vendor unit price</t>
        </r>
      </text>
    </comment>
    <comment ref="E75" authorId="0" shapeId="0" xr:uid="{00000000-0006-0000-0200-00004C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75" authorId="0" shapeId="0" xr:uid="{00000000-0006-0000-0200-0000DF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75" authorId="0" shapeId="0" xr:uid="{00000000-0006-0000-0200-000072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75" authorId="0" shapeId="0" xr:uid="{00000000-0006-0000-0200-000032020000}">
      <text>
        <r>
          <rPr>
            <sz val="10"/>
            <rFont val="Arial"/>
            <family val="2"/>
          </rPr>
          <t>SOURCE – design code line "&amp; IPS-G-PM-105" in the project item description</t>
        </r>
      </text>
    </comment>
    <comment ref="O75" authorId="0" shapeId="0" xr:uid="{00000000-0006-0000-0200-000089020000}">
      <text>
        <r>
          <rPr>
            <sz val="10"/>
            <rFont val="Arial"/>
            <family val="2"/>
          </rPr>
          <t>SOURCE – KPL-476 R03 PUMPS-B (5) F25: NACE 'MR-0175' Required: Yes</t>
        </r>
      </text>
    </comment>
    <comment ref="S75" authorId="0" shapeId="0" xr:uid="{00000000-0006-0000-0200-000011030000}">
      <text>
        <r>
          <rPr>
            <sz val="10"/>
            <rFont val="Arial"/>
            <family val="2"/>
          </rPr>
          <t xml:space="preserve">INFERRED – </t>
        </r>
        <r>
          <rPr>
            <sz val="10"/>
            <rFont val="FreeSans"/>
            <family val="2"/>
          </rPr>
          <t>نوع محرک در منبع ذکر نشده؛ موتور برقی فرض شده است</t>
        </r>
      </text>
    </comment>
    <comment ref="Y75" authorId="0" shapeId="0" xr:uid="{00000000-0006-0000-0200-0000D9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75" authorId="0" shapeId="0" xr:uid="{00000000-0006-0000-0200-0000D4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75" authorId="0" shapeId="0" xr:uid="{00000000-0006-0000-0200-000091050000}">
      <text>
        <r>
          <rPr>
            <sz val="10"/>
            <rFont val="Arial"/>
            <family val="2"/>
          </rPr>
          <t>INFERRED – KPL-476 R03 TOTAL (2) A29: inspection cost carried in overhead factor, not in vendor unit price</t>
        </r>
      </text>
    </comment>
    <comment ref="E76" authorId="0" shapeId="0" xr:uid="{00000000-0006-0000-0200-00004D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76" authorId="0" shapeId="0" xr:uid="{00000000-0006-0000-0200-0000E0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
—
</t>
        </r>
        <r>
          <rPr>
            <sz val="10"/>
            <rFont val="Arial"/>
            <family val="2"/>
          </rPr>
          <t>SOURCE – KPL-476 R03 DESALTERS-B F33</t>
        </r>
      </text>
    </comment>
    <comment ref="G76" authorId="0" shapeId="0" xr:uid="{00000000-0006-0000-0200-000073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
—
SOURCE – KPL-476 R03 DESALTERS-B F36</t>
        </r>
      </text>
    </comment>
    <comment ref="H76" authorId="0" shapeId="0" xr:uid="{00000000-0006-0000-0200-0000C0010000}">
      <text>
        <r>
          <rPr>
            <sz val="10"/>
            <rFont val="Arial"/>
            <family val="2"/>
          </rPr>
          <t>SOURCE – KPL-476 R03 DESALTERS-B F34: Pumps Rated Flow 15 m3/hr</t>
        </r>
      </text>
    </comment>
    <comment ref="I76" authorId="0" shapeId="0" xr:uid="{00000000-0006-0000-0200-0000D5010000}">
      <text>
        <r>
          <rPr>
            <sz val="10"/>
            <rFont val="Arial"/>
            <family val="2"/>
          </rPr>
          <t>INFERRED – KPL-476 R03 DESALTERS-B F35: Differential Pressure 4.4 barg → head ≈ 4.4×10.2 m (SG 1.0 assumed)</t>
        </r>
      </text>
    </comment>
    <comment ref="N76" authorId="0" shapeId="0" xr:uid="{00000000-0006-0000-0200-000033020000}">
      <text>
        <r>
          <rPr>
            <sz val="10"/>
            <rFont val="Arial"/>
            <family val="2"/>
          </rPr>
          <t>SOURCE – design code line "&amp; IPS-G-PM-105" in the project item description</t>
        </r>
      </text>
    </comment>
    <comment ref="O76" authorId="0" shapeId="0" xr:uid="{00000000-0006-0000-0200-00008A020000}">
      <text>
        <r>
          <rPr>
            <sz val="10"/>
            <rFont val="Arial"/>
            <family val="2"/>
          </rPr>
          <t>SOURCE – KPL-476 R03 DESALTERS-B F37: NACE 'MR-0175' Required: Yes</t>
        </r>
      </text>
    </comment>
    <comment ref="S76" authorId="0" shapeId="0" xr:uid="{00000000-0006-0000-0200-000012030000}">
      <text>
        <r>
          <rPr>
            <sz val="10"/>
            <rFont val="Arial"/>
            <family val="2"/>
          </rPr>
          <t xml:space="preserve">INFERRED – </t>
        </r>
        <r>
          <rPr>
            <sz val="10"/>
            <rFont val="FreeSans"/>
            <family val="2"/>
          </rPr>
          <t>نوع محرک در منبع ذکر نشده؛ موتور برقی فرض شده است</t>
        </r>
      </text>
    </comment>
    <comment ref="Y76" authorId="0" shapeId="0" xr:uid="{00000000-0006-0000-0200-0000DA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76" authorId="0" shapeId="0" xr:uid="{00000000-0006-0000-0200-0000D504000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(FOB</t>
        </r>
        <r>
          <rPr>
            <sz val="10"/>
            <rFont val="FreeSans"/>
            <family val="2"/>
          </rPr>
          <t>، با ضریب ×۱٫۵۸ جداگانه</t>
        </r>
        <r>
          <rPr>
            <sz val="10"/>
            <rFont val="Arial"/>
            <family val="2"/>
          </rPr>
          <t>).</t>
        </r>
      </text>
    </comment>
    <comment ref="E77" authorId="0" shapeId="0" xr:uid="{00000000-0006-0000-0200-00004E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77" authorId="0" shapeId="0" xr:uid="{00000000-0006-0000-0200-0000E1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
—
</t>
        </r>
        <r>
          <rPr>
            <sz val="10"/>
            <rFont val="Arial"/>
            <family val="2"/>
          </rPr>
          <t>SOURCE – KPL-476 R03 IWWTP-B (1) F32:F36</t>
        </r>
      </text>
    </comment>
    <comment ref="G77" authorId="0" shapeId="0" xr:uid="{00000000-0006-0000-0200-000074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
—
SOURCE – KPL-476 R03 IWWTP-B (1) F32:F36</t>
        </r>
      </text>
    </comment>
    <comment ref="M77" authorId="0" shapeId="0" xr:uid="{00000000-0006-0000-0200-00000A020000}">
      <text>
        <r>
          <rPr>
            <sz val="10"/>
            <rFont val="Arial"/>
            <family val="2"/>
          </rPr>
          <t>SOURCE – KPL-476 R03 IWWTP-B (1) F32:F36</t>
        </r>
      </text>
    </comment>
    <comment ref="N77" authorId="0" shapeId="0" xr:uid="{00000000-0006-0000-0200-000034020000}">
      <text>
        <r>
          <rPr>
            <sz val="10"/>
            <rFont val="Arial"/>
            <family val="2"/>
          </rPr>
          <t>SOURCE – KPL-476 IWWTP-B (1) F35:F36: design code line "&amp; IPS-G-PM-105"</t>
        </r>
      </text>
    </comment>
    <comment ref="O77" authorId="0" shapeId="0" xr:uid="{00000000-0006-0000-0200-00008B020000}">
      <text>
        <r>
          <rPr>
            <sz val="10"/>
            <rFont val="Arial"/>
            <family val="2"/>
          </rPr>
          <t>INFERRED – KPL-476 R03 IWWTP-B (1) F32:F36: no "NACE MR-0175 Required" line in item description, while the document states it item-by-item where required → N</t>
        </r>
      </text>
    </comment>
    <comment ref="S77" authorId="0" shapeId="0" xr:uid="{00000000-0006-0000-0200-000013030000}">
      <text>
        <r>
          <rPr>
            <sz val="10"/>
            <rFont val="Arial"/>
            <family val="2"/>
          </rPr>
          <t xml:space="preserve">INFERRED – </t>
        </r>
        <r>
          <rPr>
            <sz val="10"/>
            <rFont val="FreeSans"/>
            <family val="2"/>
          </rPr>
          <t>نوع محرک در منبع ذکر نشده؛ موتور برقی فرض شده است</t>
        </r>
      </text>
    </comment>
    <comment ref="V77" authorId="0" shapeId="0" xr:uid="{00000000-0006-0000-0200-00007E030000}">
      <text>
        <r>
          <rPr>
            <sz val="10"/>
            <rFont val="Arial"/>
            <family val="2"/>
          </rPr>
          <t>SOURCE – KPL-476 R03 IWWTP-B (1) F32:F36</t>
        </r>
      </text>
    </comment>
    <comment ref="Y77" authorId="0" shapeId="0" xr:uid="{00000000-0006-0000-0200-0000DB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77" authorId="0" shapeId="0" xr:uid="{00000000-0006-0000-0200-0000D604000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(FOB</t>
        </r>
        <r>
          <rPr>
            <sz val="10"/>
            <rFont val="FreeSans"/>
            <family val="2"/>
          </rPr>
          <t>، با ضریب ×۱٫۵۸ جداگانه</t>
        </r>
        <r>
          <rPr>
            <sz val="10"/>
            <rFont val="Arial"/>
            <family val="2"/>
          </rPr>
          <t>).</t>
        </r>
      </text>
    </comment>
    <comment ref="E78" authorId="0" shapeId="0" xr:uid="{00000000-0006-0000-0200-00004F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78" authorId="0" shapeId="0" xr:uid="{00000000-0006-0000-0200-0000E2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
—
</t>
        </r>
        <r>
          <rPr>
            <sz val="10"/>
            <rFont val="Arial"/>
            <family val="2"/>
          </rPr>
          <t>SOURCE – KPL-476 R03 IWWTP-B (1) F37:F42</t>
        </r>
      </text>
    </comment>
    <comment ref="G78" authorId="0" shapeId="0" xr:uid="{00000000-0006-0000-0200-000075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
—
SOURCE – KPL-476 R03 IWWTP-B (1) F37:F42</t>
        </r>
      </text>
    </comment>
    <comment ref="M78" authorId="0" shapeId="0" xr:uid="{00000000-0006-0000-0200-00000B020000}">
      <text>
        <r>
          <rPr>
            <sz val="10"/>
            <rFont val="Arial"/>
            <family val="2"/>
          </rPr>
          <t>SOURCE – KPL-476 R03 IWWTP-B (1) F37:F42</t>
        </r>
      </text>
    </comment>
    <comment ref="N78" authorId="0" shapeId="0" xr:uid="{00000000-0006-0000-0200-000035020000}">
      <text>
        <r>
          <rPr>
            <sz val="10"/>
            <rFont val="Arial"/>
            <family val="2"/>
          </rPr>
          <t>SOURCE – KPL-476 IWWTP-B (1) F41:F42: design code line "&amp; IPS-G-PM-105"</t>
        </r>
      </text>
    </comment>
    <comment ref="O78" authorId="0" shapeId="0" xr:uid="{00000000-0006-0000-0200-00008C020000}">
      <text>
        <r>
          <rPr>
            <sz val="10"/>
            <rFont val="Arial"/>
            <family val="2"/>
          </rPr>
          <t>SOURCE – KPL-476 R03 IWWTP-B (1) F37:F42: NACE 'MR-0175' Required: Yes</t>
        </r>
      </text>
    </comment>
    <comment ref="S78" authorId="0" shapeId="0" xr:uid="{00000000-0006-0000-0200-000014030000}">
      <text>
        <r>
          <rPr>
            <sz val="10"/>
            <rFont val="Arial"/>
            <family val="2"/>
          </rPr>
          <t xml:space="preserve">INFERRED – </t>
        </r>
        <r>
          <rPr>
            <sz val="10"/>
            <rFont val="FreeSans"/>
            <family val="2"/>
          </rPr>
          <t>نوع محرک در منبع ذکر نشده؛ موتور برقی فرض شده است</t>
        </r>
      </text>
    </comment>
    <comment ref="V78" authorId="0" shapeId="0" xr:uid="{00000000-0006-0000-0200-00007F030000}">
      <text>
        <r>
          <rPr>
            <sz val="10"/>
            <rFont val="Arial"/>
            <family val="2"/>
          </rPr>
          <t>SOURCE – KPL-476 R03 IWWTP-B (1) F37:F42</t>
        </r>
      </text>
    </comment>
    <comment ref="Y78" authorId="0" shapeId="0" xr:uid="{00000000-0006-0000-0200-0000DC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78" authorId="0" shapeId="0" xr:uid="{00000000-0006-0000-0200-0000D704000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(FOB</t>
        </r>
        <r>
          <rPr>
            <sz val="10"/>
            <rFont val="FreeSans"/>
            <family val="2"/>
          </rPr>
          <t>، با ضریب ×۱٫۵۸ جداگانه</t>
        </r>
        <r>
          <rPr>
            <sz val="10"/>
            <rFont val="Arial"/>
            <family val="2"/>
          </rPr>
          <t>).</t>
        </r>
      </text>
    </comment>
    <comment ref="E79" authorId="0" shapeId="0" xr:uid="{00000000-0006-0000-0200-000050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79" authorId="0" shapeId="0" xr:uid="{00000000-0006-0000-0200-0000E3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
—
</t>
        </r>
        <r>
          <rPr>
            <sz val="10"/>
            <rFont val="Arial"/>
            <family val="2"/>
          </rPr>
          <t>SOURCE – KPL-476 R03 IWWTP-B (1) F37:F42</t>
        </r>
      </text>
    </comment>
    <comment ref="G79" authorId="0" shapeId="0" xr:uid="{00000000-0006-0000-0200-000076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
—
SOURCE – KPL-476 R03 IWWTP-B (1) F37:F42</t>
        </r>
      </text>
    </comment>
    <comment ref="M79" authorId="0" shapeId="0" xr:uid="{00000000-0006-0000-0200-00000C020000}">
      <text>
        <r>
          <rPr>
            <sz val="10"/>
            <rFont val="Arial"/>
            <family val="2"/>
          </rPr>
          <t>SOURCE – KPL-476 R03 IWWTP-B (1) F37:F42</t>
        </r>
      </text>
    </comment>
    <comment ref="N79" authorId="0" shapeId="0" xr:uid="{00000000-0006-0000-0200-000036020000}">
      <text>
        <r>
          <rPr>
            <sz val="10"/>
            <rFont val="Arial"/>
            <family val="2"/>
          </rPr>
          <t>SOURCE – KPL-476 IWWTP-B (1) F41:F42: design code line "&amp; IPS-G-PM-105"</t>
        </r>
      </text>
    </comment>
    <comment ref="O79" authorId="0" shapeId="0" xr:uid="{00000000-0006-0000-0200-00008D020000}">
      <text>
        <r>
          <rPr>
            <sz val="10"/>
            <rFont val="Arial"/>
            <family val="2"/>
          </rPr>
          <t>SOURCE – KPL-476 R03 IWWTP-B (1) F37:F42: NACE 'MR-0175' Required: Yes</t>
        </r>
      </text>
    </comment>
    <comment ref="S79" authorId="0" shapeId="0" xr:uid="{00000000-0006-0000-0200-000015030000}">
      <text>
        <r>
          <rPr>
            <sz val="10"/>
            <rFont val="Arial"/>
            <family val="2"/>
          </rPr>
          <t xml:space="preserve">INFERRED – </t>
        </r>
        <r>
          <rPr>
            <sz val="10"/>
            <rFont val="FreeSans"/>
            <family val="2"/>
          </rPr>
          <t>نوع محرک در منبع ذکر نشده؛ موتور برقی فرض شده است</t>
        </r>
      </text>
    </comment>
    <comment ref="V79" authorId="0" shapeId="0" xr:uid="{00000000-0006-0000-0200-000080030000}">
      <text>
        <r>
          <rPr>
            <sz val="10"/>
            <rFont val="Arial"/>
            <family val="2"/>
          </rPr>
          <t>SOURCE – KPL-476 R03 IWWTP-B (1) F37:F42</t>
        </r>
      </text>
    </comment>
    <comment ref="Y79" authorId="0" shapeId="0" xr:uid="{00000000-0006-0000-0200-0000DD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79" authorId="0" shapeId="0" xr:uid="{00000000-0006-0000-0200-0000D804000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(FOB</t>
        </r>
        <r>
          <rPr>
            <sz val="10"/>
            <rFont val="FreeSans"/>
            <family val="2"/>
          </rPr>
          <t>، با ضریب ×۱٫۵۸ جداگانه</t>
        </r>
        <r>
          <rPr>
            <sz val="10"/>
            <rFont val="Arial"/>
            <family val="2"/>
          </rPr>
          <t>).</t>
        </r>
      </text>
    </comment>
    <comment ref="E80" authorId="0" shapeId="0" xr:uid="{00000000-0006-0000-0200-000051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80" authorId="0" shapeId="0" xr:uid="{00000000-0006-0000-0200-0000E4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 xml:space="preserve">کاربرد ندارد
—
</t>
        </r>
        <r>
          <rPr>
            <sz val="10"/>
            <rFont val="Arial"/>
            <family val="2"/>
          </rPr>
          <t>SOURCE – KPL-476 R03 IWWTP-B (1) F43:F47</t>
        </r>
      </text>
    </comment>
    <comment ref="G80" authorId="0" shapeId="0" xr:uid="{00000000-0006-0000-0200-000077010000}">
      <text>
        <r>
          <rPr>
            <sz val="10"/>
            <rFont val="Arial"/>
            <family val="2"/>
          </rPr>
          <t xml:space="preserve">D-1: </t>
        </r>
        <r>
          <rPr>
            <sz val="10"/>
            <rFont val="FreeSans"/>
            <family val="2"/>
          </rPr>
          <t>بدنه داپلکس، پروانه داپلکس؛ رینگ با روکش سخت؛ شفت داپلکس</t>
        </r>
        <r>
          <rPr>
            <sz val="10"/>
            <rFont val="Arial"/>
            <family val="2"/>
          </rPr>
          <t xml:space="preserve">.
</t>
        </r>
        <r>
          <rPr>
            <sz val="10"/>
            <rFont val="FreeSans"/>
            <family val="2"/>
          </rPr>
          <t>کاربرد معمول: آب شور و آب تولیدی دارای کلراید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
—
SOURCE – KPL-476 R03 IWWTP-B (1) F43:F47</t>
        </r>
      </text>
    </comment>
    <comment ref="M80" authorId="0" shapeId="0" xr:uid="{00000000-0006-0000-0200-00000D020000}">
      <text>
        <r>
          <rPr>
            <sz val="10"/>
            <rFont val="Arial"/>
            <family val="2"/>
          </rPr>
          <t>SOURCE – KPL-476 R03 IWWTP-B (1) F43:F47</t>
        </r>
      </text>
    </comment>
    <comment ref="N80" authorId="0" shapeId="0" xr:uid="{00000000-0006-0000-0200-000037020000}">
      <text>
        <r>
          <rPr>
            <sz val="10"/>
            <rFont val="Arial"/>
            <family val="2"/>
          </rPr>
          <t>SOURCE – KPL-476 IWWTP-B (1) F46:F47: design code line "&amp; IPS-M-PM-140"</t>
        </r>
      </text>
    </comment>
    <comment ref="O80" authorId="0" shapeId="0" xr:uid="{00000000-0006-0000-0200-00008E020000}">
      <text>
        <r>
          <rPr>
            <sz val="10"/>
            <rFont val="Arial"/>
            <family val="2"/>
          </rPr>
          <t>INFERRED – KPL-476 R03 IWWTP-B (1) F43:F47: no "NACE MR-0175 Required" line in item description, while the document states it item-by-item where required → N</t>
        </r>
      </text>
    </comment>
    <comment ref="S80" authorId="0" shapeId="0" xr:uid="{00000000-0006-0000-0200-000016030000}">
      <text>
        <r>
          <rPr>
            <sz val="10"/>
            <rFont val="Arial"/>
            <family val="2"/>
          </rPr>
          <t xml:space="preserve">INFERRED – </t>
        </r>
        <r>
          <rPr>
            <sz val="10"/>
            <rFont val="FreeSans"/>
            <family val="2"/>
          </rPr>
          <t>نوع محرک در منبع ذکر نشده؛ موتور برقی فرض شده است</t>
        </r>
      </text>
    </comment>
    <comment ref="V80" authorId="0" shapeId="0" xr:uid="{00000000-0006-0000-0200-000081030000}">
      <text>
        <r>
          <rPr>
            <sz val="10"/>
            <rFont val="Arial"/>
            <family val="2"/>
          </rPr>
          <t>SOURCE – KPL-476 R03 IWWTP-B (1) F43:F47</t>
        </r>
      </text>
    </comment>
    <comment ref="Y80" authorId="0" shapeId="0" xr:uid="{00000000-0006-0000-0200-0000DE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80" authorId="0" shapeId="0" xr:uid="{00000000-0006-0000-0200-0000D904000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(FOB</t>
        </r>
        <r>
          <rPr>
            <sz val="10"/>
            <rFont val="FreeSans"/>
            <family val="2"/>
          </rPr>
          <t>، با ضریب ×۱٫۵۸ جداگانه</t>
        </r>
        <r>
          <rPr>
            <sz val="10"/>
            <rFont val="Arial"/>
            <family val="2"/>
          </rPr>
          <t>).</t>
        </r>
      </text>
    </comment>
    <comment ref="E81" authorId="0" shapeId="0" xr:uid="{00000000-0006-0000-0200-000052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xml:space="preserve">، جداکننده آب و نفت (OWS)، نفت بازیافتی و لجن
—
</t>
        </r>
        <r>
          <rPr>
            <sz val="10"/>
            <rFont val="Arial"/>
            <family val="2"/>
          </rPr>
          <t>Reclassified 1405-07: ROT-CRU → ROT-DRN (service-based classification; approved)</t>
        </r>
      </text>
    </comment>
    <comment ref="F81" authorId="0" shapeId="0" xr:uid="{00000000-0006-0000-0200-0000E5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 xml:space="preserve">کاربرد ندارد
—
</t>
        </r>
        <r>
          <rPr>
            <sz val="10"/>
            <rFont val="Arial"/>
            <family val="2"/>
          </rPr>
          <t>SOURCE – KPL-476 R03 IWWTP-B (2) F17:F21</t>
        </r>
      </text>
    </comment>
    <comment ref="G81" authorId="0" shapeId="0" xr:uid="{00000000-0006-0000-0200-000078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
—
SOURCE – KPL-476 R03 IWWTP-B (2) F17:F21</t>
        </r>
      </text>
    </comment>
    <comment ref="M81" authorId="0" shapeId="0" xr:uid="{00000000-0006-0000-0200-00000E020000}">
      <text>
        <r>
          <rPr>
            <sz val="10"/>
            <rFont val="Arial"/>
            <family val="2"/>
          </rPr>
          <t>SOURCE – KPL-476 R03 IWWTP-B (2) F17:F21 – NOTE: twin-screw pump stated as API 610 in source; API 676 expected – verify</t>
        </r>
      </text>
    </comment>
    <comment ref="N81" authorId="0" shapeId="0" xr:uid="{00000000-0006-0000-0200-000038020000}">
      <text>
        <r>
          <rPr>
            <sz val="10"/>
            <rFont val="Arial"/>
            <family val="2"/>
          </rPr>
          <t>SOURCE – KPL-476 IWWTP-B (2) F20:F21: design code line "&amp; IPS-G-PM-105"</t>
        </r>
      </text>
    </comment>
    <comment ref="O81" authorId="0" shapeId="0" xr:uid="{00000000-0006-0000-0200-00008F020000}">
      <text>
        <r>
          <rPr>
            <sz val="10"/>
            <rFont val="Arial"/>
            <family val="2"/>
          </rPr>
          <t>SOURCE – KPL-476 R03 IWWTP-B (2) F17:F21: NACE 'MR-0175' Required: Yes</t>
        </r>
      </text>
    </comment>
    <comment ref="S81" authorId="0" shapeId="0" xr:uid="{00000000-0006-0000-0200-000017030000}">
      <text>
        <r>
          <rPr>
            <sz val="10"/>
            <rFont val="Arial"/>
            <family val="2"/>
          </rPr>
          <t xml:space="preserve">INFERRED – </t>
        </r>
        <r>
          <rPr>
            <sz val="10"/>
            <rFont val="FreeSans"/>
            <family val="2"/>
          </rPr>
          <t>نوع محرک در منبع ذکر نشده؛ موتور برقی فرض شده است</t>
        </r>
      </text>
    </comment>
    <comment ref="V81" authorId="0" shapeId="0" xr:uid="{00000000-0006-0000-0200-000082030000}">
      <text>
        <r>
          <rPr>
            <sz val="10"/>
            <rFont val="Arial"/>
            <family val="2"/>
          </rPr>
          <t>SOURCE – KPL-476 R03 IWWTP-B (2) F17:F21</t>
        </r>
      </text>
    </comment>
    <comment ref="Y81" authorId="0" shapeId="0" xr:uid="{00000000-0006-0000-0200-0000DF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81" authorId="0" shapeId="0" xr:uid="{00000000-0006-0000-0200-0000DA04000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(FOB</t>
        </r>
        <r>
          <rPr>
            <sz val="10"/>
            <rFont val="FreeSans"/>
            <family val="2"/>
          </rPr>
          <t>، با ضریب ×۱٫۵۸ جداگانه</t>
        </r>
        <r>
          <rPr>
            <sz val="10"/>
            <rFont val="Arial"/>
            <family val="2"/>
          </rPr>
          <t>).</t>
        </r>
      </text>
    </comment>
    <comment ref="E82" authorId="0" shapeId="0" xr:uid="{00000000-0006-0000-0200-000053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82" authorId="0" shapeId="0" xr:uid="{00000000-0006-0000-0200-0000E6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
—
</t>
        </r>
        <r>
          <rPr>
            <sz val="10"/>
            <rFont val="Arial"/>
            <family val="2"/>
          </rPr>
          <t>SOURCE – KPL-476 R03 STRIPPER-B F36</t>
        </r>
      </text>
    </comment>
    <comment ref="G82" authorId="0" shapeId="0" xr:uid="{00000000-0006-0000-0200-000079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
—
SOURCE – KPL-476 R03 STRIPPER-B F39</t>
        </r>
      </text>
    </comment>
    <comment ref="H82" authorId="0" shapeId="0" xr:uid="{00000000-0006-0000-0200-0000C1010000}">
      <text>
        <r>
          <rPr>
            <sz val="10"/>
            <rFont val="Arial"/>
            <family val="2"/>
          </rPr>
          <t>SOURCE – KPL-476 R03 STRIPPER-B F37: Pumps Rated Flow 50 m3/hr</t>
        </r>
      </text>
    </comment>
    <comment ref="I82" authorId="0" shapeId="0" xr:uid="{00000000-0006-0000-0200-0000D6010000}">
      <text>
        <r>
          <rPr>
            <sz val="10"/>
            <rFont val="Arial"/>
            <family val="2"/>
          </rPr>
          <t>INFERRED – KPL-476 R03 STRIPPER-B F38: Differential Pressure 3 barg → head ≈ 3×10.2 m (SG 1.0 assumed)</t>
        </r>
      </text>
    </comment>
    <comment ref="N82" authorId="0" shapeId="0" xr:uid="{00000000-0006-0000-0200-000039020000}">
      <text>
        <r>
          <rPr>
            <sz val="10"/>
            <rFont val="Arial"/>
            <family val="2"/>
          </rPr>
          <t>SOURCE – design code line "&amp; IPS-G-PM-105" in the project item description</t>
        </r>
      </text>
    </comment>
    <comment ref="O82" authorId="0" shapeId="0" xr:uid="{00000000-0006-0000-0200-000090020000}">
      <text>
        <r>
          <rPr>
            <sz val="10"/>
            <rFont val="Arial"/>
            <family val="2"/>
          </rPr>
          <t>INFERRED – KPL-476 R03 STRIPPER-B F34:F41: no "NACE MR-0175 Required" line in item description, while the document states it item-by-item where required → N</t>
        </r>
      </text>
    </comment>
    <comment ref="S82" authorId="0" shapeId="0" xr:uid="{00000000-0006-0000-0200-000018030000}">
      <text>
        <r>
          <rPr>
            <sz val="10"/>
            <rFont val="Arial"/>
            <family val="2"/>
          </rPr>
          <t xml:space="preserve">INFERRED – </t>
        </r>
        <r>
          <rPr>
            <sz val="10"/>
            <rFont val="FreeSans"/>
            <family val="2"/>
          </rPr>
          <t>نوع محرک در منبع ذکر نشده؛ موتور برقی فرض شده است</t>
        </r>
      </text>
    </comment>
    <comment ref="Y82" authorId="0" shapeId="0" xr:uid="{00000000-0006-0000-0200-0000E0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82" authorId="0" shapeId="0" xr:uid="{00000000-0006-0000-0200-0000DB04000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(FOB</t>
        </r>
        <r>
          <rPr>
            <sz val="10"/>
            <rFont val="FreeSans"/>
            <family val="2"/>
          </rPr>
          <t>، با ضریب ×۱٫۵۸ جداگانه</t>
        </r>
        <r>
          <rPr>
            <sz val="10"/>
            <rFont val="Arial"/>
            <family val="2"/>
          </rPr>
          <t>).</t>
        </r>
      </text>
    </comment>
    <comment ref="E83" authorId="0" shapeId="0" xr:uid="{00000000-0006-0000-0200-000054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83" authorId="0" shapeId="0" xr:uid="{00000000-0006-0000-0200-0000E7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83" authorId="0" shapeId="0" xr:uid="{00000000-0006-0000-0200-00007A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83" authorId="0" shapeId="0" xr:uid="{00000000-0006-0000-0200-00003A020000}">
      <text>
        <r>
          <rPr>
            <sz val="10"/>
            <rFont val="Arial"/>
            <family val="2"/>
          </rPr>
          <t>SOURCE – design code line "&amp; IPS-M-PM-115" in the project item description</t>
        </r>
      </text>
    </comment>
    <comment ref="O83" authorId="0" shapeId="0" xr:uid="{00000000-0006-0000-0200-000091020000}">
      <text>
        <r>
          <rPr>
            <sz val="10"/>
            <rFont val="Arial"/>
            <family val="2"/>
          </rPr>
          <t>INFERRED – KPL-476 R03 PUMPS-C F19:F26: no "NACE MR-0175" line anywhere in Asmari (-A) or Common (-C) sheets, while the document states it item-by-item for the Bangestan train (12 "-B" sheets) → N</t>
        </r>
      </text>
    </comment>
    <comment ref="S83" authorId="0" shapeId="0" xr:uid="{00000000-0006-0000-0200-000019030000}">
      <text>
        <r>
          <rPr>
            <sz val="10"/>
            <rFont val="Arial"/>
            <family val="2"/>
          </rPr>
          <t xml:space="preserve">INFERRED – </t>
        </r>
        <r>
          <rPr>
            <sz val="10"/>
            <rFont val="FreeSans"/>
            <family val="2"/>
          </rPr>
          <t>نوع محرک در منبع ذکر نشده؛ موتور برقی فرض شده است</t>
        </r>
      </text>
    </comment>
    <comment ref="Y83" authorId="0" shapeId="0" xr:uid="{00000000-0006-0000-0200-0000E1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83" authorId="0" shapeId="0" xr:uid="{00000000-0006-0000-0200-0000DC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83" authorId="0" shapeId="0" xr:uid="{00000000-0006-0000-0200-000092050000}">
      <text>
        <r>
          <rPr>
            <sz val="10"/>
            <rFont val="Arial"/>
            <family val="2"/>
          </rPr>
          <t>INFERRED – KPL-476 R03 TOTAL (2) A29: inspection cost carried in overhead factor, not in vendor unit price</t>
        </r>
      </text>
    </comment>
    <comment ref="E84" authorId="0" shapeId="0" xr:uid="{00000000-0006-0000-0200-000055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84" authorId="0" shapeId="0" xr:uid="{00000000-0006-0000-0200-0000E8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84" authorId="0" shapeId="0" xr:uid="{00000000-0006-0000-0200-00007B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84" authorId="0" shapeId="0" xr:uid="{00000000-0006-0000-0200-00003B020000}">
      <text>
        <r>
          <rPr>
            <sz val="10"/>
            <rFont val="Arial"/>
            <family val="2"/>
          </rPr>
          <t>SOURCE – design code line "&amp; IPS-M-PM-115" in the project item description</t>
        </r>
      </text>
    </comment>
    <comment ref="O84" authorId="0" shapeId="0" xr:uid="{00000000-0006-0000-0200-000092020000}">
      <text>
        <r>
          <rPr>
            <sz val="10"/>
            <rFont val="Arial"/>
            <family val="2"/>
          </rPr>
          <t>INFERRED – KPL-476 R03 PUMPS-C F27:F34: no "NACE MR-0175" line anywhere in Asmari (-A) or Common (-C) sheets, while the document states it item-by-item for the Bangestan train (12 "-B" sheets) → N</t>
        </r>
      </text>
    </comment>
    <comment ref="S84" authorId="0" shapeId="0" xr:uid="{00000000-0006-0000-0200-00001A030000}">
      <text>
        <r>
          <rPr>
            <sz val="10"/>
            <rFont val="Arial"/>
            <family val="2"/>
          </rPr>
          <t xml:space="preserve">INFERRED – </t>
        </r>
        <r>
          <rPr>
            <sz val="10"/>
            <rFont val="FreeSans"/>
            <family val="2"/>
          </rPr>
          <t>نوع محرک در منبع ذکر نشده؛ موتور برقی فرض شده است</t>
        </r>
      </text>
    </comment>
    <comment ref="Y84" authorId="0" shapeId="0" xr:uid="{00000000-0006-0000-0200-0000E2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84" authorId="0" shapeId="0" xr:uid="{00000000-0006-0000-0200-0000DD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84" authorId="0" shapeId="0" xr:uid="{00000000-0006-0000-0200-000093050000}">
      <text>
        <r>
          <rPr>
            <sz val="10"/>
            <rFont val="Arial"/>
            <family val="2"/>
          </rPr>
          <t>INFERRED – KPL-476 R03 TOTAL (2) A29: inspection cost carried in overhead factor, not in vendor unit price</t>
        </r>
      </text>
    </comment>
    <comment ref="E85" authorId="0" shapeId="0" xr:uid="{00000000-0006-0000-0200-000056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85" authorId="0" shapeId="0" xr:uid="{00000000-0006-0000-0200-0000E9000000}">
      <text>
        <r>
          <rPr>
            <sz val="10"/>
            <rFont val="Arial"/>
            <family val="2"/>
          </rPr>
          <t xml:space="preserve">VS4 – Vertically suspended, line-shaft, separate discharge (sump):
</t>
        </r>
        <r>
          <rPr>
            <sz val="10"/>
            <rFont val="FreeSans"/>
            <family val="2"/>
          </rPr>
          <t xml:space="preserve">پمپ عمودی </t>
        </r>
        <r>
          <rPr>
            <sz val="10"/>
            <rFont val="Arial"/>
            <family val="2"/>
          </rPr>
          <t xml:space="preserve">Sump </t>
        </r>
        <r>
          <rPr>
            <sz val="10"/>
            <rFont val="FreeSans"/>
            <family val="2"/>
          </rPr>
          <t xml:space="preserve">با شفت بلند و لوله خروجی جدا؛ چاهک درین و </t>
        </r>
        <r>
          <rPr>
            <sz val="10"/>
            <rFont val="Arial"/>
            <family val="2"/>
          </rPr>
          <t>Flare KO</t>
        </r>
      </text>
    </comment>
    <comment ref="G85" authorId="0" shapeId="0" xr:uid="{00000000-0006-0000-0200-00007C010000}">
      <text>
        <r>
          <rPr>
            <sz val="10"/>
            <rFont val="Arial"/>
            <family val="2"/>
          </rPr>
          <t xml:space="preserve">S-6: </t>
        </r>
        <r>
          <rPr>
            <sz val="10"/>
            <rFont val="FreeSans"/>
            <family val="2"/>
          </rPr>
          <t>بدنه فولاد کربنی، پروانه کروم ۱۲٪؛ رینگ کروم ۱۲٪ سخت‌شده؛ شفت کروم ۱۲٪</t>
        </r>
        <r>
          <rPr>
            <sz val="10"/>
            <rFont val="Arial"/>
            <family val="2"/>
          </rPr>
          <t xml:space="preserve">.
</t>
        </r>
        <r>
          <rPr>
            <sz val="10"/>
            <rFont val="FreeSans"/>
            <family val="2"/>
          </rPr>
          <t>کاربرد معمول: هیدروکربن داغ، آب ترش و خوردگی ملایم</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85" authorId="0" shapeId="0" xr:uid="{00000000-0006-0000-0200-00003C020000}">
      <text>
        <r>
          <rPr>
            <sz val="10"/>
            <rFont val="Arial"/>
            <family val="2"/>
          </rPr>
          <t>SOURCE – design code line "&amp; IPS-G-PM-105" in the project item description</t>
        </r>
      </text>
    </comment>
    <comment ref="O85" authorId="0" shapeId="0" xr:uid="{00000000-0006-0000-0200-000093020000}">
      <text>
        <r>
          <rPr>
            <sz val="10"/>
            <rFont val="Arial"/>
            <family val="2"/>
          </rPr>
          <t>INFERRED – KPL-476 R03 PUMPS-C F35:F42: no "NACE MR-0175" line anywhere in Asmari (-A) or Common (-C) sheets, while the document states it item-by-item for the Bangestan train (12 "-B" sheets) → N</t>
        </r>
      </text>
    </comment>
    <comment ref="S85" authorId="0" shapeId="0" xr:uid="{00000000-0006-0000-0200-00001B030000}">
      <text>
        <r>
          <rPr>
            <sz val="10"/>
            <rFont val="Arial"/>
            <family val="2"/>
          </rPr>
          <t xml:space="preserve">INFERRED – </t>
        </r>
        <r>
          <rPr>
            <sz val="10"/>
            <rFont val="FreeSans"/>
            <family val="2"/>
          </rPr>
          <t>نوع محرک در منبع ذکر نشده؛ موتور برقی فرض شده است</t>
        </r>
      </text>
    </comment>
    <comment ref="Y85" authorId="0" shapeId="0" xr:uid="{00000000-0006-0000-0200-0000E3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85" authorId="0" shapeId="0" xr:uid="{00000000-0006-0000-0200-0000DE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85" authorId="0" shapeId="0" xr:uid="{00000000-0006-0000-0200-000094050000}">
      <text>
        <r>
          <rPr>
            <sz val="10"/>
            <rFont val="Arial"/>
            <family val="2"/>
          </rPr>
          <t>INFERRED – KPL-476 R03 TOTAL (2) A29: inspection cost carried in overhead factor, not in vendor unit price</t>
        </r>
      </text>
    </comment>
    <comment ref="E86" authorId="0" shapeId="0" xr:uid="{00000000-0006-0000-0200-000057000000}">
      <text>
        <r>
          <rPr>
            <sz val="10"/>
            <rFont val="Arial"/>
            <family val="2"/>
          </rPr>
          <t xml:space="preserve">ROT-AUX = Chemical, Fuel &amp; Auxiliary Pumps
</t>
        </r>
        <r>
          <rPr>
            <sz val="10"/>
            <rFont val="FreeSans"/>
            <family val="2"/>
          </rPr>
          <t>پمپ‌های جانبی: مواد شیمیایی، گلایکول، گازوئیل و سوخت</t>
        </r>
      </text>
    </comment>
    <comment ref="F86" authorId="0" shapeId="0" xr:uid="{00000000-0006-0000-0200-0000EA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86" authorId="0" shapeId="0" xr:uid="{00000000-0006-0000-0200-00007D010000}">
      <text>
        <r>
          <rPr>
            <sz val="10"/>
            <rFont val="Arial"/>
            <family val="2"/>
          </rPr>
          <t xml:space="preserve">S-1: </t>
        </r>
        <r>
          <rPr>
            <sz val="10"/>
            <rFont val="FreeSans"/>
            <family val="2"/>
          </rPr>
          <t>بدنه فولاد کربنی، پروانه چدن؛ رینگ چدن؛ شفت فولاد کربنی</t>
        </r>
        <r>
          <rPr>
            <sz val="10"/>
            <rFont val="Arial"/>
            <family val="2"/>
          </rPr>
          <t xml:space="preserve">.
</t>
        </r>
        <r>
          <rPr>
            <sz val="10"/>
            <rFont val="FreeSans"/>
            <family val="2"/>
          </rPr>
          <t>کاربرد معمول: هیدروکربن غیرخورنده</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86" authorId="0" shapeId="0" xr:uid="{00000000-0006-0000-0200-00003D020000}">
      <text>
        <r>
          <rPr>
            <sz val="10"/>
            <rFont val="Arial"/>
            <family val="2"/>
          </rPr>
          <t>SOURCE – design code line "&amp; IPS-M-PM-115" in the project item description</t>
        </r>
      </text>
    </comment>
    <comment ref="O86" authorId="0" shapeId="0" xr:uid="{00000000-0006-0000-0200-000094020000}">
      <text>
        <r>
          <rPr>
            <sz val="10"/>
            <rFont val="Arial"/>
            <family val="2"/>
          </rPr>
          <t>INFERRED – KPL-476 R03 PUMPS-C F43:F50: no "NACE MR-0175" line anywhere in Asmari (-A) or Common (-C) sheets, while the document states it item-by-item for the Bangestan train (12 "-B" sheets) → N</t>
        </r>
      </text>
    </comment>
    <comment ref="S86" authorId="0" shapeId="0" xr:uid="{00000000-0006-0000-0200-00001C030000}">
      <text>
        <r>
          <rPr>
            <sz val="10"/>
            <rFont val="Arial"/>
            <family val="2"/>
          </rPr>
          <t xml:space="preserve">INFERRED – </t>
        </r>
        <r>
          <rPr>
            <sz val="10"/>
            <rFont val="FreeSans"/>
            <family val="2"/>
          </rPr>
          <t>نوع محرک در منبع ذکر نشده؛ موتور برقی فرض شده است</t>
        </r>
      </text>
    </comment>
    <comment ref="Y86" authorId="0" shapeId="0" xr:uid="{00000000-0006-0000-0200-0000E4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86" authorId="0" shapeId="0" xr:uid="{00000000-0006-0000-0200-0000DF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86" authorId="0" shapeId="0" xr:uid="{00000000-0006-0000-0200-000095050000}">
      <text>
        <r>
          <rPr>
            <sz val="10"/>
            <rFont val="Arial"/>
            <family val="2"/>
          </rPr>
          <t>INFERRED – KPL-476 R03 TOTAL (2) A29: inspection cost carried in overhead factor, not in vendor unit price</t>
        </r>
      </text>
    </comment>
    <comment ref="E87" authorId="0" shapeId="0" xr:uid="{00000000-0006-0000-0200-000058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87" authorId="0" shapeId="0" xr:uid="{00000000-0006-0000-0200-0000EB000000}">
      <text>
        <r>
          <rPr>
            <sz val="10"/>
            <rFont val="Arial"/>
            <family val="2"/>
          </rPr>
          <t xml:space="preserve">VS4 – Vertically suspended, line-shaft, separate discharge (sump):
</t>
        </r>
        <r>
          <rPr>
            <sz val="10"/>
            <rFont val="FreeSans"/>
            <family val="2"/>
          </rPr>
          <t xml:space="preserve">پمپ عمودی </t>
        </r>
        <r>
          <rPr>
            <sz val="10"/>
            <rFont val="Arial"/>
            <family val="2"/>
          </rPr>
          <t xml:space="preserve">Sump </t>
        </r>
        <r>
          <rPr>
            <sz val="10"/>
            <rFont val="FreeSans"/>
            <family val="2"/>
          </rPr>
          <t xml:space="preserve">با شفت بلند و لوله خروجی جدا؛ چاهک درین و </t>
        </r>
        <r>
          <rPr>
            <sz val="10"/>
            <rFont val="Arial"/>
            <family val="2"/>
          </rPr>
          <t>Flare KO</t>
        </r>
      </text>
    </comment>
    <comment ref="G87" authorId="0" shapeId="0" xr:uid="{00000000-0006-0000-0200-00007E010000}">
      <text>
        <r>
          <rPr>
            <sz val="10"/>
            <rFont val="Arial"/>
            <family val="2"/>
          </rPr>
          <t xml:space="preserve">S-6: </t>
        </r>
        <r>
          <rPr>
            <sz val="10"/>
            <rFont val="FreeSans"/>
            <family val="2"/>
          </rPr>
          <t>بدنه فولاد کربنی، پروانه کروم ۱۲٪؛ رینگ کروم ۱۲٪ سخت‌شده؛ شفت کروم ۱۲٪</t>
        </r>
        <r>
          <rPr>
            <sz val="10"/>
            <rFont val="Arial"/>
            <family val="2"/>
          </rPr>
          <t xml:space="preserve">.
</t>
        </r>
        <r>
          <rPr>
            <sz val="10"/>
            <rFont val="FreeSans"/>
            <family val="2"/>
          </rPr>
          <t>کاربرد معمول: هیدروکربن داغ، آب ترش و خوردگی ملایم</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87" authorId="0" shapeId="0" xr:uid="{00000000-0006-0000-0200-00003E020000}">
      <text>
        <r>
          <rPr>
            <sz val="10"/>
            <rFont val="Arial"/>
            <family val="2"/>
          </rPr>
          <t>SOURCE – design code line "&amp; IPS-G-PM-105" in the project item description</t>
        </r>
      </text>
    </comment>
    <comment ref="O87" authorId="0" shapeId="0" xr:uid="{00000000-0006-0000-0200-000095020000}">
      <text>
        <r>
          <rPr>
            <sz val="10"/>
            <rFont val="Arial"/>
            <family val="2"/>
          </rPr>
          <t>INFERRED – KPL-476 R03 PUMPS-C (2) F19:F26: no "NACE MR-0175" line anywhere in Asmari (-A) or Common (-C) sheets, while the document states it item-by-item for the Bangestan train (12 "-B" sheets) → N</t>
        </r>
      </text>
    </comment>
    <comment ref="S87" authorId="0" shapeId="0" xr:uid="{00000000-0006-0000-0200-00001D030000}">
      <text>
        <r>
          <rPr>
            <sz val="10"/>
            <rFont val="Arial"/>
            <family val="2"/>
          </rPr>
          <t xml:space="preserve">INFERRED – </t>
        </r>
        <r>
          <rPr>
            <sz val="10"/>
            <rFont val="FreeSans"/>
            <family val="2"/>
          </rPr>
          <t>نوع محرک در منبع ذکر نشده؛ موتور برقی فرض شده است</t>
        </r>
      </text>
    </comment>
    <comment ref="Y87" authorId="0" shapeId="0" xr:uid="{00000000-0006-0000-0200-0000E5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87" authorId="0" shapeId="0" xr:uid="{00000000-0006-0000-0200-0000E0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87" authorId="0" shapeId="0" xr:uid="{00000000-0006-0000-0200-000096050000}">
      <text>
        <r>
          <rPr>
            <sz val="10"/>
            <rFont val="Arial"/>
            <family val="2"/>
          </rPr>
          <t>INFERRED – KPL-476 R03 TOTAL (2) A29: inspection cost carried in overhead factor, not in vendor unit price</t>
        </r>
      </text>
    </comment>
    <comment ref="E88" authorId="0" shapeId="0" xr:uid="{00000000-0006-0000-0200-00005900000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و بارگیری آب آتش‌نشانی</t>
        </r>
      </text>
    </comment>
    <comment ref="F88" authorId="0" shapeId="0" xr:uid="{00000000-0006-0000-0200-0000EC000000}">
      <text>
        <r>
          <rPr>
            <sz val="10"/>
            <rFont val="Arial"/>
            <family val="2"/>
          </rPr>
          <t xml:space="preserve">BB (unspecified) – Between bearings – subtype not stated:
</t>
        </r>
        <r>
          <rPr>
            <sz val="10"/>
            <rFont val="FreeSans"/>
            <family val="2"/>
          </rPr>
          <t xml:space="preserve">منبع فقط </t>
        </r>
        <r>
          <rPr>
            <sz val="10"/>
            <rFont val="Arial"/>
            <family val="2"/>
          </rPr>
          <t xml:space="preserve">«Between Bearings» </t>
        </r>
        <r>
          <rPr>
            <sz val="10"/>
            <rFont val="FreeSans"/>
            <family val="2"/>
          </rPr>
          <t xml:space="preserve">گفته و زیرنوع </t>
        </r>
        <r>
          <rPr>
            <sz val="10"/>
            <rFont val="Arial"/>
            <family val="2"/>
          </rPr>
          <t xml:space="preserve">API </t>
        </r>
        <r>
          <rPr>
            <sz val="10"/>
            <rFont val="FreeSans"/>
            <family val="2"/>
          </rPr>
          <t xml:space="preserve">را مشخص نکرده
—
</t>
        </r>
        <r>
          <rPr>
            <sz val="10"/>
            <rFont val="Arial"/>
            <family val="2"/>
          </rPr>
          <t>SOURCE – KPL-476 PUMPS-C (2) F28:F29 / F37:F38: "Horizontal, Impeller Between Bearings Design"</t>
        </r>
      </text>
    </comment>
    <comment ref="G88" authorId="0" shapeId="0" xr:uid="{00000000-0006-0000-0200-00007F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88" authorId="0" shapeId="0" xr:uid="{00000000-0006-0000-0200-00003F020000}">
      <text>
        <r>
          <rPr>
            <sz val="10"/>
            <rFont val="Arial"/>
            <family val="2"/>
          </rPr>
          <t>SOURCE – design code line "&amp; IPS-M-PM-125" in the project item description</t>
        </r>
      </text>
    </comment>
    <comment ref="O88" authorId="0" shapeId="0" xr:uid="{00000000-0006-0000-0200-000096020000}">
      <text>
        <r>
          <rPr>
            <sz val="10"/>
            <rFont val="Arial"/>
            <family val="2"/>
          </rPr>
          <t>INFERRED – KPL-476 R03 PUMPS-C (2) F27:F35: no "NACE MR-0175" line anywhere in Asmari (-A) or Common (-C) sheets, while the document states it item-by-item for the Bangestan train (12 "-B" sheets) → N</t>
        </r>
      </text>
    </comment>
    <comment ref="S88" authorId="0" shapeId="0" xr:uid="{00000000-0006-0000-0200-00001E030000}">
      <text>
        <r>
          <rPr>
            <sz val="10"/>
            <rFont val="Arial"/>
            <family val="2"/>
          </rPr>
          <t>SOURCE – equipment name states electric motor driven</t>
        </r>
      </text>
    </comment>
    <comment ref="Y88" authorId="0" shapeId="0" xr:uid="{00000000-0006-0000-0200-0000E6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88" authorId="0" shapeId="0" xr:uid="{00000000-0006-0000-0200-0000E1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88" authorId="0" shapeId="0" xr:uid="{00000000-0006-0000-0200-000097050000}">
      <text>
        <r>
          <rPr>
            <sz val="10"/>
            <rFont val="Arial"/>
            <family val="2"/>
          </rPr>
          <t>INFERRED – KPL-476 R03 TOTAL (2) A29: inspection cost carried in overhead factor, not in vendor unit price</t>
        </r>
      </text>
    </comment>
    <comment ref="E89" authorId="0" shapeId="0" xr:uid="{00000000-0006-0000-0200-00005A00000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و بارگیری آب آتش‌نشانی</t>
        </r>
      </text>
    </comment>
    <comment ref="F89" authorId="0" shapeId="0" xr:uid="{00000000-0006-0000-0200-0000ED000000}">
      <text>
        <r>
          <rPr>
            <sz val="10"/>
            <rFont val="Arial"/>
            <family val="2"/>
          </rPr>
          <t xml:space="preserve">BB (unspecified) – Between bearings – subtype not stated:
</t>
        </r>
        <r>
          <rPr>
            <sz val="10"/>
            <rFont val="FreeSans"/>
            <family val="2"/>
          </rPr>
          <t xml:space="preserve">منبع فقط </t>
        </r>
        <r>
          <rPr>
            <sz val="10"/>
            <rFont val="Arial"/>
            <family val="2"/>
          </rPr>
          <t xml:space="preserve">«Between Bearings» </t>
        </r>
        <r>
          <rPr>
            <sz val="10"/>
            <rFont val="FreeSans"/>
            <family val="2"/>
          </rPr>
          <t xml:space="preserve">گفته و زیرنوع </t>
        </r>
        <r>
          <rPr>
            <sz val="10"/>
            <rFont val="Arial"/>
            <family val="2"/>
          </rPr>
          <t xml:space="preserve">API </t>
        </r>
        <r>
          <rPr>
            <sz val="10"/>
            <rFont val="FreeSans"/>
            <family val="2"/>
          </rPr>
          <t xml:space="preserve">را مشخص نکرده
—
</t>
        </r>
        <r>
          <rPr>
            <sz val="10"/>
            <rFont val="Arial"/>
            <family val="2"/>
          </rPr>
          <t>SOURCE – KPL-476 PUMPS-C (2) F28:F29 / F37:F38: "Horizontal, Impeller Between Bearings Design"</t>
        </r>
      </text>
    </comment>
    <comment ref="G89" authorId="0" shapeId="0" xr:uid="{00000000-0006-0000-0200-000080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89" authorId="0" shapeId="0" xr:uid="{00000000-0006-0000-0200-000040020000}">
      <text>
        <r>
          <rPr>
            <sz val="10"/>
            <rFont val="Arial"/>
            <family val="2"/>
          </rPr>
          <t>SOURCE – design code line "&amp; IPS-M-PM-125" in the project item description</t>
        </r>
      </text>
    </comment>
    <comment ref="O89" authorId="0" shapeId="0" xr:uid="{00000000-0006-0000-0200-000097020000}">
      <text>
        <r>
          <rPr>
            <sz val="10"/>
            <rFont val="Arial"/>
            <family val="2"/>
          </rPr>
          <t>INFERRED – KPL-476 R03 PUMPS-C (2) F36:F44: no "NACE MR-0175" line anywhere in Asmari (-A) or Common (-C) sheets, while the document states it item-by-item for the Bangestan train (12 "-B" sheets) → N</t>
        </r>
      </text>
    </comment>
    <comment ref="S89" authorId="0" shapeId="0" xr:uid="{00000000-0006-0000-0200-00001F030000}">
      <text>
        <r>
          <rPr>
            <sz val="10"/>
            <rFont val="Arial"/>
            <family val="2"/>
          </rPr>
          <t>SOURCE – equipment name states diesel engine driven</t>
        </r>
      </text>
    </comment>
    <comment ref="Y89" authorId="0" shapeId="0" xr:uid="{00000000-0006-0000-0200-0000E7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89" authorId="0" shapeId="0" xr:uid="{00000000-0006-0000-0200-0000E2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89" authorId="0" shapeId="0" xr:uid="{00000000-0006-0000-0200-000098050000}">
      <text>
        <r>
          <rPr>
            <sz val="10"/>
            <rFont val="Arial"/>
            <family val="2"/>
          </rPr>
          <t>INFERRED – KPL-476 R03 TOTAL (2) A29: inspection cost carried in overhead factor, not in vendor unit price</t>
        </r>
      </text>
    </comment>
    <comment ref="E90" authorId="0" shapeId="0" xr:uid="{00000000-0006-0000-0200-00005B00000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و بارگیری آب آتش‌نشانی</t>
        </r>
      </text>
    </comment>
    <comment ref="F90" authorId="0" shapeId="0" xr:uid="{00000000-0006-0000-0200-0000EE000000}">
      <text>
        <r>
          <rPr>
            <sz val="10"/>
            <rFont val="Arial"/>
            <family val="2"/>
          </rPr>
          <t xml:space="preserve">OH (unspecified) – Overhung – subtype not stated:
</t>
        </r>
        <r>
          <rPr>
            <sz val="10"/>
            <rFont val="FreeSans"/>
            <family val="2"/>
          </rPr>
          <t xml:space="preserve">منبع فقط </t>
        </r>
        <r>
          <rPr>
            <sz val="10"/>
            <rFont val="Arial"/>
            <family val="2"/>
          </rPr>
          <t xml:space="preserve">«Overhung» </t>
        </r>
        <r>
          <rPr>
            <sz val="10"/>
            <rFont val="FreeSans"/>
            <family val="2"/>
          </rPr>
          <t xml:space="preserve">گفته و زیرنوع </t>
        </r>
        <r>
          <rPr>
            <sz val="10"/>
            <rFont val="Arial"/>
            <family val="2"/>
          </rPr>
          <t xml:space="preserve">API </t>
        </r>
        <r>
          <rPr>
            <sz val="10"/>
            <rFont val="FreeSans"/>
            <family val="2"/>
          </rPr>
          <t xml:space="preserve">را مشخص نکرده
—
</t>
        </r>
        <r>
          <rPr>
            <sz val="10"/>
            <rFont val="Arial"/>
            <family val="2"/>
          </rPr>
          <t>SOURCE – KPL-476 PUMPS-C (3) F20:F21: "Horizontal, Overhung Impeller Design"</t>
        </r>
      </text>
    </comment>
    <comment ref="G90" authorId="0" shapeId="0" xr:uid="{00000000-0006-0000-0200-000081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90" authorId="0" shapeId="0" xr:uid="{00000000-0006-0000-0200-000041020000}">
      <text>
        <r>
          <rPr>
            <sz val="10"/>
            <rFont val="Arial"/>
            <family val="2"/>
          </rPr>
          <t>SOURCE – design code line "&amp; IPS-M-PM-125" in the project item description</t>
        </r>
      </text>
    </comment>
    <comment ref="O90" authorId="0" shapeId="0" xr:uid="{00000000-0006-0000-0200-000098020000}">
      <text>
        <r>
          <rPr>
            <sz val="10"/>
            <rFont val="Arial"/>
            <family val="2"/>
          </rPr>
          <t>INFERRED – KPL-476 R03 PUMPS-C (3) F19:F27: no "NACE MR-0175" line anywhere in Asmari (-A) or Common (-C) sheets, while the document states it item-by-item for the Bangestan train (12 "-B" sheets) → N</t>
        </r>
      </text>
    </comment>
    <comment ref="S90" authorId="0" shapeId="0" xr:uid="{00000000-0006-0000-0200-000020030000}">
      <text>
        <r>
          <rPr>
            <sz val="10"/>
            <rFont val="Arial"/>
            <family val="2"/>
          </rPr>
          <t xml:space="preserve">INFERRED – </t>
        </r>
        <r>
          <rPr>
            <sz val="10"/>
            <rFont val="FreeSans"/>
            <family val="2"/>
          </rPr>
          <t>نوع محرک در منبع ذکر نشده؛ موتور برقی فرض شده است</t>
        </r>
      </text>
    </comment>
    <comment ref="Y90" authorId="0" shapeId="0" xr:uid="{00000000-0006-0000-0200-0000E8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90" authorId="0" shapeId="0" xr:uid="{00000000-0006-0000-0200-0000E3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90" authorId="0" shapeId="0" xr:uid="{00000000-0006-0000-0200-000099050000}">
      <text>
        <r>
          <rPr>
            <sz val="10"/>
            <rFont val="Arial"/>
            <family val="2"/>
          </rPr>
          <t>INFERRED – KPL-476 R03 TOTAL (2) A29: inspection cost carried in overhead factor, not in vendor unit price</t>
        </r>
      </text>
    </comment>
    <comment ref="E91" authorId="0" shapeId="0" xr:uid="{00000000-0006-0000-0200-00005C00000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و بارگیری آب آتش‌نشانی</t>
        </r>
      </text>
    </comment>
    <comment ref="F91" authorId="0" shapeId="0" xr:uid="{00000000-0006-0000-0200-0000EF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91" authorId="0" shapeId="0" xr:uid="{00000000-0006-0000-0200-000082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91" authorId="0" shapeId="0" xr:uid="{00000000-0006-0000-0200-000042020000}">
      <text>
        <r>
          <rPr>
            <sz val="10"/>
            <rFont val="Arial"/>
            <family val="2"/>
          </rPr>
          <t>SOURCE – design code line "&amp; IPS-M-PM-115" in the project item description</t>
        </r>
      </text>
    </comment>
    <comment ref="O91" authorId="0" shapeId="0" xr:uid="{00000000-0006-0000-0200-000099020000}">
      <text>
        <r>
          <rPr>
            <sz val="10"/>
            <rFont val="Arial"/>
            <family val="2"/>
          </rPr>
          <t>INFERRED – KPL-476 R03 PUMPS-C (3) F28:F35: no "NACE MR-0175" line anywhere in Asmari (-A) or Common (-C) sheets, while the document states it item-by-item for the Bangestan train (12 "-B" sheets) → N</t>
        </r>
      </text>
    </comment>
    <comment ref="S91" authorId="0" shapeId="0" xr:uid="{00000000-0006-0000-0200-000021030000}">
      <text>
        <r>
          <rPr>
            <sz val="10"/>
            <rFont val="Arial"/>
            <family val="2"/>
          </rPr>
          <t xml:space="preserve">INFERRED – </t>
        </r>
        <r>
          <rPr>
            <sz val="10"/>
            <rFont val="FreeSans"/>
            <family val="2"/>
          </rPr>
          <t>نوع محرک در منبع ذکر نشده؛ موتور برقی فرض شده است</t>
        </r>
      </text>
    </comment>
    <comment ref="Y91" authorId="0" shapeId="0" xr:uid="{00000000-0006-0000-0200-0000E9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91" authorId="0" shapeId="0" xr:uid="{00000000-0006-0000-0200-0000E4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91" authorId="0" shapeId="0" xr:uid="{00000000-0006-0000-0200-00009A050000}">
      <text>
        <r>
          <rPr>
            <sz val="10"/>
            <rFont val="Arial"/>
            <family val="2"/>
          </rPr>
          <t>INFERRED – KPL-476 R03 TOTAL (2) A29: inspection cost carried in overhead factor, not in vendor unit price</t>
        </r>
      </text>
    </comment>
    <comment ref="E92" authorId="0" shapeId="0" xr:uid="{00000000-0006-0000-0200-00005D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92" authorId="0" shapeId="0" xr:uid="{00000000-0006-0000-0200-0000F0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92" authorId="0" shapeId="0" xr:uid="{00000000-0006-0000-0200-000083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I92" authorId="0" shapeId="0" xr:uid="{00000000-0006-0000-0200-0000D7010000}">
      <text>
        <r>
          <rPr>
            <sz val="10"/>
            <rFont val="Arial"/>
            <family val="2"/>
          </rPr>
          <t>INFERRED – KPL-476 R03 PUMPS-C (3) F46: Differential Pressure 3 bar → head ≈ 3×10.2 m (SG 1.0 assumed)</t>
        </r>
      </text>
    </comment>
    <comment ref="N92" authorId="0" shapeId="0" xr:uid="{00000000-0006-0000-0200-000043020000}">
      <text>
        <r>
          <rPr>
            <sz val="10"/>
            <rFont val="Arial"/>
            <family val="2"/>
          </rPr>
          <t>SOURCE – design code line "&amp; IPS-M-PM-115" in the project item description</t>
        </r>
      </text>
    </comment>
    <comment ref="O92" authorId="0" shapeId="0" xr:uid="{00000000-0006-0000-0200-00009A020000}">
      <text>
        <r>
          <rPr>
            <sz val="10"/>
            <rFont val="Arial"/>
            <family val="2"/>
          </rPr>
          <t>INFERRED – KPL-476 R03 PUMPS-C (3) F41:F49: no "NACE MR-0175" line anywhere in Asmari (-A) or Common (-C) sheets, while the document states it item-by-item for the Bangestan train (12 "-B" sheets) → N</t>
        </r>
      </text>
    </comment>
    <comment ref="S92" authorId="0" shapeId="0" xr:uid="{00000000-0006-0000-0200-000022030000}">
      <text>
        <r>
          <rPr>
            <sz val="10"/>
            <rFont val="Arial"/>
            <family val="2"/>
          </rPr>
          <t xml:space="preserve">INFERRED – </t>
        </r>
        <r>
          <rPr>
            <sz val="10"/>
            <rFont val="FreeSans"/>
            <family val="2"/>
          </rPr>
          <t>نوع محرک در منبع ذکر نشده؛ موتور برقی فرض شده است</t>
        </r>
      </text>
    </comment>
    <comment ref="Y92" authorId="0" shapeId="0" xr:uid="{00000000-0006-0000-0200-0000EA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Z92" authorId="0" shapeId="0" xr:uid="{00000000-0006-0000-0200-00002F040000}">
      <text>
        <r>
          <rPr>
            <sz val="10"/>
            <rFont val="Arial"/>
            <family val="2"/>
          </rPr>
          <t>SOURCE – KPL-476 R03 PUMPS-C (3) U41: value is in column "Unit Price (Rials)" – previous bank had EUR (error)</t>
        </r>
      </text>
    </comment>
    <comment ref="AF92" authorId="0" shapeId="0" xr:uid="{00000000-0006-0000-0200-0000E5040000}">
      <text>
        <r>
          <rPr>
            <sz val="10"/>
            <rFont val="FreeSans"/>
            <family val="2"/>
          </rPr>
          <t>شرط تحویل</t>
        </r>
        <r>
          <rPr>
            <sz val="10"/>
            <rFont val="Arial"/>
            <family val="2"/>
          </rPr>
          <t>: EXW (</t>
        </r>
        <r>
          <rPr>
            <sz val="10"/>
            <rFont val="FreeSans"/>
            <family val="2"/>
          </rPr>
          <t>استنباطی؛ خرید داخلی ریالی</t>
        </r>
        <r>
          <rPr>
            <sz val="10"/>
            <rFont val="Arial"/>
            <family val="2"/>
          </rPr>
          <t xml:space="preserve">).
</t>
        </r>
        <r>
          <rPr>
            <sz val="10"/>
            <rFont val="FreeSans"/>
            <family val="2"/>
          </rPr>
          <t>این قیمت شامل: قیمت فروشنده داخلی</t>
        </r>
        <r>
          <rPr>
            <sz val="10"/>
            <rFont val="Arial"/>
            <family val="2"/>
          </rPr>
          <t xml:space="preserve">.
</t>
        </r>
        <r>
          <rPr>
            <sz val="10"/>
            <rFont val="FreeSans"/>
            <family val="2"/>
          </rPr>
          <t xml:space="preserve">این قیمت شامل نیست </t>
        </r>
        <r>
          <rPr>
            <sz val="10"/>
            <rFont val="Arial"/>
            <family val="2"/>
          </rPr>
          <t>(KPL-476</t>
        </r>
        <r>
          <rPr>
            <sz val="10"/>
            <rFont val="FreeSans"/>
            <family val="2"/>
          </rPr>
          <t xml:space="preserve">، </t>
        </r>
        <r>
          <rPr>
            <sz val="10"/>
            <rFont val="Arial"/>
            <family val="2"/>
          </rPr>
          <t xml:space="preserve">TOTAL (2) </t>
        </r>
        <r>
          <rPr>
            <sz val="10"/>
            <rFont val="FreeSans"/>
            <family val="2"/>
          </rPr>
          <t xml:space="preserve">سلول </t>
        </r>
        <r>
          <rPr>
            <sz val="10"/>
            <rFont val="Arial"/>
            <family val="2"/>
          </rPr>
          <t xml:space="preserve">A20 </t>
        </r>
        <r>
          <rPr>
            <sz val="10"/>
            <rFont val="FreeSans"/>
            <family val="2"/>
          </rPr>
          <t>با ضریب ×۱٫۲۷</t>
        </r>
        <r>
          <rPr>
            <sz val="10"/>
            <rFont val="Arial"/>
            <family val="2"/>
          </rPr>
          <t xml:space="preserve">): </t>
        </r>
        <r>
          <rPr>
            <sz val="10"/>
            <rFont val="FreeSans"/>
            <family val="2"/>
          </rPr>
          <t>هزینه بانکی ۲٪، بیمه ۰٫۵٪، بازرسی و حمل ۲٫۵٪، هزینه‌های دفتری ۰٫۵٪، سود پیمانکار ۱۰٪، عدم قطعیت طراحی پایه ۱۰٪. نصب و مالیات هم شامل نیست</t>
        </r>
        <r>
          <rPr>
            <sz val="10"/>
            <rFont val="Arial"/>
            <family val="2"/>
          </rPr>
          <t>.</t>
        </r>
      </text>
    </comment>
    <comment ref="AQ92" authorId="0" shapeId="0" xr:uid="{00000000-0006-0000-0200-00009B050000}">
      <text>
        <r>
          <rPr>
            <sz val="10"/>
            <rFont val="Arial"/>
            <family val="2"/>
          </rPr>
          <t>INFERRED – KPL-476 R03 TOTAL (2) A20: inspection cost carried in overhead factor, not in vendor unit price</t>
        </r>
      </text>
    </comment>
    <comment ref="E93" authorId="0" shapeId="0" xr:uid="{00000000-0006-0000-0200-00005E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93" authorId="0" shapeId="0" xr:uid="{00000000-0006-0000-0200-0000F1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93" authorId="0" shapeId="0" xr:uid="{00000000-0006-0000-0200-000084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I93" authorId="0" shapeId="0" xr:uid="{00000000-0006-0000-0200-0000D8010000}">
      <text>
        <r>
          <rPr>
            <sz val="10"/>
            <rFont val="Arial"/>
            <family val="2"/>
          </rPr>
          <t>INFERRED – KPL-476 R03 PUMPS-C (4) F23: Differential Pressure 3 bar → head ≈ 3×10.2 m (SG 1.0 assumed)</t>
        </r>
      </text>
    </comment>
    <comment ref="N93" authorId="0" shapeId="0" xr:uid="{00000000-0006-0000-0200-000044020000}">
      <text>
        <r>
          <rPr>
            <sz val="10"/>
            <rFont val="Arial"/>
            <family val="2"/>
          </rPr>
          <t>SOURCE – design code line "&amp; IPS-M-PM-115" in the project item description</t>
        </r>
      </text>
    </comment>
    <comment ref="O93" authorId="0" shapeId="0" xr:uid="{00000000-0006-0000-0200-00009B020000}">
      <text>
        <r>
          <rPr>
            <sz val="10"/>
            <rFont val="Arial"/>
            <family val="2"/>
          </rPr>
          <t>INFERRED – KPL-476 R03 PUMPS-C (4) F19:F26: no "NACE MR-0175" line anywhere in Asmari (-A) or Common (-C) sheets, while the document states it item-by-item for the Bangestan train (12 "-B" sheets) → N</t>
        </r>
      </text>
    </comment>
    <comment ref="S93" authorId="0" shapeId="0" xr:uid="{00000000-0006-0000-0200-000023030000}">
      <text>
        <r>
          <rPr>
            <sz val="10"/>
            <rFont val="Arial"/>
            <family val="2"/>
          </rPr>
          <t xml:space="preserve">INFERRED – </t>
        </r>
        <r>
          <rPr>
            <sz val="10"/>
            <rFont val="FreeSans"/>
            <family val="2"/>
          </rPr>
          <t>نوع محرک در منبع ذکر نشده؛ موتور برقی فرض شده است</t>
        </r>
      </text>
    </comment>
    <comment ref="Y93" authorId="0" shapeId="0" xr:uid="{00000000-0006-0000-0200-0000EB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Z93" authorId="0" shapeId="0" xr:uid="{00000000-0006-0000-0200-000030040000}">
      <text>
        <r>
          <rPr>
            <sz val="10"/>
            <rFont val="Arial"/>
            <family val="2"/>
          </rPr>
          <t>SOURCE – KPL-476 R03 PUMPS-C (4) U19: value is in column "Unit Price (Rials)" – previous bank had EUR (error)</t>
        </r>
      </text>
    </comment>
    <comment ref="AF93" authorId="0" shapeId="0" xr:uid="{00000000-0006-0000-0200-0000E6040000}">
      <text>
        <r>
          <rPr>
            <sz val="10"/>
            <rFont val="FreeSans"/>
            <family val="2"/>
          </rPr>
          <t>شرط تحویل</t>
        </r>
        <r>
          <rPr>
            <sz val="10"/>
            <rFont val="Arial"/>
            <family val="2"/>
          </rPr>
          <t>: EXW (</t>
        </r>
        <r>
          <rPr>
            <sz val="10"/>
            <rFont val="FreeSans"/>
            <family val="2"/>
          </rPr>
          <t>استنباطی؛ خرید داخلی ریالی</t>
        </r>
        <r>
          <rPr>
            <sz val="10"/>
            <rFont val="Arial"/>
            <family val="2"/>
          </rPr>
          <t xml:space="preserve">).
</t>
        </r>
        <r>
          <rPr>
            <sz val="10"/>
            <rFont val="FreeSans"/>
            <family val="2"/>
          </rPr>
          <t>این قیمت شامل: قیمت فروشنده داخلی</t>
        </r>
        <r>
          <rPr>
            <sz val="10"/>
            <rFont val="Arial"/>
            <family val="2"/>
          </rPr>
          <t xml:space="preserve">.
</t>
        </r>
        <r>
          <rPr>
            <sz val="10"/>
            <rFont val="FreeSans"/>
            <family val="2"/>
          </rPr>
          <t xml:space="preserve">این قیمت شامل نیست </t>
        </r>
        <r>
          <rPr>
            <sz val="10"/>
            <rFont val="Arial"/>
            <family val="2"/>
          </rPr>
          <t>(KPL-476</t>
        </r>
        <r>
          <rPr>
            <sz val="10"/>
            <rFont val="FreeSans"/>
            <family val="2"/>
          </rPr>
          <t xml:space="preserve">، </t>
        </r>
        <r>
          <rPr>
            <sz val="10"/>
            <rFont val="Arial"/>
            <family val="2"/>
          </rPr>
          <t xml:space="preserve">TOTAL (2) </t>
        </r>
        <r>
          <rPr>
            <sz val="10"/>
            <rFont val="FreeSans"/>
            <family val="2"/>
          </rPr>
          <t xml:space="preserve">سلول </t>
        </r>
        <r>
          <rPr>
            <sz val="10"/>
            <rFont val="Arial"/>
            <family val="2"/>
          </rPr>
          <t xml:space="preserve">A20 </t>
        </r>
        <r>
          <rPr>
            <sz val="10"/>
            <rFont val="FreeSans"/>
            <family val="2"/>
          </rPr>
          <t>با ضریب ×۱٫۲۷</t>
        </r>
        <r>
          <rPr>
            <sz val="10"/>
            <rFont val="Arial"/>
            <family val="2"/>
          </rPr>
          <t xml:space="preserve">): </t>
        </r>
        <r>
          <rPr>
            <sz val="10"/>
            <rFont val="FreeSans"/>
            <family val="2"/>
          </rPr>
          <t>هزینه بانکی ۲٪، بیمه ۰٫۵٪، بازرسی و حمل ۲٫۵٪، هزینه‌های دفتری ۰٫۵٪، سود پیمانکار ۱۰٪، عدم قطعیت طراحی پایه ۱۰٪. نصب و مالیات هم شامل نیست</t>
        </r>
        <r>
          <rPr>
            <sz val="10"/>
            <rFont val="Arial"/>
            <family val="2"/>
          </rPr>
          <t>.</t>
        </r>
      </text>
    </comment>
    <comment ref="AQ93" authorId="0" shapeId="0" xr:uid="{00000000-0006-0000-0200-00009C050000}">
      <text>
        <r>
          <rPr>
            <sz val="10"/>
            <rFont val="Arial"/>
            <family val="2"/>
          </rPr>
          <t>INFERRED – KPL-476 R03 TOTAL (2) A20: inspection cost carried in overhead factor, not in vendor unit price</t>
        </r>
      </text>
    </comment>
    <comment ref="E94" authorId="0" shapeId="0" xr:uid="{00000000-0006-0000-0200-00005F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94" authorId="0" shapeId="0" xr:uid="{00000000-0006-0000-0200-0000F2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94" authorId="0" shapeId="0" xr:uid="{00000000-0006-0000-0200-000085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I94" authorId="0" shapeId="0" xr:uid="{00000000-0006-0000-0200-0000D9010000}">
      <text>
        <r>
          <rPr>
            <sz val="10"/>
            <rFont val="Arial"/>
            <family val="2"/>
          </rPr>
          <t>INFERRED – KPL-476 R03 PUMPS-A (4) F24: Differential Pressure 2 barg → head ≈ 2×10.2 m (SG 1.0 assumed)</t>
        </r>
      </text>
    </comment>
    <comment ref="O94" authorId="0" shapeId="0" xr:uid="{00000000-0006-0000-0200-00009C020000}">
      <text>
        <r>
          <rPr>
            <sz val="10"/>
            <rFont val="Arial"/>
            <family val="2"/>
          </rPr>
          <t>INFERRED – KPL-476 R03 PUMPS-A (4) F19:F26: no "NACE MR-0175" line anywhere in Asmari (-A) or Common (-C) sheets, while the document states it item-by-item for the Bangestan train (12 "-B" sheets) → N</t>
        </r>
      </text>
    </comment>
    <comment ref="S94" authorId="0" shapeId="0" xr:uid="{00000000-0006-0000-0200-000024030000}">
      <text>
        <r>
          <rPr>
            <sz val="10"/>
            <rFont val="Arial"/>
            <family val="2"/>
          </rPr>
          <t>SOURCE – KPL-476 R03 PUMPS-A (4) F21</t>
        </r>
      </text>
    </comment>
    <comment ref="Y94" authorId="0" shapeId="0" xr:uid="{00000000-0006-0000-0200-0000EC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94" authorId="0" shapeId="0" xr:uid="{00000000-0006-0000-0200-0000E7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94" authorId="0" shapeId="0" xr:uid="{00000000-0006-0000-0200-00009D050000}">
      <text>
        <r>
          <rPr>
            <sz val="10"/>
            <rFont val="Arial"/>
            <family val="2"/>
          </rPr>
          <t>INFERRED – KPL-476 R03 TOTAL (2) A29: inspection cost carried in overhead factor, not in vendor unit price</t>
        </r>
      </text>
    </comment>
    <comment ref="E95" authorId="0" shapeId="0" xr:uid="{00000000-0006-0000-0200-000060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95" authorId="0" shapeId="0" xr:uid="{00000000-0006-0000-0200-0000F3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95" authorId="0" shapeId="0" xr:uid="{00000000-0006-0000-0200-000086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I95" authorId="0" shapeId="0" xr:uid="{00000000-0006-0000-0200-0000DA010000}">
      <text>
        <r>
          <rPr>
            <sz val="10"/>
            <rFont val="Arial"/>
            <family val="2"/>
          </rPr>
          <t>INFERRED – KPL-476 R03 PUMPS-B (5) F33: Differential Pressure 2 barg → head ≈ 2×10.2 m (SG 1.0 assumed)</t>
        </r>
      </text>
    </comment>
    <comment ref="O95" authorId="0" shapeId="0" xr:uid="{00000000-0006-0000-0200-00009D020000}">
      <text>
        <r>
          <rPr>
            <sz val="10"/>
            <rFont val="Arial"/>
            <family val="2"/>
          </rPr>
          <t>INFERRED – KPL-476 R03 PUMPS-B (5) F28:F35: no "NACE MR-0175 Required" line in item description, while the document states it item-by-item where required → N</t>
        </r>
      </text>
    </comment>
    <comment ref="S95" authorId="0" shapeId="0" xr:uid="{00000000-0006-0000-0200-000025030000}">
      <text>
        <r>
          <rPr>
            <sz val="10"/>
            <rFont val="Arial"/>
            <family val="2"/>
          </rPr>
          <t>SOURCE – KPL-476 R03 PUMPS-B (5) F30</t>
        </r>
      </text>
    </comment>
    <comment ref="Y95" authorId="0" shapeId="0" xr:uid="{00000000-0006-0000-0200-0000ED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AF95" authorId="0" shapeId="0" xr:uid="{00000000-0006-0000-0200-0000E8040000}">
      <text>
        <r>
          <rPr>
            <sz val="10"/>
            <rFont val="FreeSans"/>
            <family val="2"/>
          </rPr>
          <t>شرط تحویل</t>
        </r>
        <r>
          <rPr>
            <sz val="10"/>
            <rFont val="Arial"/>
            <family val="2"/>
          </rPr>
          <t>: FOB (</t>
        </r>
        <r>
          <rPr>
            <sz val="10"/>
            <rFont val="FreeSans"/>
            <family val="2"/>
          </rPr>
          <t>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t>
        </r>
        <r>
          <rPr>
            <sz val="10"/>
            <rFont val="FreeSans"/>
            <family val="2"/>
          </rPr>
          <t xml:space="preserve">در گزارش </t>
        </r>
        <r>
          <rPr>
            <sz val="10"/>
            <rFont val="Arial"/>
            <family val="2"/>
          </rPr>
          <t>KPL-476</t>
        </r>
        <r>
          <rPr>
            <sz val="10"/>
            <rFont val="FreeSans"/>
            <family val="2"/>
          </rPr>
          <t xml:space="preserve">، شیت TOTAL (2) سلول </t>
        </r>
        <r>
          <rPr>
            <sz val="10"/>
            <rFont val="Arial"/>
            <family val="2"/>
          </rPr>
          <t xml:space="preserve">A29 </t>
        </r>
        <r>
          <rPr>
            <sz val="10"/>
            <rFont val="FreeSans"/>
            <family val="2"/>
          </rPr>
          <t>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t>
        </r>
        <r>
          <rPr>
            <sz val="10"/>
            <rFont val="FreeSans"/>
            <family val="2"/>
          </rPr>
          <t xml:space="preserve">شیت‌های </t>
        </r>
        <r>
          <rPr>
            <sz val="10"/>
            <rFont val="Arial"/>
            <family val="2"/>
          </rPr>
          <t xml:space="preserve">INS) </t>
        </r>
        <r>
          <rPr>
            <sz val="10"/>
            <rFont val="FreeSans"/>
            <family val="2"/>
          </rPr>
          <t>و مالیات بر ارزش افزوده در این قیمت نیست</t>
        </r>
        <r>
          <rPr>
            <sz val="10"/>
            <rFont val="Arial"/>
            <family val="2"/>
          </rPr>
          <t>.</t>
        </r>
      </text>
    </comment>
    <comment ref="AQ95" authorId="0" shapeId="0" xr:uid="{00000000-0006-0000-0200-00009E050000}">
      <text>
        <r>
          <rPr>
            <sz val="10"/>
            <rFont val="Arial"/>
            <family val="2"/>
          </rPr>
          <t>INFERRED – KPL-476 R03 TOTAL (2) A29: inspection cost carried in overhead factor, not in vendor unit price</t>
        </r>
      </text>
    </comment>
    <comment ref="E96" authorId="0" shapeId="0" xr:uid="{00000000-0006-0000-0200-000061000000}">
      <text>
        <r>
          <rPr>
            <sz val="10"/>
            <rFont val="Arial"/>
            <family val="2"/>
          </rPr>
          <t xml:space="preserve">ROT-AUX = Chemical, Fuel &amp; Auxiliary Pumps
</t>
        </r>
        <r>
          <rPr>
            <sz val="10"/>
            <rFont val="FreeSans"/>
            <family val="2"/>
          </rPr>
          <t xml:space="preserve">پمپ‌های جانبی: مواد شیمیایی، گلایکول، گازوئیل و سوخت
—
</t>
        </r>
        <r>
          <rPr>
            <sz val="10"/>
            <rFont val="Arial"/>
            <family val="2"/>
          </rPr>
          <t>Reclassified 1405-07: ROT-INJ → ROT-AUX (service-based classification; approved)</t>
        </r>
      </text>
    </comment>
    <comment ref="F96" authorId="0" shapeId="0" xr:uid="{00000000-0006-0000-0200-0000F4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96" authorId="0" shapeId="0" xr:uid="{00000000-0006-0000-0200-000087010000}">
      <text>
        <r>
          <rPr>
            <sz val="10"/>
            <rFont val="Arial"/>
            <family val="2"/>
          </rPr>
          <t xml:space="preserve">SS316L (non-API): </t>
        </r>
        <r>
          <rPr>
            <sz val="10"/>
            <rFont val="FreeSans"/>
            <family val="2"/>
          </rPr>
          <t xml:space="preserve">بدنه فولاد ضدزنگ </t>
        </r>
        <r>
          <rPr>
            <sz val="10"/>
            <rFont val="Arial"/>
            <family val="2"/>
          </rPr>
          <t>316L</t>
        </r>
        <r>
          <rPr>
            <sz val="10"/>
            <rFont val="FreeSans"/>
            <family val="2"/>
          </rPr>
          <t xml:space="preserve">، پروانه فولاد ضدزنگ </t>
        </r>
        <r>
          <rPr>
            <sz val="10"/>
            <rFont val="Arial"/>
            <family val="2"/>
          </rPr>
          <t>316L</t>
        </r>
        <r>
          <rPr>
            <sz val="10"/>
            <rFont val="FreeSans"/>
            <family val="2"/>
          </rPr>
          <t>؛ —</t>
        </r>
        <r>
          <rPr>
            <sz val="10"/>
            <rFont val="Arial"/>
            <family val="2"/>
          </rPr>
          <t xml:space="preserve">.
</t>
        </r>
        <r>
          <rPr>
            <sz val="10"/>
            <rFont val="FreeSans"/>
            <family val="2"/>
          </rPr>
          <t xml:space="preserve">کاربرد معمول: ساخت غیر </t>
        </r>
        <r>
          <rPr>
            <sz val="10"/>
            <rFont val="Arial"/>
            <family val="2"/>
          </rPr>
          <t>API (</t>
        </r>
        <r>
          <rPr>
            <sz val="10"/>
            <rFont val="FreeSans"/>
            <family val="2"/>
          </rPr>
          <t>مثلاً پمپ بشکه‌ای پرتابل</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H96" authorId="0" shapeId="0" xr:uid="{00000000-0006-0000-0200-0000C2010000}">
      <text>
        <r>
          <rPr>
            <sz val="10"/>
            <rFont val="Arial"/>
            <family val="2"/>
          </rPr>
          <t>SOURCE – KPL-476 R03 PUMPS-C (3) F38: Rated Flow 160 Lit/min = 9.6 m3/hr (previous bank had 160 m3/h – unit error)</t>
        </r>
      </text>
    </comment>
    <comment ref="M96" authorId="0" shapeId="0" xr:uid="{00000000-0006-0000-0200-00000F020000}">
      <text>
        <r>
          <rPr>
            <sz val="10"/>
            <rFont val="Arial"/>
            <family val="2"/>
          </rPr>
          <t>Source item gives type / flow / material only – no design standard (previous bank "API 610 / IPS" unsupported; a portable barrel pump is not an API 610 pump)</t>
        </r>
      </text>
    </comment>
    <comment ref="O96" authorId="0" shapeId="0" xr:uid="{00000000-0006-0000-0200-00009E020000}">
      <text>
        <r>
          <rPr>
            <sz val="10"/>
            <rFont val="Arial"/>
            <family val="2"/>
          </rPr>
          <t>INFERRED – KPL-476 R03 PUMPS-C (3) F36:F40: no "NACE MR-0175" line anywhere in Asmari (-A) or Common (-C) sheets, while the document states it item-by-item for the Bangestan train (12 "-B" sheets) → N</t>
        </r>
      </text>
    </comment>
    <comment ref="S96" authorId="0" shapeId="0" xr:uid="{00000000-0006-0000-0200-000026030000}">
      <text>
        <r>
          <rPr>
            <sz val="10"/>
            <rFont val="Arial"/>
            <family val="2"/>
          </rPr>
          <t xml:space="preserve">INFERRED – </t>
        </r>
        <r>
          <rPr>
            <sz val="10"/>
            <rFont val="FreeSans"/>
            <family val="2"/>
          </rPr>
          <t>نوع محرک در منبع ذکر نشده؛ موتور برقی فرض شده است</t>
        </r>
      </text>
    </comment>
    <comment ref="Y96" authorId="0" shapeId="0" xr:uid="{00000000-0006-0000-0200-0000EE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Z96" authorId="0" shapeId="0" xr:uid="{00000000-0006-0000-0200-000031040000}">
      <text>
        <r>
          <rPr>
            <sz val="10"/>
            <rFont val="Arial"/>
            <family val="2"/>
          </rPr>
          <t>SOURCE – KPL-476 R03 PUMPS-C (3) U36: value is in column "Unit Price (Rials)" – previous bank had EUR (error)</t>
        </r>
      </text>
    </comment>
    <comment ref="AF96" authorId="0" shapeId="0" xr:uid="{00000000-0006-0000-0200-0000E9040000}">
      <text>
        <r>
          <rPr>
            <sz val="10"/>
            <rFont val="FreeSans"/>
            <family val="2"/>
          </rPr>
          <t>شرط تحویل</t>
        </r>
        <r>
          <rPr>
            <sz val="10"/>
            <rFont val="Arial"/>
            <family val="2"/>
          </rPr>
          <t>: EXW (</t>
        </r>
        <r>
          <rPr>
            <sz val="10"/>
            <rFont val="FreeSans"/>
            <family val="2"/>
          </rPr>
          <t>استنباطی؛ خرید داخلی ریالی</t>
        </r>
        <r>
          <rPr>
            <sz val="10"/>
            <rFont val="Arial"/>
            <family val="2"/>
          </rPr>
          <t xml:space="preserve">).
</t>
        </r>
        <r>
          <rPr>
            <sz val="10"/>
            <rFont val="FreeSans"/>
            <family val="2"/>
          </rPr>
          <t>این قیمت شامل: قیمت فروشنده داخلی</t>
        </r>
        <r>
          <rPr>
            <sz val="10"/>
            <rFont val="Arial"/>
            <family val="2"/>
          </rPr>
          <t xml:space="preserve">.
</t>
        </r>
        <r>
          <rPr>
            <sz val="10"/>
            <rFont val="FreeSans"/>
            <family val="2"/>
          </rPr>
          <t xml:space="preserve">این قیمت شامل نیست </t>
        </r>
        <r>
          <rPr>
            <sz val="10"/>
            <rFont val="Arial"/>
            <family val="2"/>
          </rPr>
          <t>(KPL-476</t>
        </r>
        <r>
          <rPr>
            <sz val="10"/>
            <rFont val="FreeSans"/>
            <family val="2"/>
          </rPr>
          <t xml:space="preserve">، </t>
        </r>
        <r>
          <rPr>
            <sz val="10"/>
            <rFont val="Arial"/>
            <family val="2"/>
          </rPr>
          <t xml:space="preserve">TOTAL (2) </t>
        </r>
        <r>
          <rPr>
            <sz val="10"/>
            <rFont val="FreeSans"/>
            <family val="2"/>
          </rPr>
          <t xml:space="preserve">سلول </t>
        </r>
        <r>
          <rPr>
            <sz val="10"/>
            <rFont val="Arial"/>
            <family val="2"/>
          </rPr>
          <t xml:space="preserve">A20 </t>
        </r>
        <r>
          <rPr>
            <sz val="10"/>
            <rFont val="FreeSans"/>
            <family val="2"/>
          </rPr>
          <t>با ضریب ×۱٫۲۷</t>
        </r>
        <r>
          <rPr>
            <sz val="10"/>
            <rFont val="Arial"/>
            <family val="2"/>
          </rPr>
          <t xml:space="preserve">): </t>
        </r>
        <r>
          <rPr>
            <sz val="10"/>
            <rFont val="FreeSans"/>
            <family val="2"/>
          </rPr>
          <t>هزینه بانکی ۲٪، بیمه ۰٫۵٪، بازرسی و حمل ۲٫۵٪، هزینه‌های دفتری ۰٫۵٪، سود پیمانکار ۱۰٪، عدم قطعیت طراحی پایه ۱۰٪. نصب و مالیات هم شامل نیست</t>
        </r>
        <r>
          <rPr>
            <sz val="10"/>
            <rFont val="Arial"/>
            <family val="2"/>
          </rPr>
          <t>.</t>
        </r>
      </text>
    </comment>
    <comment ref="AQ96" authorId="0" shapeId="0" xr:uid="{00000000-0006-0000-0200-00009F050000}">
      <text>
        <r>
          <rPr>
            <sz val="10"/>
            <rFont val="Arial"/>
            <family val="2"/>
          </rPr>
          <t>INFERRED – KPL-476 R03 TOTAL (2) A20: inspection cost carried in overhead factor, not in vendor unit price</t>
        </r>
      </text>
    </comment>
    <comment ref="E97" authorId="0" shapeId="0" xr:uid="{00000000-0006-0000-0200-000062000000}">
      <text>
        <r>
          <rPr>
            <sz val="10"/>
            <rFont val="Arial"/>
            <family val="2"/>
          </rPr>
          <t xml:space="preserve">ROT-AUX = Chemical, Fuel &amp; Auxiliary Pumps
</t>
        </r>
        <r>
          <rPr>
            <sz val="10"/>
            <rFont val="FreeSans"/>
            <family val="2"/>
          </rPr>
          <t xml:space="preserve">پمپ‌های جانبی: مواد شیمیایی، گلایکول، گازوئیل و سوخت
—
</t>
        </r>
        <r>
          <rPr>
            <sz val="10"/>
            <rFont val="Arial"/>
            <family val="2"/>
          </rPr>
          <t>Reclassified 1405-07: ROT-WAT → ROT-AUX (service-based classification; approved)</t>
        </r>
      </text>
    </comment>
    <comment ref="F97" authorId="0" shapeId="0" xr:uid="{00000000-0006-0000-0200-0000F5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97" authorId="0" shapeId="0" xr:uid="{00000000-0006-0000-0200-000088010000}">
      <text>
        <r>
          <rPr>
            <sz val="10"/>
            <rFont val="Arial"/>
            <family val="2"/>
          </rPr>
          <t xml:space="preserve">SS316L (non-API): </t>
        </r>
        <r>
          <rPr>
            <sz val="10"/>
            <rFont val="FreeSans"/>
            <family val="2"/>
          </rPr>
          <t xml:space="preserve">بدنه فولاد ضدزنگ </t>
        </r>
        <r>
          <rPr>
            <sz val="10"/>
            <rFont val="Arial"/>
            <family val="2"/>
          </rPr>
          <t>316L</t>
        </r>
        <r>
          <rPr>
            <sz val="10"/>
            <rFont val="FreeSans"/>
            <family val="2"/>
          </rPr>
          <t xml:space="preserve">، پروانه فولاد ضدزنگ </t>
        </r>
        <r>
          <rPr>
            <sz val="10"/>
            <rFont val="Arial"/>
            <family val="2"/>
          </rPr>
          <t>316L</t>
        </r>
        <r>
          <rPr>
            <sz val="10"/>
            <rFont val="FreeSans"/>
            <family val="2"/>
          </rPr>
          <t>؛ —</t>
        </r>
        <r>
          <rPr>
            <sz val="10"/>
            <rFont val="Arial"/>
            <family val="2"/>
          </rPr>
          <t xml:space="preserve">.
</t>
        </r>
        <r>
          <rPr>
            <sz val="10"/>
            <rFont val="FreeSans"/>
            <family val="2"/>
          </rPr>
          <t xml:space="preserve">کاربرد معمول: ساخت غیر </t>
        </r>
        <r>
          <rPr>
            <sz val="10"/>
            <rFont val="Arial"/>
            <family val="2"/>
          </rPr>
          <t>API (</t>
        </r>
        <r>
          <rPr>
            <sz val="10"/>
            <rFont val="FreeSans"/>
            <family val="2"/>
          </rPr>
          <t>مثلاً پمپ بشکه‌ای پرتابل</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M97" authorId="0" shapeId="0" xr:uid="{00000000-0006-0000-0200-000010020000}">
      <text>
        <r>
          <rPr>
            <sz val="10"/>
            <rFont val="Arial"/>
            <family val="2"/>
          </rPr>
          <t>Source item gives type / flow / material only – no design standard (previous bank "API 610 / IPS" unsupported; a portable barrel pump is not an API 610 pump)</t>
        </r>
      </text>
    </comment>
    <comment ref="O97" authorId="0" shapeId="0" xr:uid="{00000000-0006-0000-0200-00009F020000}">
      <text>
        <r>
          <rPr>
            <sz val="10"/>
            <rFont val="Arial"/>
            <family val="2"/>
          </rPr>
          <t>INFERRED – KPL-476 R03 PUMPS-C (4) F27:F31: no "NACE MR-0175" line anywhere in Asmari (-A) or Common (-C) sheets, while the document states it item-by-item for the Bangestan train (12 "-B" sheets) → N</t>
        </r>
      </text>
    </comment>
    <comment ref="S97" authorId="0" shapeId="0" xr:uid="{00000000-0006-0000-0200-000027030000}">
      <text>
        <r>
          <rPr>
            <sz val="10"/>
            <rFont val="Arial"/>
            <family val="2"/>
          </rPr>
          <t xml:space="preserve">INFERRED – </t>
        </r>
        <r>
          <rPr>
            <sz val="10"/>
            <rFont val="FreeSans"/>
            <family val="2"/>
          </rPr>
          <t>نوع محرک در منبع ذکر نشده؛ موتور برقی فرض شده است</t>
        </r>
      </text>
    </comment>
    <comment ref="Y97" authorId="0" shapeId="0" xr:uid="{00000000-0006-0000-0200-0000EF03000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صریح نیست</t>
        </r>
        <r>
          <rPr>
            <sz val="10"/>
            <rFont val="Arial"/>
            <family val="2"/>
          </rPr>
          <t>. Cover: R00 = JUN 2014 (</t>
        </r>
        <r>
          <rPr>
            <sz val="10"/>
            <rFont val="FreeSans"/>
            <family val="2"/>
          </rPr>
          <t>۱۳۹۳</t>
        </r>
        <r>
          <rPr>
            <sz val="10"/>
            <rFont val="Arial"/>
            <family val="2"/>
          </rPr>
          <t>)</t>
        </r>
        <r>
          <rPr>
            <sz val="10"/>
            <rFont val="FreeSans"/>
            <family val="2"/>
          </rPr>
          <t xml:space="preserve">، </t>
        </r>
        <r>
          <rPr>
            <sz val="10"/>
            <rFont val="Arial"/>
            <family val="2"/>
          </rPr>
          <t>R03 = JAN 2016 (</t>
        </r>
        <r>
          <rPr>
            <sz val="10"/>
            <rFont val="FreeSans"/>
            <family val="2"/>
          </rPr>
          <t>دی ۱۳۹۴</t>
        </r>
        <r>
          <rPr>
            <sz val="10"/>
            <rFont val="Arial"/>
            <family val="2"/>
          </rPr>
          <t>)</t>
        </r>
        <r>
          <rPr>
            <sz val="10"/>
            <rFont val="FreeSans"/>
            <family val="2"/>
          </rPr>
          <t>؛ برآورد نصب بر پایه «فهرست بهای نفت سال ۹۳</t>
        </r>
        <r>
          <rPr>
            <sz val="10"/>
            <rFont val="Arial"/>
            <family val="2"/>
          </rPr>
          <t xml:space="preserve">» (INS-PUMP) → </t>
        </r>
        <r>
          <rPr>
            <sz val="10"/>
            <rFont val="FreeSans"/>
            <family val="2"/>
          </rPr>
          <t>۱۳۹۳ فرض شد. اگر ۱۳۹۴ باشد اثر بر قیمت تعدیل‌شده حدود ۰٫۸٪ است</t>
        </r>
        <r>
          <rPr>
            <sz val="10"/>
            <rFont val="Arial"/>
            <family val="2"/>
          </rPr>
          <t>.</t>
        </r>
      </text>
    </comment>
    <comment ref="Z97" authorId="0" shapeId="0" xr:uid="{00000000-0006-0000-0200-000032040000}">
      <text>
        <r>
          <rPr>
            <sz val="10"/>
            <rFont val="Arial"/>
            <family val="2"/>
          </rPr>
          <t>SOURCE – KPL-476 R03 PUMPS-C (4) U27: value is in column "Unit Price (Rials)" – previous bank had EUR (error)</t>
        </r>
      </text>
    </comment>
    <comment ref="AF97" authorId="0" shapeId="0" xr:uid="{00000000-0006-0000-0200-0000EA040000}">
      <text>
        <r>
          <rPr>
            <sz val="10"/>
            <rFont val="FreeSans"/>
            <family val="2"/>
          </rPr>
          <t>شرط تحویل</t>
        </r>
        <r>
          <rPr>
            <sz val="10"/>
            <rFont val="Arial"/>
            <family val="2"/>
          </rPr>
          <t>: EXW (</t>
        </r>
        <r>
          <rPr>
            <sz val="10"/>
            <rFont val="FreeSans"/>
            <family val="2"/>
          </rPr>
          <t>استنباطی؛ خرید داخلی ریالی</t>
        </r>
        <r>
          <rPr>
            <sz val="10"/>
            <rFont val="Arial"/>
            <family val="2"/>
          </rPr>
          <t xml:space="preserve">).
</t>
        </r>
        <r>
          <rPr>
            <sz val="10"/>
            <rFont val="FreeSans"/>
            <family val="2"/>
          </rPr>
          <t>این قیمت شامل: قیمت فروشنده داخلی</t>
        </r>
        <r>
          <rPr>
            <sz val="10"/>
            <rFont val="Arial"/>
            <family val="2"/>
          </rPr>
          <t xml:space="preserve">.
</t>
        </r>
        <r>
          <rPr>
            <sz val="10"/>
            <rFont val="FreeSans"/>
            <family val="2"/>
          </rPr>
          <t xml:space="preserve">این قیمت شامل نیست </t>
        </r>
        <r>
          <rPr>
            <sz val="10"/>
            <rFont val="Arial"/>
            <family val="2"/>
          </rPr>
          <t>(KPL-476</t>
        </r>
        <r>
          <rPr>
            <sz val="10"/>
            <rFont val="FreeSans"/>
            <family val="2"/>
          </rPr>
          <t xml:space="preserve">، </t>
        </r>
        <r>
          <rPr>
            <sz val="10"/>
            <rFont val="Arial"/>
            <family val="2"/>
          </rPr>
          <t xml:space="preserve">TOTAL (2) </t>
        </r>
        <r>
          <rPr>
            <sz val="10"/>
            <rFont val="FreeSans"/>
            <family val="2"/>
          </rPr>
          <t xml:space="preserve">سلول </t>
        </r>
        <r>
          <rPr>
            <sz val="10"/>
            <rFont val="Arial"/>
            <family val="2"/>
          </rPr>
          <t xml:space="preserve">A20 </t>
        </r>
        <r>
          <rPr>
            <sz val="10"/>
            <rFont val="FreeSans"/>
            <family val="2"/>
          </rPr>
          <t>با ضریب ×۱٫۲۷</t>
        </r>
        <r>
          <rPr>
            <sz val="10"/>
            <rFont val="Arial"/>
            <family val="2"/>
          </rPr>
          <t xml:space="preserve">): </t>
        </r>
        <r>
          <rPr>
            <sz val="10"/>
            <rFont val="FreeSans"/>
            <family val="2"/>
          </rPr>
          <t>هزینه بانکی ۲٪، بیمه ۰٫۵٪، بازرسی و حمل ۲٫۵٪، هزینه‌های دفتری ۰٫۵٪، سود پیمانکار ۱۰٪، عدم قطعیت طراحی پایه ۱۰٪. نصب و مالیات هم شامل نیست</t>
        </r>
        <r>
          <rPr>
            <sz val="10"/>
            <rFont val="Arial"/>
            <family val="2"/>
          </rPr>
          <t>.</t>
        </r>
      </text>
    </comment>
    <comment ref="AQ97" authorId="0" shapeId="0" xr:uid="{00000000-0006-0000-0200-0000A0050000}">
      <text>
        <r>
          <rPr>
            <sz val="10"/>
            <rFont val="Arial"/>
            <family val="2"/>
          </rPr>
          <t>INFERRED – KPL-476 R03 TOTAL (2) A20: inspection cost carried in overhead factor, not in vendor unit price</t>
        </r>
      </text>
    </comment>
    <comment ref="E98" authorId="0" shapeId="0" xr:uid="{00000000-0006-0000-0200-000063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و انتقال اصلی</t>
        </r>
      </text>
    </comment>
    <comment ref="F98" authorId="0" shapeId="0" xr:uid="{00000000-0006-0000-0200-0000F6000000}">
      <text>
        <r>
          <rPr>
            <sz val="10"/>
            <rFont val="Arial"/>
            <family val="2"/>
          </rPr>
          <t xml:space="preserve">VS6 – Vertically suspended, double casing, diffuser (can):
</t>
        </r>
        <r>
          <rPr>
            <sz val="10"/>
            <rFont val="FreeSans"/>
            <family val="2"/>
          </rPr>
          <t xml:space="preserve">عمودی دوبدنه در قوطی </t>
        </r>
        <r>
          <rPr>
            <sz val="10"/>
            <rFont val="Arial"/>
            <family val="2"/>
          </rPr>
          <t>(Can)</t>
        </r>
        <r>
          <rPr>
            <sz val="10"/>
            <rFont val="FreeSans"/>
            <family val="2"/>
          </rPr>
          <t xml:space="preserve">؛ </t>
        </r>
        <r>
          <rPr>
            <sz val="10"/>
            <rFont val="Arial"/>
            <family val="2"/>
          </rPr>
          <t xml:space="preserve">NPSH </t>
        </r>
        <r>
          <rPr>
            <sz val="10"/>
            <rFont val="FreeSans"/>
            <family val="2"/>
          </rPr>
          <t xml:space="preserve">کم، مثل </t>
        </r>
        <r>
          <rPr>
            <sz val="10"/>
            <rFont val="Arial"/>
            <family val="2"/>
          </rPr>
          <t xml:space="preserve">Off-spec </t>
        </r>
        <r>
          <rPr>
            <sz val="10"/>
            <rFont val="FreeSans"/>
            <family val="2"/>
          </rPr>
          <t>و مایعات نزدیک نقطه جوش</t>
        </r>
      </text>
    </comment>
    <comment ref="G98" authorId="0" shapeId="0" xr:uid="{00000000-0006-0000-0200-000089010000}">
      <text>
        <r>
          <rPr>
            <sz val="10"/>
            <rFont val="Arial"/>
            <family val="2"/>
          </rPr>
          <t xml:space="preserve">D-1: </t>
        </r>
        <r>
          <rPr>
            <sz val="10"/>
            <rFont val="FreeSans"/>
            <family val="2"/>
          </rPr>
          <t>بدنه داپلکس، پروانه داپلکس؛ رینگ با روکش سخت؛ شفت داپلکس</t>
        </r>
        <r>
          <rPr>
            <sz val="10"/>
            <rFont val="Arial"/>
            <family val="2"/>
          </rPr>
          <t xml:space="preserve">.
</t>
        </r>
        <r>
          <rPr>
            <sz val="10"/>
            <rFont val="FreeSans"/>
            <family val="2"/>
          </rPr>
          <t>کاربرد معمول: آب شور و آب تولیدی دارای کلراید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98" authorId="0" shapeId="0" xr:uid="{00000000-0006-0000-0200-000045020000}">
      <text>
        <r>
          <rPr>
            <sz val="10"/>
            <rFont val="Arial"/>
            <family val="2"/>
          </rPr>
          <t>SOURCE – design code line "&amp; IPS-G-PM-105" in the project item description</t>
        </r>
      </text>
    </comment>
    <comment ref="O98" authorId="0" shapeId="0" xr:uid="{00000000-0006-0000-0200-0000A0020000}">
      <text>
        <r>
          <rPr>
            <sz val="10"/>
            <rFont val="Arial"/>
            <family val="2"/>
          </rPr>
          <t>SOURCE – PC-ME 14040105 Pazanan2 PUMPS B8: NACE 'MR-0175' Required: Yes</t>
        </r>
      </text>
    </comment>
    <comment ref="S98" authorId="0" shapeId="0" xr:uid="{00000000-0006-0000-0200-000028030000}">
      <text>
        <r>
          <rPr>
            <sz val="10"/>
            <rFont val="Arial"/>
            <family val="2"/>
          </rPr>
          <t xml:space="preserve">INFERRED – </t>
        </r>
        <r>
          <rPr>
            <sz val="10"/>
            <rFont val="FreeSans"/>
            <family val="2"/>
          </rPr>
          <t>نوع محرک در منبع ذکر نشده؛ موتور برقی فرض شده است</t>
        </r>
      </text>
    </comment>
    <comment ref="Y98" authorId="0" shapeId="0" xr:uid="{00000000-0006-0000-0200-0000F0030000}">
      <text>
        <r>
          <rPr>
            <sz val="10"/>
            <rFont val="Arial"/>
            <family val="2"/>
          </rPr>
          <t>SOURCE – PC-ME PUMPS F7: «GOING UNIT PRICE FOB EUR 1404Q1»</t>
        </r>
      </text>
    </comment>
    <comment ref="AF98" authorId="0" shapeId="0" xr:uid="{00000000-0006-0000-0200-0000EB040000}">
      <text>
        <r>
          <rPr>
            <sz val="10"/>
            <rFont val="FreeSans"/>
            <family val="2"/>
          </rPr>
          <t>شرط تحویل</t>
        </r>
        <r>
          <rPr>
            <sz val="10"/>
            <rFont val="Arial"/>
            <family val="2"/>
          </rPr>
          <t>: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در پیشنهادها مشخص نیست</t>
        </r>
        <r>
          <rPr>
            <sz val="10"/>
            <rFont val="Arial"/>
            <family val="2"/>
          </rPr>
          <t>.</t>
        </r>
      </text>
    </comment>
    <comment ref="E99" authorId="0" shapeId="0" xr:uid="{00000000-0006-0000-0200-000064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99" authorId="0" shapeId="0" xr:uid="{00000000-0006-0000-0200-0000F7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99" authorId="0" shapeId="0" xr:uid="{00000000-0006-0000-0200-00008A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99" authorId="0" shapeId="0" xr:uid="{00000000-0006-0000-0200-000046020000}">
      <text>
        <r>
          <rPr>
            <sz val="10"/>
            <rFont val="Arial"/>
            <family val="2"/>
          </rPr>
          <t>SOURCE – design code line "&amp; IPS-M-PM-115" in the project item description</t>
        </r>
      </text>
    </comment>
    <comment ref="O99" authorId="0" shapeId="0" xr:uid="{00000000-0006-0000-0200-0000A1020000}">
      <text>
        <r>
          <rPr>
            <sz val="10"/>
            <rFont val="Arial"/>
            <family val="2"/>
          </rPr>
          <t>INFERRED – PC-ME 14040105 Pazanan2 PUMPS B9: no "NACE MR-0175" line in item description, while the document states it item-by-item where required → N</t>
        </r>
      </text>
    </comment>
    <comment ref="S99" authorId="0" shapeId="0" xr:uid="{00000000-0006-0000-0200-000029030000}">
      <text>
        <r>
          <rPr>
            <sz val="10"/>
            <rFont val="Arial"/>
            <family val="2"/>
          </rPr>
          <t xml:space="preserve">INFERRED – </t>
        </r>
        <r>
          <rPr>
            <sz val="10"/>
            <rFont val="FreeSans"/>
            <family val="2"/>
          </rPr>
          <t>نوع محرک در منبع ذکر نشده؛ موتور برقی فرض شده است</t>
        </r>
      </text>
    </comment>
    <comment ref="Y99" authorId="0" shapeId="0" xr:uid="{00000000-0006-0000-0200-0000F1030000}">
      <text>
        <r>
          <rPr>
            <sz val="10"/>
            <rFont val="Arial"/>
            <family val="2"/>
          </rPr>
          <t>SOURCE – PC-ME PUMPS F7: «GOING UNIT PRICE FOB EUR 1404Q1»</t>
        </r>
      </text>
    </comment>
    <comment ref="AF99" authorId="0" shapeId="0" xr:uid="{00000000-0006-0000-0200-0000EC040000}">
      <text>
        <r>
          <rPr>
            <sz val="10"/>
            <rFont val="FreeSans"/>
            <family val="2"/>
          </rPr>
          <t>شرط تحویل</t>
        </r>
        <r>
          <rPr>
            <sz val="10"/>
            <rFont val="Arial"/>
            <family val="2"/>
          </rPr>
          <t>: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در پیشنهادها مشخص نیست</t>
        </r>
        <r>
          <rPr>
            <sz val="10"/>
            <rFont val="Arial"/>
            <family val="2"/>
          </rPr>
          <t>.</t>
        </r>
      </text>
    </comment>
    <comment ref="E100" authorId="0" shapeId="0" xr:uid="{00000000-0006-0000-0200-000065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100" authorId="0" shapeId="0" xr:uid="{00000000-0006-0000-0200-0000F8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100" authorId="0" shapeId="0" xr:uid="{00000000-0006-0000-0200-00008B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00" authorId="0" shapeId="0" xr:uid="{00000000-0006-0000-0200-000047020000}">
      <text>
        <r>
          <rPr>
            <sz val="10"/>
            <rFont val="Arial"/>
            <family val="2"/>
          </rPr>
          <t>SOURCE – design code line "&amp; IPS-G-PM-105" in the project item description</t>
        </r>
      </text>
    </comment>
    <comment ref="O100" authorId="0" shapeId="0" xr:uid="{00000000-0006-0000-0200-0000A2020000}">
      <text>
        <r>
          <rPr>
            <sz val="10"/>
            <rFont val="Arial"/>
            <family val="2"/>
          </rPr>
          <t>INFERRED – PC-ME 14040105 Pazanan2 PUMPS B10: no "NACE MR-0175" line in item description, while the document states it item-by-item where required → N</t>
        </r>
      </text>
    </comment>
    <comment ref="S100" authorId="0" shapeId="0" xr:uid="{00000000-0006-0000-0200-00002A030000}">
      <text>
        <r>
          <rPr>
            <sz val="10"/>
            <rFont val="Arial"/>
            <family val="2"/>
          </rPr>
          <t xml:space="preserve">INFERRED – </t>
        </r>
        <r>
          <rPr>
            <sz val="10"/>
            <rFont val="FreeSans"/>
            <family val="2"/>
          </rPr>
          <t>نوع محرک در منبع ذکر نشده؛ موتور برقی فرض شده است</t>
        </r>
      </text>
    </comment>
    <comment ref="Y100" authorId="0" shapeId="0" xr:uid="{00000000-0006-0000-0200-0000F2030000}">
      <text>
        <r>
          <rPr>
            <sz val="10"/>
            <rFont val="Arial"/>
            <family val="2"/>
          </rPr>
          <t>SOURCE – PC-ME PUMPS F7: «GOING UNIT PRICE FOB EUR 1404Q1»</t>
        </r>
      </text>
    </comment>
    <comment ref="AF100" authorId="0" shapeId="0" xr:uid="{00000000-0006-0000-0200-0000ED040000}">
      <text>
        <r>
          <rPr>
            <sz val="10"/>
            <rFont val="FreeSans"/>
            <family val="2"/>
          </rPr>
          <t>شرط تحویل</t>
        </r>
        <r>
          <rPr>
            <sz val="10"/>
            <rFont val="Arial"/>
            <family val="2"/>
          </rPr>
          <t>: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در پیشنهادها مشخص نیست</t>
        </r>
        <r>
          <rPr>
            <sz val="10"/>
            <rFont val="Arial"/>
            <family val="2"/>
          </rPr>
          <t>.</t>
        </r>
      </text>
    </comment>
    <comment ref="E101" authorId="0" shapeId="0" xr:uid="{00000000-0006-0000-0200-000066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101" authorId="0" shapeId="0" xr:uid="{00000000-0006-0000-0200-0000F9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101" authorId="0" shapeId="0" xr:uid="{00000000-0006-0000-0200-00008C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01" authorId="0" shapeId="0" xr:uid="{00000000-0006-0000-0200-000048020000}">
      <text>
        <r>
          <rPr>
            <sz val="10"/>
            <rFont val="Arial"/>
            <family val="2"/>
          </rPr>
          <t>SOURCE – design code line "&amp; IPS-G-PM-105" in the project item description</t>
        </r>
      </text>
    </comment>
    <comment ref="O101" authorId="0" shapeId="0" xr:uid="{00000000-0006-0000-0200-0000A3020000}">
      <text>
        <r>
          <rPr>
            <sz val="10"/>
            <rFont val="Arial"/>
            <family val="2"/>
          </rPr>
          <t>INFERRED – PC-ME 14040105 Pazanan2 PUMPS B11: no "NACE MR-0175" line in item description, while the document states it item-by-item where required → N</t>
        </r>
      </text>
    </comment>
    <comment ref="S101" authorId="0" shapeId="0" xr:uid="{00000000-0006-0000-0200-00002B030000}">
      <text>
        <r>
          <rPr>
            <sz val="10"/>
            <rFont val="Arial"/>
            <family val="2"/>
          </rPr>
          <t xml:space="preserve">INFERRED – </t>
        </r>
        <r>
          <rPr>
            <sz val="10"/>
            <rFont val="FreeSans"/>
            <family val="2"/>
          </rPr>
          <t>نوع محرک در منبع ذکر نشده؛ موتور برقی فرض شده است</t>
        </r>
      </text>
    </comment>
    <comment ref="Y101" authorId="0" shapeId="0" xr:uid="{00000000-0006-0000-0200-0000F3030000}">
      <text>
        <r>
          <rPr>
            <sz val="10"/>
            <rFont val="Arial"/>
            <family val="2"/>
          </rPr>
          <t>SOURCE – PC-ME PUMPS F7: «GOING UNIT PRICE FOB EUR 1404Q1»</t>
        </r>
      </text>
    </comment>
    <comment ref="AF101" authorId="0" shapeId="0" xr:uid="{00000000-0006-0000-0200-0000EE040000}">
      <text>
        <r>
          <rPr>
            <sz val="10"/>
            <rFont val="FreeSans"/>
            <family val="2"/>
          </rPr>
          <t>شرط تحویل</t>
        </r>
        <r>
          <rPr>
            <sz val="10"/>
            <rFont val="Arial"/>
            <family val="2"/>
          </rPr>
          <t>: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در پیشنهادها مشخص نیست</t>
        </r>
        <r>
          <rPr>
            <sz val="10"/>
            <rFont val="Arial"/>
            <family val="2"/>
          </rPr>
          <t>.</t>
        </r>
      </text>
    </comment>
    <comment ref="E102" authorId="0" shapeId="0" xr:uid="{00000000-0006-0000-0200-000067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102" authorId="0" shapeId="0" xr:uid="{00000000-0006-0000-0200-0000FA000000}">
      <text>
        <r>
          <rPr>
            <sz val="10"/>
            <rFont val="Arial"/>
            <family val="2"/>
          </rPr>
          <t xml:space="preserve">BB3 – Between bearings, multistage, axially split:
</t>
        </r>
        <r>
          <rPr>
            <sz val="10"/>
            <rFont val="FreeSans"/>
            <family val="2"/>
          </rPr>
          <t>چندمرحله‌ای، بدنه دوتکه افقی؛ تزریق آب و انتقال پرفشار</t>
        </r>
      </text>
    </comment>
    <comment ref="G102" authorId="0" shapeId="0" xr:uid="{00000000-0006-0000-0200-00008D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02" authorId="0" shapeId="0" xr:uid="{00000000-0006-0000-0200-000049020000}">
      <text>
        <r>
          <rPr>
            <sz val="10"/>
            <rFont val="Arial"/>
            <family val="2"/>
          </rPr>
          <t>SOURCE – design code line "&amp; IPS-G-PM-105" in the project item description</t>
        </r>
      </text>
    </comment>
    <comment ref="O102" authorId="0" shapeId="0" xr:uid="{00000000-0006-0000-0200-0000A4020000}">
      <text>
        <r>
          <rPr>
            <sz val="10"/>
            <rFont val="Arial"/>
            <family val="2"/>
          </rPr>
          <t>SOURCE – PC-ME 14040105 Pazanan2 PUMPS B12: NACE 'MR-0175' Required: Yes</t>
        </r>
      </text>
    </comment>
    <comment ref="S102" authorId="0" shapeId="0" xr:uid="{00000000-0006-0000-0200-00002C030000}">
      <text>
        <r>
          <rPr>
            <sz val="10"/>
            <rFont val="Arial"/>
            <family val="2"/>
          </rPr>
          <t xml:space="preserve">INFERRED – </t>
        </r>
        <r>
          <rPr>
            <sz val="10"/>
            <rFont val="FreeSans"/>
            <family val="2"/>
          </rPr>
          <t>نوع محرک در منبع ذکر نشده؛ موتور برقی فرض شده است</t>
        </r>
      </text>
    </comment>
    <comment ref="Y102" authorId="0" shapeId="0" xr:uid="{00000000-0006-0000-0200-0000F4030000}">
      <text>
        <r>
          <rPr>
            <sz val="10"/>
            <rFont val="Arial"/>
            <family val="2"/>
          </rPr>
          <t>SOURCE – PC-ME PUMPS F7: «GOING UNIT PRICE FOB EUR 1404Q1»</t>
        </r>
      </text>
    </comment>
    <comment ref="AF102" authorId="0" shapeId="0" xr:uid="{00000000-0006-0000-0200-0000EF040000}">
      <text>
        <r>
          <rPr>
            <sz val="10"/>
            <rFont val="FreeSans"/>
            <family val="2"/>
          </rPr>
          <t>شرط تحویل</t>
        </r>
        <r>
          <rPr>
            <sz val="10"/>
            <rFont val="Arial"/>
            <family val="2"/>
          </rPr>
          <t>: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در پیشنهادها مشخص نیست</t>
        </r>
        <r>
          <rPr>
            <sz val="10"/>
            <rFont val="Arial"/>
            <family val="2"/>
          </rPr>
          <t>.</t>
        </r>
      </text>
    </comment>
    <comment ref="E103" authorId="0" shapeId="0" xr:uid="{00000000-0006-0000-0200-000068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xml:space="preserve">، جداکننده آب و نفت (OWS)، نفت بازیافتی و لجن
—
</t>
        </r>
        <r>
          <rPr>
            <sz val="10"/>
            <rFont val="Arial"/>
            <family val="2"/>
          </rPr>
          <t>Reclassified 1405-07: ROT-CRU → ROT-DRN (service-based classification; approved)</t>
        </r>
      </text>
    </comment>
    <comment ref="F103" authorId="0" shapeId="0" xr:uid="{00000000-0006-0000-0200-0000FB00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103" authorId="0" shapeId="0" xr:uid="{00000000-0006-0000-0200-00008E010000}">
      <text>
        <r>
          <rPr>
            <sz val="10"/>
            <rFont val="Arial"/>
            <family val="2"/>
          </rPr>
          <t xml:space="preserve">D-1: </t>
        </r>
        <r>
          <rPr>
            <sz val="10"/>
            <rFont val="FreeSans"/>
            <family val="2"/>
          </rPr>
          <t>بدنه داپلکس، پروانه داپلکس؛ رینگ با روکش سخت؛ شفت داپلکس</t>
        </r>
        <r>
          <rPr>
            <sz val="10"/>
            <rFont val="Arial"/>
            <family val="2"/>
          </rPr>
          <t xml:space="preserve">.
</t>
        </r>
        <r>
          <rPr>
            <sz val="10"/>
            <rFont val="FreeSans"/>
            <family val="2"/>
          </rPr>
          <t>کاربرد معمول: آب شور و آب تولیدی دارای کلراید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03" authorId="0" shapeId="0" xr:uid="{00000000-0006-0000-0200-00004A020000}">
      <text>
        <r>
          <rPr>
            <sz val="10"/>
            <rFont val="Arial"/>
            <family val="2"/>
          </rPr>
          <t>SOURCE – design code line "&amp; IPS-M-PM-140" in the project item description</t>
        </r>
      </text>
    </comment>
    <comment ref="O103" authorId="0" shapeId="0" xr:uid="{00000000-0006-0000-0200-0000A5020000}">
      <text>
        <r>
          <rPr>
            <sz val="10"/>
            <rFont val="Arial"/>
            <family val="2"/>
          </rPr>
          <t>SOURCE – PC-ME 14040105 Pazanan2 PUMPS B13: NACE 'MR-0175' Required: Yes</t>
        </r>
      </text>
    </comment>
    <comment ref="S103" authorId="0" shapeId="0" xr:uid="{00000000-0006-0000-0200-00002D030000}">
      <text>
        <r>
          <rPr>
            <sz val="10"/>
            <rFont val="Arial"/>
            <family val="2"/>
          </rPr>
          <t xml:space="preserve">INFERRED – </t>
        </r>
        <r>
          <rPr>
            <sz val="10"/>
            <rFont val="FreeSans"/>
            <family val="2"/>
          </rPr>
          <t>نوع محرک در منبع ذکر نشده؛ موتور برقی فرض شده است</t>
        </r>
      </text>
    </comment>
    <comment ref="Y103" authorId="0" shapeId="0" xr:uid="{00000000-0006-0000-0200-0000F5030000}">
      <text>
        <r>
          <rPr>
            <sz val="10"/>
            <rFont val="Arial"/>
            <family val="2"/>
          </rPr>
          <t>SOURCE – PC-ME PUMPS F7: «GOING UNIT PRICE FOB EUR 1404Q1»</t>
        </r>
      </text>
    </comment>
    <comment ref="AF103" authorId="0" shapeId="0" xr:uid="{00000000-0006-0000-0200-0000F0040000}">
      <text>
        <r>
          <rPr>
            <sz val="10"/>
            <rFont val="FreeSans"/>
            <family val="2"/>
          </rPr>
          <t>شرط تحویل</t>
        </r>
        <r>
          <rPr>
            <sz val="10"/>
            <rFont val="Arial"/>
            <family val="2"/>
          </rPr>
          <t>: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در پیشنهادها مشخص نیست</t>
        </r>
        <r>
          <rPr>
            <sz val="10"/>
            <rFont val="Arial"/>
            <family val="2"/>
          </rPr>
          <t>.</t>
        </r>
      </text>
    </comment>
    <comment ref="E104" authorId="0" shapeId="0" xr:uid="{00000000-0006-0000-0200-000069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104" authorId="0" shapeId="0" xr:uid="{00000000-0006-0000-0200-0000FC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104" authorId="0" shapeId="0" xr:uid="{00000000-0006-0000-0200-00008F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04" authorId="0" shapeId="0" xr:uid="{00000000-0006-0000-0200-00004B020000}">
      <text>
        <r>
          <rPr>
            <sz val="10"/>
            <rFont val="Arial"/>
            <family val="2"/>
          </rPr>
          <t>SOURCE – design code line "&amp; IPS-G-PM-105" in the project item description</t>
        </r>
      </text>
    </comment>
    <comment ref="O104" authorId="0" shapeId="0" xr:uid="{00000000-0006-0000-0200-0000A6020000}">
      <text>
        <r>
          <rPr>
            <sz val="10"/>
            <rFont val="Arial"/>
            <family val="2"/>
          </rPr>
          <t>INFERRED – PC-ME 14040105 Pazanan2 PUMPS B14: no "NACE MR-0175" line in item description, while the document states it item-by-item where required → N</t>
        </r>
      </text>
    </comment>
    <comment ref="S104" authorId="0" shapeId="0" xr:uid="{00000000-0006-0000-0200-00002E030000}">
      <text>
        <r>
          <rPr>
            <sz val="10"/>
            <rFont val="Arial"/>
            <family val="2"/>
          </rPr>
          <t xml:space="preserve">INFERRED – </t>
        </r>
        <r>
          <rPr>
            <sz val="10"/>
            <rFont val="FreeSans"/>
            <family val="2"/>
          </rPr>
          <t>نوع محرک در منبع ذکر نشده؛ موتور برقی فرض شده است</t>
        </r>
      </text>
    </comment>
    <comment ref="Y104" authorId="0" shapeId="0" xr:uid="{00000000-0006-0000-0200-0000F6030000}">
      <text>
        <r>
          <rPr>
            <sz val="10"/>
            <rFont val="Arial"/>
            <family val="2"/>
          </rPr>
          <t>SOURCE – PC-ME PUMPS F7: «GOING UNIT PRICE FOB EUR 1404Q1»</t>
        </r>
      </text>
    </comment>
    <comment ref="AF104" authorId="0" shapeId="0" xr:uid="{00000000-0006-0000-0200-0000F1040000}">
      <text>
        <r>
          <rPr>
            <sz val="10"/>
            <rFont val="FreeSans"/>
            <family val="2"/>
          </rPr>
          <t>شرط تحویل</t>
        </r>
        <r>
          <rPr>
            <sz val="10"/>
            <rFont val="Arial"/>
            <family val="2"/>
          </rPr>
          <t>: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در پیشنهادها مشخص نیست</t>
        </r>
        <r>
          <rPr>
            <sz val="10"/>
            <rFont val="Arial"/>
            <family val="2"/>
          </rPr>
          <t>.</t>
        </r>
      </text>
    </comment>
    <comment ref="E105" authorId="0" shapeId="0" xr:uid="{00000000-0006-0000-0200-00006A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105" authorId="0" shapeId="0" xr:uid="{00000000-0006-0000-0200-0000FD000000}">
      <text>
        <r>
          <rPr>
            <sz val="10"/>
            <rFont val="Arial"/>
            <family val="2"/>
          </rPr>
          <t xml:space="preserve">BB3 – Between bearings, multistage, axially split:
</t>
        </r>
        <r>
          <rPr>
            <sz val="10"/>
            <rFont val="FreeSans"/>
            <family val="2"/>
          </rPr>
          <t>چندمرحله‌ای، بدنه دوتکه افقی؛ تزریق آب و انتقال پرفشار</t>
        </r>
      </text>
    </comment>
    <comment ref="G105" authorId="0" shapeId="0" xr:uid="{00000000-0006-0000-0200-000090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05" authorId="0" shapeId="0" xr:uid="{00000000-0006-0000-0200-00004C020000}">
      <text>
        <r>
          <rPr>
            <sz val="10"/>
            <rFont val="Arial"/>
            <family val="2"/>
          </rPr>
          <t>SOURCE – design code line "&amp; IPS-G-PM-105" in the project item description</t>
        </r>
      </text>
    </comment>
    <comment ref="O105" authorId="0" shapeId="0" xr:uid="{00000000-0006-0000-0200-0000A7020000}">
      <text>
        <r>
          <rPr>
            <sz val="10"/>
            <rFont val="Arial"/>
            <family val="2"/>
          </rPr>
          <t>SOURCE – PC-ME 14040105 Pazanan2 PUMPS B15: NACE 'MR-0175' Required: Yes</t>
        </r>
      </text>
    </comment>
    <comment ref="S105" authorId="0" shapeId="0" xr:uid="{00000000-0006-0000-0200-00002F030000}">
      <text>
        <r>
          <rPr>
            <sz val="10"/>
            <rFont val="Arial"/>
            <family val="2"/>
          </rPr>
          <t xml:space="preserve">INFERRED – </t>
        </r>
        <r>
          <rPr>
            <sz val="10"/>
            <rFont val="FreeSans"/>
            <family val="2"/>
          </rPr>
          <t>نوع محرک در منبع ذکر نشده؛ موتور برقی فرض شده است</t>
        </r>
      </text>
    </comment>
    <comment ref="Y105" authorId="0" shapeId="0" xr:uid="{00000000-0006-0000-0200-0000F7030000}">
      <text>
        <r>
          <rPr>
            <sz val="10"/>
            <rFont val="Arial"/>
            <family val="2"/>
          </rPr>
          <t>SOURCE – PC-ME PUMPS F7: «GOING UNIT PRICE FOB EUR 1404Q1»</t>
        </r>
      </text>
    </comment>
    <comment ref="AF105" authorId="0" shapeId="0" xr:uid="{00000000-0006-0000-0200-0000F2040000}">
      <text>
        <r>
          <rPr>
            <sz val="10"/>
            <rFont val="FreeSans"/>
            <family val="2"/>
          </rPr>
          <t>شرط تحویل</t>
        </r>
        <r>
          <rPr>
            <sz val="10"/>
            <rFont val="Arial"/>
            <family val="2"/>
          </rPr>
          <t>: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در پیشنهادها مشخص نیست</t>
        </r>
        <r>
          <rPr>
            <sz val="10"/>
            <rFont val="Arial"/>
            <family val="2"/>
          </rPr>
          <t>.</t>
        </r>
      </text>
    </comment>
    <comment ref="E106" authorId="0" shapeId="0" xr:uid="{00000000-0006-0000-0200-00006B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106" authorId="0" shapeId="0" xr:uid="{00000000-0006-0000-0200-0000FE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106" authorId="0" shapeId="0" xr:uid="{00000000-0006-0000-0200-000091010000}">
      <text>
        <r>
          <rPr>
            <sz val="10"/>
            <rFont val="Arial"/>
            <family val="2"/>
          </rPr>
          <t xml:space="preserve">S-6: </t>
        </r>
        <r>
          <rPr>
            <sz val="10"/>
            <rFont val="FreeSans"/>
            <family val="2"/>
          </rPr>
          <t>بدنه فولاد کربنی، پروانه کروم ۱۲٪؛ رینگ کروم ۱۲٪ سخت‌شده؛ شفت کروم ۱۲٪</t>
        </r>
        <r>
          <rPr>
            <sz val="10"/>
            <rFont val="Arial"/>
            <family val="2"/>
          </rPr>
          <t xml:space="preserve">.
</t>
        </r>
        <r>
          <rPr>
            <sz val="10"/>
            <rFont val="FreeSans"/>
            <family val="2"/>
          </rPr>
          <t>کاربرد معمول: هیدروکربن داغ، آب ترش و خوردگی ملایم</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06" authorId="0" shapeId="0" xr:uid="{00000000-0006-0000-0200-00004D020000}">
      <text>
        <r>
          <rPr>
            <sz val="10"/>
            <rFont val="Arial"/>
            <family val="2"/>
          </rPr>
          <t>SOURCE – design code line "&amp; IPS-G-PM-105" in the project item description</t>
        </r>
      </text>
    </comment>
    <comment ref="O106" authorId="0" shapeId="0" xr:uid="{00000000-0006-0000-0200-0000A8020000}">
      <text>
        <r>
          <rPr>
            <sz val="10"/>
            <rFont val="Arial"/>
            <family val="2"/>
          </rPr>
          <t>INFERRED – PC-ME 14040105 Pazanan2 PUMPS B16: no "NACE MR-0175" line in item description, while the document states it item-by-item where required → N</t>
        </r>
      </text>
    </comment>
    <comment ref="S106" authorId="0" shapeId="0" xr:uid="{00000000-0006-0000-0200-000030030000}">
      <text>
        <r>
          <rPr>
            <sz val="10"/>
            <rFont val="Arial"/>
            <family val="2"/>
          </rPr>
          <t xml:space="preserve">INFERRED – </t>
        </r>
        <r>
          <rPr>
            <sz val="10"/>
            <rFont val="FreeSans"/>
            <family val="2"/>
          </rPr>
          <t>نوع محرک در منبع ذکر نشده؛ موتور برقی فرض شده است</t>
        </r>
      </text>
    </comment>
    <comment ref="Y106" authorId="0" shapeId="0" xr:uid="{00000000-0006-0000-0200-0000F8030000}">
      <text>
        <r>
          <rPr>
            <sz val="10"/>
            <rFont val="Arial"/>
            <family val="2"/>
          </rPr>
          <t>SOURCE – PC-ME PUMPS F7: «GOING UNIT PRICE FOB EUR 1404Q1»</t>
        </r>
      </text>
    </comment>
    <comment ref="AF106" authorId="0" shapeId="0" xr:uid="{00000000-0006-0000-0200-0000F3040000}">
      <text>
        <r>
          <rPr>
            <sz val="10"/>
            <rFont val="FreeSans"/>
            <family val="2"/>
          </rPr>
          <t>شرط تحویل</t>
        </r>
        <r>
          <rPr>
            <sz val="10"/>
            <rFont val="Arial"/>
            <family val="2"/>
          </rPr>
          <t>: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در پیشنهادها مشخص نیست</t>
        </r>
        <r>
          <rPr>
            <sz val="10"/>
            <rFont val="Arial"/>
            <family val="2"/>
          </rPr>
          <t>.</t>
        </r>
      </text>
    </comment>
    <comment ref="E107" authorId="0" shapeId="0" xr:uid="{00000000-0006-0000-0200-00006C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107" authorId="0" shapeId="0" xr:uid="{00000000-0006-0000-0200-0000FF00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107" authorId="0" shapeId="0" xr:uid="{00000000-0006-0000-0200-000092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07" authorId="0" shapeId="0" xr:uid="{00000000-0006-0000-0200-00004E020000}">
      <text>
        <r>
          <rPr>
            <sz val="10"/>
            <rFont val="Arial"/>
            <family val="2"/>
          </rPr>
          <t>SOURCE – design code line "&amp; IPS-G-PM-105" in the project item description</t>
        </r>
      </text>
    </comment>
    <comment ref="O107" authorId="0" shapeId="0" xr:uid="{00000000-0006-0000-0200-0000A9020000}">
      <text>
        <r>
          <rPr>
            <sz val="10"/>
            <rFont val="Arial"/>
            <family val="2"/>
          </rPr>
          <t>SOURCE – PC-ME 14040105 Pazanan2 PUMPS B17: NACE 'MR-0175' Required: Yes</t>
        </r>
      </text>
    </comment>
    <comment ref="S107" authorId="0" shapeId="0" xr:uid="{00000000-0006-0000-0200-000031030000}">
      <text>
        <r>
          <rPr>
            <sz val="10"/>
            <rFont val="Arial"/>
            <family val="2"/>
          </rPr>
          <t xml:space="preserve">INFERRED – </t>
        </r>
        <r>
          <rPr>
            <sz val="10"/>
            <rFont val="FreeSans"/>
            <family val="2"/>
          </rPr>
          <t>نوع محرک در منبع ذکر نشده؛ موتور برقی فرض شده است</t>
        </r>
      </text>
    </comment>
    <comment ref="Y107" authorId="0" shapeId="0" xr:uid="{00000000-0006-0000-0200-0000F9030000}">
      <text>
        <r>
          <rPr>
            <sz val="10"/>
            <rFont val="Arial"/>
            <family val="2"/>
          </rPr>
          <t>SOURCE – PC-ME PUMPS F7: «GOING UNIT PRICE FOB EUR 1404Q1»</t>
        </r>
      </text>
    </comment>
    <comment ref="AF107" authorId="0" shapeId="0" xr:uid="{00000000-0006-0000-0200-0000F4040000}">
      <text>
        <r>
          <rPr>
            <sz val="10"/>
            <rFont val="FreeSans"/>
            <family val="2"/>
          </rPr>
          <t>شرط تحویل</t>
        </r>
        <r>
          <rPr>
            <sz val="10"/>
            <rFont val="Arial"/>
            <family val="2"/>
          </rPr>
          <t>: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در پیشنهادها مشخص نیست</t>
        </r>
        <r>
          <rPr>
            <sz val="10"/>
            <rFont val="Arial"/>
            <family val="2"/>
          </rPr>
          <t>.</t>
        </r>
      </text>
    </comment>
    <comment ref="E108" authorId="0" shapeId="0" xr:uid="{00000000-0006-0000-0200-00006D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108" authorId="0" shapeId="0" xr:uid="{00000000-0006-0000-0200-000000010000}">
      <text>
        <r>
          <rPr>
            <sz val="10"/>
            <rFont val="Arial"/>
            <family val="2"/>
          </rPr>
          <t xml:space="preserve">VS4 – Vertically suspended, line-shaft, separate discharge (sump):
</t>
        </r>
        <r>
          <rPr>
            <sz val="10"/>
            <rFont val="FreeSans"/>
            <family val="2"/>
          </rPr>
          <t xml:space="preserve">پمپ عمودی </t>
        </r>
        <r>
          <rPr>
            <sz val="10"/>
            <rFont val="Arial"/>
            <family val="2"/>
          </rPr>
          <t xml:space="preserve">Sump </t>
        </r>
        <r>
          <rPr>
            <sz val="10"/>
            <rFont val="FreeSans"/>
            <family val="2"/>
          </rPr>
          <t xml:space="preserve">با شفت بلند و لوله خروجی جدا؛ چاهک درین و </t>
        </r>
        <r>
          <rPr>
            <sz val="10"/>
            <rFont val="Arial"/>
            <family val="2"/>
          </rPr>
          <t>Flare KO</t>
        </r>
      </text>
    </comment>
    <comment ref="G108" authorId="0" shapeId="0" xr:uid="{00000000-0006-0000-0200-000093010000}">
      <text>
        <r>
          <rPr>
            <sz val="10"/>
            <rFont val="Arial"/>
            <family val="2"/>
          </rPr>
          <t xml:space="preserve">S-6: </t>
        </r>
        <r>
          <rPr>
            <sz val="10"/>
            <rFont val="FreeSans"/>
            <family val="2"/>
          </rPr>
          <t>بدنه فولاد کربنی، پروانه کروم ۱۲٪؛ رینگ کروم ۱۲٪ سخت‌شده؛ شفت کروم ۱۲٪</t>
        </r>
        <r>
          <rPr>
            <sz val="10"/>
            <rFont val="Arial"/>
            <family val="2"/>
          </rPr>
          <t xml:space="preserve">.
</t>
        </r>
        <r>
          <rPr>
            <sz val="10"/>
            <rFont val="FreeSans"/>
            <family val="2"/>
          </rPr>
          <t>کاربرد معمول: هیدروکربن داغ، آب ترش و خوردگی ملایم</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08" authorId="0" shapeId="0" xr:uid="{00000000-0006-0000-0200-00004F020000}">
      <text>
        <r>
          <rPr>
            <sz val="10"/>
            <rFont val="Arial"/>
            <family val="2"/>
          </rPr>
          <t>SOURCE – design code line "&amp; IPS-G-PM-105" in the project item description</t>
        </r>
      </text>
    </comment>
    <comment ref="O108" authorId="0" shapeId="0" xr:uid="{00000000-0006-0000-0200-0000AA020000}">
      <text>
        <r>
          <rPr>
            <sz val="10"/>
            <rFont val="Arial"/>
            <family val="2"/>
          </rPr>
          <t>INFERRED – PC-ME 14040105 Pazanan2 PUMPS B18: no "NACE MR-0175" line in item description, while the document states it item-by-item where required → N</t>
        </r>
      </text>
    </comment>
    <comment ref="S108" authorId="0" shapeId="0" xr:uid="{00000000-0006-0000-0200-000032030000}">
      <text>
        <r>
          <rPr>
            <sz val="10"/>
            <rFont val="Arial"/>
            <family val="2"/>
          </rPr>
          <t xml:space="preserve">INFERRED – </t>
        </r>
        <r>
          <rPr>
            <sz val="10"/>
            <rFont val="FreeSans"/>
            <family val="2"/>
          </rPr>
          <t>نوع محرک در منبع ذکر نشده؛ موتور برقی فرض شده است</t>
        </r>
      </text>
    </comment>
    <comment ref="Y108" authorId="0" shapeId="0" xr:uid="{00000000-0006-0000-0200-0000FA030000}">
      <text>
        <r>
          <rPr>
            <sz val="10"/>
            <rFont val="Arial"/>
            <family val="2"/>
          </rPr>
          <t>SOURCE – PC-ME PUMPS F7: «GOING UNIT PRICE FOB EUR 1404Q1»</t>
        </r>
      </text>
    </comment>
    <comment ref="AF108" authorId="0" shapeId="0" xr:uid="{00000000-0006-0000-0200-0000F5040000}">
      <text>
        <r>
          <rPr>
            <sz val="10"/>
            <rFont val="FreeSans"/>
            <family val="2"/>
          </rPr>
          <t>شرط تحویل</t>
        </r>
        <r>
          <rPr>
            <sz val="10"/>
            <rFont val="Arial"/>
            <family val="2"/>
          </rPr>
          <t>: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در پیشنهادها مشخص نیست</t>
        </r>
        <r>
          <rPr>
            <sz val="10"/>
            <rFont val="Arial"/>
            <family val="2"/>
          </rPr>
          <t>.</t>
        </r>
      </text>
    </comment>
    <comment ref="E109" authorId="0" shapeId="0" xr:uid="{00000000-0006-0000-0200-00006E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xml:space="preserve">، جداکننده آب و نفت (OWS)، نفت بازیافتی و لجن
—
</t>
        </r>
        <r>
          <rPr>
            <sz val="10"/>
            <rFont val="Arial"/>
            <family val="2"/>
          </rPr>
          <t>Reclassified 1405-07: ROT-CRU → ROT-DRN (service-based classification; approved)</t>
        </r>
      </text>
    </comment>
    <comment ref="F109" authorId="0" shapeId="0" xr:uid="{00000000-0006-0000-0200-00000101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109" authorId="0" shapeId="0" xr:uid="{00000000-0006-0000-0200-000094010000}">
      <text>
        <r>
          <rPr>
            <sz val="10"/>
            <rFont val="Arial"/>
            <family val="2"/>
          </rPr>
          <t xml:space="preserve">D-1: </t>
        </r>
        <r>
          <rPr>
            <sz val="10"/>
            <rFont val="FreeSans"/>
            <family val="2"/>
          </rPr>
          <t>بدنه داپلکس، پروانه داپلکس؛ رینگ با روکش سخت؛ شفت داپلکس</t>
        </r>
        <r>
          <rPr>
            <sz val="10"/>
            <rFont val="Arial"/>
            <family val="2"/>
          </rPr>
          <t xml:space="preserve">.
</t>
        </r>
        <r>
          <rPr>
            <sz val="10"/>
            <rFont val="FreeSans"/>
            <family val="2"/>
          </rPr>
          <t>کاربرد معمول: آب شور و آب تولیدی دارای کلراید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09" authorId="0" shapeId="0" xr:uid="{00000000-0006-0000-0200-000050020000}">
      <text>
        <r>
          <rPr>
            <sz val="10"/>
            <rFont val="Arial"/>
            <family val="2"/>
          </rPr>
          <t>SOURCE – design code line "&amp; IPS-M-PM-140" in the project item description</t>
        </r>
      </text>
    </comment>
    <comment ref="O109" authorId="0" shapeId="0" xr:uid="{00000000-0006-0000-0200-0000AB020000}">
      <text>
        <r>
          <rPr>
            <sz val="10"/>
            <rFont val="Arial"/>
            <family val="2"/>
          </rPr>
          <t>SOURCE – PC-ME 14040105 Pazanan2 PUMPS B19: NACE 'MR-0175' Required: Yes</t>
        </r>
      </text>
    </comment>
    <comment ref="S109" authorId="0" shapeId="0" xr:uid="{00000000-0006-0000-0200-000033030000}">
      <text>
        <r>
          <rPr>
            <sz val="10"/>
            <rFont val="Arial"/>
            <family val="2"/>
          </rPr>
          <t xml:space="preserve">INFERRED – </t>
        </r>
        <r>
          <rPr>
            <sz val="10"/>
            <rFont val="FreeSans"/>
            <family val="2"/>
          </rPr>
          <t>نوع محرک در منبع ذکر نشده؛ موتور برقی فرض شده است</t>
        </r>
      </text>
    </comment>
    <comment ref="Y109" authorId="0" shapeId="0" xr:uid="{00000000-0006-0000-0200-0000FB03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AA109" authorId="0" shapeId="0" xr:uid="{00000000-0006-0000-0200-00005D040000}">
      <text>
        <r>
          <rPr>
            <sz val="10"/>
            <rFont val="Arial"/>
            <family val="2"/>
          </rPr>
          <t>SOURCE – PC-ME 14040105 Pazanan2 PUMPS F19: =AR19*'[5]Basic INFO'!$C$138 – no quotation received (all declined); AR19 = R02 (1393) FOB price 25,000 EUR × 1.552</t>
        </r>
      </text>
    </comment>
    <comment ref="AF109" authorId="0" shapeId="0" xr:uid="{00000000-0006-0000-0200-0000F604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 ref="E110" authorId="0" shapeId="0" xr:uid="{00000000-0006-0000-0200-00006F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110" authorId="0" shapeId="0" xr:uid="{00000000-0006-0000-0200-00000201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110" authorId="0" shapeId="0" xr:uid="{00000000-0006-0000-0200-000095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10" authorId="0" shapeId="0" xr:uid="{00000000-0006-0000-0200-000051020000}">
      <text>
        <r>
          <rPr>
            <sz val="10"/>
            <rFont val="Arial"/>
            <family val="2"/>
          </rPr>
          <t>SOURCE – design code line "&amp; IPS-G-PM-105" in the project item description</t>
        </r>
      </text>
    </comment>
    <comment ref="O110" authorId="0" shapeId="0" xr:uid="{00000000-0006-0000-0200-0000AC020000}">
      <text>
        <r>
          <rPr>
            <sz val="10"/>
            <rFont val="Arial"/>
            <family val="2"/>
          </rPr>
          <t>SOURCE – PC-ME 14040105 Pazanan2 PUMPS B20: NACE 'MR-0175' Required: Yes</t>
        </r>
      </text>
    </comment>
    <comment ref="S110" authorId="0" shapeId="0" xr:uid="{00000000-0006-0000-0200-000034030000}">
      <text>
        <r>
          <rPr>
            <sz val="10"/>
            <rFont val="Arial"/>
            <family val="2"/>
          </rPr>
          <t xml:space="preserve">INFERRED – </t>
        </r>
        <r>
          <rPr>
            <sz val="10"/>
            <rFont val="FreeSans"/>
            <family val="2"/>
          </rPr>
          <t>نوع محرک در منبع ذکر نشده؛ موتور برقی فرض شده است</t>
        </r>
      </text>
    </comment>
    <comment ref="Y110" authorId="0" shapeId="0" xr:uid="{00000000-0006-0000-0200-0000FC030000}">
      <text>
        <r>
          <rPr>
            <sz val="10"/>
            <rFont val="Arial"/>
            <family val="2"/>
          </rPr>
          <t>SOURCE – PC-ME PUMPS F7: «GOING UNIT PRICE FOB EUR 1404Q1»</t>
        </r>
      </text>
    </comment>
    <comment ref="AF110" authorId="0" shapeId="0" xr:uid="{00000000-0006-0000-0200-0000F7040000}">
      <text>
        <r>
          <rPr>
            <sz val="10"/>
            <rFont val="FreeSans"/>
            <family val="2"/>
          </rPr>
          <t>شرط تحویل</t>
        </r>
        <r>
          <rPr>
            <sz val="10"/>
            <rFont val="Arial"/>
            <family val="2"/>
          </rPr>
          <t>: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در پیشنهادها مشخص نیست</t>
        </r>
        <r>
          <rPr>
            <sz val="10"/>
            <rFont val="Arial"/>
            <family val="2"/>
          </rPr>
          <t>.</t>
        </r>
      </text>
    </comment>
    <comment ref="E111" authorId="0" shapeId="0" xr:uid="{00000000-0006-0000-0200-000070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111" authorId="0" shapeId="0" xr:uid="{00000000-0006-0000-0200-00000301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111" authorId="0" shapeId="0" xr:uid="{00000000-0006-0000-0200-000096010000}">
      <text>
        <r>
          <rPr>
            <sz val="10"/>
            <rFont val="Arial"/>
            <family val="2"/>
          </rPr>
          <t xml:space="preserve">S-6: </t>
        </r>
        <r>
          <rPr>
            <sz val="10"/>
            <rFont val="FreeSans"/>
            <family val="2"/>
          </rPr>
          <t>بدنه فولاد کربنی، پروانه کروم ۱۲٪؛ رینگ کروم ۱۲٪ سخت‌شده؛ شفت کروم ۱۲٪</t>
        </r>
        <r>
          <rPr>
            <sz val="10"/>
            <rFont val="Arial"/>
            <family val="2"/>
          </rPr>
          <t xml:space="preserve">.
</t>
        </r>
        <r>
          <rPr>
            <sz val="10"/>
            <rFont val="FreeSans"/>
            <family val="2"/>
          </rPr>
          <t>کاربرد معمول: هیدروکربن داغ، آب ترش و خوردگی ملایم</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11" authorId="0" shapeId="0" xr:uid="{00000000-0006-0000-0200-000052020000}">
      <text>
        <r>
          <rPr>
            <sz val="10"/>
            <rFont val="Arial"/>
            <family val="2"/>
          </rPr>
          <t>SOURCE – design code line "&amp; IPS-G-PM-105" in the project item description</t>
        </r>
      </text>
    </comment>
    <comment ref="O111" authorId="0" shapeId="0" xr:uid="{00000000-0006-0000-0200-0000AD020000}">
      <text>
        <r>
          <rPr>
            <sz val="10"/>
            <rFont val="Arial"/>
            <family val="2"/>
          </rPr>
          <t>INFERRED – PC-ME 14040105 Pazanan2 PUMPS B21: no "NACE MR-0175" line in item description, while the document states it item-by-item where required → N</t>
        </r>
      </text>
    </comment>
    <comment ref="S111" authorId="0" shapeId="0" xr:uid="{00000000-0006-0000-0200-000035030000}">
      <text>
        <r>
          <rPr>
            <sz val="10"/>
            <rFont val="Arial"/>
            <family val="2"/>
          </rPr>
          <t xml:space="preserve">INFERRED – </t>
        </r>
        <r>
          <rPr>
            <sz val="10"/>
            <rFont val="FreeSans"/>
            <family val="2"/>
          </rPr>
          <t>نوع محرک در منبع ذکر نشده؛ موتور برقی فرض شده است</t>
        </r>
      </text>
    </comment>
    <comment ref="Y111" authorId="0" shapeId="0" xr:uid="{00000000-0006-0000-0200-0000FD030000}">
      <text>
        <r>
          <rPr>
            <sz val="10"/>
            <rFont val="Arial"/>
            <family val="2"/>
          </rPr>
          <t>SOURCE – PC-ME PUMPS F7: «GOING UNIT PRICE FOB EUR 1404Q1»</t>
        </r>
      </text>
    </comment>
    <comment ref="AF111" authorId="0" shapeId="0" xr:uid="{00000000-0006-0000-0200-0000F8040000}">
      <text>
        <r>
          <rPr>
            <sz val="10"/>
            <rFont val="FreeSans"/>
            <family val="2"/>
          </rPr>
          <t>شرط تحویل</t>
        </r>
        <r>
          <rPr>
            <sz val="10"/>
            <rFont val="Arial"/>
            <family val="2"/>
          </rPr>
          <t>: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در پیشنهادها مشخص نیست</t>
        </r>
        <r>
          <rPr>
            <sz val="10"/>
            <rFont val="Arial"/>
            <family val="2"/>
          </rPr>
          <t>.</t>
        </r>
      </text>
    </comment>
    <comment ref="E112" authorId="0" shapeId="0" xr:uid="{00000000-0006-0000-0200-000071000000}">
      <text>
        <r>
          <rPr>
            <sz val="10"/>
            <rFont val="Arial"/>
            <family val="2"/>
          </rPr>
          <t xml:space="preserve">ROT-AUX = Chemical, Fuel &amp; Auxiliary Pumps
</t>
        </r>
        <r>
          <rPr>
            <sz val="10"/>
            <rFont val="FreeSans"/>
            <family val="2"/>
          </rPr>
          <t>پمپ‌های جانبی: مواد شیمیایی، گلایکول، گازوئیل و سوخت</t>
        </r>
      </text>
    </comment>
    <comment ref="F112" authorId="0" shapeId="0" xr:uid="{00000000-0006-0000-0200-00000401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112" authorId="0" shapeId="0" xr:uid="{00000000-0006-0000-0200-000097010000}">
      <text>
        <r>
          <rPr>
            <sz val="10"/>
            <rFont val="Arial"/>
            <family val="2"/>
          </rPr>
          <t xml:space="preserve">S-1: </t>
        </r>
        <r>
          <rPr>
            <sz val="10"/>
            <rFont val="FreeSans"/>
            <family val="2"/>
          </rPr>
          <t>بدنه فولاد کربنی، پروانه چدن؛ رینگ چدن؛ شفت فولاد کربنی</t>
        </r>
        <r>
          <rPr>
            <sz val="10"/>
            <rFont val="Arial"/>
            <family val="2"/>
          </rPr>
          <t xml:space="preserve">.
</t>
        </r>
        <r>
          <rPr>
            <sz val="10"/>
            <rFont val="FreeSans"/>
            <family val="2"/>
          </rPr>
          <t>کاربرد معمول: هیدروکربن غیرخورنده</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12" authorId="0" shapeId="0" xr:uid="{00000000-0006-0000-0200-000053020000}">
      <text>
        <r>
          <rPr>
            <sz val="10"/>
            <rFont val="Arial"/>
            <family val="2"/>
          </rPr>
          <t>SOURCE – design code line "&amp; IPS-M-PM-115" in the project item description</t>
        </r>
      </text>
    </comment>
    <comment ref="O112" authorId="0" shapeId="0" xr:uid="{00000000-0006-0000-0200-0000AE020000}">
      <text>
        <r>
          <rPr>
            <sz val="10"/>
            <rFont val="Arial"/>
            <family val="2"/>
          </rPr>
          <t>INFERRED – PC-ME 14040105 Pazanan2 PUMPS B22: no "NACE MR-0175" line in item description, while the document states it item-by-item where required → N</t>
        </r>
      </text>
    </comment>
    <comment ref="S112" authorId="0" shapeId="0" xr:uid="{00000000-0006-0000-0200-000036030000}">
      <text>
        <r>
          <rPr>
            <sz val="10"/>
            <rFont val="Arial"/>
            <family val="2"/>
          </rPr>
          <t xml:space="preserve">INFERRED – </t>
        </r>
        <r>
          <rPr>
            <sz val="10"/>
            <rFont val="FreeSans"/>
            <family val="2"/>
          </rPr>
          <t>نوع محرک در منبع ذکر نشده؛ موتور برقی فرض شده است</t>
        </r>
      </text>
    </comment>
    <comment ref="Y112" authorId="0" shapeId="0" xr:uid="{00000000-0006-0000-0200-0000FE030000}">
      <text>
        <r>
          <rPr>
            <sz val="10"/>
            <rFont val="Arial"/>
            <family val="2"/>
          </rPr>
          <t>SOURCE – PC-ME PUMPS F7: «GOING UNIT PRICE FOB EUR 1404Q1»</t>
        </r>
      </text>
    </comment>
    <comment ref="AF112" authorId="0" shapeId="0" xr:uid="{00000000-0006-0000-0200-0000F9040000}">
      <text>
        <r>
          <rPr>
            <sz val="10"/>
            <rFont val="FreeSans"/>
            <family val="2"/>
          </rPr>
          <t>شرط تحویل</t>
        </r>
        <r>
          <rPr>
            <sz val="10"/>
            <rFont val="Arial"/>
            <family val="2"/>
          </rPr>
          <t>: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در پیشنهادها مشخص نیست</t>
        </r>
        <r>
          <rPr>
            <sz val="10"/>
            <rFont val="Arial"/>
            <family val="2"/>
          </rPr>
          <t>.</t>
        </r>
      </text>
    </comment>
    <comment ref="E113" authorId="0" shapeId="0" xr:uid="{00000000-0006-0000-0200-00007200000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و بارگیری آب آتش‌نشانی</t>
        </r>
      </text>
    </comment>
    <comment ref="F113" authorId="0" shapeId="0" xr:uid="{00000000-0006-0000-0200-00000501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113" authorId="0" shapeId="0" xr:uid="{00000000-0006-0000-0200-000098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13" authorId="0" shapeId="0" xr:uid="{00000000-0006-0000-0200-000054020000}">
      <text>
        <r>
          <rPr>
            <sz val="10"/>
            <rFont val="Arial"/>
            <family val="2"/>
          </rPr>
          <t>SOURCE – design code line "&amp; IPS-M-PM-115" in the project item description</t>
        </r>
      </text>
    </comment>
    <comment ref="O113" authorId="0" shapeId="0" xr:uid="{00000000-0006-0000-0200-0000AF020000}">
      <text>
        <r>
          <rPr>
            <sz val="10"/>
            <rFont val="Arial"/>
            <family val="2"/>
          </rPr>
          <t>INFERRED – PC-ME 14040105 Pazanan2 PUMPS B23: no "NACE MR-0175" line in item description, while the document states it item-by-item where required → N</t>
        </r>
      </text>
    </comment>
    <comment ref="S113" authorId="0" shapeId="0" xr:uid="{00000000-0006-0000-0200-000037030000}">
      <text>
        <r>
          <rPr>
            <sz val="10"/>
            <rFont val="Arial"/>
            <family val="2"/>
          </rPr>
          <t xml:space="preserve">INFERRED – </t>
        </r>
        <r>
          <rPr>
            <sz val="10"/>
            <rFont val="FreeSans"/>
            <family val="2"/>
          </rPr>
          <t>نوع محرک در منبع ذکر نشده؛ موتور برقی فرض شده است</t>
        </r>
      </text>
    </comment>
    <comment ref="Y113" authorId="0" shapeId="0" xr:uid="{00000000-0006-0000-0200-0000FF030000}">
      <text>
        <r>
          <rPr>
            <sz val="10"/>
            <rFont val="Arial"/>
            <family val="2"/>
          </rPr>
          <t>SOURCE – PC-ME PUMPS F7: «GOING UNIT PRICE FOB EUR 1404Q1»</t>
        </r>
      </text>
    </comment>
    <comment ref="AF113" authorId="0" shapeId="0" xr:uid="{00000000-0006-0000-0200-0000FA040000}">
      <text>
        <r>
          <rPr>
            <sz val="10"/>
            <rFont val="FreeSans"/>
            <family val="2"/>
          </rPr>
          <t>شرط تحویل</t>
        </r>
        <r>
          <rPr>
            <sz val="10"/>
            <rFont val="Arial"/>
            <family val="2"/>
          </rPr>
          <t>: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در پیشنهادها مشخص نیست</t>
        </r>
        <r>
          <rPr>
            <sz val="10"/>
            <rFont val="Arial"/>
            <family val="2"/>
          </rPr>
          <t>.</t>
        </r>
      </text>
    </comment>
    <comment ref="E114" authorId="0" shapeId="0" xr:uid="{00000000-0006-0000-0200-00007300000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و بارگیری آب آتش‌نشانی</t>
        </r>
      </text>
    </comment>
    <comment ref="F114" authorId="0" shapeId="0" xr:uid="{00000000-0006-0000-0200-000006010000}">
      <text>
        <r>
          <rPr>
            <sz val="10"/>
            <rFont val="Arial"/>
            <family val="2"/>
          </rPr>
          <t xml:space="preserve">BB (unspecified) – Between bearings – subtype not stated:
</t>
        </r>
        <r>
          <rPr>
            <sz val="10"/>
            <rFont val="FreeSans"/>
            <family val="2"/>
          </rPr>
          <t xml:space="preserve">منبع فقط </t>
        </r>
        <r>
          <rPr>
            <sz val="10"/>
            <rFont val="Arial"/>
            <family val="2"/>
          </rPr>
          <t xml:space="preserve">«Between Bearings» </t>
        </r>
        <r>
          <rPr>
            <sz val="10"/>
            <rFont val="FreeSans"/>
            <family val="2"/>
          </rPr>
          <t xml:space="preserve">گفته و زیرنوع </t>
        </r>
        <r>
          <rPr>
            <sz val="10"/>
            <rFont val="Arial"/>
            <family val="2"/>
          </rPr>
          <t xml:space="preserve">API </t>
        </r>
        <r>
          <rPr>
            <sz val="10"/>
            <rFont val="FreeSans"/>
            <family val="2"/>
          </rPr>
          <t>را مشخص نکرده</t>
        </r>
      </text>
    </comment>
    <comment ref="G114" authorId="0" shapeId="0" xr:uid="{00000000-0006-0000-0200-000099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14" authorId="0" shapeId="0" xr:uid="{00000000-0006-0000-0200-000055020000}">
      <text>
        <r>
          <rPr>
            <sz val="10"/>
            <rFont val="Arial"/>
            <family val="2"/>
          </rPr>
          <t>SOURCE – design code line "&amp; IPS-M-PM-125" in the project item description</t>
        </r>
      </text>
    </comment>
    <comment ref="O114" authorId="0" shapeId="0" xr:uid="{00000000-0006-0000-0200-0000B0020000}">
      <text>
        <r>
          <rPr>
            <sz val="10"/>
            <rFont val="Arial"/>
            <family val="2"/>
          </rPr>
          <t>INFERRED – PC-ME 14040105 Pazanan2 PUMPS B24: no "NACE MR-0175" line in item description, while the document states it item-by-item where required → N</t>
        </r>
      </text>
    </comment>
    <comment ref="S114" authorId="0" shapeId="0" xr:uid="{00000000-0006-0000-0200-000038030000}">
      <text>
        <r>
          <rPr>
            <sz val="10"/>
            <rFont val="Arial"/>
            <family val="2"/>
          </rPr>
          <t>SOURCE – equipment name states electric motor driven</t>
        </r>
      </text>
    </comment>
    <comment ref="Y114" authorId="0" shapeId="0" xr:uid="{00000000-0006-0000-0200-000000040000}">
      <text>
        <r>
          <rPr>
            <sz val="10"/>
            <rFont val="Arial"/>
            <family val="2"/>
          </rPr>
          <t>SOURCE – PC-ME PUMPS F7: «GOING UNIT PRICE FOB EUR 1404Q1»</t>
        </r>
      </text>
    </comment>
    <comment ref="AF114" authorId="0" shapeId="0" xr:uid="{00000000-0006-0000-0200-0000FB040000}">
      <text>
        <r>
          <rPr>
            <sz val="10"/>
            <rFont val="FreeSans"/>
            <family val="2"/>
          </rPr>
          <t>شرط تحویل</t>
        </r>
        <r>
          <rPr>
            <sz val="10"/>
            <rFont val="Arial"/>
            <family val="2"/>
          </rPr>
          <t>: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در پیشنهادها مشخص نیست</t>
        </r>
        <r>
          <rPr>
            <sz val="10"/>
            <rFont val="Arial"/>
            <family val="2"/>
          </rPr>
          <t>.</t>
        </r>
      </text>
    </comment>
    <comment ref="E115" authorId="0" shapeId="0" xr:uid="{00000000-0006-0000-0200-00007400000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و بارگیری آب آتش‌نشانی</t>
        </r>
      </text>
    </comment>
    <comment ref="F115" authorId="0" shapeId="0" xr:uid="{00000000-0006-0000-0200-000007010000}">
      <text>
        <r>
          <rPr>
            <sz val="10"/>
            <rFont val="Arial"/>
            <family val="2"/>
          </rPr>
          <t xml:space="preserve">BB (unspecified) – Between bearings – subtype not stated:
</t>
        </r>
        <r>
          <rPr>
            <sz val="10"/>
            <rFont val="FreeSans"/>
            <family val="2"/>
          </rPr>
          <t xml:space="preserve">منبع فقط </t>
        </r>
        <r>
          <rPr>
            <sz val="10"/>
            <rFont val="Arial"/>
            <family val="2"/>
          </rPr>
          <t xml:space="preserve">«Between Bearings» </t>
        </r>
        <r>
          <rPr>
            <sz val="10"/>
            <rFont val="FreeSans"/>
            <family val="2"/>
          </rPr>
          <t xml:space="preserve">گفته و زیرنوع </t>
        </r>
        <r>
          <rPr>
            <sz val="10"/>
            <rFont val="Arial"/>
            <family val="2"/>
          </rPr>
          <t xml:space="preserve">API </t>
        </r>
        <r>
          <rPr>
            <sz val="10"/>
            <rFont val="FreeSans"/>
            <family val="2"/>
          </rPr>
          <t>را مشخص نکرده</t>
        </r>
      </text>
    </comment>
    <comment ref="G115" authorId="0" shapeId="0" xr:uid="{00000000-0006-0000-0200-00009A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15" authorId="0" shapeId="0" xr:uid="{00000000-0006-0000-0200-000056020000}">
      <text>
        <r>
          <rPr>
            <sz val="10"/>
            <rFont val="Arial"/>
            <family val="2"/>
          </rPr>
          <t>SOURCE – design code line "&amp; IPS-M-PM-125" in the project item description</t>
        </r>
      </text>
    </comment>
    <comment ref="O115" authorId="0" shapeId="0" xr:uid="{00000000-0006-0000-0200-0000B1020000}">
      <text>
        <r>
          <rPr>
            <sz val="10"/>
            <rFont val="Arial"/>
            <family val="2"/>
          </rPr>
          <t>INFERRED – PC-ME 14040105 Pazanan2 PUMPS B25: no "NACE MR-0175" line in item description, while the document states it item-by-item where required → N</t>
        </r>
      </text>
    </comment>
    <comment ref="S115" authorId="0" shapeId="0" xr:uid="{00000000-0006-0000-0200-000039030000}">
      <text>
        <r>
          <rPr>
            <sz val="10"/>
            <rFont val="Arial"/>
            <family val="2"/>
          </rPr>
          <t>SOURCE – equipment name states diesel engine driven</t>
        </r>
      </text>
    </comment>
    <comment ref="Y115" authorId="0" shapeId="0" xr:uid="{00000000-0006-0000-0200-000001040000}">
      <text>
        <r>
          <rPr>
            <sz val="10"/>
            <rFont val="Arial"/>
            <family val="2"/>
          </rPr>
          <t>SOURCE – PC-ME PUMPS F7: «GOING UNIT PRICE FOB EUR 1404Q1»</t>
        </r>
      </text>
    </comment>
    <comment ref="AF115" authorId="0" shapeId="0" xr:uid="{00000000-0006-0000-0200-0000FC040000}">
      <text>
        <r>
          <rPr>
            <sz val="10"/>
            <rFont val="FreeSans"/>
            <family val="2"/>
          </rPr>
          <t>شرط تحویل</t>
        </r>
        <r>
          <rPr>
            <sz val="10"/>
            <rFont val="Arial"/>
            <family val="2"/>
          </rPr>
          <t>: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در پیشنهادها مشخص نیست</t>
        </r>
        <r>
          <rPr>
            <sz val="10"/>
            <rFont val="Arial"/>
            <family val="2"/>
          </rPr>
          <t>.</t>
        </r>
      </text>
    </comment>
    <comment ref="E116" authorId="0" shapeId="0" xr:uid="{00000000-0006-0000-0200-00007500000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و بارگیری آب آتش‌نشانی</t>
        </r>
      </text>
    </comment>
    <comment ref="F116" authorId="0" shapeId="0" xr:uid="{00000000-0006-0000-0200-000008010000}">
      <text>
        <r>
          <rPr>
            <sz val="10"/>
            <rFont val="Arial"/>
            <family val="2"/>
          </rPr>
          <t xml:space="preserve">OH (unspecified) – Overhung – subtype not stated:
</t>
        </r>
        <r>
          <rPr>
            <sz val="10"/>
            <rFont val="FreeSans"/>
            <family val="2"/>
          </rPr>
          <t xml:space="preserve">منبع فقط </t>
        </r>
        <r>
          <rPr>
            <sz val="10"/>
            <rFont val="Arial"/>
            <family val="2"/>
          </rPr>
          <t xml:space="preserve">«Overhung» </t>
        </r>
        <r>
          <rPr>
            <sz val="10"/>
            <rFont val="FreeSans"/>
            <family val="2"/>
          </rPr>
          <t xml:space="preserve">گفته و زیرنوع </t>
        </r>
        <r>
          <rPr>
            <sz val="10"/>
            <rFont val="Arial"/>
            <family val="2"/>
          </rPr>
          <t xml:space="preserve">API </t>
        </r>
        <r>
          <rPr>
            <sz val="10"/>
            <rFont val="FreeSans"/>
            <family val="2"/>
          </rPr>
          <t>را مشخص نکرده</t>
        </r>
      </text>
    </comment>
    <comment ref="G116" authorId="0" shapeId="0" xr:uid="{00000000-0006-0000-0200-00009B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16" authorId="0" shapeId="0" xr:uid="{00000000-0006-0000-0200-000057020000}">
      <text>
        <r>
          <rPr>
            <sz val="10"/>
            <rFont val="Arial"/>
            <family val="2"/>
          </rPr>
          <t>SOURCE – design code line "&amp; IPS-M-PM-125" in the project item description</t>
        </r>
      </text>
    </comment>
    <comment ref="O116" authorId="0" shapeId="0" xr:uid="{00000000-0006-0000-0200-0000B2020000}">
      <text>
        <r>
          <rPr>
            <sz val="10"/>
            <rFont val="Arial"/>
            <family val="2"/>
          </rPr>
          <t>INFERRED – PC-ME 14040105 Pazanan2 PUMPS B26: no "NACE MR-0175" line in item description, while the document states it item-by-item where required → N</t>
        </r>
      </text>
    </comment>
    <comment ref="S116" authorId="0" shapeId="0" xr:uid="{00000000-0006-0000-0200-00003A030000}">
      <text>
        <r>
          <rPr>
            <sz val="10"/>
            <rFont val="Arial"/>
            <family val="2"/>
          </rPr>
          <t xml:space="preserve">INFERRED – </t>
        </r>
        <r>
          <rPr>
            <sz val="10"/>
            <rFont val="FreeSans"/>
            <family val="2"/>
          </rPr>
          <t>نوع محرک در منبع ذکر نشده؛ موتور برقی فرض شده است</t>
        </r>
      </text>
    </comment>
    <comment ref="Y116" authorId="0" shapeId="0" xr:uid="{00000000-0006-0000-0200-000002040000}">
      <text>
        <r>
          <rPr>
            <sz val="10"/>
            <rFont val="Arial"/>
            <family val="2"/>
          </rPr>
          <t>SOURCE – PC-ME PUMPS F7: «GOING UNIT PRICE FOB EUR 1404Q1»</t>
        </r>
      </text>
    </comment>
    <comment ref="AF116" authorId="0" shapeId="0" xr:uid="{00000000-0006-0000-0200-0000FD040000}">
      <text>
        <r>
          <rPr>
            <sz val="10"/>
            <rFont val="FreeSans"/>
            <family val="2"/>
          </rPr>
          <t>شرط تحویل</t>
        </r>
        <r>
          <rPr>
            <sz val="10"/>
            <rFont val="Arial"/>
            <family val="2"/>
          </rPr>
          <t>: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در پیشنهادها مشخص نیست</t>
        </r>
        <r>
          <rPr>
            <sz val="10"/>
            <rFont val="Arial"/>
            <family val="2"/>
          </rPr>
          <t>.</t>
        </r>
      </text>
    </comment>
    <comment ref="E117" authorId="0" shapeId="0" xr:uid="{00000000-0006-0000-0200-000076000000}">
      <text>
        <r>
          <rPr>
            <sz val="10"/>
            <rFont val="Arial"/>
            <family val="2"/>
          </rPr>
          <t xml:space="preserve">ROT-AUX = Chemical, Fuel &amp; Auxiliary Pumps
</t>
        </r>
        <r>
          <rPr>
            <sz val="10"/>
            <rFont val="FreeSans"/>
            <family val="2"/>
          </rPr>
          <t xml:space="preserve">پمپ‌های جانبی: مواد شیمیایی، گلایکول، گازوئیل و سوخت
—
</t>
        </r>
        <r>
          <rPr>
            <sz val="10"/>
            <rFont val="Arial"/>
            <family val="2"/>
          </rPr>
          <t>Reclassified 1405-07: ROT-INJ → ROT-AUX (service-based classification; approved)</t>
        </r>
      </text>
    </comment>
    <comment ref="F117" authorId="0" shapeId="0" xr:uid="{00000000-0006-0000-0200-00000901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117" authorId="0" shapeId="0" xr:uid="{00000000-0006-0000-0200-00009C010000}">
      <text>
        <r>
          <rPr>
            <sz val="10"/>
            <rFont val="Arial"/>
            <family val="2"/>
          </rPr>
          <t xml:space="preserve">SS316L (non-API): </t>
        </r>
        <r>
          <rPr>
            <sz val="10"/>
            <rFont val="FreeSans"/>
            <family val="2"/>
          </rPr>
          <t xml:space="preserve">بدنه فولاد ضدزنگ </t>
        </r>
        <r>
          <rPr>
            <sz val="10"/>
            <rFont val="Arial"/>
            <family val="2"/>
          </rPr>
          <t>316L</t>
        </r>
        <r>
          <rPr>
            <sz val="10"/>
            <rFont val="FreeSans"/>
            <family val="2"/>
          </rPr>
          <t xml:space="preserve">، پروانه فولاد ضدزنگ </t>
        </r>
        <r>
          <rPr>
            <sz val="10"/>
            <rFont val="Arial"/>
            <family val="2"/>
          </rPr>
          <t>316L</t>
        </r>
        <r>
          <rPr>
            <sz val="10"/>
            <rFont val="FreeSans"/>
            <family val="2"/>
          </rPr>
          <t>؛ —</t>
        </r>
        <r>
          <rPr>
            <sz val="10"/>
            <rFont val="Arial"/>
            <family val="2"/>
          </rPr>
          <t xml:space="preserve">.
</t>
        </r>
        <r>
          <rPr>
            <sz val="10"/>
            <rFont val="FreeSans"/>
            <family val="2"/>
          </rPr>
          <t xml:space="preserve">کاربرد معمول: ساخت غیر </t>
        </r>
        <r>
          <rPr>
            <sz val="10"/>
            <rFont val="Arial"/>
            <family val="2"/>
          </rPr>
          <t>API (</t>
        </r>
        <r>
          <rPr>
            <sz val="10"/>
            <rFont val="FreeSans"/>
            <family val="2"/>
          </rPr>
          <t>مثلاً پمپ بشکه‌ای پرتابل</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H117" authorId="0" shapeId="0" xr:uid="{00000000-0006-0000-0200-0000C3010000}">
      <text>
        <r>
          <rPr>
            <sz val="10"/>
            <rFont val="Arial"/>
            <family val="2"/>
          </rPr>
          <t>SOURCE – PC-ME 14040105 Pazanan2 PUMPS B27: Rated Flow 160 Lit/min = 9.6 m3/hr (previous bank had 160 m3/h – unit error)</t>
        </r>
      </text>
    </comment>
    <comment ref="M117" authorId="0" shapeId="0" xr:uid="{00000000-0006-0000-0200-000011020000}">
      <text>
        <r>
          <rPr>
            <sz val="10"/>
            <rFont val="Arial"/>
            <family val="2"/>
          </rPr>
          <t>Source item gives type / flow / material only – no design standard (previous bank "API 610 / IPS" unsupported; a portable barrel pump is not an API 610 pump)</t>
        </r>
      </text>
    </comment>
    <comment ref="O117" authorId="0" shapeId="0" xr:uid="{00000000-0006-0000-0200-0000B3020000}">
      <text>
        <r>
          <rPr>
            <sz val="10"/>
            <rFont val="Arial"/>
            <family val="2"/>
          </rPr>
          <t>INFERRED – PC-ME 14040105 Pazanan2 PUMPS B27: no "NACE MR-0175" line in item description, while the document states it item-by-item where required → N</t>
        </r>
      </text>
    </comment>
    <comment ref="S117" authorId="0" shapeId="0" xr:uid="{00000000-0006-0000-0200-00003B030000}">
      <text>
        <r>
          <rPr>
            <sz val="10"/>
            <rFont val="Arial"/>
            <family val="2"/>
          </rPr>
          <t xml:space="preserve">INFERRED – </t>
        </r>
        <r>
          <rPr>
            <sz val="10"/>
            <rFont val="FreeSans"/>
            <family val="2"/>
          </rPr>
          <t>نوع محرک در منبع ذکر نشده؛ موتور برقی فرض شده است</t>
        </r>
      </text>
    </comment>
    <comment ref="Y117" authorId="0" shapeId="0" xr:uid="{00000000-0006-0000-0200-000003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AA117" authorId="0" shapeId="0" xr:uid="{00000000-0006-0000-0200-00005E040000}">
      <text>
        <r>
          <rPr>
            <sz val="10"/>
            <rFont val="Arial"/>
            <family val="2"/>
          </rPr>
          <t>SOURCE – PC-ME 14040105 Pazanan2 PUMPS E27: =AQ27*'[5]Basic INFO'!$E$127 – no quotation received (all declined); value is the R02 (1393) price AQ27 = 100,000,000 IRR escalated by an external factor</t>
        </r>
      </text>
    </comment>
    <comment ref="AF117" authorId="0" shapeId="0" xr:uid="{00000000-0006-0000-0200-0000FE040000}">
      <text>
        <r>
          <rPr>
            <sz val="10"/>
            <rFont val="FreeSans"/>
            <family val="2"/>
          </rPr>
          <t xml:space="preserve">شرط تحویل: در منبع ذکر نشده </t>
        </r>
        <r>
          <rPr>
            <sz val="10"/>
            <rFont val="Arial"/>
            <family val="2"/>
          </rPr>
          <t>(</t>
        </r>
        <r>
          <rPr>
            <sz val="10"/>
            <rFont val="FreeSans"/>
            <family val="2"/>
          </rPr>
          <t xml:space="preserve">قیمت ریالی </t>
        </r>
        <r>
          <rPr>
            <sz val="10"/>
            <rFont val="Arial"/>
            <family val="2"/>
          </rPr>
          <t>R02</t>
        </r>
        <r>
          <rPr>
            <sz val="10"/>
            <rFont val="FreeSans"/>
            <family val="2"/>
          </rPr>
          <t>، ستون AQ «Unit Price (Rials)»).
سربار، مالیات و نصب شامل نیست</t>
        </r>
        <r>
          <rPr>
            <sz val="10"/>
            <rFont val="Arial"/>
            <family val="2"/>
          </rPr>
          <t>.</t>
        </r>
      </text>
    </comment>
    <comment ref="E118" authorId="0" shapeId="0" xr:uid="{00000000-0006-0000-0200-000077000000}">
      <text>
        <r>
          <rPr>
            <sz val="10"/>
            <rFont val="Arial"/>
            <family val="2"/>
          </rPr>
          <t xml:space="preserve">ROT-AUX = Chemical, Fuel &amp; Auxiliary Pumps
</t>
        </r>
        <r>
          <rPr>
            <sz val="10"/>
            <rFont val="FreeSans"/>
            <family val="2"/>
          </rPr>
          <t xml:space="preserve">پمپ‌های جانبی: مواد شیمیایی، گلایکول، گازوئیل و سوخت
—
</t>
        </r>
        <r>
          <rPr>
            <sz val="10"/>
            <rFont val="Arial"/>
            <family val="2"/>
          </rPr>
          <t>Reclassified 1405-07: ROT-INJ → ROT-AUX (service-based classification; approved)</t>
        </r>
      </text>
    </comment>
    <comment ref="F118" authorId="0" shapeId="0" xr:uid="{00000000-0006-0000-0200-00000A01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118" authorId="0" shapeId="0" xr:uid="{00000000-0006-0000-0200-00009D010000}">
      <text>
        <r>
          <rPr>
            <sz val="10"/>
            <rFont val="Arial"/>
            <family val="2"/>
          </rPr>
          <t xml:space="preserve">SS316L (non-API): </t>
        </r>
        <r>
          <rPr>
            <sz val="10"/>
            <rFont val="FreeSans"/>
            <family val="2"/>
          </rPr>
          <t xml:space="preserve">بدنه فولاد ضدزنگ </t>
        </r>
        <r>
          <rPr>
            <sz val="10"/>
            <rFont val="Arial"/>
            <family val="2"/>
          </rPr>
          <t>316L</t>
        </r>
        <r>
          <rPr>
            <sz val="10"/>
            <rFont val="FreeSans"/>
            <family val="2"/>
          </rPr>
          <t xml:space="preserve">، پروانه فولاد ضدزنگ </t>
        </r>
        <r>
          <rPr>
            <sz val="10"/>
            <rFont val="Arial"/>
            <family val="2"/>
          </rPr>
          <t>316L</t>
        </r>
        <r>
          <rPr>
            <sz val="10"/>
            <rFont val="FreeSans"/>
            <family val="2"/>
          </rPr>
          <t>؛ —</t>
        </r>
        <r>
          <rPr>
            <sz val="10"/>
            <rFont val="Arial"/>
            <family val="2"/>
          </rPr>
          <t xml:space="preserve">.
</t>
        </r>
        <r>
          <rPr>
            <sz val="10"/>
            <rFont val="FreeSans"/>
            <family val="2"/>
          </rPr>
          <t xml:space="preserve">کاربرد معمول: ساخت غیر </t>
        </r>
        <r>
          <rPr>
            <sz val="10"/>
            <rFont val="Arial"/>
            <family val="2"/>
          </rPr>
          <t>API (</t>
        </r>
        <r>
          <rPr>
            <sz val="10"/>
            <rFont val="FreeSans"/>
            <family val="2"/>
          </rPr>
          <t>مثلاً پمپ بشکه‌ای پرتابل</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H118" authorId="0" shapeId="0" xr:uid="{00000000-0006-0000-0200-0000C4010000}">
      <text>
        <r>
          <rPr>
            <sz val="10"/>
            <rFont val="Arial"/>
            <family val="2"/>
          </rPr>
          <t>SOURCE – PC-ME 14040105 Pazanan2 PUMPS B28: Rated Flow 160 Lit/min = 9.6 m3/hr (previous bank had 160 m3/h – unit error)</t>
        </r>
      </text>
    </comment>
    <comment ref="M118" authorId="0" shapeId="0" xr:uid="{00000000-0006-0000-0200-000012020000}">
      <text>
        <r>
          <rPr>
            <sz val="10"/>
            <rFont val="Arial"/>
            <family val="2"/>
          </rPr>
          <t>Source item gives type / flow / material only – no design standard (previous bank "API 610 / IPS" unsupported; a portable barrel pump is not an API 610 pump)</t>
        </r>
      </text>
    </comment>
    <comment ref="O118" authorId="0" shapeId="0" xr:uid="{00000000-0006-0000-0200-0000B4020000}">
      <text>
        <r>
          <rPr>
            <sz val="10"/>
            <rFont val="Arial"/>
            <family val="2"/>
          </rPr>
          <t>INFERRED – PC-ME 14040105 Pazanan2 PUMPS B28: no "NACE MR-0175" line in item description, while the document states it item-by-item where required → N</t>
        </r>
      </text>
    </comment>
    <comment ref="S118" authorId="0" shapeId="0" xr:uid="{00000000-0006-0000-0200-00003C030000}">
      <text>
        <r>
          <rPr>
            <sz val="10"/>
            <rFont val="Arial"/>
            <family val="2"/>
          </rPr>
          <t xml:space="preserve">INFERRED – </t>
        </r>
        <r>
          <rPr>
            <sz val="10"/>
            <rFont val="FreeSans"/>
            <family val="2"/>
          </rPr>
          <t>نوع محرک در منبع ذکر نشده؛ موتور برقی فرض شده است</t>
        </r>
      </text>
    </comment>
    <comment ref="Y118" authorId="0" shapeId="0" xr:uid="{00000000-0006-0000-0200-000004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AA118" authorId="0" shapeId="0" xr:uid="{00000000-0006-0000-0200-00005F040000}">
      <text>
        <r>
          <rPr>
            <sz val="10"/>
            <rFont val="Arial"/>
            <family val="2"/>
          </rPr>
          <t>SOURCE – PC-ME 14040105 Pazanan2 PUMPS E28: =AQ28*'[5]Basic INFO'!$E$127 – no quotation received (all declined); value is the R02 (1393) price AQ28 = 100,000,000 IRR escalated by an external factor</t>
        </r>
      </text>
    </comment>
    <comment ref="AF118" authorId="0" shapeId="0" xr:uid="{00000000-0006-0000-0200-0000FF040000}">
      <text>
        <r>
          <rPr>
            <sz val="10"/>
            <rFont val="FreeSans"/>
            <family val="2"/>
          </rPr>
          <t xml:space="preserve">شرط تحویل: در منبع ذکر نشده </t>
        </r>
        <r>
          <rPr>
            <sz val="10"/>
            <rFont val="Arial"/>
            <family val="2"/>
          </rPr>
          <t>(</t>
        </r>
        <r>
          <rPr>
            <sz val="10"/>
            <rFont val="FreeSans"/>
            <family val="2"/>
          </rPr>
          <t xml:space="preserve">قیمت ریالی </t>
        </r>
        <r>
          <rPr>
            <sz val="10"/>
            <rFont val="Arial"/>
            <family val="2"/>
          </rPr>
          <t>R02</t>
        </r>
        <r>
          <rPr>
            <sz val="10"/>
            <rFont val="FreeSans"/>
            <family val="2"/>
          </rPr>
          <t>، ستون AQ «Unit Price (Rials)»).
سربار، مالیات و نصب شامل نیست</t>
        </r>
        <r>
          <rPr>
            <sz val="10"/>
            <rFont val="Arial"/>
            <family val="2"/>
          </rPr>
          <t>.</t>
        </r>
      </text>
    </comment>
    <comment ref="E119" authorId="0" shapeId="0" xr:uid="{00000000-0006-0000-0200-000078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و انتقال اصلی</t>
        </r>
      </text>
    </comment>
    <comment ref="F119" authorId="0" shapeId="0" xr:uid="{00000000-0006-0000-0200-00000B010000}">
      <text>
        <r>
          <rPr>
            <sz val="10"/>
            <rFont val="Arial"/>
            <family val="2"/>
          </rPr>
          <t xml:space="preserve">Not stated – —:
</t>
        </r>
        <r>
          <rPr>
            <sz val="10"/>
            <rFont val="FreeSans"/>
            <family val="2"/>
          </rPr>
          <t>نوع پمپ در منبع ذکر نشده</t>
        </r>
      </text>
    </comment>
    <comment ref="G119" authorId="0" shapeId="0" xr:uid="{00000000-0006-0000-0200-00009E010000}">
      <text>
        <r>
          <rPr>
            <sz val="10"/>
            <rFont val="FreeSans"/>
            <family val="2"/>
          </rPr>
          <t>کلاس متریال در منبع ذکر نشده است</t>
        </r>
        <r>
          <rPr>
            <sz val="10"/>
            <rFont val="Arial"/>
            <family val="2"/>
          </rPr>
          <t>.</t>
        </r>
      </text>
    </comment>
    <comment ref="I119" authorId="0" shapeId="0" xr:uid="{00000000-0006-0000-0200-0000DB01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F4</t>
        </r>
      </text>
    </comment>
    <comment ref="S119" authorId="0" shapeId="0" xr:uid="{00000000-0006-0000-0200-00003D03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E4 = E</t>
        </r>
      </text>
    </comment>
    <comment ref="AF119" authorId="0" shapeId="0" xr:uid="{00000000-0006-0000-0200-000000050000}">
      <text>
        <r>
          <rPr>
            <sz val="10"/>
            <rFont val="FreeSans"/>
            <family val="2"/>
          </rPr>
          <t xml:space="preserve">شرط تحویل و شمول هزینه‌ها در منبع </t>
        </r>
        <r>
          <rPr>
            <sz val="10"/>
            <rFont val="Arial"/>
            <family val="2"/>
          </rPr>
          <t>(</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ذکر نشده است</t>
        </r>
        <r>
          <rPr>
            <sz val="10"/>
            <rFont val="Arial"/>
            <family val="2"/>
          </rPr>
          <t>.</t>
        </r>
      </text>
    </comment>
    <comment ref="E120" authorId="0" shapeId="0" xr:uid="{00000000-0006-0000-0200-000079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و انتقال اصلی</t>
        </r>
      </text>
    </comment>
    <comment ref="F120" authorId="0" shapeId="0" xr:uid="{00000000-0006-0000-0200-00000C010000}">
      <text>
        <r>
          <rPr>
            <sz val="10"/>
            <rFont val="Arial"/>
            <family val="2"/>
          </rPr>
          <t xml:space="preserve">Not stated – —:
</t>
        </r>
        <r>
          <rPr>
            <sz val="10"/>
            <rFont val="FreeSans"/>
            <family val="2"/>
          </rPr>
          <t>نوع پمپ در منبع ذکر نشده</t>
        </r>
      </text>
    </comment>
    <comment ref="G120" authorId="0" shapeId="0" xr:uid="{00000000-0006-0000-0200-00009F010000}">
      <text>
        <r>
          <rPr>
            <sz val="10"/>
            <rFont val="FreeSans"/>
            <family val="2"/>
          </rPr>
          <t>کلاس متریال در منبع ذکر نشده است</t>
        </r>
        <r>
          <rPr>
            <sz val="10"/>
            <rFont val="Arial"/>
            <family val="2"/>
          </rPr>
          <t>.</t>
        </r>
      </text>
    </comment>
    <comment ref="I120" authorId="0" shapeId="0" xr:uid="{00000000-0006-0000-0200-0000DC01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F5</t>
        </r>
      </text>
    </comment>
    <comment ref="S120" authorId="0" shapeId="0" xr:uid="{00000000-0006-0000-0200-00003E03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E5 = E</t>
        </r>
      </text>
    </comment>
    <comment ref="AF120" authorId="0" shapeId="0" xr:uid="{00000000-0006-0000-0200-000001050000}">
      <text>
        <r>
          <rPr>
            <sz val="10"/>
            <rFont val="FreeSans"/>
            <family val="2"/>
          </rPr>
          <t xml:space="preserve">شرط تحویل و شمول هزینه‌ها در منبع </t>
        </r>
        <r>
          <rPr>
            <sz val="10"/>
            <rFont val="Arial"/>
            <family val="2"/>
          </rPr>
          <t>(</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ذکر نشده است</t>
        </r>
        <r>
          <rPr>
            <sz val="10"/>
            <rFont val="Arial"/>
            <family val="2"/>
          </rPr>
          <t>.</t>
        </r>
      </text>
    </comment>
    <comment ref="E121" authorId="0" shapeId="0" xr:uid="{00000000-0006-0000-0200-00007A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و انتقال اصلی</t>
        </r>
      </text>
    </comment>
    <comment ref="F121" authorId="0" shapeId="0" xr:uid="{00000000-0006-0000-0200-00000D010000}">
      <text>
        <r>
          <rPr>
            <sz val="10"/>
            <rFont val="Arial"/>
            <family val="2"/>
          </rPr>
          <t xml:space="preserve">Not stated – —:
</t>
        </r>
        <r>
          <rPr>
            <sz val="10"/>
            <rFont val="FreeSans"/>
            <family val="2"/>
          </rPr>
          <t>نوع پمپ در منبع ذکر نشده</t>
        </r>
      </text>
    </comment>
    <comment ref="G121" authorId="0" shapeId="0" xr:uid="{00000000-0006-0000-0200-0000A0010000}">
      <text>
        <r>
          <rPr>
            <sz val="10"/>
            <rFont val="FreeSans"/>
            <family val="2"/>
          </rPr>
          <t>کلاس متریال در منبع ذکر نشده است</t>
        </r>
        <r>
          <rPr>
            <sz val="10"/>
            <rFont val="Arial"/>
            <family val="2"/>
          </rPr>
          <t>.</t>
        </r>
      </text>
    </comment>
    <comment ref="I121" authorId="0" shapeId="0" xr:uid="{00000000-0006-0000-0200-0000DD01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F6</t>
        </r>
      </text>
    </comment>
    <comment ref="S121" authorId="0" shapeId="0" xr:uid="{00000000-0006-0000-0200-00003F03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E6 = E</t>
        </r>
      </text>
    </comment>
    <comment ref="AF121" authorId="0" shapeId="0" xr:uid="{00000000-0006-0000-0200-000002050000}">
      <text>
        <r>
          <rPr>
            <sz val="10"/>
            <rFont val="FreeSans"/>
            <family val="2"/>
          </rPr>
          <t xml:space="preserve">شرط تحویل و شمول هزینه‌ها در منبع </t>
        </r>
        <r>
          <rPr>
            <sz val="10"/>
            <rFont val="Arial"/>
            <family val="2"/>
          </rPr>
          <t>(</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ذکر نشده است</t>
        </r>
        <r>
          <rPr>
            <sz val="10"/>
            <rFont val="Arial"/>
            <family val="2"/>
          </rPr>
          <t>.</t>
        </r>
      </text>
    </comment>
    <comment ref="E122" authorId="0" shapeId="0" xr:uid="{00000000-0006-0000-0200-00007B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و انتقال اصلی</t>
        </r>
      </text>
    </comment>
    <comment ref="F122" authorId="0" shapeId="0" xr:uid="{00000000-0006-0000-0200-00000E010000}">
      <text>
        <r>
          <rPr>
            <sz val="10"/>
            <rFont val="Arial"/>
            <family val="2"/>
          </rPr>
          <t xml:space="preserve">Not stated – —:
</t>
        </r>
        <r>
          <rPr>
            <sz val="10"/>
            <rFont val="FreeSans"/>
            <family val="2"/>
          </rPr>
          <t>نوع پمپ در منبع ذکر نشده</t>
        </r>
      </text>
    </comment>
    <comment ref="G122" authorId="0" shapeId="0" xr:uid="{00000000-0006-0000-0200-0000A1010000}">
      <text>
        <r>
          <rPr>
            <sz val="10"/>
            <rFont val="FreeSans"/>
            <family val="2"/>
          </rPr>
          <t>کلاس متریال در منبع ذکر نشده است</t>
        </r>
        <r>
          <rPr>
            <sz val="10"/>
            <rFont val="Arial"/>
            <family val="2"/>
          </rPr>
          <t>.</t>
        </r>
      </text>
    </comment>
    <comment ref="S122" authorId="0" shapeId="0" xr:uid="{00000000-0006-0000-0200-00004003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E7 = E</t>
        </r>
      </text>
    </comment>
    <comment ref="AF122" authorId="0" shapeId="0" xr:uid="{00000000-0006-0000-0200-000003050000}">
      <text>
        <r>
          <rPr>
            <sz val="10"/>
            <rFont val="FreeSans"/>
            <family val="2"/>
          </rPr>
          <t xml:space="preserve">شرط تحویل و شمول هزینه‌ها در منبع </t>
        </r>
        <r>
          <rPr>
            <sz val="10"/>
            <rFont val="Arial"/>
            <family val="2"/>
          </rPr>
          <t>(</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ذکر نشده است</t>
        </r>
        <r>
          <rPr>
            <sz val="10"/>
            <rFont val="Arial"/>
            <family val="2"/>
          </rPr>
          <t>.</t>
        </r>
      </text>
    </comment>
    <comment ref="E123" authorId="0" shapeId="0" xr:uid="{00000000-0006-0000-0200-00007C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و انتقال اصلی</t>
        </r>
      </text>
    </comment>
    <comment ref="F123" authorId="0" shapeId="0" xr:uid="{00000000-0006-0000-0200-00000F010000}">
      <text>
        <r>
          <rPr>
            <sz val="10"/>
            <rFont val="Arial"/>
            <family val="2"/>
          </rPr>
          <t xml:space="preserve">Not stated – —:
</t>
        </r>
        <r>
          <rPr>
            <sz val="10"/>
            <rFont val="FreeSans"/>
            <family val="2"/>
          </rPr>
          <t>نوع پمپ در منبع ذکر نشده</t>
        </r>
      </text>
    </comment>
    <comment ref="G123" authorId="0" shapeId="0" xr:uid="{00000000-0006-0000-0200-0000A2010000}">
      <text>
        <r>
          <rPr>
            <sz val="10"/>
            <rFont val="FreeSans"/>
            <family val="2"/>
          </rPr>
          <t>کلاس متریال در منبع ذکر نشده است</t>
        </r>
        <r>
          <rPr>
            <sz val="10"/>
            <rFont val="Arial"/>
            <family val="2"/>
          </rPr>
          <t>.</t>
        </r>
      </text>
    </comment>
    <comment ref="I123" authorId="0" shapeId="0" xr:uid="{00000000-0006-0000-0200-0000DE01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F8</t>
        </r>
      </text>
    </comment>
    <comment ref="S123" authorId="0" shapeId="0" xr:uid="{00000000-0006-0000-0200-00004103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E8 = E</t>
        </r>
      </text>
    </comment>
    <comment ref="AF123" authorId="0" shapeId="0" xr:uid="{00000000-0006-0000-0200-000004050000}">
      <text>
        <r>
          <rPr>
            <sz val="10"/>
            <rFont val="FreeSans"/>
            <family val="2"/>
          </rPr>
          <t xml:space="preserve">شرط تحویل و شمول هزینه‌ها در منبع </t>
        </r>
        <r>
          <rPr>
            <sz val="10"/>
            <rFont val="Arial"/>
            <family val="2"/>
          </rPr>
          <t>(</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ذکر نشده است</t>
        </r>
        <r>
          <rPr>
            <sz val="10"/>
            <rFont val="Arial"/>
            <family val="2"/>
          </rPr>
          <t>.</t>
        </r>
      </text>
    </comment>
    <comment ref="E124" authorId="0" shapeId="0" xr:uid="{00000000-0006-0000-0200-00007D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124" authorId="0" shapeId="0" xr:uid="{00000000-0006-0000-0200-000010010000}">
      <text>
        <r>
          <rPr>
            <sz val="10"/>
            <rFont val="Arial"/>
            <family val="2"/>
          </rPr>
          <t xml:space="preserve">Not stated – —:
</t>
        </r>
        <r>
          <rPr>
            <sz val="10"/>
            <rFont val="FreeSans"/>
            <family val="2"/>
          </rPr>
          <t>نوع پمپ در منبع ذکر نشده</t>
        </r>
      </text>
    </comment>
    <comment ref="G124" authorId="0" shapeId="0" xr:uid="{00000000-0006-0000-0200-0000A3010000}">
      <text>
        <r>
          <rPr>
            <sz val="10"/>
            <rFont val="FreeSans"/>
            <family val="2"/>
          </rPr>
          <t>کلاس متریال در منبع ذکر نشده است</t>
        </r>
        <r>
          <rPr>
            <sz val="10"/>
            <rFont val="Arial"/>
            <family val="2"/>
          </rPr>
          <t>.</t>
        </r>
      </text>
    </comment>
    <comment ref="I124" authorId="0" shapeId="0" xr:uid="{00000000-0006-0000-0200-0000DF01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F9</t>
        </r>
      </text>
    </comment>
    <comment ref="S124" authorId="0" shapeId="0" xr:uid="{00000000-0006-0000-0200-00004203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E9 = E</t>
        </r>
      </text>
    </comment>
    <comment ref="AF124" authorId="0" shapeId="0" xr:uid="{00000000-0006-0000-0200-000005050000}">
      <text>
        <r>
          <rPr>
            <sz val="10"/>
            <rFont val="FreeSans"/>
            <family val="2"/>
          </rPr>
          <t xml:space="preserve">شرط تحویل و شمول هزینه‌ها در منبع </t>
        </r>
        <r>
          <rPr>
            <sz val="10"/>
            <rFont val="Arial"/>
            <family val="2"/>
          </rPr>
          <t>(</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ذکر نشده است</t>
        </r>
        <r>
          <rPr>
            <sz val="10"/>
            <rFont val="Arial"/>
            <family val="2"/>
          </rPr>
          <t>.</t>
        </r>
      </text>
    </comment>
    <comment ref="E125" authorId="0" shapeId="0" xr:uid="{00000000-0006-0000-0200-00007E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125" authorId="0" shapeId="0" xr:uid="{00000000-0006-0000-0200-000011010000}">
      <text>
        <r>
          <rPr>
            <sz val="10"/>
            <rFont val="Arial"/>
            <family val="2"/>
          </rPr>
          <t xml:space="preserve">Not stated – —:
</t>
        </r>
        <r>
          <rPr>
            <sz val="10"/>
            <rFont val="FreeSans"/>
            <family val="2"/>
          </rPr>
          <t>نوع پمپ در منبع ذکر نشده</t>
        </r>
      </text>
    </comment>
    <comment ref="G125" authorId="0" shapeId="0" xr:uid="{00000000-0006-0000-0200-0000A4010000}">
      <text>
        <r>
          <rPr>
            <sz val="10"/>
            <rFont val="FreeSans"/>
            <family val="2"/>
          </rPr>
          <t>کلاس متریال در منبع ذکر نشده است</t>
        </r>
        <r>
          <rPr>
            <sz val="10"/>
            <rFont val="Arial"/>
            <family val="2"/>
          </rPr>
          <t>.</t>
        </r>
      </text>
    </comment>
    <comment ref="I125" authorId="0" shapeId="0" xr:uid="{00000000-0006-0000-0200-0000E001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F10</t>
        </r>
      </text>
    </comment>
    <comment ref="S125" authorId="0" shapeId="0" xr:uid="{00000000-0006-0000-0200-00004303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E10 = E</t>
        </r>
      </text>
    </comment>
    <comment ref="AF125" authorId="0" shapeId="0" xr:uid="{00000000-0006-0000-0200-000006050000}">
      <text>
        <r>
          <rPr>
            <sz val="10"/>
            <rFont val="FreeSans"/>
            <family val="2"/>
          </rPr>
          <t xml:space="preserve">شرط تحویل و شمول هزینه‌ها در منبع </t>
        </r>
        <r>
          <rPr>
            <sz val="10"/>
            <rFont val="Arial"/>
            <family val="2"/>
          </rPr>
          <t>(</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ذکر نشده است</t>
        </r>
        <r>
          <rPr>
            <sz val="10"/>
            <rFont val="Arial"/>
            <family val="2"/>
          </rPr>
          <t>.</t>
        </r>
      </text>
    </comment>
    <comment ref="E126" authorId="0" shapeId="0" xr:uid="{00000000-0006-0000-0200-00007F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126" authorId="0" shapeId="0" xr:uid="{00000000-0006-0000-0200-000012010000}">
      <text>
        <r>
          <rPr>
            <sz val="10"/>
            <rFont val="Arial"/>
            <family val="2"/>
          </rPr>
          <t xml:space="preserve">Not stated – —:
</t>
        </r>
        <r>
          <rPr>
            <sz val="10"/>
            <rFont val="FreeSans"/>
            <family val="2"/>
          </rPr>
          <t>نوع پمپ در منبع ذکر نشده</t>
        </r>
      </text>
    </comment>
    <comment ref="G126" authorId="0" shapeId="0" xr:uid="{00000000-0006-0000-0200-0000A5010000}">
      <text>
        <r>
          <rPr>
            <sz val="10"/>
            <rFont val="FreeSans"/>
            <family val="2"/>
          </rPr>
          <t>کلاس متریال در منبع ذکر نشده است</t>
        </r>
        <r>
          <rPr>
            <sz val="10"/>
            <rFont val="Arial"/>
            <family val="2"/>
          </rPr>
          <t>.</t>
        </r>
      </text>
    </comment>
    <comment ref="I126" authorId="0" shapeId="0" xr:uid="{00000000-0006-0000-0200-0000E101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F11</t>
        </r>
      </text>
    </comment>
    <comment ref="S126" authorId="0" shapeId="0" xr:uid="{00000000-0006-0000-0200-00004403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E11 = E</t>
        </r>
      </text>
    </comment>
    <comment ref="AF126" authorId="0" shapeId="0" xr:uid="{00000000-0006-0000-0200-000007050000}">
      <text>
        <r>
          <rPr>
            <sz val="10"/>
            <rFont val="FreeSans"/>
            <family val="2"/>
          </rPr>
          <t xml:space="preserve">شرط تحویل و شمول هزینه‌ها در منبع </t>
        </r>
        <r>
          <rPr>
            <sz val="10"/>
            <rFont val="Arial"/>
            <family val="2"/>
          </rPr>
          <t>(</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ذکر نشده است</t>
        </r>
        <r>
          <rPr>
            <sz val="10"/>
            <rFont val="Arial"/>
            <family val="2"/>
          </rPr>
          <t>.</t>
        </r>
      </text>
    </comment>
    <comment ref="E127" authorId="0" shapeId="0" xr:uid="{00000000-0006-0000-0200-000080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
—
</t>
        </r>
        <r>
          <rPr>
            <sz val="10"/>
            <rFont val="Arial"/>
            <family val="2"/>
          </rPr>
          <t>Reclassified 1405-07: ROT-DRN → ROT-WAT (service-based classification; approved)</t>
        </r>
      </text>
    </comment>
    <comment ref="F127" authorId="0" shapeId="0" xr:uid="{00000000-0006-0000-0200-000013010000}">
      <text>
        <r>
          <rPr>
            <sz val="10"/>
            <rFont val="Arial"/>
            <family val="2"/>
          </rPr>
          <t xml:space="preserve">Not stated – —:
</t>
        </r>
        <r>
          <rPr>
            <sz val="10"/>
            <rFont val="FreeSans"/>
            <family val="2"/>
          </rPr>
          <t>نوع پمپ در منبع ذکر نشده</t>
        </r>
      </text>
    </comment>
    <comment ref="G127" authorId="0" shapeId="0" xr:uid="{00000000-0006-0000-0200-0000A6010000}">
      <text>
        <r>
          <rPr>
            <sz val="10"/>
            <rFont val="FreeSans"/>
            <family val="2"/>
          </rPr>
          <t>کلاس متریال در منبع ذکر نشده است</t>
        </r>
        <r>
          <rPr>
            <sz val="10"/>
            <rFont val="Arial"/>
            <family val="2"/>
          </rPr>
          <t>.</t>
        </r>
      </text>
    </comment>
    <comment ref="I127" authorId="0" shapeId="0" xr:uid="{00000000-0006-0000-0200-0000E201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F12</t>
        </r>
      </text>
    </comment>
    <comment ref="S127" authorId="0" shapeId="0" xr:uid="{00000000-0006-0000-0200-00004503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E12 = E</t>
        </r>
      </text>
    </comment>
    <comment ref="AF127" authorId="0" shapeId="0" xr:uid="{00000000-0006-0000-0200-000008050000}">
      <text>
        <r>
          <rPr>
            <sz val="10"/>
            <rFont val="FreeSans"/>
            <family val="2"/>
          </rPr>
          <t xml:space="preserve">شرط تحویل و شمول هزینه‌ها در منبع </t>
        </r>
        <r>
          <rPr>
            <sz val="10"/>
            <rFont val="Arial"/>
            <family val="2"/>
          </rPr>
          <t>(</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ذکر نشده است</t>
        </r>
        <r>
          <rPr>
            <sz val="10"/>
            <rFont val="Arial"/>
            <family val="2"/>
          </rPr>
          <t>.</t>
        </r>
      </text>
    </comment>
    <comment ref="E128" authorId="0" shapeId="0" xr:uid="{00000000-0006-0000-0200-000081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128" authorId="0" shapeId="0" xr:uid="{00000000-0006-0000-0200-000014010000}">
      <text>
        <r>
          <rPr>
            <sz val="10"/>
            <rFont val="Arial"/>
            <family val="2"/>
          </rPr>
          <t xml:space="preserve">Not stated – —:
</t>
        </r>
        <r>
          <rPr>
            <sz val="10"/>
            <rFont val="FreeSans"/>
            <family val="2"/>
          </rPr>
          <t>نوع پمپ در منبع ذکر نشده</t>
        </r>
      </text>
    </comment>
    <comment ref="G128" authorId="0" shapeId="0" xr:uid="{00000000-0006-0000-0200-0000A7010000}">
      <text>
        <r>
          <rPr>
            <sz val="10"/>
            <rFont val="FreeSans"/>
            <family val="2"/>
          </rPr>
          <t>کلاس متریال در منبع ذکر نشده است</t>
        </r>
        <r>
          <rPr>
            <sz val="10"/>
            <rFont val="Arial"/>
            <family val="2"/>
          </rPr>
          <t>.</t>
        </r>
      </text>
    </comment>
    <comment ref="I128" authorId="0" shapeId="0" xr:uid="{00000000-0006-0000-0200-0000E301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F13</t>
        </r>
      </text>
    </comment>
    <comment ref="S128" authorId="0" shapeId="0" xr:uid="{00000000-0006-0000-0200-00004603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E13 = E</t>
        </r>
      </text>
    </comment>
    <comment ref="V128" authorId="0" shapeId="0" xr:uid="{00000000-0006-0000-0200-000083030000}">
      <text>
        <r>
          <rPr>
            <sz val="10"/>
            <rFont val="Arial"/>
            <family val="2"/>
          </rPr>
          <t>INFERRED – source does not state pump type; "Centrifugal (assumed)" carried from previous bank</t>
        </r>
      </text>
    </comment>
    <comment ref="AF128" authorId="0" shapeId="0" xr:uid="{00000000-0006-0000-0200-000009050000}">
      <text>
        <r>
          <rPr>
            <sz val="10"/>
            <rFont val="FreeSans"/>
            <family val="2"/>
          </rPr>
          <t xml:space="preserve">شرط تحویل و شمول هزینه‌ها در منبع </t>
        </r>
        <r>
          <rPr>
            <sz val="10"/>
            <rFont val="Arial"/>
            <family val="2"/>
          </rPr>
          <t>(</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ذکر نشده است</t>
        </r>
        <r>
          <rPr>
            <sz val="10"/>
            <rFont val="Arial"/>
            <family val="2"/>
          </rPr>
          <t>.</t>
        </r>
      </text>
    </comment>
    <comment ref="E129" authorId="0" shapeId="0" xr:uid="{00000000-0006-0000-0200-000082000000}">
      <text>
        <r>
          <rPr>
            <sz val="10"/>
            <rFont val="Arial"/>
            <family val="2"/>
          </rPr>
          <t xml:space="preserve">ROT-AUX = Chemical, Fuel &amp; Auxiliary Pumps
</t>
        </r>
        <r>
          <rPr>
            <sz val="10"/>
            <rFont val="FreeSans"/>
            <family val="2"/>
          </rPr>
          <t>پمپ‌های جانبی: مواد شیمیایی، گلایکول، گازوئیل و سوخت</t>
        </r>
      </text>
    </comment>
    <comment ref="F129" authorId="0" shapeId="0" xr:uid="{00000000-0006-0000-0200-00001501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129" authorId="0" shapeId="0" xr:uid="{00000000-0006-0000-0200-0000A8010000}">
      <text>
        <r>
          <rPr>
            <sz val="10"/>
            <rFont val="FreeSans"/>
            <family val="2"/>
          </rPr>
          <t>کلاس متریال در منبع ذکر نشده است</t>
        </r>
        <r>
          <rPr>
            <sz val="10"/>
            <rFont val="Arial"/>
            <family val="2"/>
          </rPr>
          <t>.</t>
        </r>
      </text>
    </comment>
    <comment ref="I129" authorId="0" shapeId="0" xr:uid="{00000000-0006-0000-0200-0000E401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F14</t>
        </r>
      </text>
    </comment>
    <comment ref="AF129" authorId="0" shapeId="0" xr:uid="{00000000-0006-0000-0200-00000A050000}">
      <text>
        <r>
          <rPr>
            <sz val="10"/>
            <rFont val="FreeSans"/>
            <family val="2"/>
          </rPr>
          <t xml:space="preserve">شرط تحویل و شمول هزینه‌ها در منبع </t>
        </r>
        <r>
          <rPr>
            <sz val="10"/>
            <rFont val="Arial"/>
            <family val="2"/>
          </rPr>
          <t>(</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ذکر نشده است</t>
        </r>
        <r>
          <rPr>
            <sz val="10"/>
            <rFont val="Arial"/>
            <family val="2"/>
          </rPr>
          <t>.</t>
        </r>
      </text>
    </comment>
    <comment ref="E130" authorId="0" shapeId="0" xr:uid="{00000000-0006-0000-0200-000083000000}">
      <text>
        <r>
          <rPr>
            <sz val="10"/>
            <rFont val="Arial"/>
            <family val="2"/>
          </rPr>
          <t xml:space="preserve">ROT-AUX = Chemical, Fuel &amp; Auxiliary Pumps
</t>
        </r>
        <r>
          <rPr>
            <sz val="10"/>
            <rFont val="FreeSans"/>
            <family val="2"/>
          </rPr>
          <t>پمپ‌های جانبی: مواد شیمیایی، گلایکول، گازوئیل و سوخت</t>
        </r>
      </text>
    </comment>
    <comment ref="F130" authorId="0" shapeId="0" xr:uid="{00000000-0006-0000-0200-00001601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130" authorId="0" shapeId="0" xr:uid="{00000000-0006-0000-0200-0000A9010000}">
      <text>
        <r>
          <rPr>
            <sz val="10"/>
            <rFont val="FreeSans"/>
            <family val="2"/>
          </rPr>
          <t>کلاس متریال در منبع ذکر نشده است</t>
        </r>
        <r>
          <rPr>
            <sz val="10"/>
            <rFont val="Arial"/>
            <family val="2"/>
          </rPr>
          <t>.</t>
        </r>
      </text>
    </comment>
    <comment ref="I130" authorId="0" shapeId="0" xr:uid="{00000000-0006-0000-0200-0000E501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F15</t>
        </r>
      </text>
    </comment>
    <comment ref="J130" authorId="0" shapeId="0" xr:uid="{00000000-0006-0000-0200-0000E701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G15 = 0.83</t>
        </r>
      </text>
    </comment>
    <comment ref="S130" authorId="0" shapeId="0" xr:uid="{00000000-0006-0000-0200-00004703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E15 = E</t>
        </r>
      </text>
    </comment>
    <comment ref="AF130" authorId="0" shapeId="0" xr:uid="{00000000-0006-0000-0200-00000B050000}">
      <text>
        <r>
          <rPr>
            <sz val="10"/>
            <rFont val="FreeSans"/>
            <family val="2"/>
          </rPr>
          <t xml:space="preserve">شرط تحویل و شمول هزینه‌ها در منبع </t>
        </r>
        <r>
          <rPr>
            <sz val="10"/>
            <rFont val="Arial"/>
            <family val="2"/>
          </rPr>
          <t>(</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ذکر نشده است</t>
        </r>
        <r>
          <rPr>
            <sz val="10"/>
            <rFont val="Arial"/>
            <family val="2"/>
          </rPr>
          <t>.</t>
        </r>
      </text>
    </comment>
    <comment ref="E131" authorId="0" shapeId="0" xr:uid="{00000000-0006-0000-0200-000084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131" authorId="0" shapeId="0" xr:uid="{00000000-0006-0000-0200-000017010000}">
      <text>
        <r>
          <rPr>
            <sz val="10"/>
            <rFont val="Arial"/>
            <family val="2"/>
          </rPr>
          <t xml:space="preserve">Not stated – —:
</t>
        </r>
        <r>
          <rPr>
            <sz val="10"/>
            <rFont val="FreeSans"/>
            <family val="2"/>
          </rPr>
          <t>نوع پمپ در منبع ذکر نشده</t>
        </r>
      </text>
    </comment>
    <comment ref="G131" authorId="0" shapeId="0" xr:uid="{00000000-0006-0000-0200-0000AA010000}">
      <text>
        <r>
          <rPr>
            <sz val="10"/>
            <rFont val="FreeSans"/>
            <family val="2"/>
          </rPr>
          <t>کلاس متریال در منبع ذکر نشده است</t>
        </r>
        <r>
          <rPr>
            <sz val="10"/>
            <rFont val="Arial"/>
            <family val="2"/>
          </rPr>
          <t>.</t>
        </r>
      </text>
    </comment>
    <comment ref="S131" authorId="0" shapeId="0" xr:uid="{00000000-0006-0000-0200-00004803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E16 = E</t>
        </r>
      </text>
    </comment>
    <comment ref="AF131" authorId="0" shapeId="0" xr:uid="{00000000-0006-0000-0200-00000C050000}">
      <text>
        <r>
          <rPr>
            <sz val="10"/>
            <rFont val="FreeSans"/>
            <family val="2"/>
          </rPr>
          <t xml:space="preserve">شرط تحویل و شمول هزینه‌ها در منبع </t>
        </r>
        <r>
          <rPr>
            <sz val="10"/>
            <rFont val="Arial"/>
            <family val="2"/>
          </rPr>
          <t>(</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ذکر نشده است</t>
        </r>
        <r>
          <rPr>
            <sz val="10"/>
            <rFont val="Arial"/>
            <family val="2"/>
          </rPr>
          <t>.</t>
        </r>
      </text>
    </comment>
    <comment ref="E132" authorId="0" shapeId="0" xr:uid="{00000000-0006-0000-0200-000085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132" authorId="0" shapeId="0" xr:uid="{00000000-0006-0000-0200-000018010000}">
      <text>
        <r>
          <rPr>
            <sz val="10"/>
            <rFont val="Arial"/>
            <family val="2"/>
          </rPr>
          <t xml:space="preserve">Not stated – —:
</t>
        </r>
        <r>
          <rPr>
            <sz val="10"/>
            <rFont val="FreeSans"/>
            <family val="2"/>
          </rPr>
          <t>نوع پمپ در منبع ذکر نشده</t>
        </r>
      </text>
    </comment>
    <comment ref="G132" authorId="0" shapeId="0" xr:uid="{00000000-0006-0000-0200-0000AB010000}">
      <text>
        <r>
          <rPr>
            <sz val="10"/>
            <rFont val="FreeSans"/>
            <family val="2"/>
          </rPr>
          <t>کلاس متریال در منبع ذکر نشده است</t>
        </r>
        <r>
          <rPr>
            <sz val="10"/>
            <rFont val="Arial"/>
            <family val="2"/>
          </rPr>
          <t>.</t>
        </r>
      </text>
    </comment>
    <comment ref="S132" authorId="0" shapeId="0" xr:uid="{00000000-0006-0000-0200-00004903000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E17 = E</t>
        </r>
      </text>
    </comment>
    <comment ref="AF132" authorId="0" shapeId="0" xr:uid="{00000000-0006-0000-0200-00000D050000}">
      <text>
        <r>
          <rPr>
            <sz val="10"/>
            <rFont val="FreeSans"/>
            <family val="2"/>
          </rPr>
          <t xml:space="preserve">شرط تحویل و شمول هزینه‌ها در منبع </t>
        </r>
        <r>
          <rPr>
            <sz val="10"/>
            <rFont val="Arial"/>
            <family val="2"/>
          </rPr>
          <t>(</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ذکر نشده است</t>
        </r>
        <r>
          <rPr>
            <sz val="10"/>
            <rFont val="Arial"/>
            <family val="2"/>
          </rPr>
          <t>.</t>
        </r>
      </text>
    </comment>
    <comment ref="E133" authorId="0" shapeId="0" xr:uid="{00000000-0006-0000-0200-00008600000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Booster</t>
        </r>
        <r>
          <rPr>
            <sz val="10"/>
            <rFont val="FreeSans"/>
            <family val="2"/>
          </rPr>
          <t xml:space="preserve">، </t>
        </r>
        <r>
          <rPr>
            <sz val="10"/>
            <rFont val="Arial"/>
            <family val="2"/>
          </rPr>
          <t xml:space="preserve">Off-spec </t>
        </r>
        <r>
          <rPr>
            <sz val="10"/>
            <rFont val="FreeSans"/>
            <family val="2"/>
          </rPr>
          <t>و انتقال اصلی</t>
        </r>
      </text>
    </comment>
    <comment ref="F133" authorId="0" shapeId="0" xr:uid="{00000000-0006-0000-0200-000019010000}">
      <text>
        <r>
          <rPr>
            <sz val="10"/>
            <rFont val="Arial"/>
            <family val="2"/>
          </rPr>
          <t xml:space="preserve">VS6 – Vertically suspended, double casing, diffuser (can):
</t>
        </r>
        <r>
          <rPr>
            <sz val="10"/>
            <rFont val="FreeSans"/>
            <family val="2"/>
          </rPr>
          <t xml:space="preserve">عمودی دوبدنه در قوطی </t>
        </r>
        <r>
          <rPr>
            <sz val="10"/>
            <rFont val="Arial"/>
            <family val="2"/>
          </rPr>
          <t>(Can)</t>
        </r>
        <r>
          <rPr>
            <sz val="10"/>
            <rFont val="FreeSans"/>
            <family val="2"/>
          </rPr>
          <t xml:space="preserve">؛ </t>
        </r>
        <r>
          <rPr>
            <sz val="10"/>
            <rFont val="Arial"/>
            <family val="2"/>
          </rPr>
          <t xml:space="preserve">NPSH </t>
        </r>
        <r>
          <rPr>
            <sz val="10"/>
            <rFont val="FreeSans"/>
            <family val="2"/>
          </rPr>
          <t xml:space="preserve">کم، مثل </t>
        </r>
        <r>
          <rPr>
            <sz val="10"/>
            <rFont val="Arial"/>
            <family val="2"/>
          </rPr>
          <t xml:space="preserve">Off-spec </t>
        </r>
        <r>
          <rPr>
            <sz val="10"/>
            <rFont val="FreeSans"/>
            <family val="2"/>
          </rPr>
          <t>و مایعات نزدیک نقطه جوش</t>
        </r>
      </text>
    </comment>
    <comment ref="G133" authorId="0" shapeId="0" xr:uid="{00000000-0006-0000-0200-0000AC010000}">
      <text>
        <r>
          <rPr>
            <sz val="10"/>
            <rFont val="Arial"/>
            <family val="2"/>
          </rPr>
          <t xml:space="preserve">D-1: </t>
        </r>
        <r>
          <rPr>
            <sz val="10"/>
            <rFont val="FreeSans"/>
            <family val="2"/>
          </rPr>
          <t>بدنه داپلکس، پروانه داپلکس؛ رینگ با روکش سخت؛ شفت داپلکس</t>
        </r>
        <r>
          <rPr>
            <sz val="10"/>
            <rFont val="Arial"/>
            <family val="2"/>
          </rPr>
          <t xml:space="preserve">.
</t>
        </r>
        <r>
          <rPr>
            <sz val="10"/>
            <rFont val="FreeSans"/>
            <family val="2"/>
          </rPr>
          <t>کاربرد معمول: آب شور و آب تولیدی دارای کلراید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33" authorId="0" shapeId="0" xr:uid="{00000000-0006-0000-0200-000058020000}">
      <text>
        <r>
          <rPr>
            <sz val="10"/>
            <rFont val="Arial"/>
            <family val="2"/>
          </rPr>
          <t>SOURCE – design code line "&amp; IPS-G-PM-105" in the project item description</t>
        </r>
      </text>
    </comment>
    <comment ref="O133" authorId="0" shapeId="0" xr:uid="{00000000-0006-0000-0200-0000B5020000}">
      <text>
        <r>
          <rPr>
            <sz val="10"/>
            <rFont val="Arial"/>
            <family val="2"/>
          </rPr>
          <t>SOURCE – PC-ME 14040105 Pazanan2 PUMPS B8: NACE 'MR-0175' Required: Yes</t>
        </r>
      </text>
    </comment>
    <comment ref="S133" authorId="0" shapeId="0" xr:uid="{00000000-0006-0000-0200-00004A030000}">
      <text>
        <r>
          <rPr>
            <sz val="10"/>
            <rFont val="Arial"/>
            <family val="2"/>
          </rPr>
          <t xml:space="preserve">INFERRED – </t>
        </r>
        <r>
          <rPr>
            <sz val="10"/>
            <rFont val="FreeSans"/>
            <family val="2"/>
          </rPr>
          <t>نوع محرک در منبع ذکر نشده؛ موتور برقی فرض شده است</t>
        </r>
      </text>
    </comment>
    <comment ref="Y133" authorId="0" shapeId="0" xr:uid="{00000000-0006-0000-0200-000005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Z133" authorId="0" shapeId="0" xr:uid="{00000000-0006-0000-0200-000033040000}">
      <text>
        <r>
          <rPr>
            <sz val="10"/>
            <rFont val="Arial"/>
            <family val="2"/>
          </rPr>
          <t>SOURCE – PC-ME 14040105 Pazanan2 PUMPS AR8</t>
        </r>
      </text>
    </comment>
    <comment ref="AA133" authorId="0" shapeId="0" xr:uid="{00000000-0006-0000-0200-000060040000}">
      <text>
        <r>
          <rPr>
            <sz val="10"/>
            <rFont val="Arial"/>
            <family val="2"/>
          </rPr>
          <t>SOURCE – PC-ME 14040105 Pazanan2 PUMPS AR8: R02 (1393) FOB unit price</t>
        </r>
      </text>
    </comment>
    <comment ref="AF133" authorId="0" shapeId="0" xr:uid="{00000000-0006-0000-0200-00000E05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 ref="E134" authorId="0" shapeId="0" xr:uid="{00000000-0006-0000-0200-000087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134" authorId="0" shapeId="0" xr:uid="{00000000-0006-0000-0200-00001A01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134" authorId="0" shapeId="0" xr:uid="{00000000-0006-0000-0200-0000AD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34" authorId="0" shapeId="0" xr:uid="{00000000-0006-0000-0200-000059020000}">
      <text>
        <r>
          <rPr>
            <sz val="10"/>
            <rFont val="Arial"/>
            <family val="2"/>
          </rPr>
          <t>SOURCE – design code line "&amp; IPS-M-PM-115" in the project item description</t>
        </r>
      </text>
    </comment>
    <comment ref="O134" authorId="0" shapeId="0" xr:uid="{00000000-0006-0000-0200-0000B6020000}">
      <text>
        <r>
          <rPr>
            <sz val="10"/>
            <rFont val="Arial"/>
            <family val="2"/>
          </rPr>
          <t>INFERRED – PC-ME 14040105 Pazanan2 PUMPS B9: no "NACE MR-0175" line in item description, while the document states it item-by-item where required → N</t>
        </r>
      </text>
    </comment>
    <comment ref="S134" authorId="0" shapeId="0" xr:uid="{00000000-0006-0000-0200-00004B030000}">
      <text>
        <r>
          <rPr>
            <sz val="10"/>
            <rFont val="Arial"/>
            <family val="2"/>
          </rPr>
          <t xml:space="preserve">INFERRED – </t>
        </r>
        <r>
          <rPr>
            <sz val="10"/>
            <rFont val="FreeSans"/>
            <family val="2"/>
          </rPr>
          <t>نوع محرک در منبع ذکر نشده؛ موتور برقی فرض شده است</t>
        </r>
      </text>
    </comment>
    <comment ref="Y134" authorId="0" shapeId="0" xr:uid="{00000000-0006-0000-0200-000006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Z134" authorId="0" shapeId="0" xr:uid="{00000000-0006-0000-0200-000034040000}">
      <text>
        <r>
          <rPr>
            <sz val="10"/>
            <rFont val="Arial"/>
            <family val="2"/>
          </rPr>
          <t>SOURCE – PC-ME 14040105 Pazanan2 PUMPS AR9</t>
        </r>
      </text>
    </comment>
    <comment ref="AA134" authorId="0" shapeId="0" xr:uid="{00000000-0006-0000-0200-000061040000}">
      <text>
        <r>
          <rPr>
            <sz val="10"/>
            <rFont val="Arial"/>
            <family val="2"/>
          </rPr>
          <t>SOURCE – PC-ME 14040105 Pazanan2 PUMPS AR9: R02 (1393) FOB unit price</t>
        </r>
      </text>
    </comment>
    <comment ref="AF134" authorId="0" shapeId="0" xr:uid="{00000000-0006-0000-0200-00000F05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 ref="E135" authorId="0" shapeId="0" xr:uid="{00000000-0006-0000-0200-000088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135" authorId="0" shapeId="0" xr:uid="{00000000-0006-0000-0200-00001B01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135" authorId="0" shapeId="0" xr:uid="{00000000-0006-0000-0200-0000AE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35" authorId="0" shapeId="0" xr:uid="{00000000-0006-0000-0200-00005A020000}">
      <text>
        <r>
          <rPr>
            <sz val="10"/>
            <rFont val="Arial"/>
            <family val="2"/>
          </rPr>
          <t>SOURCE – design code line "&amp; IPS-G-PM-105" in the project item description</t>
        </r>
      </text>
    </comment>
    <comment ref="O135" authorId="0" shapeId="0" xr:uid="{00000000-0006-0000-0200-0000B7020000}">
      <text>
        <r>
          <rPr>
            <sz val="10"/>
            <rFont val="Arial"/>
            <family val="2"/>
          </rPr>
          <t>INFERRED – PC-ME 14040105 Pazanan2 PUMPS B10: no "NACE MR-0175" line in item description, while the document states it item-by-item where required → N</t>
        </r>
      </text>
    </comment>
    <comment ref="S135" authorId="0" shapeId="0" xr:uid="{00000000-0006-0000-0200-00004C030000}">
      <text>
        <r>
          <rPr>
            <sz val="10"/>
            <rFont val="Arial"/>
            <family val="2"/>
          </rPr>
          <t xml:space="preserve">INFERRED – </t>
        </r>
        <r>
          <rPr>
            <sz val="10"/>
            <rFont val="FreeSans"/>
            <family val="2"/>
          </rPr>
          <t>نوع محرک در منبع ذکر نشده؛ موتور برقی فرض شده است</t>
        </r>
      </text>
    </comment>
    <comment ref="Y135" authorId="0" shapeId="0" xr:uid="{00000000-0006-0000-0200-000007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Z135" authorId="0" shapeId="0" xr:uid="{00000000-0006-0000-0200-000035040000}">
      <text>
        <r>
          <rPr>
            <sz val="10"/>
            <rFont val="Arial"/>
            <family val="2"/>
          </rPr>
          <t>SOURCE – PC-ME 14040105 Pazanan2 PUMPS AR10</t>
        </r>
      </text>
    </comment>
    <comment ref="AA135" authorId="0" shapeId="0" xr:uid="{00000000-0006-0000-0200-000062040000}">
      <text>
        <r>
          <rPr>
            <sz val="10"/>
            <rFont val="Arial"/>
            <family val="2"/>
          </rPr>
          <t>SOURCE – PC-ME 14040105 Pazanan2 PUMPS AR10: R02 (1393) FOB unit price</t>
        </r>
      </text>
    </comment>
    <comment ref="AF135" authorId="0" shapeId="0" xr:uid="{00000000-0006-0000-0200-00001005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 ref="E136" authorId="0" shapeId="0" xr:uid="{00000000-0006-0000-0200-000089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136" authorId="0" shapeId="0" xr:uid="{00000000-0006-0000-0200-00001C01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136" authorId="0" shapeId="0" xr:uid="{00000000-0006-0000-0200-0000AF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36" authorId="0" shapeId="0" xr:uid="{00000000-0006-0000-0200-00005B020000}">
      <text>
        <r>
          <rPr>
            <sz val="10"/>
            <rFont val="Arial"/>
            <family val="2"/>
          </rPr>
          <t>SOURCE – design code line "&amp; IPS-G-PM-105" in the project item description</t>
        </r>
      </text>
    </comment>
    <comment ref="O136" authorId="0" shapeId="0" xr:uid="{00000000-0006-0000-0200-0000B8020000}">
      <text>
        <r>
          <rPr>
            <sz val="10"/>
            <rFont val="Arial"/>
            <family val="2"/>
          </rPr>
          <t>INFERRED – PC-ME 14040105 Pazanan2 PUMPS B11: no "NACE MR-0175" line in item description, while the document states it item-by-item where required → N</t>
        </r>
      </text>
    </comment>
    <comment ref="S136" authorId="0" shapeId="0" xr:uid="{00000000-0006-0000-0200-00004D030000}">
      <text>
        <r>
          <rPr>
            <sz val="10"/>
            <rFont val="Arial"/>
            <family val="2"/>
          </rPr>
          <t xml:space="preserve">INFERRED – </t>
        </r>
        <r>
          <rPr>
            <sz val="10"/>
            <rFont val="FreeSans"/>
            <family val="2"/>
          </rPr>
          <t>نوع محرک در منبع ذکر نشده؛ موتور برقی فرض شده است</t>
        </r>
      </text>
    </comment>
    <comment ref="Y136" authorId="0" shapeId="0" xr:uid="{00000000-0006-0000-0200-000008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Z136" authorId="0" shapeId="0" xr:uid="{00000000-0006-0000-0200-000036040000}">
      <text>
        <r>
          <rPr>
            <sz val="10"/>
            <rFont val="Arial"/>
            <family val="2"/>
          </rPr>
          <t>SOURCE – PC-ME 14040105 Pazanan2 PUMPS AR11</t>
        </r>
      </text>
    </comment>
    <comment ref="AA136" authorId="0" shapeId="0" xr:uid="{00000000-0006-0000-0200-000063040000}">
      <text>
        <r>
          <rPr>
            <sz val="10"/>
            <rFont val="Arial"/>
            <family val="2"/>
          </rPr>
          <t>SOURCE – PC-ME 14040105 Pazanan2 PUMPS AR11: R02 (1393) FOB unit price</t>
        </r>
      </text>
    </comment>
    <comment ref="AF136" authorId="0" shapeId="0" xr:uid="{00000000-0006-0000-0200-00001105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 ref="E137" authorId="0" shapeId="0" xr:uid="{00000000-0006-0000-0200-00008A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137" authorId="0" shapeId="0" xr:uid="{00000000-0006-0000-0200-00001D010000}">
      <text>
        <r>
          <rPr>
            <sz val="10"/>
            <rFont val="Arial"/>
            <family val="2"/>
          </rPr>
          <t xml:space="preserve">BB3 – Between bearings, multistage, axially split:
</t>
        </r>
        <r>
          <rPr>
            <sz val="10"/>
            <rFont val="FreeSans"/>
            <family val="2"/>
          </rPr>
          <t>چندمرحله‌ای، بدنه دوتکه افقی؛ تزریق آب و انتقال پرفشار</t>
        </r>
      </text>
    </comment>
    <comment ref="G137" authorId="0" shapeId="0" xr:uid="{00000000-0006-0000-0200-0000B0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37" authorId="0" shapeId="0" xr:uid="{00000000-0006-0000-0200-00005C020000}">
      <text>
        <r>
          <rPr>
            <sz val="10"/>
            <rFont val="Arial"/>
            <family val="2"/>
          </rPr>
          <t>SOURCE – design code line "&amp; IPS-G-PM-105" in the project item description</t>
        </r>
      </text>
    </comment>
    <comment ref="O137" authorId="0" shapeId="0" xr:uid="{00000000-0006-0000-0200-0000B9020000}">
      <text>
        <r>
          <rPr>
            <sz val="10"/>
            <rFont val="Arial"/>
            <family val="2"/>
          </rPr>
          <t>SOURCE – PC-ME 14040105 Pazanan2 PUMPS B12: NACE 'MR-0175' Required: Yes</t>
        </r>
      </text>
    </comment>
    <comment ref="S137" authorId="0" shapeId="0" xr:uid="{00000000-0006-0000-0200-00004E030000}">
      <text>
        <r>
          <rPr>
            <sz val="10"/>
            <rFont val="Arial"/>
            <family val="2"/>
          </rPr>
          <t xml:space="preserve">INFERRED – </t>
        </r>
        <r>
          <rPr>
            <sz val="10"/>
            <rFont val="FreeSans"/>
            <family val="2"/>
          </rPr>
          <t>نوع محرک در منبع ذکر نشده؛ موتور برقی فرض شده است</t>
        </r>
      </text>
    </comment>
    <comment ref="Y137" authorId="0" shapeId="0" xr:uid="{00000000-0006-0000-0200-000009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Z137" authorId="0" shapeId="0" xr:uid="{00000000-0006-0000-0200-000037040000}">
      <text>
        <r>
          <rPr>
            <sz val="10"/>
            <rFont val="Arial"/>
            <family val="2"/>
          </rPr>
          <t>SOURCE – PC-ME 14040105 Pazanan2 PUMPS AR12</t>
        </r>
      </text>
    </comment>
    <comment ref="AA137" authorId="0" shapeId="0" xr:uid="{00000000-0006-0000-0200-000064040000}">
      <text>
        <r>
          <rPr>
            <sz val="10"/>
            <rFont val="Arial"/>
            <family val="2"/>
          </rPr>
          <t>SOURCE – PC-ME 14040105 Pazanan2 PUMPS AR12: R02 (1393) FOB unit price</t>
        </r>
      </text>
    </comment>
    <comment ref="AF137" authorId="0" shapeId="0" xr:uid="{00000000-0006-0000-0200-00001205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 ref="E138" authorId="0" shapeId="0" xr:uid="{00000000-0006-0000-0200-00008B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xml:space="preserve">، جداکننده آب و نفت (OWS)، نفت بازیافتی و لجن
—
</t>
        </r>
        <r>
          <rPr>
            <sz val="10"/>
            <rFont val="Arial"/>
            <family val="2"/>
          </rPr>
          <t>Reclassified 1405-07: ROT-CRU → ROT-DRN (service-based classification; approved)</t>
        </r>
      </text>
    </comment>
    <comment ref="F138" authorId="0" shapeId="0" xr:uid="{00000000-0006-0000-0200-00001E01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138" authorId="0" shapeId="0" xr:uid="{00000000-0006-0000-0200-0000B1010000}">
      <text>
        <r>
          <rPr>
            <sz val="10"/>
            <rFont val="Arial"/>
            <family val="2"/>
          </rPr>
          <t xml:space="preserve">D-1: </t>
        </r>
        <r>
          <rPr>
            <sz val="10"/>
            <rFont val="FreeSans"/>
            <family val="2"/>
          </rPr>
          <t>بدنه داپلکس، پروانه داپلکس؛ رینگ با روکش سخت؛ شفت داپلکس</t>
        </r>
        <r>
          <rPr>
            <sz val="10"/>
            <rFont val="Arial"/>
            <family val="2"/>
          </rPr>
          <t xml:space="preserve">.
</t>
        </r>
        <r>
          <rPr>
            <sz val="10"/>
            <rFont val="FreeSans"/>
            <family val="2"/>
          </rPr>
          <t>کاربرد معمول: آب شور و آب تولیدی دارای کلراید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38" authorId="0" shapeId="0" xr:uid="{00000000-0006-0000-0200-00005D020000}">
      <text>
        <r>
          <rPr>
            <sz val="10"/>
            <rFont val="Arial"/>
            <family val="2"/>
          </rPr>
          <t>SOURCE – design code line "&amp; IPS-M-PM-140" in the project item description</t>
        </r>
      </text>
    </comment>
    <comment ref="O138" authorId="0" shapeId="0" xr:uid="{00000000-0006-0000-0200-0000BA020000}">
      <text>
        <r>
          <rPr>
            <sz val="10"/>
            <rFont val="Arial"/>
            <family val="2"/>
          </rPr>
          <t>SOURCE – PC-ME 14040105 Pazanan2 PUMPS B13: NACE 'MR-0175' Required: Yes</t>
        </r>
      </text>
    </comment>
    <comment ref="S138" authorId="0" shapeId="0" xr:uid="{00000000-0006-0000-0200-00004F030000}">
      <text>
        <r>
          <rPr>
            <sz val="10"/>
            <rFont val="Arial"/>
            <family val="2"/>
          </rPr>
          <t xml:space="preserve">INFERRED – </t>
        </r>
        <r>
          <rPr>
            <sz val="10"/>
            <rFont val="FreeSans"/>
            <family val="2"/>
          </rPr>
          <t>نوع محرک در منبع ذکر نشده؛ موتور برقی فرض شده است</t>
        </r>
      </text>
    </comment>
    <comment ref="Y138" authorId="0" shapeId="0" xr:uid="{00000000-0006-0000-0200-00000A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Z138" authorId="0" shapeId="0" xr:uid="{00000000-0006-0000-0200-000038040000}">
      <text>
        <r>
          <rPr>
            <sz val="10"/>
            <rFont val="Arial"/>
            <family val="2"/>
          </rPr>
          <t>SOURCE – PC-ME 14040105 Pazanan2 PUMPS AR13</t>
        </r>
      </text>
    </comment>
    <comment ref="AA138" authorId="0" shapeId="0" xr:uid="{00000000-0006-0000-0200-000065040000}">
      <text>
        <r>
          <rPr>
            <sz val="10"/>
            <rFont val="Arial"/>
            <family val="2"/>
          </rPr>
          <t>SOURCE – PC-ME 14040105 Pazanan2 PUMPS AR13: R02 (1393) FOB unit price</t>
        </r>
      </text>
    </comment>
    <comment ref="AF138" authorId="0" shapeId="0" xr:uid="{00000000-0006-0000-0200-00001305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 ref="E139" authorId="0" shapeId="0" xr:uid="{00000000-0006-0000-0200-00008C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139" authorId="0" shapeId="0" xr:uid="{00000000-0006-0000-0200-00001F01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139" authorId="0" shapeId="0" xr:uid="{00000000-0006-0000-0200-0000B2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39" authorId="0" shapeId="0" xr:uid="{00000000-0006-0000-0200-00005E020000}">
      <text>
        <r>
          <rPr>
            <sz val="10"/>
            <rFont val="Arial"/>
            <family val="2"/>
          </rPr>
          <t>SOURCE – design code line "&amp; IPS-G-PM-105" in the project item description</t>
        </r>
      </text>
    </comment>
    <comment ref="O139" authorId="0" shapeId="0" xr:uid="{00000000-0006-0000-0200-0000BB020000}">
      <text>
        <r>
          <rPr>
            <sz val="10"/>
            <rFont val="Arial"/>
            <family val="2"/>
          </rPr>
          <t>INFERRED – PC-ME 14040105 Pazanan2 PUMPS B14: no "NACE MR-0175" line in item description, while the document states it item-by-item where required → N</t>
        </r>
      </text>
    </comment>
    <comment ref="S139" authorId="0" shapeId="0" xr:uid="{00000000-0006-0000-0200-000050030000}">
      <text>
        <r>
          <rPr>
            <sz val="10"/>
            <rFont val="Arial"/>
            <family val="2"/>
          </rPr>
          <t xml:space="preserve">INFERRED – </t>
        </r>
        <r>
          <rPr>
            <sz val="10"/>
            <rFont val="FreeSans"/>
            <family val="2"/>
          </rPr>
          <t>نوع محرک در منبع ذکر نشده؛ موتور برقی فرض شده است</t>
        </r>
      </text>
    </comment>
    <comment ref="Y139" authorId="0" shapeId="0" xr:uid="{00000000-0006-0000-0200-00000B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Z139" authorId="0" shapeId="0" xr:uid="{00000000-0006-0000-0200-000039040000}">
      <text>
        <r>
          <rPr>
            <sz val="10"/>
            <rFont val="Arial"/>
            <family val="2"/>
          </rPr>
          <t>SOURCE – PC-ME 14040105 Pazanan2 PUMPS AR14</t>
        </r>
      </text>
    </comment>
    <comment ref="AA139" authorId="0" shapeId="0" xr:uid="{00000000-0006-0000-0200-000066040000}">
      <text>
        <r>
          <rPr>
            <sz val="10"/>
            <rFont val="Arial"/>
            <family val="2"/>
          </rPr>
          <t>SOURCE – PC-ME 14040105 Pazanan2 PUMPS AR14: R02 (1393) FOB unit price</t>
        </r>
      </text>
    </comment>
    <comment ref="AF139" authorId="0" shapeId="0" xr:uid="{00000000-0006-0000-0200-00001405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 ref="E140" authorId="0" shapeId="0" xr:uid="{00000000-0006-0000-0200-00008D000000}">
      <text>
        <r>
          <rPr>
            <sz val="10"/>
            <rFont val="Arial"/>
            <family val="2"/>
          </rPr>
          <t xml:space="preserve">ROT-INJ = Produced Water &amp; Disposal Injection Pumps
</t>
        </r>
        <r>
          <rPr>
            <sz val="10"/>
            <rFont val="FreeSans"/>
            <family val="2"/>
          </rPr>
          <t>آب تولیدی و پساب</t>
        </r>
        <r>
          <rPr>
            <sz val="10"/>
            <rFont val="Arial"/>
            <family val="2"/>
          </rPr>
          <t xml:space="preserve">: Booster </t>
        </r>
        <r>
          <rPr>
            <sz val="10"/>
            <rFont val="FreeSans"/>
            <family val="2"/>
          </rPr>
          <t>و پمپ‌های پرفشار تزریق به چاه دفعی</t>
        </r>
      </text>
    </comment>
    <comment ref="F140" authorId="0" shapeId="0" xr:uid="{00000000-0006-0000-0200-000020010000}">
      <text>
        <r>
          <rPr>
            <sz val="10"/>
            <rFont val="Arial"/>
            <family val="2"/>
          </rPr>
          <t xml:space="preserve">BB3 – Between bearings, multistage, axially split:
</t>
        </r>
        <r>
          <rPr>
            <sz val="10"/>
            <rFont val="FreeSans"/>
            <family val="2"/>
          </rPr>
          <t>چندمرحله‌ای، بدنه دوتکه افقی؛ تزریق آب و انتقال پرفشار</t>
        </r>
      </text>
    </comment>
    <comment ref="G140" authorId="0" shapeId="0" xr:uid="{00000000-0006-0000-0200-0000B3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40" authorId="0" shapeId="0" xr:uid="{00000000-0006-0000-0200-00005F020000}">
      <text>
        <r>
          <rPr>
            <sz val="10"/>
            <rFont val="Arial"/>
            <family val="2"/>
          </rPr>
          <t>SOURCE – design code line "&amp; IPS-G-PM-105" in the project item description</t>
        </r>
      </text>
    </comment>
    <comment ref="O140" authorId="0" shapeId="0" xr:uid="{00000000-0006-0000-0200-0000BC020000}">
      <text>
        <r>
          <rPr>
            <sz val="10"/>
            <rFont val="Arial"/>
            <family val="2"/>
          </rPr>
          <t>SOURCE – PC-ME 14040105 Pazanan2 PUMPS B15: NACE 'MR-0175' Required: Yes</t>
        </r>
      </text>
    </comment>
    <comment ref="S140" authorId="0" shapeId="0" xr:uid="{00000000-0006-0000-0200-000051030000}">
      <text>
        <r>
          <rPr>
            <sz val="10"/>
            <rFont val="Arial"/>
            <family val="2"/>
          </rPr>
          <t xml:space="preserve">INFERRED – </t>
        </r>
        <r>
          <rPr>
            <sz val="10"/>
            <rFont val="FreeSans"/>
            <family val="2"/>
          </rPr>
          <t>نوع محرک در منبع ذکر نشده؛ موتور برقی فرض شده است</t>
        </r>
      </text>
    </comment>
    <comment ref="Y140" authorId="0" shapeId="0" xr:uid="{00000000-0006-0000-0200-00000C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Z140" authorId="0" shapeId="0" xr:uid="{00000000-0006-0000-0200-00003A040000}">
      <text>
        <r>
          <rPr>
            <sz val="10"/>
            <rFont val="Arial"/>
            <family val="2"/>
          </rPr>
          <t>SOURCE – PC-ME 14040105 Pazanan2 PUMPS AR15</t>
        </r>
      </text>
    </comment>
    <comment ref="AA140" authorId="0" shapeId="0" xr:uid="{00000000-0006-0000-0200-000067040000}">
      <text>
        <r>
          <rPr>
            <sz val="10"/>
            <rFont val="Arial"/>
            <family val="2"/>
          </rPr>
          <t>SOURCE – PC-ME 14040105 Pazanan2 PUMPS AR15: R02 (1393) FOB unit price</t>
        </r>
      </text>
    </comment>
    <comment ref="AF140" authorId="0" shapeId="0" xr:uid="{00000000-0006-0000-0200-00001505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 ref="E141" authorId="0" shapeId="0" xr:uid="{00000000-0006-0000-0200-00008E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141" authorId="0" shapeId="0" xr:uid="{00000000-0006-0000-0200-00002101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141" authorId="0" shapeId="0" xr:uid="{00000000-0006-0000-0200-0000B4010000}">
      <text>
        <r>
          <rPr>
            <sz val="10"/>
            <rFont val="Arial"/>
            <family val="2"/>
          </rPr>
          <t xml:space="preserve">S-6: </t>
        </r>
        <r>
          <rPr>
            <sz val="10"/>
            <rFont val="FreeSans"/>
            <family val="2"/>
          </rPr>
          <t>بدنه فولاد کربنی، پروانه کروم ۱۲٪؛ رینگ کروم ۱۲٪ سخت‌شده؛ شفت کروم ۱۲٪</t>
        </r>
        <r>
          <rPr>
            <sz val="10"/>
            <rFont val="Arial"/>
            <family val="2"/>
          </rPr>
          <t xml:space="preserve">.
</t>
        </r>
        <r>
          <rPr>
            <sz val="10"/>
            <rFont val="FreeSans"/>
            <family val="2"/>
          </rPr>
          <t>کاربرد معمول: هیدروکربن داغ، آب ترش و خوردگی ملایم</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41" authorId="0" shapeId="0" xr:uid="{00000000-0006-0000-0200-000060020000}">
      <text>
        <r>
          <rPr>
            <sz val="10"/>
            <rFont val="Arial"/>
            <family val="2"/>
          </rPr>
          <t>SOURCE – design code line "&amp; IPS-G-PM-105" in the project item description</t>
        </r>
      </text>
    </comment>
    <comment ref="O141" authorId="0" shapeId="0" xr:uid="{00000000-0006-0000-0200-0000BD020000}">
      <text>
        <r>
          <rPr>
            <sz val="10"/>
            <rFont val="Arial"/>
            <family val="2"/>
          </rPr>
          <t>INFERRED – PC-ME 14040105 Pazanan2 PUMPS B16: no "NACE MR-0175" line in item description, while the document states it item-by-item where required → N</t>
        </r>
      </text>
    </comment>
    <comment ref="S141" authorId="0" shapeId="0" xr:uid="{00000000-0006-0000-0200-000052030000}">
      <text>
        <r>
          <rPr>
            <sz val="10"/>
            <rFont val="Arial"/>
            <family val="2"/>
          </rPr>
          <t xml:space="preserve">INFERRED – </t>
        </r>
        <r>
          <rPr>
            <sz val="10"/>
            <rFont val="FreeSans"/>
            <family val="2"/>
          </rPr>
          <t>نوع محرک در منبع ذکر نشده؛ موتور برقی فرض شده است</t>
        </r>
      </text>
    </comment>
    <comment ref="Y141" authorId="0" shapeId="0" xr:uid="{00000000-0006-0000-0200-00000D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Z141" authorId="0" shapeId="0" xr:uid="{00000000-0006-0000-0200-00003B040000}">
      <text>
        <r>
          <rPr>
            <sz val="10"/>
            <rFont val="Arial"/>
            <family val="2"/>
          </rPr>
          <t>SOURCE – PC-ME 14040105 Pazanan2 PUMPS AR16</t>
        </r>
      </text>
    </comment>
    <comment ref="AA141" authorId="0" shapeId="0" xr:uid="{00000000-0006-0000-0200-000068040000}">
      <text>
        <r>
          <rPr>
            <sz val="10"/>
            <rFont val="Arial"/>
            <family val="2"/>
          </rPr>
          <t>SOURCE – PC-ME 14040105 Pazanan2 PUMPS AR16: R02 (1393) FOB unit price</t>
        </r>
      </text>
    </comment>
    <comment ref="AF141" authorId="0" shapeId="0" xr:uid="{00000000-0006-0000-0200-00001605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 ref="E142" authorId="0" shapeId="0" xr:uid="{00000000-0006-0000-0200-00008F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142" authorId="0" shapeId="0" xr:uid="{00000000-0006-0000-0200-00002201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142" authorId="0" shapeId="0" xr:uid="{00000000-0006-0000-0200-0000B5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42" authorId="0" shapeId="0" xr:uid="{00000000-0006-0000-0200-000061020000}">
      <text>
        <r>
          <rPr>
            <sz val="10"/>
            <rFont val="Arial"/>
            <family val="2"/>
          </rPr>
          <t>SOURCE – design code line "&amp; IPS-G-PM-105" in the project item description</t>
        </r>
      </text>
    </comment>
    <comment ref="O142" authorId="0" shapeId="0" xr:uid="{00000000-0006-0000-0200-0000BE020000}">
      <text>
        <r>
          <rPr>
            <sz val="10"/>
            <rFont val="Arial"/>
            <family val="2"/>
          </rPr>
          <t>SOURCE – PC-ME 14040105 Pazanan2 PUMPS B17: NACE 'MR-0175' Required: Yes</t>
        </r>
      </text>
    </comment>
    <comment ref="S142" authorId="0" shapeId="0" xr:uid="{00000000-0006-0000-0200-000053030000}">
      <text>
        <r>
          <rPr>
            <sz val="10"/>
            <rFont val="Arial"/>
            <family val="2"/>
          </rPr>
          <t xml:space="preserve">INFERRED – </t>
        </r>
        <r>
          <rPr>
            <sz val="10"/>
            <rFont val="FreeSans"/>
            <family val="2"/>
          </rPr>
          <t>نوع محرک در منبع ذکر نشده؛ موتور برقی فرض شده است</t>
        </r>
      </text>
    </comment>
    <comment ref="Y142" authorId="0" shapeId="0" xr:uid="{00000000-0006-0000-0200-00000E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Z142" authorId="0" shapeId="0" xr:uid="{00000000-0006-0000-0200-00003C040000}">
      <text>
        <r>
          <rPr>
            <sz val="10"/>
            <rFont val="Arial"/>
            <family val="2"/>
          </rPr>
          <t>SOURCE – PC-ME 14040105 Pazanan2 PUMPS AR17</t>
        </r>
      </text>
    </comment>
    <comment ref="AA142" authorId="0" shapeId="0" xr:uid="{00000000-0006-0000-0200-000069040000}">
      <text>
        <r>
          <rPr>
            <sz val="10"/>
            <rFont val="Arial"/>
            <family val="2"/>
          </rPr>
          <t>SOURCE – PC-ME 14040105 Pazanan2 PUMPS AR17: R02 (1393) FOB unit price</t>
        </r>
      </text>
    </comment>
    <comment ref="AF142" authorId="0" shapeId="0" xr:uid="{00000000-0006-0000-0200-00001705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 ref="E143" authorId="0" shapeId="0" xr:uid="{00000000-0006-0000-0200-000090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143" authorId="0" shapeId="0" xr:uid="{00000000-0006-0000-0200-000023010000}">
      <text>
        <r>
          <rPr>
            <sz val="10"/>
            <rFont val="Arial"/>
            <family val="2"/>
          </rPr>
          <t xml:space="preserve">VS4 – Vertically suspended, line-shaft, separate discharge (sump):
</t>
        </r>
        <r>
          <rPr>
            <sz val="10"/>
            <rFont val="FreeSans"/>
            <family val="2"/>
          </rPr>
          <t xml:space="preserve">پمپ عمودی </t>
        </r>
        <r>
          <rPr>
            <sz val="10"/>
            <rFont val="Arial"/>
            <family val="2"/>
          </rPr>
          <t xml:space="preserve">Sump </t>
        </r>
        <r>
          <rPr>
            <sz val="10"/>
            <rFont val="FreeSans"/>
            <family val="2"/>
          </rPr>
          <t xml:space="preserve">با شفت بلند و لوله خروجی جدا؛ چاهک درین و </t>
        </r>
        <r>
          <rPr>
            <sz val="10"/>
            <rFont val="Arial"/>
            <family val="2"/>
          </rPr>
          <t>Flare KO</t>
        </r>
      </text>
    </comment>
    <comment ref="G143" authorId="0" shapeId="0" xr:uid="{00000000-0006-0000-0200-0000B6010000}">
      <text>
        <r>
          <rPr>
            <sz val="10"/>
            <rFont val="Arial"/>
            <family val="2"/>
          </rPr>
          <t xml:space="preserve">S-6: </t>
        </r>
        <r>
          <rPr>
            <sz val="10"/>
            <rFont val="FreeSans"/>
            <family val="2"/>
          </rPr>
          <t>بدنه فولاد کربنی، پروانه کروم ۱۲٪؛ رینگ کروم ۱۲٪ سخت‌شده؛ شفت کروم ۱۲٪</t>
        </r>
        <r>
          <rPr>
            <sz val="10"/>
            <rFont val="Arial"/>
            <family val="2"/>
          </rPr>
          <t xml:space="preserve">.
</t>
        </r>
        <r>
          <rPr>
            <sz val="10"/>
            <rFont val="FreeSans"/>
            <family val="2"/>
          </rPr>
          <t>کاربرد معمول: هیدروکربن داغ، آب ترش و خوردگی ملایم</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43" authorId="0" shapeId="0" xr:uid="{00000000-0006-0000-0200-000062020000}">
      <text>
        <r>
          <rPr>
            <sz val="10"/>
            <rFont val="Arial"/>
            <family val="2"/>
          </rPr>
          <t>SOURCE – design code line "&amp; IPS-G-PM-105" in the project item description</t>
        </r>
      </text>
    </comment>
    <comment ref="O143" authorId="0" shapeId="0" xr:uid="{00000000-0006-0000-0200-0000BF020000}">
      <text>
        <r>
          <rPr>
            <sz val="10"/>
            <rFont val="Arial"/>
            <family val="2"/>
          </rPr>
          <t>INFERRED – PC-ME 14040105 Pazanan2 PUMPS B18: no "NACE MR-0175" line in item description, while the document states it item-by-item where required → N</t>
        </r>
      </text>
    </comment>
    <comment ref="S143" authorId="0" shapeId="0" xr:uid="{00000000-0006-0000-0200-000054030000}">
      <text>
        <r>
          <rPr>
            <sz val="10"/>
            <rFont val="Arial"/>
            <family val="2"/>
          </rPr>
          <t xml:space="preserve">INFERRED – </t>
        </r>
        <r>
          <rPr>
            <sz val="10"/>
            <rFont val="FreeSans"/>
            <family val="2"/>
          </rPr>
          <t>نوع محرک در منبع ذکر نشده؛ موتور برقی فرض شده است</t>
        </r>
      </text>
    </comment>
    <comment ref="Y143" authorId="0" shapeId="0" xr:uid="{00000000-0006-0000-0200-00000F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Z143" authorId="0" shapeId="0" xr:uid="{00000000-0006-0000-0200-00003D040000}">
      <text>
        <r>
          <rPr>
            <sz val="10"/>
            <rFont val="Arial"/>
            <family val="2"/>
          </rPr>
          <t>SOURCE – PC-ME 14040105 Pazanan2 PUMPS AR18</t>
        </r>
      </text>
    </comment>
    <comment ref="AA143" authorId="0" shapeId="0" xr:uid="{00000000-0006-0000-0200-00006A040000}">
      <text>
        <r>
          <rPr>
            <sz val="10"/>
            <rFont val="Arial"/>
            <family val="2"/>
          </rPr>
          <t>SOURCE – PC-ME 14040105 Pazanan2 PUMPS AR18: R02 (1393) FOB unit price</t>
        </r>
      </text>
    </comment>
    <comment ref="AF143" authorId="0" shapeId="0" xr:uid="{00000000-0006-0000-0200-00001805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 ref="E144" authorId="0" shapeId="0" xr:uid="{00000000-0006-0000-0200-00009100000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دیسالتر، آب هوازدایی‌شده، آب شیرین و آب خنک‌کن</t>
        </r>
      </text>
    </comment>
    <comment ref="F144" authorId="0" shapeId="0" xr:uid="{00000000-0006-0000-0200-00002401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144" authorId="0" shapeId="0" xr:uid="{00000000-0006-0000-0200-0000B701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44" authorId="0" shapeId="0" xr:uid="{00000000-0006-0000-0200-000063020000}">
      <text>
        <r>
          <rPr>
            <sz val="10"/>
            <rFont val="Arial"/>
            <family val="2"/>
          </rPr>
          <t>SOURCE – design code line "&amp; IPS-G-PM-105" in the project item description</t>
        </r>
      </text>
    </comment>
    <comment ref="O144" authorId="0" shapeId="0" xr:uid="{00000000-0006-0000-0200-0000C0020000}">
      <text>
        <r>
          <rPr>
            <sz val="10"/>
            <rFont val="Arial"/>
            <family val="2"/>
          </rPr>
          <t>SOURCE – PC-ME 14040105 Pazanan2 PUMPS B20: NACE 'MR-0175' Required: Yes</t>
        </r>
      </text>
    </comment>
    <comment ref="S144" authorId="0" shapeId="0" xr:uid="{00000000-0006-0000-0200-000055030000}">
      <text>
        <r>
          <rPr>
            <sz val="10"/>
            <rFont val="Arial"/>
            <family val="2"/>
          </rPr>
          <t xml:space="preserve">INFERRED – </t>
        </r>
        <r>
          <rPr>
            <sz val="10"/>
            <rFont val="FreeSans"/>
            <family val="2"/>
          </rPr>
          <t>نوع محرک در منبع ذکر نشده؛ موتور برقی فرض شده است</t>
        </r>
      </text>
    </comment>
    <comment ref="Y144" authorId="0" shapeId="0" xr:uid="{00000000-0006-0000-0200-000010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Z144" authorId="0" shapeId="0" xr:uid="{00000000-0006-0000-0200-00003E040000}">
      <text>
        <r>
          <rPr>
            <sz val="10"/>
            <rFont val="Arial"/>
            <family val="2"/>
          </rPr>
          <t>SOURCE – PC-ME 14040105 Pazanan2 PUMPS AR20</t>
        </r>
      </text>
    </comment>
    <comment ref="AA144" authorId="0" shapeId="0" xr:uid="{00000000-0006-0000-0200-00006B040000}">
      <text>
        <r>
          <rPr>
            <sz val="10"/>
            <rFont val="Arial"/>
            <family val="2"/>
          </rPr>
          <t>SOURCE – PC-ME 14040105 Pazanan2 PUMPS AR20: R02 (1393) FOB unit price</t>
        </r>
      </text>
    </comment>
    <comment ref="AF144" authorId="0" shapeId="0" xr:uid="{00000000-0006-0000-0200-00001905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 ref="E145" authorId="0" shapeId="0" xr:uid="{00000000-0006-0000-0200-000092000000}">
      <text>
        <r>
          <rPr>
            <sz val="10"/>
            <rFont val="Arial"/>
            <family val="2"/>
          </rPr>
          <t xml:space="preserve">ROT-DRN = Drainage, Flare &amp; OWS Pumps
</t>
        </r>
        <r>
          <rPr>
            <sz val="10"/>
            <rFont val="FreeSans"/>
            <family val="2"/>
          </rPr>
          <t xml:space="preserve">درین بسته و باز، </t>
        </r>
        <r>
          <rPr>
            <sz val="10"/>
            <rFont val="Arial"/>
            <family val="2"/>
          </rPr>
          <t>Flare KO Drum</t>
        </r>
        <r>
          <rPr>
            <sz val="10"/>
            <rFont val="FreeSans"/>
            <family val="2"/>
          </rPr>
          <t>، جداکننده آب و نفت (OWS)، نفت بازیافتی و لجن</t>
        </r>
      </text>
    </comment>
    <comment ref="F145" authorId="0" shapeId="0" xr:uid="{00000000-0006-0000-0200-00002501000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با نصب روی خط مرکز؛ رایج‌ترین پمپ فرآیندی پالایشگاهی و تحمل دمای بالا</t>
        </r>
      </text>
    </comment>
    <comment ref="G145" authorId="0" shapeId="0" xr:uid="{00000000-0006-0000-0200-0000B8010000}">
      <text>
        <r>
          <rPr>
            <sz val="10"/>
            <rFont val="Arial"/>
            <family val="2"/>
          </rPr>
          <t xml:space="preserve">S-6: </t>
        </r>
        <r>
          <rPr>
            <sz val="10"/>
            <rFont val="FreeSans"/>
            <family val="2"/>
          </rPr>
          <t>بدنه فولاد کربنی، پروانه کروم ۱۲٪؛ رینگ کروم ۱۲٪ سخت‌شده؛ شفت کروم ۱۲٪</t>
        </r>
        <r>
          <rPr>
            <sz val="10"/>
            <rFont val="Arial"/>
            <family val="2"/>
          </rPr>
          <t xml:space="preserve">.
</t>
        </r>
        <r>
          <rPr>
            <sz val="10"/>
            <rFont val="FreeSans"/>
            <family val="2"/>
          </rPr>
          <t>کاربرد معمول: هیدروکربن داغ، آب ترش و خوردگی ملایم</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45" authorId="0" shapeId="0" xr:uid="{00000000-0006-0000-0200-000064020000}">
      <text>
        <r>
          <rPr>
            <sz val="10"/>
            <rFont val="Arial"/>
            <family val="2"/>
          </rPr>
          <t>SOURCE – design code line "&amp; IPS-G-PM-105" in the project item description</t>
        </r>
      </text>
    </comment>
    <comment ref="O145" authorId="0" shapeId="0" xr:uid="{00000000-0006-0000-0200-0000C1020000}">
      <text>
        <r>
          <rPr>
            <sz val="10"/>
            <rFont val="Arial"/>
            <family val="2"/>
          </rPr>
          <t>INFERRED – PC-ME 14040105 Pazanan2 PUMPS B21: no "NACE MR-0175" line in item description, while the document states it item-by-item where required → N</t>
        </r>
      </text>
    </comment>
    <comment ref="S145" authorId="0" shapeId="0" xr:uid="{00000000-0006-0000-0200-000056030000}">
      <text>
        <r>
          <rPr>
            <sz val="10"/>
            <rFont val="Arial"/>
            <family val="2"/>
          </rPr>
          <t xml:space="preserve">INFERRED – </t>
        </r>
        <r>
          <rPr>
            <sz val="10"/>
            <rFont val="FreeSans"/>
            <family val="2"/>
          </rPr>
          <t>نوع محرک در منبع ذکر نشده؛ موتور برقی فرض شده است</t>
        </r>
      </text>
    </comment>
    <comment ref="Y145" authorId="0" shapeId="0" xr:uid="{00000000-0006-0000-0200-000011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Z145" authorId="0" shapeId="0" xr:uid="{00000000-0006-0000-0200-00003F040000}">
      <text>
        <r>
          <rPr>
            <sz val="10"/>
            <rFont val="Arial"/>
            <family val="2"/>
          </rPr>
          <t>SOURCE – PC-ME 14040105 Pazanan2 PUMPS AR21</t>
        </r>
      </text>
    </comment>
    <comment ref="AA145" authorId="0" shapeId="0" xr:uid="{00000000-0006-0000-0200-00006C040000}">
      <text>
        <r>
          <rPr>
            <sz val="10"/>
            <rFont val="Arial"/>
            <family val="2"/>
          </rPr>
          <t>SOURCE – PC-ME 14040105 Pazanan2 PUMPS AR21: R02 (1393) FOB unit price</t>
        </r>
      </text>
    </comment>
    <comment ref="AF145" authorId="0" shapeId="0" xr:uid="{00000000-0006-0000-0200-00001A05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 ref="E146" authorId="0" shapeId="0" xr:uid="{00000000-0006-0000-0200-000093000000}">
      <text>
        <r>
          <rPr>
            <sz val="10"/>
            <rFont val="Arial"/>
            <family val="2"/>
          </rPr>
          <t xml:space="preserve">ROT-AUX = Chemical, Fuel &amp; Auxiliary Pumps
</t>
        </r>
        <r>
          <rPr>
            <sz val="10"/>
            <rFont val="FreeSans"/>
            <family val="2"/>
          </rPr>
          <t>پمپ‌های جانبی: مواد شیمیایی، گلایکول، گازوئیل و سوخت</t>
        </r>
      </text>
    </comment>
    <comment ref="F146" authorId="0" shapeId="0" xr:uid="{00000000-0006-0000-0200-00002601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146" authorId="0" shapeId="0" xr:uid="{00000000-0006-0000-0200-0000B9010000}">
      <text>
        <r>
          <rPr>
            <sz val="10"/>
            <rFont val="Arial"/>
            <family val="2"/>
          </rPr>
          <t xml:space="preserve">S-1: </t>
        </r>
        <r>
          <rPr>
            <sz val="10"/>
            <rFont val="FreeSans"/>
            <family val="2"/>
          </rPr>
          <t>بدنه فولاد کربنی، پروانه چدن؛ رینگ چدن؛ شفت فولاد کربنی</t>
        </r>
        <r>
          <rPr>
            <sz val="10"/>
            <rFont val="Arial"/>
            <family val="2"/>
          </rPr>
          <t xml:space="preserve">.
</t>
        </r>
        <r>
          <rPr>
            <sz val="10"/>
            <rFont val="FreeSans"/>
            <family val="2"/>
          </rPr>
          <t>کاربرد معمول: هیدروکربن غیرخورنده</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46" authorId="0" shapeId="0" xr:uid="{00000000-0006-0000-0200-000065020000}">
      <text>
        <r>
          <rPr>
            <sz val="10"/>
            <rFont val="Arial"/>
            <family val="2"/>
          </rPr>
          <t>SOURCE – design code line "&amp; IPS-M-PM-115" in the project item description</t>
        </r>
      </text>
    </comment>
    <comment ref="O146" authorId="0" shapeId="0" xr:uid="{00000000-0006-0000-0200-0000C2020000}">
      <text>
        <r>
          <rPr>
            <sz val="10"/>
            <rFont val="Arial"/>
            <family val="2"/>
          </rPr>
          <t>INFERRED – PC-ME 14040105 Pazanan2 PUMPS B22: no "NACE MR-0175" line in item description, while the document states it item-by-item where required → N</t>
        </r>
      </text>
    </comment>
    <comment ref="S146" authorId="0" shapeId="0" xr:uid="{00000000-0006-0000-0200-000057030000}">
      <text>
        <r>
          <rPr>
            <sz val="10"/>
            <rFont val="Arial"/>
            <family val="2"/>
          </rPr>
          <t xml:space="preserve">INFERRED – </t>
        </r>
        <r>
          <rPr>
            <sz val="10"/>
            <rFont val="FreeSans"/>
            <family val="2"/>
          </rPr>
          <t>نوع محرک در منبع ذکر نشده؛ موتور برقی فرض شده است</t>
        </r>
      </text>
    </comment>
    <comment ref="Y146" authorId="0" shapeId="0" xr:uid="{00000000-0006-0000-0200-000012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Z146" authorId="0" shapeId="0" xr:uid="{00000000-0006-0000-0200-000040040000}">
      <text>
        <r>
          <rPr>
            <sz val="10"/>
            <rFont val="Arial"/>
            <family val="2"/>
          </rPr>
          <t>SOURCE – PC-ME 14040105 Pazanan2 PUMPS AR22</t>
        </r>
      </text>
    </comment>
    <comment ref="AA146" authorId="0" shapeId="0" xr:uid="{00000000-0006-0000-0200-00006D040000}">
      <text>
        <r>
          <rPr>
            <sz val="10"/>
            <rFont val="Arial"/>
            <family val="2"/>
          </rPr>
          <t>SOURCE – PC-ME 14040105 Pazanan2 PUMPS AR22: R02 (1393) FOB unit price</t>
        </r>
      </text>
    </comment>
    <comment ref="AF146" authorId="0" shapeId="0" xr:uid="{00000000-0006-0000-0200-00001B05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 ref="E147" authorId="0" shapeId="0" xr:uid="{00000000-0006-0000-0200-00009400000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و بارگیری آب آتش‌نشانی</t>
        </r>
      </text>
    </comment>
    <comment ref="F147" authorId="0" shapeId="0" xr:uid="{00000000-0006-0000-0200-00002701000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(ISO 5199</t>
        </r>
        <r>
          <rPr>
            <sz val="10"/>
            <rFont val="FreeSans"/>
            <family val="2"/>
          </rPr>
          <t xml:space="preserve">، </t>
        </r>
        <r>
          <rPr>
            <sz val="10"/>
            <rFont val="Arial"/>
            <family val="2"/>
          </rPr>
          <t>NFPA 20</t>
        </r>
        <r>
          <rPr>
            <sz val="10"/>
            <rFont val="FreeSans"/>
            <family val="2"/>
          </rPr>
          <t xml:space="preserve">، </t>
        </r>
        <r>
          <rPr>
            <sz val="10"/>
            <rFont val="Arial"/>
            <family val="2"/>
          </rPr>
          <t>JIS</t>
        </r>
        <r>
          <rPr>
            <sz val="10"/>
            <rFont val="FreeSans"/>
            <family val="2"/>
          </rPr>
          <t>، پمپ جابه‌جایی مثبت یا پرتابل</t>
        </r>
        <r>
          <rPr>
            <sz val="10"/>
            <rFont val="Arial"/>
            <family val="2"/>
          </rPr>
          <t>)</t>
        </r>
        <r>
          <rPr>
            <sz val="10"/>
            <rFont val="FreeSans"/>
            <family val="2"/>
          </rPr>
          <t xml:space="preserve">؛ طبقه‌بندی </t>
        </r>
        <r>
          <rPr>
            <sz val="10"/>
            <rFont val="Arial"/>
            <family val="2"/>
          </rPr>
          <t xml:space="preserve">API 610 </t>
        </r>
        <r>
          <rPr>
            <sz val="10"/>
            <rFont val="FreeSans"/>
            <family val="2"/>
          </rPr>
          <t>کاربرد ندارد</t>
        </r>
      </text>
    </comment>
    <comment ref="G147" authorId="0" shapeId="0" xr:uid="{00000000-0006-0000-0200-0000BA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47" authorId="0" shapeId="0" xr:uid="{00000000-0006-0000-0200-000066020000}">
      <text>
        <r>
          <rPr>
            <sz val="10"/>
            <rFont val="Arial"/>
            <family val="2"/>
          </rPr>
          <t>SOURCE – design code line "&amp; IPS-M-PM-115" in the project item description</t>
        </r>
      </text>
    </comment>
    <comment ref="O147" authorId="0" shapeId="0" xr:uid="{00000000-0006-0000-0200-0000C3020000}">
      <text>
        <r>
          <rPr>
            <sz val="10"/>
            <rFont val="Arial"/>
            <family val="2"/>
          </rPr>
          <t>INFERRED – PC-ME 14040105 Pazanan2 PUMPS B23: no "NACE MR-0175" line in item description, while the document states it item-by-item where required → N</t>
        </r>
      </text>
    </comment>
    <comment ref="S147" authorId="0" shapeId="0" xr:uid="{00000000-0006-0000-0200-000058030000}">
      <text>
        <r>
          <rPr>
            <sz val="10"/>
            <rFont val="Arial"/>
            <family val="2"/>
          </rPr>
          <t xml:space="preserve">INFERRED – </t>
        </r>
        <r>
          <rPr>
            <sz val="10"/>
            <rFont val="FreeSans"/>
            <family val="2"/>
          </rPr>
          <t>نوع محرک در منبع ذکر نشده؛ موتور برقی فرض شده است</t>
        </r>
      </text>
    </comment>
    <comment ref="Y147" authorId="0" shapeId="0" xr:uid="{00000000-0006-0000-0200-000013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Z147" authorId="0" shapeId="0" xr:uid="{00000000-0006-0000-0200-000041040000}">
      <text>
        <r>
          <rPr>
            <sz val="10"/>
            <rFont val="Arial"/>
            <family val="2"/>
          </rPr>
          <t>SOURCE – PC-ME 14040105 Pazanan2 PUMPS AR23</t>
        </r>
      </text>
    </comment>
    <comment ref="AA147" authorId="0" shapeId="0" xr:uid="{00000000-0006-0000-0200-00006E040000}">
      <text>
        <r>
          <rPr>
            <sz val="10"/>
            <rFont val="Arial"/>
            <family val="2"/>
          </rPr>
          <t>SOURCE – PC-ME 14040105 Pazanan2 PUMPS AR23: R02 (1393) FOB unit price</t>
        </r>
      </text>
    </comment>
    <comment ref="AF147" authorId="0" shapeId="0" xr:uid="{00000000-0006-0000-0200-00001C05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 ref="E148" authorId="0" shapeId="0" xr:uid="{00000000-0006-0000-0200-00009500000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و بارگیری آب آتش‌نشانی</t>
        </r>
      </text>
    </comment>
    <comment ref="F148" authorId="0" shapeId="0" xr:uid="{00000000-0006-0000-0200-000028010000}">
      <text>
        <r>
          <rPr>
            <sz val="10"/>
            <rFont val="Arial"/>
            <family val="2"/>
          </rPr>
          <t xml:space="preserve">BB (unspecified) – Between bearings – subtype not stated:
</t>
        </r>
        <r>
          <rPr>
            <sz val="10"/>
            <rFont val="FreeSans"/>
            <family val="2"/>
          </rPr>
          <t xml:space="preserve">منبع فقط </t>
        </r>
        <r>
          <rPr>
            <sz val="10"/>
            <rFont val="Arial"/>
            <family val="2"/>
          </rPr>
          <t xml:space="preserve">«Between Bearings» </t>
        </r>
        <r>
          <rPr>
            <sz val="10"/>
            <rFont val="FreeSans"/>
            <family val="2"/>
          </rPr>
          <t xml:space="preserve">گفته و زیرنوع </t>
        </r>
        <r>
          <rPr>
            <sz val="10"/>
            <rFont val="Arial"/>
            <family val="2"/>
          </rPr>
          <t xml:space="preserve">API </t>
        </r>
        <r>
          <rPr>
            <sz val="10"/>
            <rFont val="FreeSans"/>
            <family val="2"/>
          </rPr>
          <t>را مشخص نکرده</t>
        </r>
      </text>
    </comment>
    <comment ref="G148" authorId="0" shapeId="0" xr:uid="{00000000-0006-0000-0200-0000BB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48" authorId="0" shapeId="0" xr:uid="{00000000-0006-0000-0200-000067020000}">
      <text>
        <r>
          <rPr>
            <sz val="10"/>
            <rFont val="Arial"/>
            <family val="2"/>
          </rPr>
          <t>SOURCE – design code line "&amp; IPS-M-PM-125" in the project item description</t>
        </r>
      </text>
    </comment>
    <comment ref="O148" authorId="0" shapeId="0" xr:uid="{00000000-0006-0000-0200-0000C4020000}">
      <text>
        <r>
          <rPr>
            <sz val="10"/>
            <rFont val="Arial"/>
            <family val="2"/>
          </rPr>
          <t>INFERRED – PC-ME 14040105 Pazanan2 PUMPS B24: no "NACE MR-0175" line in item description, while the document states it item-by-item where required → N</t>
        </r>
      </text>
    </comment>
    <comment ref="S148" authorId="0" shapeId="0" xr:uid="{00000000-0006-0000-0200-000059030000}">
      <text>
        <r>
          <rPr>
            <sz val="10"/>
            <rFont val="Arial"/>
            <family val="2"/>
          </rPr>
          <t>SOURCE – equipment name states electric motor driven</t>
        </r>
      </text>
    </comment>
    <comment ref="Y148" authorId="0" shapeId="0" xr:uid="{00000000-0006-0000-0200-000014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Z148" authorId="0" shapeId="0" xr:uid="{00000000-0006-0000-0200-000042040000}">
      <text>
        <r>
          <rPr>
            <sz val="10"/>
            <rFont val="Arial"/>
            <family val="2"/>
          </rPr>
          <t>SOURCE – PC-ME 14040105 Pazanan2 PUMPS AR24</t>
        </r>
      </text>
    </comment>
    <comment ref="AA148" authorId="0" shapeId="0" xr:uid="{00000000-0006-0000-0200-00006F040000}">
      <text>
        <r>
          <rPr>
            <sz val="10"/>
            <rFont val="Arial"/>
            <family val="2"/>
          </rPr>
          <t>SOURCE – PC-ME 14040105 Pazanan2 PUMPS AR24: R02 (1393) FOB unit price</t>
        </r>
      </text>
    </comment>
    <comment ref="AF148" authorId="0" shapeId="0" xr:uid="{00000000-0006-0000-0200-00001D05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 ref="E149" authorId="0" shapeId="0" xr:uid="{00000000-0006-0000-0200-00009600000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و بارگیری آب آتش‌نشانی</t>
        </r>
      </text>
    </comment>
    <comment ref="F149" authorId="0" shapeId="0" xr:uid="{00000000-0006-0000-0200-000029010000}">
      <text>
        <r>
          <rPr>
            <sz val="10"/>
            <rFont val="Arial"/>
            <family val="2"/>
          </rPr>
          <t xml:space="preserve">BB (unspecified) – Between bearings – subtype not stated:
</t>
        </r>
        <r>
          <rPr>
            <sz val="10"/>
            <rFont val="FreeSans"/>
            <family val="2"/>
          </rPr>
          <t xml:space="preserve">منبع فقط </t>
        </r>
        <r>
          <rPr>
            <sz val="10"/>
            <rFont val="Arial"/>
            <family val="2"/>
          </rPr>
          <t xml:space="preserve">«Between Bearings» </t>
        </r>
        <r>
          <rPr>
            <sz val="10"/>
            <rFont val="FreeSans"/>
            <family val="2"/>
          </rPr>
          <t xml:space="preserve">گفته و زیرنوع </t>
        </r>
        <r>
          <rPr>
            <sz val="10"/>
            <rFont val="Arial"/>
            <family val="2"/>
          </rPr>
          <t xml:space="preserve">API </t>
        </r>
        <r>
          <rPr>
            <sz val="10"/>
            <rFont val="FreeSans"/>
            <family val="2"/>
          </rPr>
          <t>را مشخص نکرده</t>
        </r>
      </text>
    </comment>
    <comment ref="G149" authorId="0" shapeId="0" xr:uid="{00000000-0006-0000-0200-0000BC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49" authorId="0" shapeId="0" xr:uid="{00000000-0006-0000-0200-000068020000}">
      <text>
        <r>
          <rPr>
            <sz val="10"/>
            <rFont val="Arial"/>
            <family val="2"/>
          </rPr>
          <t>SOURCE – design code line "&amp; IPS-M-PM-125" in the project item description</t>
        </r>
      </text>
    </comment>
    <comment ref="O149" authorId="0" shapeId="0" xr:uid="{00000000-0006-0000-0200-0000C5020000}">
      <text>
        <r>
          <rPr>
            <sz val="10"/>
            <rFont val="Arial"/>
            <family val="2"/>
          </rPr>
          <t>INFERRED – PC-ME 14040105 Pazanan2 PUMPS B25: no "NACE MR-0175" line in item description, while the document states it item-by-item where required → N</t>
        </r>
      </text>
    </comment>
    <comment ref="S149" authorId="0" shapeId="0" xr:uid="{00000000-0006-0000-0200-00005A030000}">
      <text>
        <r>
          <rPr>
            <sz val="10"/>
            <rFont val="Arial"/>
            <family val="2"/>
          </rPr>
          <t>SOURCE – equipment name states diesel engine driven</t>
        </r>
      </text>
    </comment>
    <comment ref="Y149" authorId="0" shapeId="0" xr:uid="{00000000-0006-0000-0200-000015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Z149" authorId="0" shapeId="0" xr:uid="{00000000-0006-0000-0200-000043040000}">
      <text>
        <r>
          <rPr>
            <sz val="10"/>
            <rFont val="Arial"/>
            <family val="2"/>
          </rPr>
          <t>SOURCE – PC-ME 14040105 Pazanan2 PUMPS AR25</t>
        </r>
      </text>
    </comment>
    <comment ref="AA149" authorId="0" shapeId="0" xr:uid="{00000000-0006-0000-0200-000070040000}">
      <text>
        <r>
          <rPr>
            <sz val="10"/>
            <rFont val="Arial"/>
            <family val="2"/>
          </rPr>
          <t>SOURCE – PC-ME 14040105 Pazanan2 PUMPS AR25: R02 (1393) FOB unit price</t>
        </r>
      </text>
    </comment>
    <comment ref="AF149" authorId="0" shapeId="0" xr:uid="{00000000-0006-0000-0200-00001E05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 ref="E150" authorId="0" shapeId="0" xr:uid="{00000000-0006-0000-0200-00009700000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و بارگیری آب آتش‌نشانی</t>
        </r>
      </text>
    </comment>
    <comment ref="F150" authorId="0" shapeId="0" xr:uid="{00000000-0006-0000-0200-00002A010000}">
      <text>
        <r>
          <rPr>
            <sz val="10"/>
            <rFont val="Arial"/>
            <family val="2"/>
          </rPr>
          <t xml:space="preserve">OH (unspecified) – Overhung – subtype not stated:
</t>
        </r>
        <r>
          <rPr>
            <sz val="10"/>
            <rFont val="FreeSans"/>
            <family val="2"/>
          </rPr>
          <t xml:space="preserve">منبع فقط </t>
        </r>
        <r>
          <rPr>
            <sz val="10"/>
            <rFont val="Arial"/>
            <family val="2"/>
          </rPr>
          <t xml:space="preserve">«Overhung» </t>
        </r>
        <r>
          <rPr>
            <sz val="10"/>
            <rFont val="FreeSans"/>
            <family val="2"/>
          </rPr>
          <t xml:space="preserve">گفته و زیرنوع </t>
        </r>
        <r>
          <rPr>
            <sz val="10"/>
            <rFont val="Arial"/>
            <family val="2"/>
          </rPr>
          <t xml:space="preserve">API </t>
        </r>
        <r>
          <rPr>
            <sz val="10"/>
            <rFont val="FreeSans"/>
            <family val="2"/>
          </rPr>
          <t>را مشخص نکرده</t>
        </r>
      </text>
    </comment>
    <comment ref="G150" authorId="0" shapeId="0" xr:uid="{00000000-0006-0000-0200-0000BD01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N150" authorId="0" shapeId="0" xr:uid="{00000000-0006-0000-0200-000069020000}">
      <text>
        <r>
          <rPr>
            <sz val="10"/>
            <rFont val="Arial"/>
            <family val="2"/>
          </rPr>
          <t>SOURCE – design code line "&amp; IPS-M-PM-125" in the project item description</t>
        </r>
      </text>
    </comment>
    <comment ref="O150" authorId="0" shapeId="0" xr:uid="{00000000-0006-0000-0200-0000C6020000}">
      <text>
        <r>
          <rPr>
            <sz val="10"/>
            <rFont val="Arial"/>
            <family val="2"/>
          </rPr>
          <t>INFERRED – PC-ME 14040105 Pazanan2 PUMPS B26: no "NACE MR-0175" line in item description, while the document states it item-by-item where required → N</t>
        </r>
      </text>
    </comment>
    <comment ref="S150" authorId="0" shapeId="0" xr:uid="{00000000-0006-0000-0200-00005B030000}">
      <text>
        <r>
          <rPr>
            <sz val="10"/>
            <rFont val="Arial"/>
            <family val="2"/>
          </rPr>
          <t xml:space="preserve">INFERRED – </t>
        </r>
        <r>
          <rPr>
            <sz val="10"/>
            <rFont val="FreeSans"/>
            <family val="2"/>
          </rPr>
          <t>نوع محرک در منبع ذکر نشده؛ موتور برقی فرض شده است</t>
        </r>
      </text>
    </comment>
    <comment ref="Y150" authorId="0" shapeId="0" xr:uid="{00000000-0006-0000-0200-000016040000}">
      <text>
        <r>
          <rPr>
            <sz val="10"/>
            <rFont val="Arial"/>
            <family val="2"/>
          </rPr>
          <t xml:space="preserve">SOURCE – PC-ME Cover D65: </t>
        </r>
        <r>
          <rPr>
            <sz val="10"/>
            <rFont val="FreeSans"/>
            <family val="2"/>
          </rPr>
          <t xml:space="preserve">نسخه </t>
        </r>
        <r>
          <rPr>
            <sz val="10"/>
            <rFont val="Arial"/>
            <family val="2"/>
          </rPr>
          <t>R02 = FEB 2015 (</t>
        </r>
        <r>
          <rPr>
            <sz val="10"/>
            <rFont val="FreeSans"/>
            <family val="2"/>
          </rPr>
          <t>بهمن ۱۳۹۳</t>
        </r>
        <r>
          <rPr>
            <sz val="10"/>
            <rFont val="Arial"/>
            <family val="2"/>
          </rPr>
          <t>)</t>
        </r>
      </text>
    </comment>
    <comment ref="Z150" authorId="0" shapeId="0" xr:uid="{00000000-0006-0000-0200-000044040000}">
      <text>
        <r>
          <rPr>
            <sz val="10"/>
            <rFont val="Arial"/>
            <family val="2"/>
          </rPr>
          <t>SOURCE – PC-ME 14040105 Pazanan2 PUMPS AR26</t>
        </r>
      </text>
    </comment>
    <comment ref="AA150" authorId="0" shapeId="0" xr:uid="{00000000-0006-0000-0200-000071040000}">
      <text>
        <r>
          <rPr>
            <sz val="10"/>
            <rFont val="Arial"/>
            <family val="2"/>
          </rPr>
          <t>SOURCE – PC-ME 14040105 Pazanan2 PUMPS AR26: R02 (1393) FOB unit price</t>
        </r>
      </text>
    </comment>
    <comment ref="AF150" authorId="0" shapeId="0" xr:uid="{00000000-0006-0000-0200-00001F050000}">
      <text>
        <r>
          <rPr>
            <sz val="10"/>
            <rFont val="FreeSans"/>
            <family val="2"/>
          </rPr>
          <t>شرط تحویل</t>
        </r>
        <r>
          <rPr>
            <sz val="10"/>
            <rFont val="Arial"/>
            <family val="2"/>
          </rPr>
          <t>: FOB (</t>
        </r>
        <r>
          <rPr>
            <sz val="10"/>
            <rFont val="FreeSans"/>
            <family val="2"/>
          </rPr>
          <t xml:space="preserve">صریح؛ سرستون </t>
        </r>
        <r>
          <rPr>
            <sz val="10"/>
            <rFont val="Arial"/>
            <family val="2"/>
          </rPr>
          <t>AR7 «Unit Price 'FOB' (€)»</t>
        </r>
        <r>
          <rPr>
            <sz val="10"/>
            <rFont val="FreeSans"/>
            <family val="2"/>
          </rPr>
          <t>،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بدون سربار؛ حمل، بیمه، ترخیص، سربار، مالیات و نصب شامل نیست</t>
        </r>
        <r>
          <rPr>
            <sz val="10"/>
            <rFont val="Arial"/>
            <family val="2"/>
          </rPr>
          <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K6" authorId="0" shapeId="0" xr:uid="{00000000-0006-0000-0500-000001000000}">
      <text>
        <r>
          <rPr>
            <sz val="10"/>
            <rFont val="Arial"/>
            <family val="2"/>
          </rPr>
          <t>INFERRED – column header F7 "GOING UNIT PRICE FOB EUR 1404Q1" (average of these quotes) → quotes taken as FOB</t>
        </r>
      </text>
    </comment>
    <comment ref="K7" authorId="0" shapeId="0" xr:uid="{00000000-0006-0000-0500-000002000000}">
      <text>
        <r>
          <rPr>
            <sz val="10"/>
            <rFont val="Arial"/>
            <family val="2"/>
          </rPr>
          <t>INFERRED – column header F7 "GOING UNIT PRICE FOB EUR 1404Q1" (average of these quotes) → quotes taken as FOB</t>
        </r>
      </text>
    </comment>
    <comment ref="K10" authorId="0" shapeId="0" xr:uid="{00000000-0006-0000-0500-000003000000}">
      <text>
        <r>
          <rPr>
            <sz val="10"/>
            <rFont val="Arial"/>
            <family val="2"/>
          </rPr>
          <t>INFERRED – column header F7 "GOING UNIT PRICE FOB EUR 1404Q1" (average of these quotes) → quotes taken as FOB</t>
        </r>
      </text>
    </comment>
    <comment ref="K11" authorId="0" shapeId="0" xr:uid="{00000000-0006-0000-0500-000004000000}">
      <text>
        <r>
          <rPr>
            <sz val="10"/>
            <rFont val="Arial"/>
            <family val="2"/>
          </rPr>
          <t>INFERRED – column header F7 "GOING UNIT PRICE FOB EUR 1404Q1" (average of these quotes) → quotes taken as FOB</t>
        </r>
      </text>
    </comment>
    <comment ref="K14" authorId="0" shapeId="0" xr:uid="{00000000-0006-0000-0500-000005000000}">
      <text>
        <r>
          <rPr>
            <sz val="10"/>
            <rFont val="Arial"/>
            <family val="2"/>
          </rPr>
          <t>INFERRED – column header F7 "GOING UNIT PRICE FOB EUR 1404Q1" (average of these quotes) → quotes taken as FOB</t>
        </r>
      </text>
    </comment>
    <comment ref="K15" authorId="0" shapeId="0" xr:uid="{00000000-0006-0000-0500-000006000000}">
      <text>
        <r>
          <rPr>
            <sz val="10"/>
            <rFont val="Arial"/>
            <family val="2"/>
          </rPr>
          <t>INFERRED – column header F7 "GOING UNIT PRICE FOB EUR 1404Q1" (average of these quotes) → quotes taken as FOB</t>
        </r>
      </text>
    </comment>
    <comment ref="K18" authorId="0" shapeId="0" xr:uid="{00000000-0006-0000-0500-000007000000}">
      <text>
        <r>
          <rPr>
            <sz val="10"/>
            <rFont val="Arial"/>
            <family val="2"/>
          </rPr>
          <t>INFERRED – column header F7 "GOING UNIT PRICE FOB EUR 1404Q1" (average of these quotes) → quotes taken as FOB</t>
        </r>
      </text>
    </comment>
    <comment ref="K19" authorId="0" shapeId="0" xr:uid="{00000000-0006-0000-0500-000008000000}">
      <text>
        <r>
          <rPr>
            <sz val="10"/>
            <rFont val="Arial"/>
            <family val="2"/>
          </rPr>
          <t>INFERRED – column header F7 "GOING UNIT PRICE FOB EUR 1404Q1" (average of these quotes) → quotes taken as FOB</t>
        </r>
      </text>
    </comment>
    <comment ref="K22" authorId="0" shapeId="0" xr:uid="{00000000-0006-0000-0500-000009000000}">
      <text>
        <r>
          <rPr>
            <sz val="10"/>
            <rFont val="Arial"/>
            <family val="2"/>
          </rPr>
          <t>INFERRED – column header F7 "GOING UNIT PRICE FOB EUR 1404Q1" (average of these quotes) → quotes taken as FOB</t>
        </r>
      </text>
    </comment>
    <comment ref="K23" authorId="0" shapeId="0" xr:uid="{00000000-0006-0000-0500-00000A000000}">
      <text>
        <r>
          <rPr>
            <sz val="10"/>
            <rFont val="Arial"/>
            <family val="2"/>
          </rPr>
          <t>INFERRED – column header F7 "GOING UNIT PRICE FOB EUR 1404Q1" (average of these quotes) → quotes taken as FOB</t>
        </r>
      </text>
    </comment>
    <comment ref="K26" authorId="0" shapeId="0" xr:uid="{00000000-0006-0000-0500-00000B000000}">
      <text>
        <r>
          <rPr>
            <sz val="10"/>
            <rFont val="Arial"/>
            <family val="2"/>
          </rPr>
          <t>INFERRED – column header F7 "GOING UNIT PRICE FOB EUR 1404Q1" (average of these quotes) → quotes taken as FOB</t>
        </r>
      </text>
    </comment>
    <comment ref="K30" authorId="0" shapeId="0" xr:uid="{00000000-0006-0000-0500-00000C000000}">
      <text>
        <r>
          <rPr>
            <sz val="10"/>
            <rFont val="Arial"/>
            <family val="2"/>
          </rPr>
          <t>INFERRED – column header F7 "GOING UNIT PRICE FOB EUR 1404Q1" (average of these quotes) → quotes taken as FOB</t>
        </r>
      </text>
    </comment>
    <comment ref="K31" authorId="0" shapeId="0" xr:uid="{00000000-0006-0000-0500-00000D000000}">
      <text>
        <r>
          <rPr>
            <sz val="10"/>
            <rFont val="Arial"/>
            <family val="2"/>
          </rPr>
          <t>INFERRED – column header F7 "GOING UNIT PRICE FOB EUR 1404Q1" (average of these quotes) → quotes taken as FOB</t>
        </r>
      </text>
    </comment>
    <comment ref="K34" authorId="0" shapeId="0" xr:uid="{00000000-0006-0000-0500-00000E000000}">
      <text>
        <r>
          <rPr>
            <sz val="10"/>
            <rFont val="Arial"/>
            <family val="2"/>
          </rPr>
          <t>INFERRED – column header F7 "GOING UNIT PRICE FOB EUR 1404Q1" (average of these quotes) → quotes taken as FOB</t>
        </r>
      </text>
    </comment>
    <comment ref="K35" authorId="0" shapeId="0" xr:uid="{00000000-0006-0000-0500-00000F000000}">
      <text>
        <r>
          <rPr>
            <sz val="10"/>
            <rFont val="Arial"/>
            <family val="2"/>
          </rPr>
          <t>INFERRED – column header F7 "GOING UNIT PRICE FOB EUR 1404Q1" (average of these quotes) → quotes taken as FOB</t>
        </r>
      </text>
    </comment>
    <comment ref="K38" authorId="0" shapeId="0" xr:uid="{00000000-0006-0000-0500-000010000000}">
      <text>
        <r>
          <rPr>
            <sz val="10"/>
            <rFont val="Arial"/>
            <family val="2"/>
          </rPr>
          <t>INFERRED – column header F7 "GOING UNIT PRICE FOB EUR 1404Q1" (average of these quotes) → quotes taken as FOB</t>
        </r>
      </text>
    </comment>
    <comment ref="K39" authorId="0" shapeId="0" xr:uid="{00000000-0006-0000-0500-000011000000}">
      <text>
        <r>
          <rPr>
            <sz val="10"/>
            <rFont val="Arial"/>
            <family val="2"/>
          </rPr>
          <t>INFERRED – column header F7 "GOING UNIT PRICE FOB EUR 1404Q1" (average of these quotes) → quotes taken as FOB</t>
        </r>
      </text>
    </comment>
    <comment ref="K42" authorId="0" shapeId="0" xr:uid="{00000000-0006-0000-0500-000012000000}">
      <text>
        <r>
          <rPr>
            <sz val="10"/>
            <rFont val="Arial"/>
            <family val="2"/>
          </rPr>
          <t>INFERRED – column header F7 "GOING UNIT PRICE FOB EUR 1404Q1" (average of these quotes) → quotes taken as FOB</t>
        </r>
      </text>
    </comment>
    <comment ref="K43" authorId="0" shapeId="0" xr:uid="{00000000-0006-0000-0500-000013000000}">
      <text>
        <r>
          <rPr>
            <sz val="10"/>
            <rFont val="Arial"/>
            <family val="2"/>
          </rPr>
          <t>INFERRED – column header F7 "GOING UNIT PRICE FOB EUR 1404Q1" (average of these quotes) → quotes taken as FOB</t>
        </r>
      </text>
    </comment>
    <comment ref="K46" authorId="0" shapeId="0" xr:uid="{00000000-0006-0000-0500-000014000000}">
      <text>
        <r>
          <rPr>
            <sz val="10"/>
            <rFont val="Arial"/>
            <family val="2"/>
          </rPr>
          <t>INFERRED – column header F7 "GOING UNIT PRICE FOB EUR 1404Q1" (average of these quotes) → quotes taken as FOB</t>
        </r>
      </text>
    </comment>
    <comment ref="K47" authorId="0" shapeId="0" xr:uid="{00000000-0006-0000-0500-000015000000}">
      <text>
        <r>
          <rPr>
            <sz val="10"/>
            <rFont val="Arial"/>
            <family val="2"/>
          </rPr>
          <t>INFERRED – column header F7 "GOING UNIT PRICE FOB EUR 1404Q1" (average of these quotes) → quotes taken as FOB</t>
        </r>
      </text>
    </comment>
    <comment ref="K54" authorId="0" shapeId="0" xr:uid="{00000000-0006-0000-0500-000016000000}">
      <text>
        <r>
          <rPr>
            <sz val="10"/>
            <rFont val="Arial"/>
            <family val="2"/>
          </rPr>
          <t>INFERRED – column header F7 "GOING UNIT PRICE FOB EUR 1404Q1" (average of these quotes) → quotes taken as FOB</t>
        </r>
      </text>
    </comment>
    <comment ref="K55" authorId="0" shapeId="0" xr:uid="{00000000-0006-0000-0500-000017000000}">
      <text>
        <r>
          <rPr>
            <sz val="10"/>
            <rFont val="Arial"/>
            <family val="2"/>
          </rPr>
          <t>INFERRED – column header F7 "GOING UNIT PRICE FOB EUR 1404Q1" (average of these quotes) → quotes taken as FOB</t>
        </r>
      </text>
    </comment>
    <comment ref="K58" authorId="0" shapeId="0" xr:uid="{00000000-0006-0000-0500-000018000000}">
      <text>
        <r>
          <rPr>
            <sz val="10"/>
            <rFont val="Arial"/>
            <family val="2"/>
          </rPr>
          <t>INFERRED – column header F7 "GOING UNIT PRICE FOB EUR 1404Q1" (average of these quotes) → quotes taken as FOB</t>
        </r>
      </text>
    </comment>
    <comment ref="K59" authorId="0" shapeId="0" xr:uid="{00000000-0006-0000-0500-000019000000}">
      <text>
        <r>
          <rPr>
            <sz val="10"/>
            <rFont val="Arial"/>
            <family val="2"/>
          </rPr>
          <t>INFERRED – column header F7 "GOING UNIT PRICE FOB EUR 1404Q1" (average of these quotes) → quotes taken as FOB</t>
        </r>
      </text>
    </comment>
    <comment ref="K62" authorId="0" shapeId="0" xr:uid="{00000000-0006-0000-0500-00001A000000}">
      <text>
        <r>
          <rPr>
            <sz val="10"/>
            <rFont val="Arial"/>
            <family val="2"/>
          </rPr>
          <t>INFERRED – column header F7 "GOING UNIT PRICE FOB EUR 1404Q1" (average of these quotes) → quotes taken as FOB</t>
        </r>
      </text>
    </comment>
    <comment ref="K63" authorId="0" shapeId="0" xr:uid="{00000000-0006-0000-0500-00001B000000}">
      <text>
        <r>
          <rPr>
            <sz val="10"/>
            <rFont val="Arial"/>
            <family val="2"/>
          </rPr>
          <t>INFERRED – column header F7 "GOING UNIT PRICE FOB EUR 1404Q1" (average of these quotes) → quotes taken as FOB</t>
        </r>
      </text>
    </comment>
    <comment ref="K66" authorId="0" shapeId="0" xr:uid="{00000000-0006-0000-0500-00001C000000}">
      <text>
        <r>
          <rPr>
            <sz val="10"/>
            <rFont val="Arial"/>
            <family val="2"/>
          </rPr>
          <t>INFERRED – column header F7 "GOING UNIT PRICE FOB EUR 1404Q1" (average of these quotes) → quotes taken as FOB</t>
        </r>
      </text>
    </comment>
    <comment ref="K67" authorId="0" shapeId="0" xr:uid="{00000000-0006-0000-0500-00001D000000}">
      <text>
        <r>
          <rPr>
            <sz val="10"/>
            <rFont val="Arial"/>
            <family val="2"/>
          </rPr>
          <t>INFERRED – column header F7 "GOING UNIT PRICE FOB EUR 1404Q1" (average of these quotes) → quotes taken as FOB</t>
        </r>
      </text>
    </comment>
    <comment ref="K70" authorId="0" shapeId="0" xr:uid="{00000000-0006-0000-0500-00001E000000}">
      <text>
        <r>
          <rPr>
            <sz val="10"/>
            <rFont val="Arial"/>
            <family val="2"/>
          </rPr>
          <t>INFERRED – column header F7 "GOING UNIT PRICE FOB EUR 1404Q1" (average of these quotes) → quotes taken as FOB</t>
        </r>
      </text>
    </comment>
    <comment ref="K71" authorId="0" shapeId="0" xr:uid="{00000000-0006-0000-0500-00001F000000}">
      <text>
        <r>
          <rPr>
            <sz val="10"/>
            <rFont val="Arial"/>
            <family val="2"/>
          </rPr>
          <t>INFERRED – column header F7 "GOING UNIT PRICE FOB EUR 1404Q1" (average of these quotes) → quotes taken as FOB</t>
        </r>
      </text>
    </comment>
    <comment ref="K72" authorId="0" shapeId="0" xr:uid="{00000000-0006-0000-0500-000020000000}">
      <text>
        <r>
          <rPr>
            <sz val="10"/>
            <rFont val="Arial"/>
            <family val="2"/>
          </rPr>
          <t>INFERRED – column header F7 "GOING UNIT PRICE FOB EUR 1404Q1" (average of these quotes) → quotes taken as FOB</t>
        </r>
      </text>
    </comment>
    <comment ref="K74" authorId="0" shapeId="0" xr:uid="{00000000-0006-0000-0500-000021000000}">
      <text>
        <r>
          <rPr>
            <sz val="10"/>
            <rFont val="Arial"/>
            <family val="2"/>
          </rPr>
          <t>INFERRED – column header F7 "GOING UNIT PRICE FOB EUR 1404Q1" (average of these quotes) → quotes taken as FOB</t>
        </r>
      </text>
    </comment>
    <comment ref="K75" authorId="0" shapeId="0" xr:uid="{00000000-0006-0000-0500-000022000000}">
      <text>
        <r>
          <rPr>
            <sz val="10"/>
            <rFont val="Arial"/>
            <family val="2"/>
          </rPr>
          <t>INFERRED – column header F7 "GOING UNIT PRICE FOB EUR 1404Q1" (average of these quotes) → quotes taken as FOB</t>
        </r>
      </text>
    </comment>
    <comment ref="K76" authorId="0" shapeId="0" xr:uid="{00000000-0006-0000-0500-000023000000}">
      <text>
        <r>
          <rPr>
            <sz val="10"/>
            <rFont val="Arial"/>
            <family val="2"/>
          </rPr>
          <t>INFERRED – column header F7 "GOING UNIT PRICE FOB EUR 1404Q1" (average of these quotes) → quotes taken as FOB</t>
        </r>
      </text>
    </comment>
    <comment ref="K78" authorId="0" shapeId="0" xr:uid="{00000000-0006-0000-0500-000024000000}">
      <text>
        <r>
          <rPr>
            <sz val="10"/>
            <rFont val="Arial"/>
            <family val="2"/>
          </rPr>
          <t>INFERRED – column header F7 "GOING UNIT PRICE FOB EUR 1404Q1" (average of these quotes) → quotes taken as FOB</t>
        </r>
      </text>
    </comment>
    <comment ref="K79" authorId="0" shapeId="0" xr:uid="{00000000-0006-0000-0500-000025000000}">
      <text>
        <r>
          <rPr>
            <sz val="10"/>
            <rFont val="Arial"/>
            <family val="2"/>
          </rPr>
          <t>INFERRED – column header F7 "GOING UNIT PRICE FOB EUR 1404Q1" (average of these quotes) → quotes taken as FOB</t>
        </r>
      </text>
    </comment>
    <comment ref="K80" authorId="0" shapeId="0" xr:uid="{00000000-0006-0000-0500-000026000000}">
      <text>
        <r>
          <rPr>
            <sz val="10"/>
            <rFont val="Arial"/>
            <family val="2"/>
          </rPr>
          <t>INFERRED – column header F7 "GOING UNIT PRICE FOB EUR 1404Q1" (average of these quotes) → quotes taken as FOB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5" authorId="0" shapeId="0" xr:uid="{00000000-0006-0000-0700-000001000000}">
      <text>
        <r>
          <rPr>
            <sz val="10"/>
            <rFont val="Arial"/>
            <family val="2"/>
          </rPr>
          <t xml:space="preserve">I-1: </t>
        </r>
        <r>
          <rPr>
            <sz val="10"/>
            <rFont val="FreeSans"/>
            <family val="2"/>
          </rPr>
          <t>بدنه چدن، پروانه چدن؛ رینگ چدن؛ شفت فولاد کربنی</t>
        </r>
        <r>
          <rPr>
            <sz val="10"/>
            <rFont val="Arial"/>
            <family val="2"/>
          </rPr>
          <t xml:space="preserve">.
</t>
        </r>
        <r>
          <rPr>
            <sz val="10"/>
            <rFont val="FreeSans"/>
            <family val="2"/>
          </rPr>
          <t>کاربرد معمول: آب و سرویس غیرخورنده، دمای پایین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C6" authorId="0" shapeId="0" xr:uid="{00000000-0006-0000-0700-000002000000}">
      <text>
        <r>
          <rPr>
            <sz val="10"/>
            <rFont val="Arial"/>
            <family val="2"/>
          </rPr>
          <t xml:space="preserve">I-2: </t>
        </r>
        <r>
          <rPr>
            <sz val="10"/>
            <rFont val="FreeSans"/>
            <family val="2"/>
          </rPr>
          <t>بدنه چدن، پروانه برنز؛ رینگ برنز؛ شفت فولاد کربنی</t>
        </r>
        <r>
          <rPr>
            <sz val="10"/>
            <rFont val="Arial"/>
            <family val="2"/>
          </rPr>
          <t xml:space="preserve">.
</t>
        </r>
        <r>
          <rPr>
            <sz val="10"/>
            <rFont val="FreeSans"/>
            <family val="2"/>
          </rPr>
          <t>کاربرد معمول: آب، آب آتش‌نشانی و آب شیرین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C7" authorId="0" shapeId="0" xr:uid="{00000000-0006-0000-0700-000003000000}">
      <text>
        <r>
          <rPr>
            <sz val="10"/>
            <rFont val="Arial"/>
            <family val="2"/>
          </rPr>
          <t xml:space="preserve">S-1: </t>
        </r>
        <r>
          <rPr>
            <sz val="10"/>
            <rFont val="FreeSans"/>
            <family val="2"/>
          </rPr>
          <t>بدنه فولاد کربنی، پروانه چدن؛ رینگ چدن؛ شفت فولاد کربنی</t>
        </r>
        <r>
          <rPr>
            <sz val="10"/>
            <rFont val="Arial"/>
            <family val="2"/>
          </rPr>
          <t xml:space="preserve">.
</t>
        </r>
        <r>
          <rPr>
            <sz val="10"/>
            <rFont val="FreeSans"/>
            <family val="2"/>
          </rPr>
          <t>کاربرد معمول: هیدروکربن غیرخورنده</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C8" authorId="0" shapeId="0" xr:uid="{00000000-0006-0000-0700-000004000000}">
      <text>
        <r>
          <rPr>
            <sz val="10"/>
            <rFont val="Arial"/>
            <family val="2"/>
          </rPr>
          <t xml:space="preserve">S-3: </t>
        </r>
        <r>
          <rPr>
            <sz val="10"/>
            <rFont val="FreeSans"/>
            <family val="2"/>
          </rPr>
          <t xml:space="preserve">بدنه فولاد کربنی، پروانه نی‌رزیست (چدن آلیاژی نیکل‌دار)؛ رینگ نی‌رزیست؛ شفت </t>
        </r>
        <r>
          <rPr>
            <sz val="10"/>
            <rFont val="Arial"/>
            <family val="2"/>
          </rPr>
          <t xml:space="preserve">AISI 4140.
</t>
        </r>
        <r>
          <rPr>
            <sz val="10"/>
            <rFont val="FreeSans"/>
            <family val="2"/>
          </rPr>
          <t>کاربرد معمول: سرویس‌های با سایش یا خوردگی ملایم</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C9" authorId="0" shapeId="0" xr:uid="{00000000-0006-0000-0700-000005000000}">
      <text>
        <r>
          <rPr>
            <sz val="10"/>
            <rFont val="Arial"/>
            <family val="2"/>
          </rPr>
          <t xml:space="preserve">S-4: </t>
        </r>
        <r>
          <rPr>
            <sz val="10"/>
            <rFont val="FreeSans"/>
            <family val="2"/>
          </rPr>
          <t>بدنه فولاد کربنی، پروانه فولاد کربنی؛ رینگ چدن؛ شفت فولاد کربنی</t>
        </r>
        <r>
          <rPr>
            <sz val="10"/>
            <rFont val="Arial"/>
            <family val="2"/>
          </rPr>
          <t xml:space="preserve">.
</t>
        </r>
        <r>
          <rPr>
            <sz val="10"/>
            <rFont val="FreeSans"/>
            <family val="2"/>
          </rPr>
          <t>کاربرد معمول: هیدروکربن عمومی</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C10" authorId="0" shapeId="0" xr:uid="{00000000-0006-0000-0700-000006000000}">
      <text>
        <r>
          <rPr>
            <sz val="10"/>
            <rFont val="Arial"/>
            <family val="2"/>
          </rPr>
          <t xml:space="preserve">S-5: </t>
        </r>
        <r>
          <rPr>
            <sz val="10"/>
            <rFont val="FreeSans"/>
            <family val="2"/>
          </rPr>
          <t xml:space="preserve">بدنه فولاد کربنی، پروانه فولاد کربنی؛ رینگ کروم ۱۲٪ سخت‌شده؛ شفت </t>
        </r>
        <r>
          <rPr>
            <sz val="10"/>
            <rFont val="Arial"/>
            <family val="2"/>
          </rPr>
          <t xml:space="preserve">AISI 4140.
</t>
        </r>
        <r>
          <rPr>
            <sz val="10"/>
            <rFont val="FreeSans"/>
            <family val="2"/>
          </rPr>
          <t>کاربرد معمول: هیدروکربن عمومی و داغ</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C11" authorId="0" shapeId="0" xr:uid="{00000000-0006-0000-0700-000007000000}">
      <text>
        <r>
          <rPr>
            <sz val="10"/>
            <rFont val="Arial"/>
            <family val="2"/>
          </rPr>
          <t xml:space="preserve">S-6: </t>
        </r>
        <r>
          <rPr>
            <sz val="10"/>
            <rFont val="FreeSans"/>
            <family val="2"/>
          </rPr>
          <t>بدنه فولاد کربنی، پروانه کروم ۱۲٪؛ رینگ کروم ۱۲٪ سخت‌شده؛ شفت کروم ۱۲٪</t>
        </r>
        <r>
          <rPr>
            <sz val="10"/>
            <rFont val="Arial"/>
            <family val="2"/>
          </rPr>
          <t xml:space="preserve">.
</t>
        </r>
        <r>
          <rPr>
            <sz val="10"/>
            <rFont val="FreeSans"/>
            <family val="2"/>
          </rPr>
          <t>کاربرد معمول: هیدروکربن داغ، آب ترش و خوردگی ملایم</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C12" authorId="0" shapeId="0" xr:uid="{00000000-0006-0000-0700-000008000000}">
      <text>
        <r>
          <rPr>
            <sz val="10"/>
            <rFont val="Arial"/>
            <family val="2"/>
          </rPr>
          <t xml:space="preserve">S-8: </t>
        </r>
        <r>
          <rPr>
            <sz val="10"/>
            <rFont val="FreeSans"/>
            <family val="2"/>
          </rPr>
          <t xml:space="preserve">بدنه فولاد کربنی، پروانه فولاد ضدزنگ </t>
        </r>
        <r>
          <rPr>
            <sz val="10"/>
            <rFont val="Arial"/>
            <family val="2"/>
          </rPr>
          <t>316</t>
        </r>
        <r>
          <rPr>
            <sz val="10"/>
            <rFont val="FreeSans"/>
            <family val="2"/>
          </rPr>
          <t xml:space="preserve">؛ رینگ </t>
        </r>
        <r>
          <rPr>
            <sz val="10"/>
            <rFont val="Arial"/>
            <family val="2"/>
          </rPr>
          <t xml:space="preserve">316 با روکش سخت؛ شفت 316.
</t>
        </r>
        <r>
          <rPr>
            <sz val="10"/>
            <rFont val="FreeSans"/>
            <family val="2"/>
          </rPr>
          <t>کاربرد معمول: سرویس‌های خورنده‌تر</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C13" authorId="0" shapeId="0" xr:uid="{00000000-0006-0000-0700-000009000000}">
      <text>
        <r>
          <rPr>
            <sz val="10"/>
            <rFont val="Arial"/>
            <family val="2"/>
          </rPr>
          <t xml:space="preserve">S-9: </t>
        </r>
        <r>
          <rPr>
            <sz val="10"/>
            <rFont val="FreeSans"/>
            <family val="2"/>
          </rPr>
          <t>بدنه فولاد کربنی، پروانه آلیاژ نیکل‌-مس؛ رینگ نیکل‌-مس؛ شفت نیکل‌-مس</t>
        </r>
        <r>
          <rPr>
            <sz val="10"/>
            <rFont val="Arial"/>
            <family val="2"/>
          </rPr>
          <t xml:space="preserve">.
</t>
        </r>
        <r>
          <rPr>
            <sz val="10"/>
            <rFont val="FreeSans"/>
            <family val="2"/>
          </rPr>
          <t>کاربرد معمول: سرویس‌های خاص خورنده</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C14" authorId="0" shapeId="0" xr:uid="{00000000-0006-0000-0700-00000A000000}">
      <text>
        <r>
          <rPr>
            <sz val="10"/>
            <rFont val="Arial"/>
            <family val="2"/>
          </rPr>
          <t xml:space="preserve">C-6: </t>
        </r>
        <r>
          <rPr>
            <sz val="10"/>
            <rFont val="FreeSans"/>
            <family val="2"/>
          </rPr>
          <t>بدنه کروم ۱۲٪، پروانه کروم ۱۲٪؛ رینگ کروم ۱۲٪ سخت‌شده؛ شفت کروم ۱۲٪</t>
        </r>
        <r>
          <rPr>
            <sz val="10"/>
            <rFont val="Arial"/>
            <family val="2"/>
          </rPr>
          <t xml:space="preserve">.
</t>
        </r>
        <r>
          <rPr>
            <sz val="10"/>
            <rFont val="FreeSans"/>
            <family val="2"/>
          </rPr>
          <t>کاربرد معمول: آب داغ (تغذیه بویلر) و هیدروکربن داغ</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C15" authorId="0" shapeId="0" xr:uid="{00000000-0006-0000-0700-00000B000000}">
      <text>
        <r>
          <rPr>
            <sz val="10"/>
            <rFont val="Arial"/>
            <family val="2"/>
          </rPr>
          <t xml:space="preserve">A-7: </t>
        </r>
        <r>
          <rPr>
            <sz val="10"/>
            <rFont val="FreeSans"/>
            <family val="2"/>
          </rPr>
          <t>بدنه فولاد ضدزنگ آستنیتی، پروانه فولاد ضدزنگ آستنیتی؛ رینگ با روکش سخت؛ شفت آستنیتی</t>
        </r>
        <r>
          <rPr>
            <sz val="10"/>
            <rFont val="Arial"/>
            <family val="2"/>
          </rPr>
          <t xml:space="preserve">.
</t>
        </r>
        <r>
          <rPr>
            <sz val="10"/>
            <rFont val="FreeSans"/>
            <family val="2"/>
          </rPr>
          <t>کاربرد معمول: خوردگی بالا و دمای پایین</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C16" authorId="0" shapeId="0" xr:uid="{00000000-0006-0000-0700-00000C000000}">
      <text>
        <r>
          <rPr>
            <sz val="10"/>
            <rFont val="Arial"/>
            <family val="2"/>
          </rPr>
          <t xml:space="preserve">A-8: </t>
        </r>
        <r>
          <rPr>
            <sz val="10"/>
            <rFont val="FreeSans"/>
            <family val="2"/>
          </rPr>
          <t xml:space="preserve">بدنه فولاد ضدزنگ </t>
        </r>
        <r>
          <rPr>
            <sz val="10"/>
            <rFont val="Arial"/>
            <family val="2"/>
          </rPr>
          <t>316</t>
        </r>
        <r>
          <rPr>
            <sz val="10"/>
            <rFont val="FreeSans"/>
            <family val="2"/>
          </rPr>
          <t xml:space="preserve">، پروانه فولاد ضدزنگ </t>
        </r>
        <r>
          <rPr>
            <sz val="10"/>
            <rFont val="Arial"/>
            <family val="2"/>
          </rPr>
          <t>316</t>
        </r>
        <r>
          <rPr>
            <sz val="10"/>
            <rFont val="FreeSans"/>
            <family val="2"/>
          </rPr>
          <t xml:space="preserve">؛ رینگ با روکش سخت؛ شفت </t>
        </r>
        <r>
          <rPr>
            <sz val="10"/>
            <rFont val="Arial"/>
            <family val="2"/>
          </rPr>
          <t xml:space="preserve">316.
</t>
        </r>
        <r>
          <rPr>
            <sz val="10"/>
            <rFont val="FreeSans"/>
            <family val="2"/>
          </rPr>
          <t>کاربرد معمول: سرویس‌های خورنده</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C17" authorId="0" shapeId="0" xr:uid="{00000000-0006-0000-0700-00000D000000}">
      <text>
        <r>
          <rPr>
            <sz val="10"/>
            <rFont val="Arial"/>
            <family val="2"/>
          </rPr>
          <t xml:space="preserve">D-1: </t>
        </r>
        <r>
          <rPr>
            <sz val="10"/>
            <rFont val="FreeSans"/>
            <family val="2"/>
          </rPr>
          <t>بدنه داپلکس، پروانه داپلکس؛ رینگ با روکش سخت؛ شفت داپلکس</t>
        </r>
        <r>
          <rPr>
            <sz val="10"/>
            <rFont val="Arial"/>
            <family val="2"/>
          </rPr>
          <t xml:space="preserve">.
</t>
        </r>
        <r>
          <rPr>
            <sz val="10"/>
            <rFont val="FreeSans"/>
            <family val="2"/>
          </rPr>
          <t>کاربرد معمول: آب شور و آب تولیدی دارای کلراید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C18" authorId="0" shapeId="0" xr:uid="{00000000-0006-0000-0700-00000E000000}">
      <text>
        <r>
          <rPr>
            <sz val="10"/>
            <rFont val="Arial"/>
            <family val="2"/>
          </rPr>
          <t xml:space="preserve">D-2: </t>
        </r>
        <r>
          <rPr>
            <sz val="10"/>
            <rFont val="FreeSans"/>
            <family val="2"/>
          </rPr>
          <t>بدنه سوپرداپلکس، پروانه سوپرداپلکس؛ رینگ با روکش سخت؛ شفت سوپرداپلکس</t>
        </r>
        <r>
          <rPr>
            <sz val="10"/>
            <rFont val="Arial"/>
            <family val="2"/>
          </rPr>
          <t xml:space="preserve">.
</t>
        </r>
        <r>
          <rPr>
            <sz val="10"/>
            <rFont val="FreeSans"/>
            <family val="2"/>
          </rPr>
          <t>کاربرد معمول: آب شور و تولیدی با کلراید بالا و خوردگی شدید</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C19" authorId="0" shapeId="0" xr:uid="{00000000-0006-0000-0700-00000F000000}">
      <text>
        <r>
          <rPr>
            <sz val="10"/>
            <rFont val="Arial"/>
            <family val="2"/>
          </rPr>
          <t xml:space="preserve">SS316L (non-API): </t>
        </r>
        <r>
          <rPr>
            <sz val="10"/>
            <rFont val="FreeSans"/>
            <family val="2"/>
          </rPr>
          <t xml:space="preserve">بدنه فولاد ضدزنگ </t>
        </r>
        <r>
          <rPr>
            <sz val="10"/>
            <rFont val="Arial"/>
            <family val="2"/>
          </rPr>
          <t>316L</t>
        </r>
        <r>
          <rPr>
            <sz val="10"/>
            <rFont val="FreeSans"/>
            <family val="2"/>
          </rPr>
          <t xml:space="preserve">، پروانه فولاد ضدزنگ </t>
        </r>
        <r>
          <rPr>
            <sz val="10"/>
            <rFont val="Arial"/>
            <family val="2"/>
          </rPr>
          <t>316L</t>
        </r>
        <r>
          <rPr>
            <sz val="10"/>
            <rFont val="FreeSans"/>
            <family val="2"/>
          </rPr>
          <t>؛ —</t>
        </r>
        <r>
          <rPr>
            <sz val="10"/>
            <rFont val="Arial"/>
            <family val="2"/>
          </rPr>
          <t xml:space="preserve">.
</t>
        </r>
        <r>
          <rPr>
            <sz val="10"/>
            <rFont val="FreeSans"/>
            <family val="2"/>
          </rPr>
          <t xml:space="preserve">کاربرد معمول: ساخت غیر </t>
        </r>
        <r>
          <rPr>
            <sz val="10"/>
            <rFont val="Arial"/>
            <family val="2"/>
          </rPr>
          <t>API (</t>
        </r>
        <r>
          <rPr>
            <sz val="10"/>
            <rFont val="FreeSans"/>
            <family val="2"/>
          </rPr>
          <t>مثلاً پمپ بشکه‌ای پرتابل</t>
        </r>
        <r>
          <rPr>
            <sz val="10"/>
            <rFont val="Arial"/>
            <family val="2"/>
          </rPr>
          <t>).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API 610</t>
        </r>
        <r>
          <rPr>
            <sz val="10"/>
            <rFont val="FreeSans"/>
            <family val="2"/>
          </rPr>
          <t xml:space="preserve">؛ انتخاب نهایی طبق </t>
        </r>
        <r>
          <rPr>
            <sz val="10"/>
            <rFont val="Arial"/>
            <family val="2"/>
          </rPr>
          <t>Annex H/G)</t>
        </r>
      </text>
    </comment>
    <comment ref="C20" authorId="0" shapeId="0" xr:uid="{00000000-0006-0000-0700-000010000000}">
      <text>
        <r>
          <rPr>
            <sz val="10"/>
            <rFont val="FreeSans"/>
            <family val="2"/>
          </rPr>
          <t>کلاس متریال در منبع ذکر نشده است</t>
        </r>
        <r>
          <rPr>
            <sz val="10"/>
            <rFont val="Arial"/>
            <family val="2"/>
          </rPr>
          <t>.</t>
        </r>
      </text>
    </comment>
    <comment ref="C21" authorId="0" shapeId="0" xr:uid="{00000000-0006-0000-0700-000011000000}">
      <text>
        <r>
          <rPr>
            <sz val="10"/>
            <rFont val="FreeSans"/>
            <family val="2"/>
          </rPr>
          <t>آب‌بندی با گلند پکینگ؛ ارزان‌ترین، با نشتی کنترل‌شده</t>
        </r>
      </text>
    </comment>
    <comment ref="C22" authorId="0" shapeId="0" xr:uid="{00000000-0006-0000-0700-000012000000}">
      <text>
        <r>
          <rPr>
            <sz val="10"/>
            <rFont val="Arial"/>
            <family val="2"/>
          </rPr>
          <t xml:space="preserve">API 682 Arrangement 1: </t>
        </r>
        <r>
          <rPr>
            <sz val="10"/>
            <rFont val="FreeSans"/>
            <family val="2"/>
          </rPr>
          <t>یک آب‌بند مکانیکی تکی (پایه)</t>
        </r>
      </text>
    </comment>
    <comment ref="C23" authorId="0" shapeId="0" xr:uid="{00000000-0006-0000-0700-000013000000}">
      <text>
        <r>
          <rPr>
            <sz val="10"/>
            <rFont val="Arial"/>
            <family val="2"/>
          </rPr>
          <t xml:space="preserve">API 682 Arrangement 2: </t>
        </r>
        <r>
          <rPr>
            <sz val="10"/>
            <rFont val="FreeSans"/>
            <family val="2"/>
          </rPr>
          <t xml:space="preserve">آب‌بند دوبل با سیال </t>
        </r>
        <r>
          <rPr>
            <sz val="10"/>
            <rFont val="Arial"/>
            <family val="2"/>
          </rPr>
          <t xml:space="preserve">Buffer </t>
        </r>
        <r>
          <rPr>
            <sz val="10"/>
            <rFont val="FreeSans"/>
            <family val="2"/>
          </rPr>
          <t xml:space="preserve">بدون فشار </t>
        </r>
        <r>
          <rPr>
            <sz val="10"/>
            <rFont val="Arial"/>
            <family val="2"/>
          </rPr>
          <t>(Plan 52)</t>
        </r>
      </text>
    </comment>
    <comment ref="C24" authorId="0" shapeId="0" xr:uid="{00000000-0006-0000-0700-000014000000}">
      <text>
        <r>
          <rPr>
            <sz val="10"/>
            <rFont val="Arial"/>
            <family val="2"/>
          </rPr>
          <t xml:space="preserve">API 682 Arrangement 3: </t>
        </r>
        <r>
          <rPr>
            <sz val="10"/>
            <rFont val="FreeSans"/>
            <family val="2"/>
          </rPr>
          <t xml:space="preserve">آب‌بند دوبل با سیال </t>
        </r>
        <r>
          <rPr>
            <sz val="10"/>
            <rFont val="Arial"/>
            <family val="2"/>
          </rPr>
          <t xml:space="preserve">Barrier </t>
        </r>
        <r>
          <rPr>
            <sz val="10"/>
            <rFont val="FreeSans"/>
            <family val="2"/>
          </rPr>
          <t xml:space="preserve">تحت فشار </t>
        </r>
        <r>
          <rPr>
            <sz val="10"/>
            <rFont val="Arial"/>
            <family val="2"/>
          </rPr>
          <t xml:space="preserve">(Plan 53A/B/C </t>
        </r>
        <r>
          <rPr>
            <sz val="10"/>
            <rFont val="FreeSans"/>
            <family val="2"/>
          </rPr>
          <t xml:space="preserve">یا </t>
        </r>
        <r>
          <rPr>
            <sz val="10"/>
            <rFont val="Arial"/>
            <family val="2"/>
          </rPr>
          <t>54)</t>
        </r>
        <r>
          <rPr>
            <sz val="10"/>
            <rFont val="FreeSans"/>
            <family val="2"/>
          </rPr>
          <t>؛ برای سیال سمی یا ترش</t>
        </r>
      </text>
    </comment>
    <comment ref="C25" authorId="0" shapeId="0" xr:uid="{00000000-0006-0000-0700-000015000000}">
      <text>
        <r>
          <rPr>
            <sz val="10"/>
            <rFont val="FreeSans"/>
            <family val="2"/>
          </rPr>
          <t>پمپ بدون آب‌بند با کوپلینگ مغناطیسی</t>
        </r>
      </text>
    </comment>
    <comment ref="C26" authorId="0" shapeId="0" xr:uid="{00000000-0006-0000-0700-000016000000}">
      <text>
        <r>
          <rPr>
            <sz val="10"/>
            <rFont val="FreeSans"/>
            <family val="2"/>
          </rPr>
          <t xml:space="preserve">پمپ بدون آب‌بند با موتور کنسروی </t>
        </r>
        <r>
          <rPr>
            <sz val="10"/>
            <rFont val="Arial"/>
            <family val="2"/>
          </rPr>
          <t>(Canned)</t>
        </r>
      </text>
    </comment>
    <comment ref="C27" authorId="0" shapeId="0" xr:uid="{00000000-0006-0000-0700-000017000000}">
      <text>
        <r>
          <rPr>
            <sz val="10"/>
            <rFont val="FreeSans"/>
            <family val="2"/>
          </rPr>
          <t>ذکر نشده یا کاربرد ندارد؛ ضریب خنثی (۱</t>
        </r>
        <r>
          <rPr>
            <sz val="10"/>
            <rFont val="Arial"/>
            <family val="2"/>
          </rPr>
          <t>)</t>
        </r>
      </text>
    </comment>
    <comment ref="C28" authorId="0" shapeId="0" xr:uid="{00000000-0006-0000-0700-000018000000}">
      <text>
        <r>
          <rPr>
            <sz val="10"/>
            <rFont val="Arial"/>
            <family val="2"/>
          </rPr>
          <t xml:space="preserve">API 682 Category 1: </t>
        </r>
        <r>
          <rPr>
            <sz val="10"/>
            <rFont val="FreeSans"/>
            <family val="2"/>
          </rPr>
          <t xml:space="preserve">آب‌بند سبک برای پمپ‌های غیر </t>
        </r>
        <r>
          <rPr>
            <sz val="10"/>
            <rFont val="Arial"/>
            <family val="2"/>
          </rPr>
          <t>API 610 (ISO)</t>
        </r>
      </text>
    </comment>
    <comment ref="C29" authorId="0" shapeId="0" xr:uid="{00000000-0006-0000-0700-000019000000}">
      <text>
        <r>
          <rPr>
            <sz val="10"/>
            <rFont val="Arial"/>
            <family val="2"/>
          </rPr>
          <t xml:space="preserve">API 682 Category 2: </t>
        </r>
        <r>
          <rPr>
            <sz val="10"/>
            <rFont val="FreeSans"/>
            <family val="2"/>
          </rPr>
          <t xml:space="preserve">آب‌بند استاندارد پمپ‌های </t>
        </r>
        <r>
          <rPr>
            <sz val="10"/>
            <rFont val="Arial"/>
            <family val="2"/>
          </rPr>
          <t>API 610 (</t>
        </r>
        <r>
          <rPr>
            <sz val="10"/>
            <rFont val="FreeSans"/>
            <family val="2"/>
          </rPr>
          <t>پایه</t>
        </r>
        <r>
          <rPr>
            <sz val="10"/>
            <rFont val="Arial"/>
            <family val="2"/>
          </rPr>
          <t>)</t>
        </r>
      </text>
    </comment>
    <comment ref="C30" authorId="0" shapeId="0" xr:uid="{00000000-0006-0000-0700-00001A000000}">
      <text>
        <r>
          <rPr>
            <sz val="10"/>
            <rFont val="Arial"/>
            <family val="2"/>
          </rPr>
          <t xml:space="preserve">API 682 Category 3: </t>
        </r>
        <r>
          <rPr>
            <sz val="10"/>
            <rFont val="FreeSans"/>
            <family val="2"/>
          </rPr>
          <t>سنگین‌ترین، با آزمون تأیید کامل</t>
        </r>
      </text>
    </comment>
    <comment ref="C31" authorId="0" shapeId="0" xr:uid="{00000000-0006-0000-0700-00001B000000}">
      <text>
        <r>
          <rPr>
            <sz val="10"/>
            <rFont val="FreeSans"/>
            <family val="2"/>
          </rPr>
          <t>ذکر نشده یا کاربرد ندارد؛ ضریب خنثی (۱</t>
        </r>
        <r>
          <rPr>
            <sz val="10"/>
            <rFont val="Arial"/>
            <family val="2"/>
          </rPr>
          <t>)</t>
        </r>
      </text>
    </comment>
    <comment ref="C32" authorId="0" shapeId="0" xr:uid="{00000000-0006-0000-0700-00001C000000}">
      <text>
        <r>
          <rPr>
            <sz val="10"/>
            <rFont val="FreeSans"/>
            <family val="2"/>
          </rPr>
          <t>ذکر نشده یا کاربرد ندارد؛ ضریب خنثی (۱</t>
        </r>
        <r>
          <rPr>
            <sz val="10"/>
            <rFont val="Arial"/>
            <family val="2"/>
          </rPr>
          <t>)</t>
        </r>
      </text>
    </comment>
    <comment ref="C33" authorId="0" shapeId="0" xr:uid="{00000000-0006-0000-0700-00001D000000}">
      <text>
        <r>
          <rPr>
            <sz val="10"/>
            <rFont val="Arial"/>
            <family val="2"/>
          </rPr>
          <t xml:space="preserve">API 682 Plan 01: </t>
        </r>
        <r>
          <rPr>
            <sz val="10"/>
            <rFont val="FreeSans"/>
            <family val="2"/>
          </rPr>
          <t>گردش داخلی از رانش به محفظه آب‌بند</t>
        </r>
      </text>
    </comment>
    <comment ref="C34" authorId="0" shapeId="0" xr:uid="{00000000-0006-0000-0700-00001E000000}">
      <text>
        <r>
          <rPr>
            <sz val="10"/>
            <rFont val="Arial"/>
            <family val="2"/>
          </rPr>
          <t xml:space="preserve">API 682 Plan 02: </t>
        </r>
        <r>
          <rPr>
            <sz val="10"/>
            <rFont val="FreeSans"/>
            <family val="2"/>
          </rPr>
          <t>محفظه بسته بدون گردش</t>
        </r>
      </text>
    </comment>
    <comment ref="C35" authorId="0" shapeId="0" xr:uid="{00000000-0006-0000-0700-00001F000000}">
      <text>
        <r>
          <rPr>
            <sz val="10"/>
            <rFont val="Arial"/>
            <family val="2"/>
          </rPr>
          <t xml:space="preserve">API 682 Plan 11: </t>
        </r>
        <r>
          <rPr>
            <sz val="10"/>
            <rFont val="FreeSans"/>
            <family val="2"/>
          </rPr>
          <t>برگشت از رانش پمپ به آب‌بند (پایه)</t>
        </r>
      </text>
    </comment>
    <comment ref="C36" authorId="0" shapeId="0" xr:uid="{00000000-0006-0000-0700-000020000000}">
      <text>
        <r>
          <rPr>
            <sz val="10"/>
            <rFont val="Arial"/>
            <family val="2"/>
          </rPr>
          <t xml:space="preserve">API 682 Plan 13: </t>
        </r>
        <r>
          <rPr>
            <sz val="10"/>
            <rFont val="FreeSans"/>
            <family val="2"/>
          </rPr>
          <t>گردش از محفظه آب‌بند به مکش</t>
        </r>
      </text>
    </comment>
    <comment ref="C37" authorId="0" shapeId="0" xr:uid="{00000000-0006-0000-0700-000021000000}">
      <text>
        <r>
          <rPr>
            <sz val="10"/>
            <rFont val="Arial"/>
            <family val="2"/>
          </rPr>
          <t xml:space="preserve">API 682 Plan 14: </t>
        </r>
        <r>
          <rPr>
            <sz val="10"/>
            <rFont val="FreeSans"/>
            <family val="2"/>
          </rPr>
          <t xml:space="preserve">ترکیب </t>
        </r>
        <r>
          <rPr>
            <sz val="10"/>
            <rFont val="Arial"/>
            <family val="2"/>
          </rPr>
          <t xml:space="preserve">Plan 11 </t>
        </r>
        <r>
          <rPr>
            <sz val="10"/>
            <rFont val="FreeSans"/>
            <family val="2"/>
          </rPr>
          <t xml:space="preserve">و </t>
        </r>
        <r>
          <rPr>
            <sz val="10"/>
            <rFont val="Arial"/>
            <family val="2"/>
          </rPr>
          <t>13</t>
        </r>
      </text>
    </comment>
    <comment ref="C38" authorId="0" shapeId="0" xr:uid="{00000000-0006-0000-0700-000022000000}">
      <text>
        <r>
          <rPr>
            <sz val="10"/>
            <rFont val="Arial"/>
            <family val="2"/>
          </rPr>
          <t xml:space="preserve">API 682 Plan 21: Plan 11 </t>
        </r>
        <r>
          <rPr>
            <sz val="10"/>
            <rFont val="FreeSans"/>
            <family val="2"/>
          </rPr>
          <t>با کولر</t>
        </r>
      </text>
    </comment>
    <comment ref="C39" authorId="0" shapeId="0" xr:uid="{00000000-0006-0000-0700-000023000000}">
      <text>
        <r>
          <rPr>
            <sz val="10"/>
            <rFont val="Arial"/>
            <family val="2"/>
          </rPr>
          <t xml:space="preserve">API 682 Plan 23: </t>
        </r>
        <r>
          <rPr>
            <sz val="10"/>
            <rFont val="FreeSans"/>
            <family val="2"/>
          </rPr>
          <t>گردش بسته از مسیر کولر (سیال داغ)</t>
        </r>
      </text>
    </comment>
    <comment ref="C40" authorId="0" shapeId="0" xr:uid="{00000000-0006-0000-0700-000024000000}">
      <text>
        <r>
          <rPr>
            <sz val="10"/>
            <rFont val="Arial"/>
            <family val="2"/>
          </rPr>
          <t xml:space="preserve">API 682 Plan 32: </t>
        </r>
        <r>
          <rPr>
            <sz val="10"/>
            <rFont val="FreeSans"/>
            <family val="2"/>
          </rPr>
          <t>تزریق سیال تمیز از منبع خارجی</t>
        </r>
      </text>
    </comment>
    <comment ref="C41" authorId="0" shapeId="0" xr:uid="{00000000-0006-0000-0700-000025000000}">
      <text>
        <r>
          <rPr>
            <sz val="10"/>
            <rFont val="Arial"/>
            <family val="2"/>
          </rPr>
          <t xml:space="preserve">API 682 Plan 52: </t>
        </r>
        <r>
          <rPr>
            <sz val="10"/>
            <rFont val="FreeSans"/>
            <family val="2"/>
          </rPr>
          <t xml:space="preserve">سیال </t>
        </r>
        <r>
          <rPr>
            <sz val="10"/>
            <rFont val="Arial"/>
            <family val="2"/>
          </rPr>
          <t xml:space="preserve">Buffer </t>
        </r>
        <r>
          <rPr>
            <sz val="10"/>
            <rFont val="FreeSans"/>
            <family val="2"/>
          </rPr>
          <t xml:space="preserve">بدون فشار برای آب‌بند دوبل </t>
        </r>
        <r>
          <rPr>
            <sz val="10"/>
            <rFont val="Arial"/>
            <family val="2"/>
          </rPr>
          <t>(Arr 2)</t>
        </r>
      </text>
    </comment>
    <comment ref="C42" authorId="0" shapeId="0" xr:uid="{00000000-0006-0000-0700-000026000000}">
      <text>
        <r>
          <rPr>
            <sz val="10"/>
            <rFont val="Arial"/>
            <family val="2"/>
          </rPr>
          <t xml:space="preserve">API 682 Plan 53A: Barrier </t>
        </r>
        <r>
          <rPr>
            <sz val="10"/>
            <rFont val="FreeSans"/>
            <family val="2"/>
          </rPr>
          <t xml:space="preserve">تحت فشار با مخزن و گاز نیتروژن </t>
        </r>
        <r>
          <rPr>
            <sz val="10"/>
            <rFont val="Arial"/>
            <family val="2"/>
          </rPr>
          <t>(Arr 3)</t>
        </r>
      </text>
    </comment>
    <comment ref="C43" authorId="0" shapeId="0" xr:uid="{00000000-0006-0000-0700-000027000000}">
      <text>
        <r>
          <rPr>
            <sz val="10"/>
            <rFont val="Arial"/>
            <family val="2"/>
          </rPr>
          <t xml:space="preserve">API 682 Plan 53B: Barrier </t>
        </r>
        <r>
          <rPr>
            <sz val="10"/>
            <rFont val="FreeSans"/>
            <family val="2"/>
          </rPr>
          <t xml:space="preserve">تحت فشار با </t>
        </r>
        <r>
          <rPr>
            <sz val="10"/>
            <rFont val="Arial"/>
            <family val="2"/>
          </rPr>
          <t>Bladder Accumulator (Arr 3)</t>
        </r>
      </text>
    </comment>
    <comment ref="C44" authorId="0" shapeId="0" xr:uid="{00000000-0006-0000-0700-000028000000}">
      <text>
        <r>
          <rPr>
            <sz val="10"/>
            <rFont val="Arial"/>
            <family val="2"/>
          </rPr>
          <t xml:space="preserve">API 682 Plan 53C: Barrier </t>
        </r>
        <r>
          <rPr>
            <sz val="10"/>
            <rFont val="FreeSans"/>
            <family val="2"/>
          </rPr>
          <t xml:space="preserve">تحت فشار با پیستون </t>
        </r>
        <r>
          <rPr>
            <sz val="10"/>
            <rFont val="Arial"/>
            <family val="2"/>
          </rPr>
          <t>Accumulator (Arr 3)</t>
        </r>
      </text>
    </comment>
    <comment ref="C45" authorId="0" shapeId="0" xr:uid="{00000000-0006-0000-0700-000029000000}">
      <text>
        <r>
          <rPr>
            <sz val="10"/>
            <rFont val="Arial"/>
            <family val="2"/>
          </rPr>
          <t xml:space="preserve">API 682 Plan 54: </t>
        </r>
        <r>
          <rPr>
            <sz val="10"/>
            <rFont val="FreeSans"/>
            <family val="2"/>
          </rPr>
          <t xml:space="preserve">سیستم </t>
        </r>
        <r>
          <rPr>
            <sz val="10"/>
            <rFont val="Arial"/>
            <family val="2"/>
          </rPr>
          <t xml:space="preserve">Barrier </t>
        </r>
        <r>
          <rPr>
            <sz val="10"/>
            <rFont val="FreeSans"/>
            <family val="2"/>
          </rPr>
          <t>خارجی کامل تحت فشار</t>
        </r>
      </text>
    </comment>
    <comment ref="C46" authorId="0" shapeId="0" xr:uid="{00000000-0006-0000-0700-00002A000000}">
      <text>
        <r>
          <rPr>
            <sz val="10"/>
            <rFont val="Arial"/>
            <family val="2"/>
          </rPr>
          <t xml:space="preserve">API 682 Plan 62: Quench </t>
        </r>
        <r>
          <rPr>
            <sz val="10"/>
            <rFont val="FreeSans"/>
            <family val="2"/>
          </rPr>
          <t>با بخار یا آب در سمت اتمسفر</t>
        </r>
      </text>
    </comment>
    <comment ref="C47" authorId="0" shapeId="0" xr:uid="{00000000-0006-0000-0700-00002B000000}">
      <text>
        <r>
          <rPr>
            <sz val="10"/>
            <rFont val="Arial"/>
            <family val="2"/>
          </rPr>
          <t xml:space="preserve">API 682 Plan 65A: </t>
        </r>
        <r>
          <rPr>
            <sz val="10"/>
            <rFont val="FreeSans"/>
            <family val="2"/>
          </rPr>
          <t>تخلیه و هشدار نشتی</t>
        </r>
      </text>
    </comment>
    <comment ref="C48" authorId="0" shapeId="0" xr:uid="{00000000-0006-0000-0700-00002C000000}">
      <text>
        <r>
          <rPr>
            <sz val="10"/>
            <rFont val="Arial"/>
            <family val="2"/>
          </rPr>
          <t xml:space="preserve">API 682 Plan 72/76: </t>
        </r>
        <r>
          <rPr>
            <sz val="10"/>
            <rFont val="FreeSans"/>
            <family val="2"/>
          </rPr>
          <t xml:space="preserve">آب‌بند گازی </t>
        </r>
        <r>
          <rPr>
            <sz val="10"/>
            <rFont val="Arial"/>
            <family val="2"/>
          </rPr>
          <t xml:space="preserve">(Buffer </t>
        </r>
        <r>
          <rPr>
            <sz val="10"/>
            <rFont val="FreeSans"/>
            <family val="2"/>
          </rPr>
          <t>یا تخلیه بخارات</t>
        </r>
        <r>
          <rPr>
            <sz val="10"/>
            <rFont val="Arial"/>
            <family val="2"/>
          </rPr>
          <t>)</t>
        </r>
      </text>
    </comment>
    <comment ref="C49" authorId="0" shapeId="0" xr:uid="{00000000-0006-0000-0700-00002D000000}">
      <text>
        <r>
          <rPr>
            <sz val="10"/>
            <rFont val="Arial"/>
            <family val="2"/>
          </rPr>
          <t xml:space="preserve">API 682 Plan 11+52: Plan 11 </t>
        </r>
        <r>
          <rPr>
            <sz val="10"/>
            <rFont val="FreeSans"/>
            <family val="2"/>
          </rPr>
          <t xml:space="preserve">روی آب‌بند داخلی </t>
        </r>
        <r>
          <rPr>
            <sz val="10"/>
            <rFont val="Arial"/>
            <family val="2"/>
          </rPr>
          <t>+ Plan 52</t>
        </r>
      </text>
    </comment>
    <comment ref="C50" authorId="0" shapeId="0" xr:uid="{00000000-0006-0000-0700-00002E000000}">
      <text>
        <r>
          <rPr>
            <sz val="10"/>
            <rFont val="Arial"/>
            <family val="2"/>
          </rPr>
          <t>API 682 Plan 11+53B: Plan 11 + Plan 53B</t>
        </r>
      </text>
    </comment>
    <comment ref="C51" authorId="0" shapeId="0" xr:uid="{00000000-0006-0000-0700-00002F000000}">
      <text>
        <r>
          <rPr>
            <sz val="10"/>
            <rFont val="Arial"/>
            <family val="2"/>
          </rPr>
          <t>API 682 Plan 23+53B: Plan 23 + Plan 53B</t>
        </r>
      </text>
    </comment>
    <comment ref="C52" authorId="0" shapeId="0" xr:uid="{00000000-0006-0000-0700-000030000000}">
      <text>
        <r>
          <rPr>
            <sz val="10"/>
            <rFont val="Arial"/>
            <family val="2"/>
          </rPr>
          <t xml:space="preserve">API 682 Plan N/A: </t>
        </r>
        <r>
          <rPr>
            <sz val="10"/>
            <rFont val="FreeSans"/>
            <family val="2"/>
          </rPr>
          <t>کاربرد ندارد یا ذکر نشده</t>
        </r>
      </text>
    </comment>
    <comment ref="C53" authorId="0" shapeId="0" xr:uid="{00000000-0006-0000-0700-000031000000}">
      <text>
        <r>
          <rPr>
            <sz val="10"/>
            <rFont val="Arial"/>
            <family val="2"/>
          </rPr>
          <t xml:space="preserve">API 682 Plan Not stated: </t>
        </r>
        <r>
          <rPr>
            <sz val="10"/>
            <rFont val="FreeSans"/>
            <family val="2"/>
          </rPr>
          <t>کاربرد ندارد یا ذکر نشده</t>
        </r>
      </text>
    </comment>
    <comment ref="C54" authorId="0" shapeId="0" xr:uid="{00000000-0006-0000-0700-000032000000}">
      <text>
        <r>
          <rPr>
            <sz val="10"/>
            <rFont val="FreeSans"/>
            <family val="2"/>
          </rPr>
          <t>موتور برقی (پایه)</t>
        </r>
      </text>
    </comment>
    <comment ref="C55" authorId="0" shapeId="0" xr:uid="{00000000-0006-0000-0700-000033000000}">
      <text>
        <r>
          <rPr>
            <sz val="10"/>
            <rFont val="FreeSans"/>
            <family val="2"/>
          </rPr>
          <t>موتور دیزلی (مثلاً پمپ آتش‌نشانی دیزلی)</t>
        </r>
      </text>
    </comment>
    <comment ref="C56" authorId="0" shapeId="0" xr:uid="{00000000-0006-0000-0700-000034000000}">
      <text>
        <r>
          <rPr>
            <sz val="10"/>
            <rFont val="FreeSans"/>
            <family val="2"/>
          </rPr>
          <t>توربین بخار</t>
        </r>
      </text>
    </comment>
    <comment ref="C57" authorId="0" shapeId="0" xr:uid="{00000000-0006-0000-0700-000035000000}">
      <text>
        <r>
          <rPr>
            <sz val="10"/>
            <rFont val="FreeSans"/>
            <family val="2"/>
          </rPr>
          <t>محرک بادی</t>
        </r>
      </text>
    </comment>
    <comment ref="C58" authorId="0" shapeId="0" xr:uid="{00000000-0006-0000-0700-000036000000}">
      <text>
        <r>
          <rPr>
            <sz val="10"/>
            <rFont val="FreeSans"/>
            <family val="2"/>
          </rPr>
          <t>محرک پرتابل بادی یا برقی (پمپ بشکه‌ای)</t>
        </r>
      </text>
    </comment>
    <comment ref="C59" authorId="0" shapeId="0" xr:uid="{00000000-0006-0000-0700-000037000000}">
      <text>
        <r>
          <rPr>
            <sz val="10"/>
            <rFont val="FreeSans"/>
            <family val="2"/>
          </rPr>
          <t>ذکر نشده یا کاربرد ندارد؛ ضریب خنثی (۱</t>
        </r>
        <r>
          <rPr>
            <sz val="10"/>
            <rFont val="Arial"/>
            <family val="2"/>
          </rPr>
          <t>)</t>
        </r>
      </text>
    </comment>
    <comment ref="C60" authorId="0" shapeId="0" xr:uid="{00000000-0006-0000-0700-000038000000}">
      <text>
        <r>
          <rPr>
            <sz val="10"/>
            <rFont val="FreeSans"/>
            <family val="2"/>
          </rPr>
          <t xml:space="preserve">الزام </t>
        </r>
        <r>
          <rPr>
            <sz val="10"/>
            <rFont val="Arial"/>
            <family val="2"/>
          </rPr>
          <t xml:space="preserve">NACE MR0175 / ISO 15156 </t>
        </r>
        <r>
          <rPr>
            <sz val="10"/>
            <rFont val="FreeSans"/>
            <family val="2"/>
          </rPr>
          <t xml:space="preserve">برای سرویس ترش </t>
        </r>
        <r>
          <rPr>
            <sz val="10"/>
            <rFont val="Arial"/>
            <family val="2"/>
          </rPr>
          <t>(H2S)</t>
        </r>
      </text>
    </comment>
    <comment ref="C61" authorId="0" shapeId="0" xr:uid="{00000000-0006-0000-0700-000039000000}">
      <text>
        <r>
          <rPr>
            <sz val="10"/>
            <rFont val="FreeSans"/>
            <family val="2"/>
          </rPr>
          <t xml:space="preserve">بدون الزام </t>
        </r>
        <r>
          <rPr>
            <sz val="10"/>
            <rFont val="Arial"/>
            <family val="2"/>
          </rPr>
          <t>NACE (</t>
        </r>
        <r>
          <rPr>
            <sz val="10"/>
            <rFont val="FreeSans"/>
            <family val="2"/>
          </rPr>
          <t>پایه</t>
        </r>
        <r>
          <rPr>
            <sz val="10"/>
            <rFont val="Arial"/>
            <family val="2"/>
          </rPr>
          <t>)</t>
        </r>
      </text>
    </comment>
    <comment ref="C62" authorId="0" shapeId="0" xr:uid="{00000000-0006-0000-0700-00003A000000}">
      <text>
        <r>
          <rPr>
            <sz val="10"/>
            <rFont val="FreeSans"/>
            <family val="2"/>
          </rPr>
          <t>ذکر نشده یا کاربرد ندارد؛ ضریب خنثی (۱</t>
        </r>
        <r>
          <rPr>
            <sz val="10"/>
            <rFont val="Arial"/>
            <family val="2"/>
          </rPr>
          <t>)</t>
        </r>
      </text>
    </comment>
    <comment ref="C63" authorId="0" shapeId="0" xr:uid="{00000000-0006-0000-0700-00003B000000}">
      <text>
        <r>
          <rPr>
            <sz val="10"/>
            <rFont val="FreeSans"/>
            <family val="2"/>
          </rPr>
          <t>محرک (موتور) جزو قیمت: بله</t>
        </r>
      </text>
    </comment>
    <comment ref="C64" authorId="0" shapeId="0" xr:uid="{00000000-0006-0000-0700-00003C000000}">
      <text>
        <r>
          <rPr>
            <sz val="10"/>
            <rFont val="FreeSans"/>
            <family val="2"/>
          </rPr>
          <t>محرک (موتور) جزو قیمت: خیر</t>
        </r>
      </text>
    </comment>
    <comment ref="C65" authorId="0" shapeId="0" xr:uid="{00000000-0006-0000-0700-00003D000000}">
      <text>
        <r>
          <rPr>
            <sz val="10"/>
            <rFont val="FreeSans"/>
            <family val="2"/>
          </rPr>
          <t>محرک (موتور) جزو قیمت: در منبع ذکر نشده (ضریب ۱</t>
        </r>
        <r>
          <rPr>
            <sz val="10"/>
            <rFont val="Arial"/>
            <family val="2"/>
          </rPr>
          <t>)</t>
        </r>
      </text>
    </comment>
    <comment ref="C66" authorId="0" shapeId="0" xr:uid="{00000000-0006-0000-0700-00003E000000}">
      <text>
        <r>
          <rPr>
            <sz val="10"/>
            <rFont val="FreeSans"/>
            <family val="2"/>
          </rPr>
          <t>شاسی و کوپلینگ جزو قیمت: بله</t>
        </r>
      </text>
    </comment>
    <comment ref="C67" authorId="0" shapeId="0" xr:uid="{00000000-0006-0000-0700-00003F000000}">
      <text>
        <r>
          <rPr>
            <sz val="10"/>
            <rFont val="FreeSans"/>
            <family val="2"/>
          </rPr>
          <t>شاسی و کوپلینگ جزو قیمت: خیر</t>
        </r>
      </text>
    </comment>
    <comment ref="C68" authorId="0" shapeId="0" xr:uid="{00000000-0006-0000-0700-000040000000}">
      <text>
        <r>
          <rPr>
            <sz val="10"/>
            <rFont val="FreeSans"/>
            <family val="2"/>
          </rPr>
          <t>شاسی و کوپلینگ جزو قیمت: در منبع ذکر نشده (ضریب ۱</t>
        </r>
        <r>
          <rPr>
            <sz val="10"/>
            <rFont val="Arial"/>
            <family val="2"/>
          </rPr>
          <t>)</t>
        </r>
      </text>
    </comment>
    <comment ref="C69" authorId="0" shapeId="0" xr:uid="{00000000-0006-0000-0700-000041000000}">
      <text>
        <r>
          <rPr>
            <sz val="10"/>
            <rFont val="FreeSans"/>
            <family val="2"/>
          </rPr>
          <t xml:space="preserve">سیستم جانبی آب‌بند </t>
        </r>
        <r>
          <rPr>
            <sz val="10"/>
            <rFont val="Arial"/>
            <family val="2"/>
          </rPr>
          <t>(</t>
        </r>
        <r>
          <rPr>
            <sz val="10"/>
            <rFont val="FreeSans"/>
            <family val="2"/>
          </rPr>
          <t xml:space="preserve">مخزن، </t>
        </r>
        <r>
          <rPr>
            <sz val="10"/>
            <rFont val="Arial"/>
            <family val="2"/>
          </rPr>
          <t>Accumulator</t>
        </r>
        <r>
          <rPr>
            <sz val="10"/>
            <rFont val="FreeSans"/>
            <family val="2"/>
          </rPr>
          <t>، کولر</t>
        </r>
        <r>
          <rPr>
            <sz val="10"/>
            <rFont val="Arial"/>
            <family val="2"/>
          </rPr>
          <t xml:space="preserve">) </t>
        </r>
        <r>
          <rPr>
            <sz val="10"/>
            <rFont val="FreeSans"/>
            <family val="2"/>
          </rPr>
          <t>جزو قیمت: بله</t>
        </r>
      </text>
    </comment>
    <comment ref="C70" authorId="0" shapeId="0" xr:uid="{00000000-0006-0000-0700-000042000000}">
      <text>
        <r>
          <rPr>
            <sz val="10"/>
            <rFont val="FreeSans"/>
            <family val="2"/>
          </rPr>
          <t xml:space="preserve">سیستم جانبی آب‌بند </t>
        </r>
        <r>
          <rPr>
            <sz val="10"/>
            <rFont val="Arial"/>
            <family val="2"/>
          </rPr>
          <t>(</t>
        </r>
        <r>
          <rPr>
            <sz val="10"/>
            <rFont val="FreeSans"/>
            <family val="2"/>
          </rPr>
          <t xml:space="preserve">مخزن، </t>
        </r>
        <r>
          <rPr>
            <sz val="10"/>
            <rFont val="Arial"/>
            <family val="2"/>
          </rPr>
          <t>Accumulator</t>
        </r>
        <r>
          <rPr>
            <sz val="10"/>
            <rFont val="FreeSans"/>
            <family val="2"/>
          </rPr>
          <t>، کولر</t>
        </r>
        <r>
          <rPr>
            <sz val="10"/>
            <rFont val="Arial"/>
            <family val="2"/>
          </rPr>
          <t xml:space="preserve">) </t>
        </r>
        <r>
          <rPr>
            <sz val="10"/>
            <rFont val="FreeSans"/>
            <family val="2"/>
          </rPr>
          <t>جزو قیمت: خیر</t>
        </r>
      </text>
    </comment>
    <comment ref="C71" authorId="0" shapeId="0" xr:uid="{00000000-0006-0000-0700-000043000000}">
      <text>
        <r>
          <rPr>
            <sz val="10"/>
            <rFont val="FreeSans"/>
            <family val="2"/>
          </rPr>
          <t xml:space="preserve">سیستم جانبی آب‌بند </t>
        </r>
        <r>
          <rPr>
            <sz val="10"/>
            <rFont val="Arial"/>
            <family val="2"/>
          </rPr>
          <t>(</t>
        </r>
        <r>
          <rPr>
            <sz val="10"/>
            <rFont val="FreeSans"/>
            <family val="2"/>
          </rPr>
          <t xml:space="preserve">مخزن، </t>
        </r>
        <r>
          <rPr>
            <sz val="10"/>
            <rFont val="Arial"/>
            <family val="2"/>
          </rPr>
          <t>Accumulator</t>
        </r>
        <r>
          <rPr>
            <sz val="10"/>
            <rFont val="FreeSans"/>
            <family val="2"/>
          </rPr>
          <t>، کولر</t>
        </r>
        <r>
          <rPr>
            <sz val="10"/>
            <rFont val="Arial"/>
            <family val="2"/>
          </rPr>
          <t xml:space="preserve">) </t>
        </r>
        <r>
          <rPr>
            <sz val="10"/>
            <rFont val="FreeSans"/>
            <family val="2"/>
          </rPr>
          <t>جزو قیمت: در منبع ذکر نشده (ضریب ۱</t>
        </r>
        <r>
          <rPr>
            <sz val="10"/>
            <rFont val="Arial"/>
            <family val="2"/>
          </rPr>
          <t>)</t>
        </r>
      </text>
    </comment>
    <comment ref="C72" authorId="0" shapeId="0" xr:uid="{00000000-0006-0000-0700-000044000000}">
      <text>
        <r>
          <rPr>
            <sz val="10"/>
            <rFont val="FreeSans"/>
            <family val="2"/>
          </rPr>
          <t>یدکی راه‌اندازی جزو قیمت: بله</t>
        </r>
      </text>
    </comment>
    <comment ref="C73" authorId="0" shapeId="0" xr:uid="{00000000-0006-0000-0700-000045000000}">
      <text>
        <r>
          <rPr>
            <sz val="10"/>
            <rFont val="FreeSans"/>
            <family val="2"/>
          </rPr>
          <t>یدکی راه‌اندازی جزو قیمت: خیر</t>
        </r>
      </text>
    </comment>
    <comment ref="C74" authorId="0" shapeId="0" xr:uid="{00000000-0006-0000-0700-000046000000}">
      <text>
        <r>
          <rPr>
            <sz val="10"/>
            <rFont val="FreeSans"/>
            <family val="2"/>
          </rPr>
          <t>یدکی راه‌اندازی جزو قیمت: در منبع ذکر نشده (ضریب ۱</t>
        </r>
        <r>
          <rPr>
            <sz val="10"/>
            <rFont val="Arial"/>
            <family val="2"/>
          </rPr>
          <t>)</t>
        </r>
      </text>
    </comment>
    <comment ref="C75" authorId="0" shapeId="0" xr:uid="{00000000-0006-0000-0700-000047000000}">
      <text>
        <r>
          <rPr>
            <sz val="10"/>
            <rFont val="FreeSans"/>
            <family val="2"/>
          </rPr>
          <t>یدکی دو سال بهره‌برداری جزو قیمت: بله</t>
        </r>
      </text>
    </comment>
    <comment ref="C76" authorId="0" shapeId="0" xr:uid="{00000000-0006-0000-0700-000048000000}">
      <text>
        <r>
          <rPr>
            <sz val="10"/>
            <rFont val="FreeSans"/>
            <family val="2"/>
          </rPr>
          <t>یدکی دو سال بهره‌برداری جزو قیمت: خیر</t>
        </r>
      </text>
    </comment>
    <comment ref="C77" authorId="0" shapeId="0" xr:uid="{00000000-0006-0000-0700-000049000000}">
      <text>
        <r>
          <rPr>
            <sz val="10"/>
            <rFont val="FreeSans"/>
            <family val="2"/>
          </rPr>
          <t>یدکی دو سال بهره‌برداری جزو قیمت: در منبع ذکر نشده (ضریب ۱</t>
        </r>
        <r>
          <rPr>
            <sz val="10"/>
            <rFont val="Arial"/>
            <family val="2"/>
          </rPr>
          <t>)</t>
        </r>
      </text>
    </comment>
    <comment ref="C78" authorId="0" shapeId="0" xr:uid="{00000000-0006-0000-0700-00004A000000}">
      <text>
        <r>
          <rPr>
            <sz val="10"/>
            <rFont val="FreeSans"/>
            <family val="2"/>
          </rPr>
          <t>هزینه بازرسی شخص ثالث جزو قیمت: بله</t>
        </r>
      </text>
    </comment>
    <comment ref="C79" authorId="0" shapeId="0" xr:uid="{00000000-0006-0000-0700-00004B000000}">
      <text>
        <r>
          <rPr>
            <sz val="10"/>
            <rFont val="FreeSans"/>
            <family val="2"/>
          </rPr>
          <t>هزینه بازرسی شخص ثالث جزو قیمت: خیر</t>
        </r>
      </text>
    </comment>
    <comment ref="C80" authorId="0" shapeId="0" xr:uid="{00000000-0006-0000-0700-00004C000000}">
      <text>
        <r>
          <rPr>
            <sz val="10"/>
            <rFont val="FreeSans"/>
            <family val="2"/>
          </rPr>
          <t>هزینه بازرسی شخص ثالث جزو قیمت: در منبع ذکر نشده (ضریب ۱</t>
        </r>
        <r>
          <rPr>
            <sz val="10"/>
            <rFont val="Arial"/>
            <family val="2"/>
          </rPr>
          <t>)</t>
        </r>
      </text>
    </comment>
    <comment ref="C81" authorId="0" shapeId="0" xr:uid="{00000000-0006-0000-0700-00004D000000}">
      <text>
        <r>
          <rPr>
            <sz val="10"/>
            <rFont val="FreeSans"/>
            <family val="2"/>
          </rPr>
          <t>آزمون عملکرد کارخانه با حضور کارفرما جزو قیمت: بله</t>
        </r>
      </text>
    </comment>
    <comment ref="C82" authorId="0" shapeId="0" xr:uid="{00000000-0006-0000-0700-00004E000000}">
      <text>
        <r>
          <rPr>
            <sz val="10"/>
            <rFont val="FreeSans"/>
            <family val="2"/>
          </rPr>
          <t>آزمون عملکرد کارخانه با حضور کارفرما جزو قیمت: خیر</t>
        </r>
      </text>
    </comment>
    <comment ref="C83" authorId="0" shapeId="0" xr:uid="{00000000-0006-0000-0700-00004F000000}">
      <text>
        <r>
          <rPr>
            <sz val="10"/>
            <rFont val="FreeSans"/>
            <family val="2"/>
          </rPr>
          <t>آزمون عملکرد کارخانه با حضور کارفرما جزو قیمت: در منبع ذکر نشده (ضریب ۱</t>
        </r>
        <r>
          <rPr>
            <sz val="10"/>
            <rFont val="Arial"/>
            <family val="2"/>
          </rPr>
          <t>)</t>
        </r>
      </text>
    </comment>
  </commentList>
</comments>
</file>

<file path=xl/sharedStrings.xml><?xml version="1.0" encoding="utf-8"?>
<sst xmlns="http://schemas.openxmlformats.org/spreadsheetml/2006/main" count="15878" uniqueCount="2440">
  <si>
    <t>راهنمای بانک قیمت پمپ – نسخه ۸</t>
  </si>
  <si>
    <t>بر اساس شرح نیاز و اصلاحات سازمانی مهر ۱۴۰۵</t>
  </si>
  <si>
    <t>ترتیب ستون‌ها</t>
  </si>
  <si>
    <t>شناسایی ← مشخصات کلیدی (نوع و متریال API 610، دبی، هد، توان، استانداردها، آب‌بند) ← مشخصات تکمیلی ← قیمت ← دامنه کار ← منبع ← محاسبات ← کنترل. ستون‌های فرعی گروه‌بندی شده‌اند و با «+» بالای ستون باز می‌شوند.</t>
  </si>
  <si>
    <t>رنگ‌ها</t>
  </si>
  <si>
    <t>سرستون زرد = ورودی Dropdown؛ آبی روشن = ورودی آزاد؛ خاکستری = فرمول. سلول زرد پررنگ = مقدار استنباطی (شاهد در Note). سلول آبی در ستون IRR = تبدیل با نرخ بانک؛ نرخ و قیمت پروژه در Note.</t>
  </si>
  <si>
    <t>Standards</t>
  </si>
  <si>
    <t>ستون Standards خودکار از ستون‌های جمع‌شده Pump Standard، IPS، NACE و NFPA 20 ساخته می‌شود. ورودی‌ها را در همان ستون‌های جمع‌شده تغییر دهید.</t>
  </si>
  <si>
    <t>نرمال‌سازی</t>
  </si>
  <si>
    <t>Normalized EUR = قیمت یورویی سال منبع ÷ (MAT × SEAL × DRIVE × SCOPE) = قیمت معادل پیکربندی پایه. ضرایب در Factors_ROT و هنوز کالیبره نشده‌اند.</t>
  </si>
  <si>
    <t>تعدیل</t>
  </si>
  <si>
    <t>یورو × PPI(هدف)/PPI(پایه)، با کف ۲۵٬۰۰۰ یورو (۱۴۰۴) برای API 610 گریز از مرکز کلاس S/D؛ دلار و ریال با نرخ‌های سال هدف. شاخص PPI از Eurostat C28.13 (EA20)؛ عدد ۱۴۰۵ پیش‌بینی است. CPI استفاده نمی‌شود.</t>
  </si>
  <si>
    <t>Price Basis چیست؟</t>
  </si>
  <si>
    <t>ستون Price Basis می‌گوید عدد قیمت «چه نوع قیمتی» است و از کدام سند آمده: پیشنهاد فروشنده (Inquiry)، برآورد مشاور در MTO مرحله FEED یا Basic، یا قیمت خرید. برچسب کلاس برآورد که در خود سند منبع نوشته شده، عیناً داخل همین متن آمده است.</t>
  </si>
  <si>
    <t>Incoterm چیست؟</t>
  </si>
  <si>
    <t>ستون Incoterm شرط تحویل قیمت است (EXW، FOB و ...). Note هر سلول صریحاً می‌گوید این قیمت «شامل» چه هزینه‌هایی هست و «شامل» چه هزینه‌هایی نیست (حمل، بیمه، ترخیص، بازرسی، یدکی، سربار، مالیات، نصب) و هر کدام در کدام سلول سند منبع جداگانه آمده است. جدول معرفی حالت‌ها در Executive Dashboard است.</t>
  </si>
  <si>
    <t>یعنی چه قیمتی می‌بینیم؟</t>
  </si>
  <si>
    <t>Unit Price (Reference) و معادل‌های یورو/دلار/ریال سال منبع = قیمت تجهیز در سطح فروشنده، بدون سربار پروژه، مالیات و نصب (جز آنچه Note همان ردیف خلاف آن را بگوید). قیمت‌های Escalated همان قیمت است که فقط از نظر زمان به سال هدف آورده شده؛ هیچ هزینه دیگری به آن اضافه نشده است.</t>
  </si>
  <si>
    <t>Estimator</t>
  </si>
  <si>
    <t>پارامترها در سمت چپ با ضریب متناظر در ستون C؛ محاسبات و نتیجه در پنل سمت راست.</t>
  </si>
  <si>
    <t>Search</t>
  </si>
  <si>
    <t>فیلترها در سه بلوک بالا؛ خلاصه نتایج و لیست رکوردها زیر آن.</t>
  </si>
  <si>
    <t>Vendor_Quotes</t>
  </si>
  <si>
    <t>سند پیوست استعلام‌ها؛ در محاسبات Master استفاده نمی‌شود.</t>
  </si>
  <si>
    <t>رکورد جدید</t>
  </si>
  <si>
    <t>آخرین ردیف Master را کپی و زیر آن Paste کنید تا فرمول‌ها منتقل شوند (Dropdownها تا ردیف ۶۰۰).</t>
  </si>
  <si>
    <t>EXECUTIVE DASHBOARD – بانک قیمت پمپ</t>
  </si>
  <si>
    <t>فقط رکوردهای Include = Y شمارش می‌شوند. روی سرستون‌ها و سلول‌ها Note توضیحی یا ترجمه فارسی هست.</t>
  </si>
  <si>
    <t>Target year</t>
  </si>
  <si>
    <t>EUR→IRR</t>
  </si>
  <si>
    <t>USD→IRR</t>
  </si>
  <si>
    <t>PPI target</t>
  </si>
  <si>
    <t>1) Pump sub-categories</t>
  </si>
  <si>
    <t>Sub-Category</t>
  </si>
  <si>
    <t>Full Name</t>
  </si>
  <si>
    <t>شرح</t>
  </si>
  <si>
    <t>Records</t>
  </si>
  <si>
    <t>With escalated price</t>
  </si>
  <si>
    <t>% Material stated</t>
  </si>
  <si>
    <t>% Seal stated</t>
  </si>
  <si>
    <t>% Size driver</t>
  </si>
  <si>
    <t>ROT-CRU</t>
  </si>
  <si>
    <t>Crude Oil &amp; Main Transfer Pumps</t>
  </si>
  <si>
    <t>پمپ‌های نفت خام: انتقال نفت شور و نمک‌زدایی‌شده، Booster، Off-spec و انتقال اصلی</t>
  </si>
  <si>
    <t>ROT-WAT</t>
  </si>
  <si>
    <t>Desalting &amp; Process Water Pumps</t>
  </si>
  <si>
    <t>آب فرآیندی واحد: آب رقیق‌سازی، Recycle دیسالتر، آب هوازدایی‌شده، آب شیرین و آب خنک‌کن</t>
  </si>
  <si>
    <t>ROT-INJ</t>
  </si>
  <si>
    <t>Produced Water &amp; Disposal Injection Pumps</t>
  </si>
  <si>
    <t>آب تولیدی و پساب: Booster و پمپ‌های پرفشار تزریق به چاه دفعی</t>
  </si>
  <si>
    <t>ROT-DRN</t>
  </si>
  <si>
    <t>Drainage, Flare &amp; OWS Pumps</t>
  </si>
  <si>
    <t>درین بسته و باز، Flare KO Drum، جداکننده آب و نفت (OWS)، نفت بازیافتی و لجن</t>
  </si>
  <si>
    <t>ROT-AUX</t>
  </si>
  <si>
    <t>Chemical, Fuel &amp; Auxiliary Pumps</t>
  </si>
  <si>
    <t>پمپ‌های جانبی: مواد شیمیایی، گلایکول، گازوئیل و سوخت</t>
  </si>
  <si>
    <t>ROT-FIR</t>
  </si>
  <si>
    <t>Firewater &amp; Safety Pumps</t>
  </si>
  <si>
    <t>آتش‌نشانی: پمپ اصلی برقی و دیزلی، Jockey و بارگیری آب آتش‌نشانی</t>
  </si>
  <si>
    <t>TOTAL</t>
  </si>
  <si>
    <t>2) API 610 material classes (Table H.1)</t>
  </si>
  <si>
    <t>Class</t>
  </si>
  <si>
    <t>Casing</t>
  </si>
  <si>
    <t>Impeller</t>
  </si>
  <si>
    <t>Wear rings / Shaft</t>
  </si>
  <si>
    <t>Typical service</t>
  </si>
  <si>
    <t>I-1</t>
  </si>
  <si>
    <t>Cast iron</t>
  </si>
  <si>
    <t>Cast-iron rings; carbon-steel shaft</t>
  </si>
  <si>
    <t>Water and non-corrosive services, low temperature</t>
  </si>
  <si>
    <t>I-2</t>
  </si>
  <si>
    <t>Bronze</t>
  </si>
  <si>
    <t>Bronze rings; carbon-steel shaft</t>
  </si>
  <si>
    <t>Water, fire water, fresh water</t>
  </si>
  <si>
    <t>S-1</t>
  </si>
  <si>
    <t>Carbon steel</t>
  </si>
  <si>
    <t>Non-corrosive hydrocarbons</t>
  </si>
  <si>
    <t>S-3</t>
  </si>
  <si>
    <t>Ni-resist</t>
  </si>
  <si>
    <t>Ni-resist rings; AISI 4140 shaft</t>
  </si>
  <si>
    <t>Mildly abrasive or corrosive services</t>
  </si>
  <si>
    <t>S-4</t>
  </si>
  <si>
    <t>General hydrocarbons</t>
  </si>
  <si>
    <t>S-5</t>
  </si>
  <si>
    <t>Hardened 12% Cr rings; AISI 4140 shaft</t>
  </si>
  <si>
    <t>General and hot hydrocarbons</t>
  </si>
  <si>
    <t>S-6</t>
  </si>
  <si>
    <t>12% Cr</t>
  </si>
  <si>
    <t>Hardened 12% Cr rings; 12% Cr shaft</t>
  </si>
  <si>
    <t>Hot hydrocarbons, sour water, mild corrosion</t>
  </si>
  <si>
    <t>S-8</t>
  </si>
  <si>
    <t>316 stainless steel</t>
  </si>
  <si>
    <t>Hard-faced 316 rings; 316 shaft</t>
  </si>
  <si>
    <t>More corrosive services</t>
  </si>
  <si>
    <t>S-9</t>
  </si>
  <si>
    <t>Ni-Cu alloy</t>
  </si>
  <si>
    <t>Ni-Cu rings; Ni-Cu shaft</t>
  </si>
  <si>
    <t>Special corrosive services</t>
  </si>
  <si>
    <t>C-6</t>
  </si>
  <si>
    <t>Boiler feed water, hot hydrocarbons</t>
  </si>
  <si>
    <t>A-7</t>
  </si>
  <si>
    <t>Austenitic stainless steel</t>
  </si>
  <si>
    <t>Hard-faced rings; austenitic shaft</t>
  </si>
  <si>
    <t>High corrosion, low temperature</t>
  </si>
  <si>
    <t>A-8</t>
  </si>
  <si>
    <t>Hard-faced rings; 316 shaft</t>
  </si>
  <si>
    <t>Corrosive services</t>
  </si>
  <si>
    <t>D-1</t>
  </si>
  <si>
    <t>Duplex stainless steel</t>
  </si>
  <si>
    <t>Hard-faced rings; duplex shaft</t>
  </si>
  <si>
    <t>Saline and produced water with chlorides</t>
  </si>
  <si>
    <t>D-2</t>
  </si>
  <si>
    <t>Super-duplex stainless steel</t>
  </si>
  <si>
    <t>Hard-faced rings; super-duplex shaft</t>
  </si>
  <si>
    <t>High-chloride saline / produced water, severe corrosion</t>
  </si>
  <si>
    <t>SS316L (non-API)</t>
  </si>
  <si>
    <t>316L stainless steel</t>
  </si>
  <si>
    <t>—</t>
  </si>
  <si>
    <t>Non-API construction (e.g. portable barrel pump)</t>
  </si>
  <si>
    <t>Not stated</t>
  </si>
  <si>
    <t>Not stated in source</t>
  </si>
  <si>
    <t>3) Pump types per API 610</t>
  </si>
  <si>
    <t>Type</t>
  </si>
  <si>
    <t>Name</t>
  </si>
  <si>
    <t>Description</t>
  </si>
  <si>
    <t>OH1</t>
  </si>
  <si>
    <t>Overhung, foot-mounted</t>
  </si>
  <si>
    <t>Single-stage overhung, foot-mounted; moderate temperature and pressure</t>
  </si>
  <si>
    <t>OH2</t>
  </si>
  <si>
    <t>Overhung, centreline-mounted</t>
  </si>
  <si>
    <t>Single-stage overhung, centreline-mounted; the most common refinery process pump, suitable for high temperature</t>
  </si>
  <si>
    <t>OH3</t>
  </si>
  <si>
    <t>Vertical in-line, separate bearing bracket</t>
  </si>
  <si>
    <t>Vertical in-line pump with separate bearing bracket</t>
  </si>
  <si>
    <t>OH4</t>
  </si>
  <si>
    <t>Vertical in-line, rigidly coupled</t>
  </si>
  <si>
    <t>Vertical in-line pump, rigidly coupled</t>
  </si>
  <si>
    <t>OH5</t>
  </si>
  <si>
    <t>Vertical in-line, close-coupled</t>
  </si>
  <si>
    <t>Vertical in-line pump, close-coupled (impeller on the motor shaft)</t>
  </si>
  <si>
    <t>OH6</t>
  </si>
  <si>
    <t>High-speed integral gear</t>
  </si>
  <si>
    <t>High-speed integral-gear pump; low flow, high head</t>
  </si>
  <si>
    <t>BB1</t>
  </si>
  <si>
    <t>Between bearings, 1–2 stage, axially split</t>
  </si>
  <si>
    <t>Between bearings, 1–2 stage, axially split casing</t>
  </si>
  <si>
    <t>BB2</t>
  </si>
  <si>
    <t>Between bearings, 1–2 stage, radially split</t>
  </si>
  <si>
    <t>Between bearings, 1–2 stage, radially split; high temperature and pressure</t>
  </si>
  <si>
    <t>BB3</t>
  </si>
  <si>
    <t>Between bearings, multistage, axially split</t>
  </si>
  <si>
    <t>Multistage, axially split casing; water injection and high-pressure transfer</t>
  </si>
  <si>
    <t>BB4</t>
  </si>
  <si>
    <t>Between bearings, multistage, single casing radially split</t>
  </si>
  <si>
    <t>Multistage single-casing ring-section pump</t>
  </si>
  <si>
    <t>BB5</t>
  </si>
  <si>
    <t>Between bearings, multistage, double casing (barrel)</t>
  </si>
  <si>
    <t>Multistage double-casing (barrel) pump; the most severe high-pressure services</t>
  </si>
  <si>
    <t>VS1</t>
  </si>
  <si>
    <t>Vertically suspended, diffuser, discharge through column</t>
  </si>
  <si>
    <t>Wet-pit vertically suspended, diffuser, discharge through the column</t>
  </si>
  <si>
    <t>VS2</t>
  </si>
  <si>
    <t>Vertically suspended, volute, discharge through column</t>
  </si>
  <si>
    <t>Wet-pit vertically suspended, volute, discharge through the column</t>
  </si>
  <si>
    <t>VS3</t>
  </si>
  <si>
    <t>Vertically suspended, axial flow</t>
  </si>
  <si>
    <t>Wet-pit vertically suspended, axial flow; high flow, low head</t>
  </si>
  <si>
    <t>VS4</t>
  </si>
  <si>
    <t>Vertically suspended, line-shaft, separate discharge (sump)</t>
  </si>
  <si>
    <t>Line-shaft sump pump with separate discharge; drain and flare KO sumps</t>
  </si>
  <si>
    <t>VS5</t>
  </si>
  <si>
    <t>Vertically suspended, cantilever sump</t>
  </si>
  <si>
    <t>Cantilever sump pump without submerged bearings</t>
  </si>
  <si>
    <t>VS6</t>
  </si>
  <si>
    <t>Vertically suspended, double casing, diffuser (can)</t>
  </si>
  <si>
    <t>Double-casing diffuser (can) pump; low NPSH, e.g. off-spec crude and near-boiling liquids</t>
  </si>
  <si>
    <t>VS7</t>
  </si>
  <si>
    <t>Vertically suspended, double casing, volute</t>
  </si>
  <si>
    <t>Double-casing volute pump</t>
  </si>
  <si>
    <t>OH (unspecified)</t>
  </si>
  <si>
    <t>Overhung – subtype not stated</t>
  </si>
  <si>
    <t>Source states only "Overhung"; API subtype not given</t>
  </si>
  <si>
    <t>BB (unspecified)</t>
  </si>
  <si>
    <t>Between bearings – subtype not stated</t>
  </si>
  <si>
    <t>Source states only "Between Bearings"; API subtype not given</t>
  </si>
  <si>
    <t>VS (unspecified)</t>
  </si>
  <si>
    <t>Vertically suspended – subtype not stated</t>
  </si>
  <si>
    <t>Source states only "Vertical"; API subtype not given</t>
  </si>
  <si>
    <t>N/A (non-API 610)</t>
  </si>
  <si>
    <t>Not an API 610 pump</t>
  </si>
  <si>
    <t>Not an API 610 pump (ISO 5199, NFPA 20, JIS, positive-displacement or portable pump); API 610 type does not apply</t>
  </si>
  <si>
    <t>Pump type not stated in source</t>
  </si>
  <si>
    <t>4) Incoterm – delivery basis of prices</t>
  </si>
  <si>
    <t>Incoterm</t>
  </si>
  <si>
    <t>Meaning</t>
  </si>
  <si>
    <t>توضیح فارسی</t>
  </si>
  <si>
    <t>Used in this bank for</t>
  </si>
  <si>
    <t>EXW</t>
  </si>
  <si>
    <t>Ex Works – goods made available at the seller's works; buyer bears all transport, insurance, export/import costs</t>
  </si>
  <si>
    <t>تحویل درب کارخانه؛ همه هزینه‌های حمل، بیمه، گمرک و ترخیص با خریدار</t>
  </si>
  <si>
    <t>گچساران ۴ (هزینه حمل، بیمه، بازرسی و یدکی جدا) و اقلام ریالی کوپال</t>
  </si>
  <si>
    <t>FCA</t>
  </si>
  <si>
    <t>Free Carrier – delivered to the buyer's carrier at a named place</t>
  </si>
  <si>
    <t>تحویل به حمل‌کننده خریدار در محل تعیین‌شده</t>
  </si>
  <si>
    <t>FOB</t>
  </si>
  <si>
    <t>Free On Board – loaded on the vessel at the port of shipment; sea freight, insurance and import costs for buyer</t>
  </si>
  <si>
    <t>تحویل روی کشتی در بندر مبدأ؛ کرایه حمل دریایی، بیمه و هزینه‌های ورود با خریدار</t>
  </si>
  <si>
    <t>پازنان ۲ (۱۳۹۳ و ۱۴۰۴) و اقلام ارزی کوپال</t>
  </si>
  <si>
    <t>CFR</t>
  </si>
  <si>
    <t>Cost and Freight – seller pays sea freight to the destination port; insurance for buyer</t>
  </si>
  <si>
    <t>فروشنده کرایه حمل تا بندر مقصد را می‌پردازد؛ بیمه با خریدار</t>
  </si>
  <si>
    <t>CIF</t>
  </si>
  <si>
    <t>Cost, Insurance and Freight – seller pays sea freight and minimum insurance to the destination port</t>
  </si>
  <si>
    <t>فروشنده کرایه حمل و بیمه تا بندر مقصد را می‌پردازد</t>
  </si>
  <si>
    <t>DAP</t>
  </si>
  <si>
    <t>Delivered At Place – delivered at the named destination, not unloaded; import duties for buyer</t>
  </si>
  <si>
    <t>تحویل در مقصد تعیین‌شده (مثلاً سایت)؛ حقوق ورودی و ترخیص با خریدار</t>
  </si>
  <si>
    <t>DDP</t>
  </si>
  <si>
    <t>Delivered Duty Paid – delivered at destination with all duties paid by the seller</t>
  </si>
  <si>
    <t>تحویل در مقصد با پرداخت همه عوارض و حقوق گمرکی توسط فروشنده</t>
  </si>
  <si>
    <t>Domestic Delivered (IRR)</t>
  </si>
  <si>
    <t>Domestic supply in rials, delivered to site</t>
  </si>
  <si>
    <t>خرید داخلی ریالی با تحویل در سایت</t>
  </si>
  <si>
    <t>Delivery basis not stated in the source</t>
  </si>
  <si>
    <t>شرط تحویل در منبع ذکر نشده است</t>
  </si>
  <si>
    <t>رکوردهای CSV و نمونه قیمتی (بدون پروژه و سال)</t>
  </si>
  <si>
    <t>در همه رکوردها قیمت در سطح فروشنده است: سربار پروژه، مالیات بر ارزش افزوده و هزینه نصب در هیچ قیمتی نیست. آنچه هر قیمت دقیقاً شامل هست یا نیست، در Note ستون Incoterm همان ردیف در Master Database آمده است.</t>
  </si>
  <si>
    <t>MASTER PUMP PRICE DATABASE – v8</t>
  </si>
  <si>
    <t>ستون‌های گروه‌بندی‌شده با دکمه «+» بالای ستون‌ها باز می‌شوند. سرستون زرد = ورودی Dropdown، خاکستری = فرمول. سلول زرد پررنگ = مقدار استنباطی (شاهد در Note)؛ سلول آبی = تبدیل ارز با نرخ بانک (نرخ پروژه در Note). روی هر سرستون Note توضیحی هست.</t>
  </si>
  <si>
    <t>شناسایی</t>
  </si>
  <si>
    <t>مشخصات کلیدی</t>
  </si>
  <si>
    <t>مشخصات تکمیلی</t>
  </si>
  <si>
    <t>قیمت</t>
  </si>
  <si>
    <t>منبع و سازنده</t>
  </si>
  <si>
    <t>دامنه کار (Scope)</t>
  </si>
  <si>
    <t>کنترل و ردیابی</t>
  </si>
  <si>
    <t>محاسبات نرمال‌سازی و تعدیل (فرمول)</t>
  </si>
  <si>
    <t>Row</t>
  </si>
  <si>
    <t>Equipment Name</t>
  </si>
  <si>
    <t>Project Name</t>
  </si>
  <si>
    <t>Tag No.</t>
  </si>
  <si>
    <t>API 610 Type</t>
  </si>
  <si>
    <t>API 610 Material Class</t>
  </si>
  <si>
    <t>Capacity (m³/h)</t>
  </si>
  <si>
    <t>Diff. Head (m)</t>
  </si>
  <si>
    <t>Power (kW)</t>
  </si>
  <si>
    <t>Size Driver kW (est.)</t>
  </si>
  <si>
    <t>Pump Standard</t>
  </si>
  <si>
    <t>IPS Standard</t>
  </si>
  <si>
    <t>NACE MR0175 (Y/N)</t>
  </si>
  <si>
    <t>Seal Type / Arrangement</t>
  </si>
  <si>
    <t>API 682 Category</t>
  </si>
  <si>
    <t>API 682 Seal Plan</t>
  </si>
  <si>
    <t>Driver Type</t>
  </si>
  <si>
    <t>Service Fluid</t>
  </si>
  <si>
    <t>Quantity</t>
  </si>
  <si>
    <t>Pump Family</t>
  </si>
  <si>
    <t>Discharge Pressure (barg)</t>
  </si>
  <si>
    <t>Power Basis</t>
  </si>
  <si>
    <t>Cost Year (Jalali)</t>
  </si>
  <si>
    <t>Reference Currency</t>
  </si>
  <si>
    <t>Unit Price (Reference)</t>
  </si>
  <si>
    <t>Unit Price EUR (source yr)</t>
  </si>
  <si>
    <t>Unit Price USD (source yr)</t>
  </si>
  <si>
    <t>Unit Price IRR (source yr)</t>
  </si>
  <si>
    <t>Price Basis (as stated in source)</t>
  </si>
  <si>
    <t>Escalated Unit Price EUR (target yr)</t>
  </si>
  <si>
    <t>Escalated Unit Price USD (target yr)</t>
  </si>
  <si>
    <t>Escalated Unit Price IRR (target yr)</t>
  </si>
  <si>
    <t>Manufacturer / Supplier (as in source)</t>
  </si>
  <si>
    <t>Project Phase</t>
  </si>
  <si>
    <t>Scope: Driver incl.</t>
  </si>
  <si>
    <t>Scope: Baseplate &amp; Coupling</t>
  </si>
  <si>
    <t>Scope: Seal Support System</t>
  </si>
  <si>
    <t>Scope: Comm. Spares</t>
  </si>
  <si>
    <t>Scope: 2-yr Spares</t>
  </si>
  <si>
    <t>Scope: TPI</t>
  </si>
  <si>
    <t>Scope: Witnessed FAT</t>
  </si>
  <si>
    <t>QA Flag</t>
  </si>
  <si>
    <t>MAT_F</t>
  </si>
  <si>
    <t>SEAL_F</t>
  </si>
  <si>
    <t>DRIVE_F</t>
  </si>
  <si>
    <t>SCOPE_F</t>
  </si>
  <si>
    <t>ALL_F</t>
  </si>
  <si>
    <t>Normalized EUR (base config, source yr)</t>
  </si>
  <si>
    <t>PPI Base</t>
  </si>
  <si>
    <t>PPI Target</t>
  </si>
  <si>
    <t>Floor Applies</t>
  </si>
  <si>
    <t>Normalized Escalated EUR</t>
  </si>
  <si>
    <t>Cost Coefficient (NormEsc EUR / kW^n)</t>
  </si>
  <si>
    <t>Source Document</t>
  </si>
  <si>
    <t>Remarks &amp; Notes</t>
  </si>
  <si>
    <t>Include in Totals (Y/N)</t>
  </si>
  <si>
    <t>2nd Stage  Separators Oil Pumps</t>
  </si>
  <si>
    <t>(نام پروژه در فایل قید نشده است) – CSV 18061405</t>
  </si>
  <si>
    <t>(Not stated in source document)</t>
  </si>
  <si>
    <t>None</t>
  </si>
  <si>
    <t>Electric Motor</t>
  </si>
  <si>
    <t>Crude Oil</t>
  </si>
  <si>
    <t>Centrifugal</t>
  </si>
  <si>
    <t>(Not stated)</t>
  </si>
  <si>
    <t>USD</t>
  </si>
  <si>
    <t>Purchase price (USD) – 18061405 pump CSV; project and year not stated</t>
  </si>
  <si>
    <t>18061405_Pump_only_CSV.csv – section Pumps (row 1)</t>
  </si>
  <si>
    <t>Type: Centrifugal | Driver: موتور الکتریکی (E) | Power: 54.3 kW | Head: 95.8 m | گمرک و حمل: $14400 | Duplicate of the xlsx-sourced record for the same pump (see PUMPS.csv row); kept for reference, excluded from totals. | Original type text: Centrifugal</t>
  </si>
  <si>
    <t>N</t>
  </si>
  <si>
    <t>3rd Stage  Separators Oil Pumps</t>
  </si>
  <si>
    <t>18061405_Pump_only_CSV.csv – section Pumps (row 2)</t>
  </si>
  <si>
    <t>Type: Centrifugal | Driver: موتور الکتریکی (E) | Power: 33.1 kW | Head: 59.9 m | گمرک و حمل: $16800 | Duplicate of the xlsx-sourced record for the same pump (see PUMPS.csv row); kept for reference, excluded from totals. | Original type text: Centrifugal</t>
  </si>
  <si>
    <t>Stabilized Oil Pump</t>
  </si>
  <si>
    <t>18061405_Pump_only_CSV.csv – section Pumps (row 3)</t>
  </si>
  <si>
    <t>Type: Centrifugal | Driver: موتور الکتریکی (E) | Power: 57.4 kW | Head: 34.8 m | گمرک و حمل: $15000 | Duplicate of the xlsx-sourced record for the same pump (see PUMPS.csv row); kept for reference, excluded from totals. | Original type text: Centrifugal</t>
  </si>
  <si>
    <t>Product Oil Pump</t>
  </si>
  <si>
    <t>18061405_Pump_only_CSV.csv – section Pumps (row 4)</t>
  </si>
  <si>
    <t>Type: Centrifugal | Driver: موتور الکتریکی (E) | Power: 379 kW | Head: 329 m | گمرک و حمل: $25200 | Duplicate of the xlsx-sourced record for the same pump (see PUMPS.csv row); kept for reference, excluded from totals. | Original type text: Centrifugal</t>
  </si>
  <si>
    <t>Off Spec Crude Pump</t>
  </si>
  <si>
    <t>18061405_Pump_only_CSV.csv – section Pumps (row 5)</t>
  </si>
  <si>
    <t>Type: Centrifugal | Driver: موتور الکتریکی (E) | Power: 48 kW | Head: 311.3 m | گمرک و حمل: $4500 | Duplicate of the xlsx-sourced record for the same pump (see PUMPS.csv row); kept for reference, excluded from totals. | Original type text: Centrifugal</t>
  </si>
  <si>
    <t>Second Stage Desalter Water Criculated Pump</t>
  </si>
  <si>
    <t>Process / Dilution Water</t>
  </si>
  <si>
    <t>18061405_Pump_only_CSV.csv – section Pumps (row 6)</t>
  </si>
  <si>
    <t>Type: Centrifugal | Driver: موتور الکتریکی (E) | Power: 2.2 kW | Head: 32 m | گمرک و حمل: $3600 | Duplicate of the xlsx-sourced record for the same pump (see PUMPS.csv row); kept for reference, excluded from totals. | Original type text: Centrifugal</t>
  </si>
  <si>
    <t>Degassing Water Pump</t>
  </si>
  <si>
    <t>18061405_Pump_only_CSV.csv – section Pumps (row 7)</t>
  </si>
  <si>
    <t>Type: Centrifugal | Driver: موتور الکتریکی (E) | Power: 13.1 kW | Head: 36.2 m | گمرک و حمل: $3600 | Duplicate of the xlsx-sourced record for the same pump (see PUMPS.csv row); kept for reference, excluded from totals. | Original type text: Centrifugal</t>
  </si>
  <si>
    <t>Disposal Water Pump</t>
  </si>
  <si>
    <t>Produced / Disposal Water</t>
  </si>
  <si>
    <t>18061405_Pump_only_CSV.csv – section Pumps (row 8)</t>
  </si>
  <si>
    <t>Type: Centrifugal | Driver: موتور الکتریکی (E) | Power: 423 kW | Head: 1383 m | گمرک و حمل: $24600 | Duplicate of the xlsx-sourced record for the same pump (see PUMPS.csv row); kept for reference, excluded from totals. | Original type text: Centrifugal</t>
  </si>
  <si>
    <t>Fresh Water Pump</t>
  </si>
  <si>
    <t>Fresh / Potable Water</t>
  </si>
  <si>
    <t>18061405_Pump_only_CSV.csv – section Pumps (row 9)</t>
  </si>
  <si>
    <t>Type: Centrifugal | Driver: موتور الکتریکی (E) | Power: 3.9 kW | Head: 41 m | گمرک و حمل: $480 | Duplicate of the xlsx-sourced record for the same pump (see PUMPS.csv row); kept for reference, excluded from totals. | Original type text: Centrifugal</t>
  </si>
  <si>
    <t>Closed Drain Pump</t>
  </si>
  <si>
    <t>Oily Water / Drain</t>
  </si>
  <si>
    <t>18061405_Pump_only_CSV.csv – section Pumps (row 10)</t>
  </si>
  <si>
    <t>Type: Centrifugal | Driver: موتور الکتریکی (E) | Power: 13.7 kW | Head: 120 m | گمرک و حمل: $2400 | Duplicate of the xlsx-sourced record for the same pump (see PUMPS.csv row); kept for reference, excluded from totals. | Original type text: Centrifugal</t>
  </si>
  <si>
    <t>Diesel Unlodaing pump</t>
  </si>
  <si>
    <t>Diesel / Fuel Oil</t>
  </si>
  <si>
    <t>PD-Rotary (Sliding Vane)</t>
  </si>
  <si>
    <t>18061405_Pump_only_CSV.csv – section Pumps (row 11)</t>
  </si>
  <si>
    <t>Type: Sliding valve | Driver: موتور الکتریکی (E) | Power: 4 kW | Head: 27.2 m | گمرک و حمل: $300 | Duplicate of the xlsx-sourced record for the same pump (see PUMPS.csv row); kept for reference, excluded from totals. | Original type text: Sliding valve</t>
  </si>
  <si>
    <t>Diesel Transfer pump</t>
  </si>
  <si>
    <t>PD-Rotary (Screw)</t>
  </si>
  <si>
    <t>18061405_Pump_only_CSV.csv – section Pumps (row 12)</t>
  </si>
  <si>
    <t>Type: Screw | Driver: موتور الکتریکی (E) | Power: 0.8 kW | Head: 40.8 m | گمرک و حمل: $180 | Duplicate of the xlsx-sourced record for the same pump (see PUMPS.csv row); kept for reference, excluded from totals. | Original type text: Screw</t>
  </si>
  <si>
    <t>Sludge Discharge Water Jet Pump</t>
  </si>
  <si>
    <t>18061405_Pump_only_CSV.csv – section Pumps (row 13)</t>
  </si>
  <si>
    <t>Type: Centrifugal | Driver: موتور الکتریکی (E) | Power: 5 kW | Head: 15 m | گمرک و حمل: $180 | Duplicate of the xlsx-sourced record for the same pump (see PUMPS.csv row); kept for reference, excluded from totals. | Original type text: Centrifugal</t>
  </si>
  <si>
    <t>Flare KO Drum Pumps</t>
  </si>
  <si>
    <t>18061405_Pump_only_CSV.csv – section Pumps (row 14)</t>
  </si>
  <si>
    <t>Type: Centrifugal | Driver: موتور الکتریکی (E) | Power: 2 kW | Head: 18 m | گمرک و حمل: $2400 | Duplicate of the xlsx-sourced record for the same pump (see PUMPS.csv row); kept for reference, excluded from totals. | Original type text: Centrifugal</t>
  </si>
  <si>
    <t>MAIN TRANSFER PUMPS</t>
  </si>
  <si>
    <t>Gachsaran 4</t>
  </si>
  <si>
    <t>P-001-A/B</t>
  </si>
  <si>
    <t>EUR</t>
  </si>
  <si>
    <t>Consultant basic-design estimate – PEP Rev.1402/05, sheet P.ME «هزینه واحد بدون ضریب»; EUR figure (converted in the PEP at 420,000×1.085 IRR/EUR) | source label: AACE Class 2</t>
  </si>
  <si>
    <t>(Gachsaran 4 Basic Design MTO)</t>
  </si>
  <si>
    <t>Basic Design</t>
  </si>
  <si>
    <t>File PEP-Rev 140205 Gachsaran 4.xlsx, sheet 'P.ME', cells A11:H11 (service in D, spec in E, unit price in H)</t>
  </si>
  <si>
    <t>Type: Centrifugal (API 610) | Driver: موتور الکتریکی (E) | Power: 216.3 kW | مشخصات کاتالوگی: 500m3/hr, 15.2 bar, 216.3 kw | Original type text: Centrifugal (assumed) | GCH4 review 1405-07: Source IRR = EUR 385,000 × 1.085 × 420,000 (P.ME H11); previous bank stored the IRR figure as 1399 IRR, which overstated EUR ≈2.6×</t>
  </si>
  <si>
    <t>Y</t>
  </si>
  <si>
    <t>AUXILLIARY TRANSFER PUMPS</t>
  </si>
  <si>
    <t>P-002-A/B</t>
  </si>
  <si>
    <t>File PEP-Rev 140205 Gachsaran 4.xlsx, sheet 'P.ME', cells A12:H12 (service in D, spec in E, unit price in H)</t>
  </si>
  <si>
    <t>Type: Centrifugal (API 610) | Driver: موتور الکتریکی (E) | Power: 108.1 kW | مشخصات کاتالوگی: 250m3/hr, 15.2 bar, 108.1 kw | Original type text: Centrifugal (assumed) | GCH4 review 1405-07: Source IRR = EUR 135,000 × 1.085 × 420,000 (P.ME H12); previous bank stored the IRR figure as 1399 IRR, which overstated EUR ≈2.6×</t>
  </si>
  <si>
    <t>OFF-SPEC PUMPS</t>
  </si>
  <si>
    <t>P-003-A/B</t>
  </si>
  <si>
    <t>File PEP-Rev 140205 Gachsaran 4.xlsx, sheet 'P.ME', cells A13:H13 (service in D, spec in E, unit price in H)</t>
  </si>
  <si>
    <t>Type: Centrifugal (API 610) | Driver: موتور الکتریکی (E) | Power: 44.2 kW | NACE MR0175: YES | مشخصات کاتالوگی: 100 m3/hr , 15.5 bar,44.2 kw | Original type text: Centrifugal (assumed) | GCH4 review 1405-07: Source IRR = EUR 140,000 × 1.085 × 420,000 (P.ME H13); previous bank stored the IRR figure as 1399 IRR, which overstated EUR ≈2.6×</t>
  </si>
  <si>
    <t>DEGASSING WATER  PUMPS</t>
  </si>
  <si>
    <t>P-005-A/B</t>
  </si>
  <si>
    <t>File PEP-Rev 140205 Gachsaran 4.xlsx, sheet 'P.ME', cells A14:H14 (service in D, spec in E, unit price in H)</t>
  </si>
  <si>
    <t>Type: Centrifugal (API 610) | Driver: موتور الکتریکی (E) | Power: 2.7 kW | مشخصات کاتالوگی: 30m3/hr, 3bar, 2.7 kw | Original type text: Centrifugal (assumed) | GCH4 review 1405-07: Source IRR = EUR 34,000 × 1.085 × 420,000 (P.ME H14); previous bank stored the IRR figure as 1399 IRR, which overstated EUR ≈2.6×</t>
  </si>
  <si>
    <t>DILUTION WATER PUMPS</t>
  </si>
  <si>
    <t>P-103</t>
  </si>
  <si>
    <t>File PEP-Rev 140205 Gachsaran 4.xlsx, sheet 'P.ME', cells A17:H17 (service in D, spec in E, unit price in H)</t>
  </si>
  <si>
    <t>Type: Centrifugal (API 610) | Driver: موتور الکتریکی (E) | Power: 12 kW | مشخصات کاتالوگی: 40m3/hr , 10.4 bar, 12 kw | Original type text: Centrifugal (assumed) | GCH4 review 1405-07: Source IRR = EUR 29,000 × 1.085 × 420,000 (P.ME H17); previous bank stored the IRR figure as 1399 IRR, which overstated EUR ≈2.6×</t>
  </si>
  <si>
    <t>P-106-A1/A2</t>
  </si>
  <si>
    <t>File PEP-Rev 140205 Gachsaran 4.xlsx, sheet 'P.ME', cells A18:H18 (service in D, spec in E, unit price in H)</t>
  </si>
  <si>
    <t>Type: Centrifugal (API 610) | Driver: موتور الکتریکی (E) | Power: 6 kW | مشخصات کاتالوگی: 20 m3/hr, 10.4 bar, 6 kw | Original type text: Centrifugal (assumed) | GCH4 review 1405-07: Source IRR = EUR 27,500 × 1.085 × 420,000 (P.ME H18); previous bank stored the IRR figure as 1399 IRR, which overstated EUR ≈2.6×</t>
  </si>
  <si>
    <t>DEAERATED WATER PUMPS</t>
  </si>
  <si>
    <t>P-102-A/B</t>
  </si>
  <si>
    <t>Deaerated Water</t>
  </si>
  <si>
    <t>File PEP-Rev 140205 Gachsaran 4.xlsx, sheet 'P.ME', cells A20:H20 (service in D, spec in E, unit price in H)</t>
  </si>
  <si>
    <t>Type: Centrifugal (API 610) | Driver: موتور الکتریکی (E) | Power: 1.35 kW | مشخصات کاتالوگی: 20m3/hr, 2.4 bar, 1.35 kw | Original type text: Centrifugal (assumed) | GCH4 review 1405-07: Source IRR = EUR 15,000 × 1.085 × 420,000 (P.ME H20); previous bank stored the IRR figure as 1399 IRR, which overstated EUR ≈2.6×</t>
  </si>
  <si>
    <t>P-105</t>
  </si>
  <si>
    <t>File PEP-Rev 140205 Gachsaran 4.xlsx, sheet 'P.ME', cells A21:H21 (service in D, spec in E, unit price in H)</t>
  </si>
  <si>
    <t>Type: Centrifugal (API 610) | Driver: موتور الکتریکی (E) | Power: 2.7 kW | مشخصات کاتالوگی: 40m3/hr, 2.4 bar, 2.7 kw | Original type text: Centrifugal (assumed) | GCH4 review 1405-07: Source IRR = EUR 17,000 × 1.085 × 420,000 (P.ME H21); previous bank stored the IRR figure as 1399 IRR, which overstated EUR ≈2.6×</t>
  </si>
  <si>
    <t>POTABLE WATER FILLING PUMP</t>
  </si>
  <si>
    <t>P-104</t>
  </si>
  <si>
    <t>File PEP-Rev 140205 Gachsaran 4.xlsx, sheet 'P.ME', cells A23:H23 (service in D, spec in E, unit price in H)</t>
  </si>
  <si>
    <t>Type: Centrifugal (API 610) | Driver: موتور الکتریکی (E) | Power: 1.4 kW | مشخصات کاتالوگی: 20m3/hr, 2.5 bar, 1.4 kw | Original type text: Centrifugal (assumed) | GCH4 review 1405-07: Source IRR = EUR 11,000 × 1.085 × 420,000 (P.ME H23); previous bank stored the IRR figure as 1399 IRR, which overstated EUR ≈2.6×</t>
  </si>
  <si>
    <t>WATER INJECTION MAIN PUMPS</t>
  </si>
  <si>
    <t>P-201-A/B/C</t>
  </si>
  <si>
    <t>File PEP-Rev 140205 Gachsaran 4.xlsx, sheet 'P.ME', cells A24:H24 (service in D, spec in E, unit price in H)</t>
  </si>
  <si>
    <t>Type: Centrifugal (API 610) | Driver: موتور الکتریکی (E) | Power: 73.6 kW | NACE MR0175: YES | مشخصات کاتالوگی: 73m3/hr (each),36.3 bar, 73.6 kw | Original type text: Centrifugal (assumed) | GCH4 review 1405-07: Source IRR = EUR 430,000 × 1.085 × 420,000 (P.ME H24); previous bank stored the IRR figure as 1399 IRR, which overstated EUR ≈2.6×</t>
  </si>
  <si>
    <t>WATER INJECTION BOOSTER PUMPS</t>
  </si>
  <si>
    <t>P-206-A/B/C</t>
  </si>
  <si>
    <t>File PEP-Rev 140205 Gachsaran 4.xlsx, sheet 'P.ME', cells A25:H25 (service in D, spec in E, unit price in H)</t>
  </si>
  <si>
    <t>Type: Centrifugal (API 610) | Driver: موتور الکتریکی (E) | Power: 36.5 kW | NACE MR0175: YES | مشخصات کاتالوگی: 36.5m3/hr (each),36.3 bar, 36.5 kw | Original type text: Centrifugal (assumed) | GCH4 review 1405-07: Source IRR = EUR 285,000 × 1.085 × 420,000 (P.ME H25); previous bank stored the IRR figure as 1399 IRR, which overstated EUR ≈2.6×</t>
  </si>
  <si>
    <t>CHEMICAL INJECTION PORTABLE PUMPS</t>
  </si>
  <si>
    <t>P-501-A/B/C</t>
  </si>
  <si>
    <t>Chemical</t>
  </si>
  <si>
    <t>File PEP-Rev 140205 Gachsaran 4.xlsx, sheet 'P.ME', cells A36:H36 (service in D, spec in E, unit price in H)</t>
  </si>
  <si>
    <t>Type: Centrifugal (API 610) | Driver: موتور الکتریکی (E) | Power: 0.45 kW | NACE MR0175: YES | مشخصات کاتالوگی: .8m/h, 2bar, 0.45 kw | Original type text: Centrifugal (assumed) | GCH4 review 1405-07: Source IRR = EUR 9,000 × 1.085 × 420,000 (P.ME H36); previous bank stored the IRR figure as 1399 IRR, which overstated EUR ≈2.6×</t>
  </si>
  <si>
    <t>FLARE K.O DRUM LIQUID PUMPS</t>
  </si>
  <si>
    <t>P-601-A/B</t>
  </si>
  <si>
    <t>File PEP-Rev 140205 Gachsaran 4.xlsx, sheet 'P.ME', cells A46:H46 (service in D, spec in E, unit price in H)</t>
  </si>
  <si>
    <t>Type: Centrifugal (API 610) | Driver: موتور الکتریکی (E) | Power: 0.33 kW | مشخصات کاتالوگی: 15m3/hr, 0.8 bar, 0.33 kw | Original type text: Centrifugal (assumed) | GCH4 review 1405-07: Source IRR = EUR 28,000 × 1.085 × 420,000 (P.ME H46); previous bank stored the IRR figure as 1399 IRR, which overstated EUR ≈2.6×</t>
  </si>
  <si>
    <t>HC CLOSED DRAIN TRANSFER PUMPS</t>
  </si>
  <si>
    <t>P-701-A/B</t>
  </si>
  <si>
    <t>File PEP-Rev 140205 Gachsaran 4.xlsx, sheet 'P.ME', cells A50:H50 (service in D, spec in E, unit price in H)</t>
  </si>
  <si>
    <t>Type: Centrifugal (API 610) | Driver: موتور الکتریکی (E) | Power: 3.3 kW | مشخصات کاتالوگی: 27.5m3/hr, 4.3 bar, 3.3 kw | Original type text: Centrifugal (assumed) | GCH4 review 1405-07: Source IRR = EUR 53,000 × 1.085 × 420,000 (P.ME H50); previous bank stored the IRR figure as 1399 IRR, which overstated EUR ≈2.6×</t>
  </si>
  <si>
    <t>HC CLOSED DRAIN DRUM SUMP PUMP</t>
  </si>
  <si>
    <t>P-702A/B</t>
  </si>
  <si>
    <t>File PEP-Rev 140205 Gachsaran 4.xlsx, sheet 'P.ME', cells A51:H51 (service in D, spec in E, unit price in H)</t>
  </si>
  <si>
    <t>Type: Centrifugal (API 610) | Driver: موتور الکتریکی (E) | Power: 0.11 kW | مشخصات کاتالوگی: 5.5m3/hr, 7 bar. 0.11 kw | Original type text: Centrifugal (assumed) | GCH4 review 1405-07: Source IRR = EUR 53,000 × 1.085 × 420,000 (P.ME H51); previous bank stored the IRR figure as 1399 IRR, which overstated EUR ≈2.6×</t>
  </si>
  <si>
    <t>CLEAN WATER PUMPS</t>
  </si>
  <si>
    <t>P-703-A/B</t>
  </si>
  <si>
    <t>File PEP-Rev 140205 Gachsaran 4.xlsx, sheet 'P.ME', cells A53:H53 (service in D, spec in E, unit price in H)</t>
  </si>
  <si>
    <t>Type: Centrifugal (API 610) | Driver: موتور الکتریکی (E) | Power: 0.54 kW | مشخصات کاتالوگی: 11m3/hr, 1.8 bar, 0.54 kw | Original type text: Centrifugal (assumed) | GCH4 review 1405-07: Source IRR = EUR 29,000 × 1.085 × 420,000 (P.ME H53); previous bank stored the IRR figure as 1399 IRR, which overstated EUR ≈2.6×</t>
  </si>
  <si>
    <t>RECOVERED WASTE OIL PUMPS</t>
  </si>
  <si>
    <t>P-704-A/B</t>
  </si>
  <si>
    <t>Slop / Dirty Oil</t>
  </si>
  <si>
    <t>File PEP-Rev 140205 Gachsaran 4.xlsx, sheet 'P.ME', cells A54:H54 (service in D, spec in E, unit price in H)</t>
  </si>
  <si>
    <t>Type: Centrifugal (API 610) | Driver: موتور الکتریکی (E) | Power: 0.8 kW | NACE MR0175: YES | مشخصات کاتالوگی: 11 m3/hr, 2.7 bar, 0.8 kw | Original type text: Centrifugal (assumed) | GCH4 review 1405-07: Source IRR = EUR 35,000 × 1.085 × 420,000 (P.ME H54); previous bank stored the IRR figure as 1399 IRR, which overstated EUR ≈2.6×</t>
  </si>
  <si>
    <t>OILY WATER SEPARATOR PUMP</t>
  </si>
  <si>
    <t>P-750</t>
  </si>
  <si>
    <t>File PEP-Rev 140205 Gachsaran 4.xlsx, sheet 'P.ME', cells A55:H55 (service in D, spec in E, unit price in H)</t>
  </si>
  <si>
    <t>Type: Centrifugal (API 610) | Driver: موتور الکتریکی (E) | Power: 0.02 kW | مشخصات کاتالوگی: 1m3/hr, 0.84 bar, 0.02kw | Original type text: Centrifugal (assumed) | GCH4 review 1405-07: Source IRR = EUR 13,350 × 1.085 × 420,000 (P.ME H55); previous bank stored the IRR figure as 1399 IRR, which overstated EUR ≈2.6×</t>
  </si>
  <si>
    <t>DIRTY OIL PUMPS</t>
  </si>
  <si>
    <t>P-705-A/B</t>
  </si>
  <si>
    <t>File PEP-Rev 140205 Gachsaran 4.xlsx, sheet 'P.ME', cells A57:H57 (service in D, spec in E, unit price in H)</t>
  </si>
  <si>
    <t>Type: Centrifugal (API 610) | Driver: موتور الکتریکی (E) | Power: 0.3 kW | NACE MR0175: YES | مشخصات کاتالوگی: 5m3/hr, 2bar, 0.3 kw | Original type text: Centrifugal (assumed) | GCH4 review 1405-07: Source IRR = EUR 31,000 × 1.085 × 420,000 (P.ME H57); previous bank stored the IRR figure as 1399 IRR, which overstated EUR ≈2.6×</t>
  </si>
  <si>
    <t>RECOVERED WASTE WATER  PUMPS</t>
  </si>
  <si>
    <t>P-706-A/B</t>
  </si>
  <si>
    <t>File PEP-Rev 140205 Gachsaran 4.xlsx, sheet 'P.ME', cells A58:H58 (service in D, spec in E, unit price in H)</t>
  </si>
  <si>
    <t>Type: Centrifugal (API 610) | Driver: موتور الکتریکی (E) | Power: 1.35 kW | NACE MR0175: YES | مشخصات کاتالوگی: 33m3/hr, 1.5 bar, 1.35 kw | Original type text: Centrifugal (assumed) | GCH4 review 1405-07: Source IRR = EUR 28,000 × 1.085 × 420,000 (P.ME H58); previous bank stored the IRR figure as 1399 IRR, which overstated EUR ≈2.6×</t>
  </si>
  <si>
    <t>DIESEL OIL PUMP</t>
  </si>
  <si>
    <t>P-801</t>
  </si>
  <si>
    <t>File PEP-Rev 140205 Gachsaran 4.xlsx, sheet 'P.ME', cells A60:H60 (service in D, spec in E, unit price in H)</t>
  </si>
  <si>
    <t>Type: Centrifugal (API 610) | Driver: دیزلی (Diesel Engine) | Power: 0.16 kW | مشخصات کاتالوگی: 10m3/hr, 0.6 bar, 0.16 kw | Original type text: Centrifugal (assumed) | GCH4 review 1405-07: Source IRR = EUR 13,500 × 1.085 × 420,000 (P.ME H60); previous bank stored the IRR figure as 1399 IRR, which overstated EUR ≈2.6×</t>
  </si>
  <si>
    <t>FIRE WATER MAIN ELECTRICAL PUMP</t>
  </si>
  <si>
    <t>P-901A/B</t>
  </si>
  <si>
    <t>Fire Water</t>
  </si>
  <si>
    <t>IRR</t>
  </si>
  <si>
    <t>Consultant basic-design estimate – PEP Rev.1402/05, sheet P.ME «هزینه واحد بدون ضریب»; IRR lump figure | source label: AACE Class 2</t>
  </si>
  <si>
    <t>File PEP-Rev 140205 Gachsaran 4.xlsx, sheet 'P.ME', cells A61:H61 (service in D, spec in E, unit price in H)</t>
  </si>
  <si>
    <t>Type: Centrifugal (API 610) | Driver: موتور الکتریکی (E) | Power: 133 kW | مشخصات کاتالوگی: 480m3/hr, 10 barg,133kw | Original type text: Centrifugal (assumed)</t>
  </si>
  <si>
    <t>FIRE WATER MAIN DESEL PUMP</t>
  </si>
  <si>
    <t>P902</t>
  </si>
  <si>
    <t>Diesel Engine</t>
  </si>
  <si>
    <t>File PEP-Rev 140205 Gachsaran 4.xlsx, sheet 'P.ME', cells A62:H62 (service in D, spec in E, unit price in H)</t>
  </si>
  <si>
    <t>Type: Centrifugal (API 610) | Driver: دیزلی (Diesel Engine) | Power: 133 kW | مشخصات کاتالوگی: 480m3/hr, 10 barg,133kw | Original type text: Centrifugal (assumed)</t>
  </si>
  <si>
    <t>FIRE WATER JOCKEY PUMPS</t>
  </si>
  <si>
    <t>P-903-A/B</t>
  </si>
  <si>
    <t>File PEP-Rev 140205 Gachsaran 4.xlsx, sheet 'P.ME', cells A63:H63 (service in D, spec in E, unit price in H)</t>
  </si>
  <si>
    <t>Type: Centrifugal (API 610) | Driver: موتور الکتریکی (E) | Power: 2.5 kW | مشخصات کاتالوگی: 15m3/hr, 6 barg, 2.5 kw | Original type text: Centrifugal (assumed)</t>
  </si>
  <si>
    <t>UNIT SUPPLY WATER PUMP</t>
  </si>
  <si>
    <t>P108A/B</t>
  </si>
  <si>
    <t>File PEP-Rev 140205 Gachsaran 4.xlsx, sheet 'P.ME', cells A64:H64 (service in D, spec in E, unit price in H)</t>
  </si>
  <si>
    <t>Type: Centrifugal (API 610) | Driver: موتور الکتریکی (E) | Power: 2.5 kW | مشخصات کاتالوگی: 15m3/hr, 6 barg, 2.5 kw | Original type text: Centrifugal (assumed) | GCH4 review 1405-07: Source IRR = EUR 17,500 × 1.085 × 420,000 (P.ME H64); previous bank stored the IRR figure as 1399 IRR, which overstated EUR ≈2.6×</t>
  </si>
  <si>
    <t>FIRE WATER LOADING PUMP</t>
  </si>
  <si>
    <t>P-904</t>
  </si>
  <si>
    <t>File PEP-Rev 140205 Gachsaran 4.xlsx, sheet 'P.ME', cells A68:H68 (service in D, spec in E, unit price in H)</t>
  </si>
  <si>
    <t>Type: Centrifugal (API 610) | Driver: موتور الکتریکی (E) | Power: 2.5 kW | مشخصات کاتالوگی: 30m3/hr, 3 bar, 2.5 kw | Original type text: Centrifugal (assumed) | GCH4 review 1405-07: Source IRR = EUR 19,500 × 1.085 × 420,000 (P.ME H68); previous bank stored the IRR figure as 1399 IRR, which overstated EUR ≈2.6×</t>
  </si>
  <si>
    <t>Salty Crude Transfer Pumps</t>
  </si>
  <si>
    <t>Koopal Asmari</t>
  </si>
  <si>
    <t>P-111 A/B/C</t>
  </si>
  <si>
    <t>API 610</t>
  </si>
  <si>
    <t>IPS-G-PM-105</t>
  </si>
  <si>
    <t>Consultant FEED MTO estimate – KPL-476 R03 (Jan 2016); vendor-level price in EUR, before project overhead | source label: AACE Class 3</t>
  </si>
  <si>
    <t>(Koopal FEED Study / Hirgan Energy)</t>
  </si>
  <si>
    <t>FEED</t>
  </si>
  <si>
    <t>File 91215-KPL-ME-RE-476 R03, sheet 'PUMPS-A (1)', cells A19:F26 + unit price EUR AK19</t>
  </si>
  <si>
    <t>Type: Centrifugal (API 610) | Driver: موتور الکتریکی (E) | NACE MR0175: YES | وزن MTO: 6000 kg | Rated Flow: 354 m³/hr | Differential Head: 31.2 m | Discharge Pressure: 4 Barg | Material Class: D1 (Acc. to API 610) | Design Code: API 610 &amp; IPS-G-PM-105 | Unit Price: EUR 55,000 (Source: 91215-KPL-ME-RE-476 R03, sheet PUMPS-A(1), tag P-111 A/B/C) | Original type text: Centrifugal (OH2) | Original material text: D1 – Duplex stainless steel casing &amp; trim (API 610) | KPL-A review 1405-07: Design code: API 610 &amp; IPS-G-PM-105; installation weight 6,000 kg for tag group (INS-PUMP-A (1) AF21)</t>
  </si>
  <si>
    <t>Salty Crude Booster Pumps</t>
  </si>
  <si>
    <t>P-114 A/B/C</t>
  </si>
  <si>
    <t>File 91215-KPL-ME-RE-476 R03, sheet 'PUMPS-A (1)', cells A27:F34 + unit price EUR AK27</t>
  </si>
  <si>
    <t>Type: Centrifugal (API 610) | Driver: موتور الکتریکی (E) | NACE MR0175: YES | وزن MTO: 9600 kg | Rated Flow: 255 m³/hr | Differential Head: 170 m | Discharge Pressure: 17.2 Barg | Material Class: D1 (Acc. to API 610) | Design Code: API 610 &amp; IPS-G-PM-105 | Unit Price: EUR 60,000 (Source: 91215-KPL-ME-RE-476 R03, sheet PUMPS-A(1), tag P-114 A/B/C) | Original type text: Centrifugal (OH2) | Original material text: D1 – Duplex stainless steel casing &amp; trim (API 610) | KPL-A review 1405-07: Design code: API 610 &amp; IPS-G-PM-105; installation weight 9,600 kg for tag group (INS-PUMP-A (1) AF23)</t>
  </si>
  <si>
    <t>Dirty Oil Pumps</t>
  </si>
  <si>
    <t>P-135 A/B</t>
  </si>
  <si>
    <t>API 676</t>
  </si>
  <si>
    <t>IPS-M-PM-140</t>
  </si>
  <si>
    <t>PD-Rotary (Gear)</t>
  </si>
  <si>
    <t>File 91215-KPL-ME-RE-476 R03, sheet 'PUMPS-A (1)', cells A35:F41 + unit price EUR AK35</t>
  </si>
  <si>
    <t>Type: Centrifugal (API 610) | Driver: موتور الکتریکی (E) | NACE MR0175: YES | وزن MTO: 1000 kg | Rated Flow: 5 m³/hr | Discharge Pressure: 5.3 Barg | Material Class: D1 (Acc. to API 610) | Design Code: API 676 &amp; IPS-M-PM-140 | Unit Price: EUR 10,000 (Source: 91215-KPL-ME-RE-476 R03, sheet PUMPS-A(1), tag P-135 A/B) | Original type text: P.D.-Rotary (Ext. Gear) | Original material text: D1 – Duplex stainless steel casing &amp; trim (API 610) | KPL-A review 1405-07: Design code: API 676 &amp; IPS-M-PM-140; installation weight 1,000 kg for tag group (INS-PUMP-A (1) AF25)</t>
  </si>
  <si>
    <t>Free Water Transfer Pumps</t>
  </si>
  <si>
    <t>P-136 A/B</t>
  </si>
  <si>
    <t>File 91215-KPL-ME-RE-476 R03, sheet 'PUMPS-A (1)', cells A42:F49 + unit price EUR AK42</t>
  </si>
  <si>
    <t>Type: Centrifugal (API 610) | Driver: موتور الکتریکی (E) | وزن MTO: 1200 kg | Rated Flow: 21 m³/hr | Differential Head: 27.6 m | Discharge Pressure: 4 Barg | Material Class: D2 (Acc. to API 610) | Design Code: API 610 &amp; IPS-G-PM-105 | Unit Price: EUR 30,000 (Source: 91215-KPL-ME-RE-476 R03, sheet PUMPS-A(1), tag P-136 A/B) | Original type text: Centrifugal (OH2) | Original material text: D2 – Super-duplex stainless steel casing &amp; trim (API 610) | KPL-A review 1405-07: Design code: API 610 &amp; IPS-G-PM-105; installation weight 1,200 kg for tag group (INS-PUMP-A (1) AF27)</t>
  </si>
  <si>
    <t>Disposal Water Injection Main Pumps</t>
  </si>
  <si>
    <t>P-137 A/B</t>
  </si>
  <si>
    <t>File 91215-KPL-ME-RE-476 R03, sheet 'PUMPS-A (2)', cells A19:F26 + unit price EUR AK19</t>
  </si>
  <si>
    <t>Type: Centrifugal (API 610) | Driver: موتور الکتریکی (E) | NACE MR0175: YES | وزن MTO: 5000 kg | Rated Flow: 73 m³/hr | Differential Head: 607.4 m | Discharge Pressure: 74.4 Barg | Material Class: D2 (Acc. to API 610) | Design Code: API 610 &amp; IPS-G-PM-105 | Unit Price: EUR 210,000 (Source: 91215-KPL-ME-RE-476 R03, sheet PUMPS-A(2), tag P-137 A/B) | Original type text: Centrifugal (BB3) | Original material text: D2 – Super-duplex stainless steel casing &amp; trim (API 610) | KPL-A review 1405-07: Design code: API 610 &amp; IPS-G-PM-105; installation weight 5,000 kg for tag group (INS-PUMP-A (1) AF29)</t>
  </si>
  <si>
    <t>Disposal Water Injection Booster Pumps</t>
  </si>
  <si>
    <t>P-139 A/B</t>
  </si>
  <si>
    <t>File 91215-KPL-ME-RE-476 R03, sheet 'PUMPS-A (2)', cells A27:F34 + unit price EUR AK27</t>
  </si>
  <si>
    <t>Type: Centrifugal (API 610) | Driver: موتور الکتریکی (E) | NACE MR0175: YES | وزن MTO: 4000 kg | Rated Flow: 36 m³/hr | Differential Head: 331 m | Discharge Pressure: 37.4 Barg | Material Class: D2 (Acc. to API 610) | Design Code: API 610 &amp; IPS-G-PM-105 | Unit Price: EUR 150,000 (Source: 91215-KPL-ME-RE-476 R03, sheet PUMPS-A(2), tag P-139 A/B) | Original type text: Centrifugal (BB3) | Original material text: D2 – Super-duplex stainless steel casing &amp; trim (API 610) | KPL-A review 1405-07: Design code: API 610 &amp; IPS-G-PM-105; installation weight 4,000 kg for tag group (INS-PUMP-A (1) AF31)</t>
  </si>
  <si>
    <t>Dilution Water Pumps</t>
  </si>
  <si>
    <t>P-151 A/B</t>
  </si>
  <si>
    <t>File 91215-KPL-ME-RE-476 R03, sheet 'PUMPS-A (2)', cells A35:F42 + unit price EUR AK35</t>
  </si>
  <si>
    <t>Type: Centrifugal (API 610) | Driver: موتور الکتریکی (E) | وزن MTO: 2400 kg | Rated Flow: 23 m³/hr | Differential Head: 158 m | Discharge Pressure: 16.7 Barg | Material Class: S5 (Acc. to API 610) | Design Code: API 610 &amp; IPS-G-PM-105 | Unit Price: EUR 16,500 (Source: 91215-KPL-ME-RE-476 R03, sheet PUMPS-A(2), tag P-151 A/B) | Original type text: Centrifugal (OH2) | Original material text: S5 – Carbon steel casing &amp; trim (API 610) | KPL-A review 1405-07: Design code: API 610 &amp; IPS-G-PM-105; installation weight 2,400 kg for tag group (INS-PUMP-A (1) AF33)</t>
  </si>
  <si>
    <t>Dilution Water Pump</t>
  </si>
  <si>
    <t>P-152</t>
  </si>
  <si>
    <t>File 91215-KPL-ME-RE-476 R03, sheet 'PUMPS-A (2)', cells A43:F50 + unit price EUR AK43</t>
  </si>
  <si>
    <t>Type: Centrifugal (API 610) | Driver: موتور الکتریکی (E) | وزن MTO: 500 kg | Rated Flow: 43 m³/hr | Differential Head: 158 m | Discharge Pressure: 16.7 Barg | Material Class: S5 (Acc. to API 610) | Design Code: API 610 &amp; IPS-G-PM-105 | Unit Price: EUR 17,500 (Source: 91215-KPL-ME-RE-476 R03, sheet PUMPS-A(2), tag P-152) | Original type text: Centrifugal (OH2) | Original material text: S5 – Carbon steel casing &amp; trim (API 610) | KPL-A review 1405-07: Design code: API 610 &amp; IPS-G-PM-105; installation weight 500 kg for tag group (INS-PUMP-A (1) AF35)</t>
  </si>
  <si>
    <t>Flare K.O. Drum Pumps</t>
  </si>
  <si>
    <t>P-171 A/B</t>
  </si>
  <si>
    <t>File 91215-KPL-ME-RE-476 R03, sheet 'PUMPS-A (3)', cells A19:F26 + unit price EUR AK19</t>
  </si>
  <si>
    <t>Type: Centrifugal (OH2) | Driver: موتور الکتریکی (E) | Head: 50 m | پروژه کوپال | Contract 53-73-1264 | Original type text: Centrifugal (OH2) | Original material text: S6 – Carbon steel casing, 12% Cr trim (API 610) | KPL-A review 1405-07: Design code: API 610 &amp; IPS-G-PM-105; installation weight 1,200 kg for tag group (INS-PUMP-A (1) AF37)</t>
  </si>
  <si>
    <t>O.W.S. Oil Pumps</t>
  </si>
  <si>
    <t>P-231 A/B</t>
  </si>
  <si>
    <t>PD-Rotary (Progressing Cavity)</t>
  </si>
  <si>
    <t>File 91215-KPL-ME-RE-476 R03, sheet 'PUMPS-A (3)', cells A27:F33 + unit price EUR AK27</t>
  </si>
  <si>
    <t>Type: P.D.-Rotary (Progressing Cavity) | Driver: موتور الکتریکی (E) | پروژه کوپال | Contract 53-73-1264 | Original type text: P.D.-Rotary (Progressing Cavity) | Original material text: D1 – Duplex stainless steel casing &amp; trim (API 610) | KPL-A review 1405-07: Design code: API 676 &amp; IPS-M-PM-140; installation weight 2,000 kg for tag group (INS-PUMP-A (1) AF39)</t>
  </si>
  <si>
    <t>O.W.S. Water Pumps</t>
  </si>
  <si>
    <t>P-232 A/B</t>
  </si>
  <si>
    <t>File 91215-KPL-ME-RE-476 R03, sheet 'PUMPS-A (3)', cells A34:F41 + unit price EUR AK34</t>
  </si>
  <si>
    <t>Type: Centrifugal (OH2) | Driver: موتور الکتریکی (E) | Head: 27.6 m | پروژه کوپال | Contract 53-73-1264 | Original type text: Centrifugal (OH2) | Original material text: D2 – Super-duplex stainless steel casing &amp; trim (API 610) | KPL-A review 1405-07: Design code: API 610 &amp; IPS-G-PM-105; installation weight 1,200 kg for tag group (INS-PUMP-A (1) AF41)</t>
  </si>
  <si>
    <t>Closed Drain Drum Pumps</t>
  </si>
  <si>
    <t>P-234 A/B</t>
  </si>
  <si>
    <t>File 91215-KPL-ME-RE-476 R03, sheet 'PUMPS-A (3)', cells A42:F49 + unit price EUR AK42</t>
  </si>
  <si>
    <t>Type: Centrifugal (OH2) | Driver: موتور الکتریکی (E) | Head: 46.81 m | پروژه کوپال | Contract 53-73-1264 | Original type text: Centrifugal (OH2) | Original material text: D2 – Super-duplex stainless steel casing &amp; trim (API 610) | KPL-A review 1405-07: Design code: API 610 &amp; IPS-G-PM-105; installation weight 1,400 kg for tag group (INS-PUMP-A (1) AF43)</t>
  </si>
  <si>
    <t>Desalters Recycle Pumps</t>
  </si>
  <si>
    <t>P-113 A/B</t>
  </si>
  <si>
    <t>Consultant FEED MTO estimate – KPL-476 R03 (Jan 2016); pump priced inside its package, no separate price | source label: AACE Class 3</t>
  </si>
  <si>
    <t>File 91215-KPL-ME-RE-476 R03, sheet 'DESALTERS-A', cells F31:F36</t>
  </si>
  <si>
    <t>Type: Centrifugal (API 610) | Driver: موتور الکتریکی (E) | وزن MTO: 1600 kg | Original type text: Centrifugal (OH2) | Original material text: D2 – Super-duplex stainless steel casing &amp; trim (API 610) | KPL-A review 1405-07: Priced inside Desalting Package PK-111 (DESALTERS-A AK19 = 3,500,000 EUR), no separate price; API 610 &amp; IPS-G-PM-105; installation weight 1,600 kg (INS-PUMP-A (1) AF45)</t>
  </si>
  <si>
    <t>IGF Water Recycle Pumps</t>
  </si>
  <si>
    <t>P-130 A/B</t>
  </si>
  <si>
    <t>File 91215-KPL-ME-RE-476 R03, sheet 'INS-PUMP-A (1)', cells AL47:AQ47</t>
  </si>
  <si>
    <t>Type: Centrifugal (API 610) | Driver: موتور الکتریکی (E) | وزن MTO: 1000 kg | Original type text: Centrifugal (assumed) | KPL-A review 1405-07: Priced inside IGF Package PK-131 (IWWTP-A (1) AK19 = 1,000,000 EUR), no separate price; installation weight 1,000 kg (INS-PUMP-A (1) AF47)</t>
  </si>
  <si>
    <t>IGF De-oiled Waste Booster Pumps</t>
  </si>
  <si>
    <t>P-131 A/B</t>
  </si>
  <si>
    <t>File 91215-KPL-ME-RE-476 R03, sheet 'INS-PUMP-A (1)', cells AL49:AQ49</t>
  </si>
  <si>
    <t>Type: Centrifugal (API 610) | Driver: موتور الکتریکی (E) | وزن MTO: 1000 kg | Original type text: Centrifugal (assumed) | KPL-A review 1405-07: Priced inside IGF Package PK-131 (IWWTP-A (1) AK19 = 1,000,000 EUR), no separate price; installation weight 1,000 kg (INS-PUMP-A (1) AF49)</t>
  </si>
  <si>
    <t>P-132 A/B</t>
  </si>
  <si>
    <t>File 91215-KPL-ME-RE-476 R03, sheet 'INS-PUMP-A (2)', cells AL19:AQ19</t>
  </si>
  <si>
    <t>Type: Centrifugal (API 610) | Driver: موتور الکتریکی (E) | وزن MTO: 1000 kg | Original type text: Centrifugal (assumed) | KPL-A review 1405-07: Priced inside IGF Package PK-131 (IWWTP-A (1) AK19 = 1,000,000 EUR), no separate price; installation weight 1,000 kg (INS-PUMP-A (2) AF19)</t>
  </si>
  <si>
    <t>IGF Recovered Waste Oil Pumps</t>
  </si>
  <si>
    <t>P-133 A/B</t>
  </si>
  <si>
    <t>File 91215-KPL-ME-RE-476 R03, sheet 'INS-PUMP-A (2)', cells AL21:AQ21</t>
  </si>
  <si>
    <t>Type: Centrifugal (API 610) | Driver: موتور الکتریکی (E) | وزن MTO: 1000 kg | Original type text: Centrifugal (assumed) | KPL-A review 1405-07: Priced inside IGF Package PK-131 (IWWTP-A (1) AK19 = 1,000,000 EUR), no separate price; installation weight 1,000 kg (INS-PUMP-A (2) AF21)</t>
  </si>
  <si>
    <t>IGF Oily Sludge Pumps</t>
  </si>
  <si>
    <t>P-134 A/B</t>
  </si>
  <si>
    <t>Sludge</t>
  </si>
  <si>
    <t>File 91215-KPL-ME-RE-476 R03, sheet 'INS-PUMP-A (2)', cells AL23:AQ23</t>
  </si>
  <si>
    <t>Type: Centrifugal (API 610) | Driver: موتور الکتریکی (E) | وزن MTO: 1400 kg | Original type text: Centrifugal (assumed) | KPL-A review 1405-07: Priced inside IGF Package PK-131 (IWWTP-A (1) AK19 = 1,000,000 EUR), no separate price; installation weight 1,400 kg (INS-PUMP-A (2) AF23); type corrected from "Centrifugal (assumed)" to P.D.-Rotary (Twin Screw)</t>
  </si>
  <si>
    <t>Koopal Bangestan</t>
  </si>
  <si>
    <t>P-121 A/B/C</t>
  </si>
  <si>
    <t>File 91215-KPL-ME-RE-476 R03, sheet 'PUMPS-B', cells A19:F27 + unit price EUR AK19</t>
  </si>
  <si>
    <t>Type: Centrifugal (OH2) | Driver: موتور الکتریکی (E) | Head: 33.4 m | NACE MR0175: YES | پروژه کوپال | Contract 53-73-1264 | Original type text: Centrifugal (OH2) | Original material text: D1 – Duplex stainless steel casing &amp; trim (API 610) | KPL-B review 1405-07: Design code: API 610 &amp; IPS-G-PM-105; installation weight 6,000 kg for tag group (INS-PUMP-B (1) AF21)</t>
  </si>
  <si>
    <t>Off-Spec. Crude Pumps</t>
  </si>
  <si>
    <t>P-122 A/B</t>
  </si>
  <si>
    <t>File 91215-KPL-ME-RE-476 R03, sheet 'PUMPS-B', cells A28:F36 + unit price EUR AK28</t>
  </si>
  <si>
    <t>Type: Centrifugal (OH2) | Driver: موتور الکتریکی (E) | Head: 39 m | NACE MR0175: YES | پروژه کوپال | Contract 53-73-1264 | Original type text: Centrifugal (OH2) | Original material text: D1 – Duplex stainless steel casing &amp; trim (API 610) | KPL-B review 1405-07: Design code: API 610 &amp; IPS-G-PM-105; installation weight 1,400 kg for tag group (INS-PUMP-B (1) AF23)</t>
  </si>
  <si>
    <t>P-124 A/B/C</t>
  </si>
  <si>
    <t>File 91215-KPL-ME-RE-476 R03, sheet 'PUMPS-B', cells A37:F45 + unit price EUR AK37</t>
  </si>
  <si>
    <t>Type: Centrifugal (OH2) | Driver: موتور الکتریکی (E) | Head: 186.3 m | NACE MR0175: YES | پروژه کوپال | Contract 53-73-1264 | Original type text: Centrifugal (OH2) | Original material text: D1 – Duplex stainless steel casing &amp; trim (API 610) | KPL-B review 1405-07: Design code: API 610 &amp; IPS-G-PM-105; installation weight 7,500 kg for tag group (INS-PUMP-B (1) AF25)</t>
  </si>
  <si>
    <t>P-145 A/B</t>
  </si>
  <si>
    <t>File 91215-KPL-ME-RE-476 R03, sheet 'PUMPS-B (2)', cells A19:F26 + unit price EUR AK19</t>
  </si>
  <si>
    <t>Type: P.D.-Rotary (Ext. Gear) | Driver: موتور الکتریکی (E) | NACE MR0175: YES | پروژه کوپال | Contract 53-73-1264 | Original type text: P.D.-Rotary (Ext. Gear) | Original material text: D1 – Duplex stainless steel casing &amp; trim (API 610) | KPL-B review 1405-07: Design code: API 676 &amp; IPS-M-PM-140; installation weight 1,000 kg for tag group (INS-PUMP-B (1) AF27)</t>
  </si>
  <si>
    <t>P-146 A/B</t>
  </si>
  <si>
    <t>File 91215-KPL-ME-RE-476 R03, sheet 'PUMPS-B (2)', cells A27:F35 + unit price EUR AK27</t>
  </si>
  <si>
    <t>Type: Centrifugal (OH2) | Driver: موتور الکتریکی (E) | Head: 27.6 m | NACE MR0175: YES | پروژه کوپال | Contract 53-73-1264 | Original type text: Centrifugal (OH2) | Original material text: D2 – Super-duplex stainless steel casing &amp; trim (API 610) | KPL-B review 1405-07: Design code: API 610 &amp; IPS-G-PM-105; installation weight 1,200 kg for tag group (INS-PUMP-B (1) AF29)</t>
  </si>
  <si>
    <t>P-147 A/B</t>
  </si>
  <si>
    <t>File 91215-KPL-ME-RE-476 R03, sheet 'PUMPS-B (2)', cells A36:F44 + unit price EUR AK36</t>
  </si>
  <si>
    <t>Type: Centrifugal (BB3) | Driver: موتور الکتریکی (E) | Head: 670 m | NACE MR0175: YES | پروژه کوپال | Contract 53-73-1264 | Original type text: Centrifugal (BB3) | Original material text: D2 – Super-duplex stainless steel casing &amp; trim (API 610) | KPL-B review 1405-07: Design code: API 610 &amp; IPS-G-PM-105; installation weight 4,600 kg for tag group (INS-PUMP-B (1) AF31)</t>
  </si>
  <si>
    <t>P-149 A/B</t>
  </si>
  <si>
    <t>File 91215-KPL-ME-RE-476 R03, sheet 'PUMPS-B (3)', cells A19:F27 + unit price EUR AK19</t>
  </si>
  <si>
    <t>Type: Centrifugal (BB3) | Driver: موتور الکتریکی (E) | Head: 331 m | NACE MR0175: YES | پروژه کوپال | Contract 53-73-1264 | Original type text: Centrifugal (BB3) | Original material text: D2 – Super-duplex stainless steel casing &amp; trim (API 610) | KPL-B review 1405-07: Design code: API 610 &amp; IPS-G-PM-105; installation weight 3,600 kg for tag group (INS-PUMP-B (1) AF33)</t>
  </si>
  <si>
    <t>P-161 A/B</t>
  </si>
  <si>
    <t>File 91215-KPL-ME-RE-476 R03, sheet 'PUMPS-B (3)', cells A28:F35 + unit price EUR AK28</t>
  </si>
  <si>
    <t>Type: Centrifugal (OH2) | Driver: موتور الکتریکی (E) | Head: 168 m | پروژه کوپال | Contract 53-73-1264 | Original type text: Centrifugal (OH2) | Original material text: S5 – Carbon steel casing &amp; trim (API 610) | KPL-B review 1405-07: Design code: API 610 &amp; IPS-G-PM-105; installation weight 2,200 kg for tag group (INS-PUMP-B (1) AF35)</t>
  </si>
  <si>
    <t>P-162</t>
  </si>
  <si>
    <t>File 91215-KPL-ME-RE-476 R03, sheet 'PUMPS-B (3)', cells A36:F43 + unit price EUR AK36</t>
  </si>
  <si>
    <t>Type: Centrifugal (OH2) | Driver: موتور الکتریکی (E) | Head: 168 m | پروژه کوپال | Contract 53-73-1264 | Original type text: Centrifugal (OH2) | Original material text: S5 – Carbon steel casing &amp; trim (API 610) | KPL-B review 1405-07: Design code: API 610 &amp; IPS-G-PM-105; installation weight 500 kg for tag group (INS-PUMP-B (1) AF37)</t>
  </si>
  <si>
    <t>P-181 A/B</t>
  </si>
  <si>
    <t>File 91215-KPL-ME-RE-476 R03, sheet 'PUMPS-B (4)', cells A19:F26 + unit price EUR AK19</t>
  </si>
  <si>
    <t>Type: Centrifugal (OH2) | Driver: موتور الکتریکی (E) | Head: 52 m | پروژه کوپال | Contract 53-73-1264 | Original type text: Centrifugal (OH2) | Original material text: S6 – Carbon steel casing, 12% Cr trim (API 610) | KPL-B review 1405-07: Design code: API 610 &amp; IPS-G-PM-105; installation weight 1,200 kg for tag group (INS-PUMP-B (1) AF39) | KPL-B review 1405-07: NACE=N inferred by omission – VERIFY (flare KO liquid of sour Bangestan train)</t>
  </si>
  <si>
    <t>P-241 A/B</t>
  </si>
  <si>
    <t>File 91215-KPL-ME-RE-476 R03, sheet 'PUMPS-B (4)', cells A27:F34 + unit price EUR AK27</t>
  </si>
  <si>
    <t>Type: P.D.-Rotary (Progressing Cavity) | Driver: موتور الکتریکی (E) | NACE MR0175: YES | پروژه کوپال | Contract 53-73-1264 | Original type text: P.D.-Rotary (Progressing Cavity) | Original material text: D1 – Duplex stainless steel casing &amp; trim (API 610) | KPL-B review 1405-07: Design code: API 676 &amp; IPS-M-PM-140; installation weight 2,000 kg for tag group (INS-PUMP-B (1) AF41)</t>
  </si>
  <si>
    <t>P-242 A/B</t>
  </si>
  <si>
    <t>File 91215-KPL-ME-RE-476 R03, sheet 'PUMPS-B (4)', cells A35:F43 + unit price EUR AK35</t>
  </si>
  <si>
    <t>Type: Centrifugal (OH2) | Driver: موتور الکتریکی (E) | Head: 28 m | NACE MR0175: YES | پروژه کوپال | Contract 53-73-1264 | Original type text: Centrifugal (OH2) | Original material text: D2 – Super-duplex stainless steel casing &amp; trim (API 610) | KPL-B review 1405-07: Design code: API 610 &amp; IPS-G-PM-105; installation weight 1,200 kg for tag group (INS-PUMP-B (1) AF43)</t>
  </si>
  <si>
    <t>P-244 A/B</t>
  </si>
  <si>
    <t>File 91215-KPL-ME-RE-476 R03, sheet 'PUMPS-B (5)', cells A19:F27 + unit price EUR AK19</t>
  </si>
  <si>
    <t>Type: Centrifugal (OH2) | Driver: موتور الکتریکی (E) | Head: 61 m | NACE MR0175: YES | پروژه کوپال | Contract 53-73-1264 | Original type text: Centrifugal (OH2) | Original material text: D2 – Super-duplex stainless steel casing &amp; trim (API 610) | KPL-B review 1405-07: Design code: API 610 &amp; IPS-G-PM-105; installation weight 1,400 kg for tag group (INS-PUMP-B (1) AF45)</t>
  </si>
  <si>
    <t>P-123 A/B</t>
  </si>
  <si>
    <t>File 91215-KPL-ME-RE-476 R03, sheet 'DESALTERS-B', cells F32:F37</t>
  </si>
  <si>
    <t>Type: Centrifugal (API 610) | Driver: موتور الکتریکی (E) | وزن MTO: 1600 kg | Original type text: Centrifugal (OH2) | Original material text: D2 – Super-duplex stainless steel casing &amp; trim (API 610) | KPL-B review 1405-07: Priced inside Desalting Package PK-121 (DESALTERS-B AK19), no separate price; API 610 &amp; IPS-G-PM-105; installation weight 1,600 kg (INS-PUMP-B (1) AF47)</t>
  </si>
  <si>
    <t>P-140 A/B</t>
  </si>
  <si>
    <t>File 91215-KPL-ME-RE-476 R03, sheet 'INS-PUMP-B (1)', cells AL49:AQ49</t>
  </si>
  <si>
    <t>Type: Centrifugal (API 610) | Driver: موتور الکتریکی (E) | وزن MTO: 1000 kg | Original type text: Centrifugal (assumed) | KPL-B review 1405-07: Priced inside IGF Package PK-141 (IWWTP-B (1) AK19 = 600,000 EUR), no separate price; installation weight 1,000 kg (INS-PUMP-B (1) AF49)</t>
  </si>
  <si>
    <t>P-141 A/B</t>
  </si>
  <si>
    <t>File 91215-KPL-ME-RE-476 R03, sheet 'INS-PUMP-B (2)', cells AL19:AQ19</t>
  </si>
  <si>
    <t>Type: Centrifugal (API 610) | Driver: موتور الکتریکی (E) | وزن MTO: 1000 kg | Original type text: Centrifugal (assumed) | KPL-B review 1405-07: Priced inside IGF Package PK-141 (IWWTP-B (1) AK19 = 600,000 EUR), no separate price; installation weight 1,000 kg (INS-PUMP-B (2) AF19)</t>
  </si>
  <si>
    <t>P-142 A/B</t>
  </si>
  <si>
    <t>File 91215-KPL-ME-RE-476 R03, sheet 'INS-PUMP-B (2)', cells AL21:AQ21</t>
  </si>
  <si>
    <t>Type: Centrifugal (API 610) | Driver: موتور الکتریکی (E) | وزن MTO: 1000 kg | Original type text: Centrifugal (assumed) | KPL-B review 1405-07: Priced inside IGF Package PK-141 (IWWTP-B (1) AK19 = 600,000 EUR), no separate price; installation weight 1,000 kg (INS-PUMP-B (2) AF21)</t>
  </si>
  <si>
    <t>P-143 A/B</t>
  </si>
  <si>
    <t>File 91215-KPL-ME-RE-476 R03, sheet 'INS-PUMP-B (2)', cells AL23:AQ23</t>
  </si>
  <si>
    <t>Type: Centrifugal (API 610) | Driver: موتور الکتریکی (E) | وزن MTO: 1000 kg | Original type text: Centrifugal (assumed) | KPL-B review 1405-07: Priced inside IGF Package PK-141 (IWWTP-B (1) AK19 = 600,000 EUR), no separate price; installation weight 1,000 kg (INS-PUMP-B (2) AF23)</t>
  </si>
  <si>
    <t>P-144 A/B</t>
  </si>
  <si>
    <t>File 91215-KPL-ME-RE-476 R03, sheet 'INS-PUMP-B (2)', cells AL25:AQ25</t>
  </si>
  <si>
    <t>Type: Centrifugal (API 610) | Driver: موتور الکتریکی (E) | وزن MTO: 1400 kg | Original type text: Centrifugal (assumed) | KPL-B review 1405-07: Priced inside IGF Package PK-141 (IWWTP-B (1) AK19 = 600,000 EUR), no separate price; installation weight 1,400 kg (INS-PUMP-B (2) AF25); type corrected from "Centrifugal (assumed)" to P.D.-Rotary (Twin Screw)</t>
  </si>
  <si>
    <t>Stripped Waste Water Pumps</t>
  </si>
  <si>
    <t>P-148 A/B/C</t>
  </si>
  <si>
    <t>File 91215-KPL-ME-RE-476 R03, sheet 'STRIPPER-B', cells F35:F40</t>
  </si>
  <si>
    <t>Type: Centrifugal (API 610) | Driver: موتور الکتریکی (E) | وزن MTO: 2400 kg | Original type text: Centrifugal (OH2) | Original material text: D2 – Super-duplex stainless steel casing &amp; trim (API 610) | KPL-B review 1405-07: Priced inside Stripping Package PK-143 (STRIPPER-B U19), no separate price; API 610 &amp; IPS-G-PM-105; installation weight 2,400 kg (INS-PUMP-B (2) AF27)</t>
  </si>
  <si>
    <t>Deaerated Water Pumps</t>
  </si>
  <si>
    <t>P-153 A/B</t>
  </si>
  <si>
    <t>ISO 5199</t>
  </si>
  <si>
    <t>IPS-M-PM-115</t>
  </si>
  <si>
    <t>File 91215-KPL-ME-RE-476 R03, sheet 'PUMPS-C', cells A19:F26 + unit price EUR AK19</t>
  </si>
  <si>
    <t>Type: Centrifugal (Horizontal) | Driver: موتور الکتریکی (E) | Head: 36 m | پروژه کوپال | Contract 53-73-1264 | Original type text: Centrifugal (Horizontal) | Original material text: I2 – Cast iron casing, bronze trim (API 610) | KPL-A review 1405-07: Design code: ISO 5199 &amp; IPS-M-PM-115; installation weight 1,300 kg for tag group (INS-PUMP-C AF21)</t>
  </si>
  <si>
    <t>Potable Water Loading Pumps</t>
  </si>
  <si>
    <t>P-158</t>
  </si>
  <si>
    <t>File 91215-KPL-ME-RE-476 R03, sheet 'PUMPS-C', cells A27:F34 + unit price EUR AK27</t>
  </si>
  <si>
    <t>Type: Centrifugal (Horizontal) | Driver: موتور الکتریکی (E) | Head: 31 m | پروژه کوپال | Contract 53-73-1264 | Original type text: Centrifugal (Horizontal) | Original material text: I2 – Cast iron casing, bronze trim (API 610) | KPL-A review 1405-07: Design code: ISO 5199 &amp; IPS-M-PM-115; installation weight 1,500 kg for tag group (INS-PUMP-C AF23)</t>
  </si>
  <si>
    <t>Flare K.O. Drums Sump Pump</t>
  </si>
  <si>
    <t>P-172</t>
  </si>
  <si>
    <t>File 91215-KPL-ME-RE-476 R03, sheet 'PUMPS-C', cells A35:F42 + unit price EUR AK35</t>
  </si>
  <si>
    <t>Type: Centrifugal (VS4) | Driver: موتور الکتریکی (E) | Head: 43 m | پروژه کوپال | Contract 53-73-1264 | Original type text: Centrifugal (VS4) | Original material text: S6 – Carbon steel casing, 12% Cr trim (API 610) | KPL-A review 1405-07: Design code: API 610 &amp; IPS-G-PM-105; installation weight 300 kg for tag group (INS-PUMP-C AF25)</t>
  </si>
  <si>
    <t>Fuel Oil Pump</t>
  </si>
  <si>
    <t>P-201</t>
  </si>
  <si>
    <t>File 91215-KPL-ME-RE-476 R03, sheet 'PUMPS-C', cells A43:F50 + unit price EUR AK43</t>
  </si>
  <si>
    <t>Type: Centrifugal (Horizontal) | Driver: موتور الکتریکی (E) | Head: 41 m | پروژه کوپال | Contract 53-73-1264 | Original type text: Centrifugal (Horizontal) | Original material text: S1 – Carbon steel casing, cast iron trim (API 610) | KPL-A review 1405-07: Design code: ISO 5199 &amp; IPS-M-PM-115; installation weight 500 kg for tag group (INS-PUMP-C AF27)</t>
  </si>
  <si>
    <t>Closed Drain Drums Sump Pump</t>
  </si>
  <si>
    <t>P-235</t>
  </si>
  <si>
    <t>File 91215-KPL-ME-RE-476 R03, sheet 'PUMPS-C (2)', cells A19:F26 + unit price EUR AK19</t>
  </si>
  <si>
    <t>Type: Centrifugal (VS4) | Driver: موتور الکتریکی (E) | Head: 31 m | پروژه کوپال | Contract 53-73-1264 | Original type text: Centrifugal (VS4) | Original material text: S6 – Carbon steel casing, 12% Cr trim (API 610) | KPL-A review 1405-07: Design code: API 610 &amp; IPS-G-PM-105; installation weight 350 kg for tag group (INS-PUMP-C AF29)</t>
  </si>
  <si>
    <t>Fire Water Pump-Elect. Motor Driven</t>
  </si>
  <si>
    <t>P-270</t>
  </si>
  <si>
    <t>NFPA 20</t>
  </si>
  <si>
    <t>IPS-M-PM-125</t>
  </si>
  <si>
    <t>File 91215-KPL-ME-RE-476 R03, sheet 'PUMPS-C (2)', cells A27:F35 + unit price EUR AK27</t>
  </si>
  <si>
    <t>Type: Centrifugal (Horizontal, | Driver: موتور الکتریکی (E) | Head: 107 m | پروژه کوپال | Contract 53-73-1264 | Original type text: Centrifugal (Horizontal, | Original material text: I2 – Cast iron casing, bronze trim (API 610) | KPL-A review 1405-07: Design code: NFPA 20 &amp; IPS-M-PM-125; installation weight 2,500 kg for tag group (INS-PUMP-C AF31)</t>
  </si>
  <si>
    <t>Fire Water Pump-Diesel Engine Driven</t>
  </si>
  <si>
    <t>P-271</t>
  </si>
  <si>
    <t>File 91215-KPL-ME-RE-476 R03, sheet 'PUMPS-C (2)', cells A36:F44 + unit price EUR AK36</t>
  </si>
  <si>
    <t>Type: Centrifugal (Horizontal, | Driver: دیزلی (Diesel Engine) | Head: 88.7 m | پروژه کوپال | Contract 53-73-1264 | Original type text: Centrifugal (Horizontal, | Original material text: I2 – Cast iron casing, bronze trim (API 610) | KPL-A review 1405-07: Design code: NFPA 20 &amp; IPS-M-PM-125; installation weight 6,000 kg for tag group (INS-PUMP-C AF33)</t>
  </si>
  <si>
    <t>Fire Water Jockey Pumps</t>
  </si>
  <si>
    <t>P-272 A/B</t>
  </si>
  <si>
    <t>File 91215-KPL-ME-RE-476 R03, sheet 'PUMPS-C (3)', cells A19:F27 + unit price EUR AK19</t>
  </si>
  <si>
    <t>Type: Centrifugal | Driver: موتور الکتریکی (E) | Head: 107 m | پروژه کوپال | Contract 53-73-1264 | Original type text: Centrifugal | Original material text: I2 – Cast iron casing, bronze trim (API 610) | KPL-A review 1405-07: Design code: NFPA 20 &amp; IPS-M-PM-125; installation weight 1,400 kg for tag group (INS-PUMP-C AF35)</t>
  </si>
  <si>
    <t>Fire Water Loading Pump</t>
  </si>
  <si>
    <t>P-273</t>
  </si>
  <si>
    <t>File 91215-KPL-ME-RE-476 R03, sheet 'PUMPS-C (3)', cells A28:F35 + unit price EUR AK28</t>
  </si>
  <si>
    <t>Type: Centrifugal (Horizontal) | Driver: موتور الکتریکی (E) | Head: 30.6 m | پروژه کوپال | Contract 53-73-1264 | Original type text: Centrifugal (Horizontal) | Original material text: I2 – Cast iron casing, bronze trim (API 610) | KPL-A review 1405-07: Design code: ISO 5199 &amp; IPS-M-PM-115; installation weight 750 kg for tag group (INS-PUMP-C AF37)</t>
  </si>
  <si>
    <t>Cooling Water (Sealing System) Recycle Pumps</t>
  </si>
  <si>
    <t>P-154 A/B</t>
  </si>
  <si>
    <t>Cooling / Seal Water</t>
  </si>
  <si>
    <t>Consultant FEED MTO estimate – KPL-476 R03 (Jan 2016); local supplier price in IRR, before project overhead | source label: AACE Class 3</t>
  </si>
  <si>
    <t>File 91215-KPL-ME-RE-476 R03, sheet 'PUMPS-C (3)', cells A41:F49 + unit price IRR U41</t>
  </si>
  <si>
    <t>Type: Centrifugal (Horizontal) | Driver: موتور الکتریکی (E) | پروژه کوپال | Contract 53-73-1264 | Original type text: Centrifugal (Horizontal) | Original material text: I2 – Cast iron casing, bronze trim (API 610) | KPL-A review 1405-07: Design code: ISO 5199 &amp; IPS-M-PM-115; installation weight 1,000 kg for tag group (INS-PUMP-C AF39) | KPL-A review 1405-07: Currency corrected EUR → IRR (PUMPS-C (3) U41)</t>
  </si>
  <si>
    <t>Water Liquid Return Pumps (Deaeration System)</t>
  </si>
  <si>
    <t>P-157 A/B</t>
  </si>
  <si>
    <t>File 91215-KPL-ME-RE-476 R03, sheet 'PUMPS-C (4)', cells A19:F26 + unit price IRR U19</t>
  </si>
  <si>
    <t>Type: Centrifugal (Horizontal) | Driver: موتور الکتریکی (E) | پروژه کوپال | Contract 53-73-1264 | Original type text: Centrifugal (Horizontal) | Original material text: I2 – Cast iron casing, bronze trim (API 610) | KPL-A review 1405-07: Design code: ISO 5199 &amp; IPS-M-PM-115; installation weight 1,000 kg for tag group (INS-PUMP-C AF41) | KPL-A review 1405-07: Currency corrected EUR → IRR (PUMPS-C (4) U19) | KPL-A review 1405-07: Source remark AW19: capacity to be confirmed &amp; finalized by Deaerator vendor</t>
  </si>
  <si>
    <t>Evaporation Pond Portable Pump</t>
  </si>
  <si>
    <t>P-236</t>
  </si>
  <si>
    <t>JIS B 8325</t>
  </si>
  <si>
    <t>Centrifugal - Submersible</t>
  </si>
  <si>
    <t>File 91215-KPL-ME-RE-476 R03, sheet 'PUMPS-A (4)', cells A19:F26 + unit price EUR AK19</t>
  </si>
  <si>
    <t>Type: Centrifugal , Submersible | Driver: موتور الکتریکی (E) | پروژه کوپال | Contract 53-73-1264 | Original type text: Centrifugal , Submersible | Original material text: D2 – Super-duplex stainless steel casing &amp; trim (API 610) | KPL-A review 1405-07: Design code: JIS B 8325 | KPL-A review 1405-07: IP68 (PUMPS-A (4) F22); differential pressure 2 barg | Motor: Electrical motor driven, explosion proof (source)</t>
  </si>
  <si>
    <t>P-246</t>
  </si>
  <si>
    <t>File 91215-KPL-ME-RE-476 R03, sheet 'PUMPS-B (5)', cells A28:F35 + unit price EUR AK28</t>
  </si>
  <si>
    <t>Type: Centrifugal , Submersible | Driver: موتور الکتریکی (E) | پروژه کوپال | Contract 53-73-1264 | Original type text: Centrifugal , Submersible | Original material text: D2 – Super-duplex stainless steel casing &amp; trim (API 610) | KPL-B review 1405-07: IP68 (PUMPS-B (5) F31); differential pressure 2 barg | Motor: Electrical motor driven, explosion proof (source)</t>
  </si>
  <si>
    <t>Chemical Loading Pumps</t>
  </si>
  <si>
    <t>P-220 A/B/C/D/E</t>
  </si>
  <si>
    <t>Portable Barrel</t>
  </si>
  <si>
    <t>File 91215-KPL-ME-RE-476 R03, sheet 'PUMPS-C (3)', cells A36:F40 + unit price IRR U36</t>
  </si>
  <si>
    <t>Type: Portable Barrel Pump | Driver: موتور الکتریکی (E) | پروژه کوپال | Contract 53-73-1264 | Original type text: Portable Barrel Pump | Original material text: S.S. 316 L – Stainless steel 316L (pump material, not an API class) | KPL-A review 1405-07: Design code: (not stated) – Material S.S. 316 L | KPL-A review 1405-07: Currency corrected EUR → IRR (PUMPS-C (3) U36) | KPL-A review 1405-07: Flow corrected 160 m3/h → 9.6 m3/h (160 L/min)</t>
  </si>
  <si>
    <t>Water Glycol Loading Pump</t>
  </si>
  <si>
    <t>P-116</t>
  </si>
  <si>
    <t>File 91215-KPL-ME-RE-476 R03, sheet 'PUMPS-C (4)', cells A27:F31 + unit price IRR U27</t>
  </si>
  <si>
    <t>Type: Portable Barrel Pump | Driver: موتور الکتریکی (E) | پروژه کوپال | Contract 53-73-1264 | Original type text: Portable Barrel Pump | Original material text: S.S. 316 L – Stainless steel 316L (pump material, not an API class) | KPL-A review 1405-07: Design code: (not stated) – Material S.S. 316 L | KPL-A review 1405-07: Currency corrected EUR → IRR (PUMPS-C (4) U27)</t>
  </si>
  <si>
    <t>Off Spec. Crude Pumps</t>
  </si>
  <si>
    <t>Pazanan 2</t>
  </si>
  <si>
    <t>P-111 A/B</t>
  </si>
  <si>
    <t>Vendor inquiry 1404Q1 – average of 2 quotation(s), PC-ME (91211-PZN-ME-RE-451) sheet PUMPS | source label: AACE Class 1</t>
  </si>
  <si>
    <t>(Pazanan II Inquiry / Thermo Engineering)</t>
  </si>
  <si>
    <t>File PC-ME 14040105 Pazanan2 Reconstruction.xlsx, sheet 'PUMPS', cells A8:F8 (spec in B8, price in F8)</t>
  </si>
  <si>
    <t>Type: Centrifugal (VS6) | Driver: موتور الکتریکی (E) | Head: 139.1 m | NACE MR0175: YES | کد پروژه 03229 | FEED Report | Original type text: Centrifugal (VS6) | Original material text: D1 – Duplex stainless steel casing &amp; trim (API 610) | PZN2 review 1405-07: Supply overhead ×1.18 and VAT 10% are applied on top of unit prices (PUMPS G30:H31)</t>
  </si>
  <si>
    <t>File PC-ME 14040105 Pazanan2 Reconstruction.xlsx, sheet 'PUMPS', cells A9:F9 (spec in B9, price in F9)</t>
  </si>
  <si>
    <t>Type: Centrifugal (Horizontal) | Driver: موتور الکتریکی (E) | Head: 35.7 m | کد پروژه 03229 | FEED Report | Original type text: Centrifugal (Horizontal) | Original material text: I2 – Cast iron casing, bronze trim (API 610) | PZN2 review 1405-07: Supply overhead ×1.18 and VAT 10% are applied on top of unit prices (PUMPS G30:H31)</t>
  </si>
  <si>
    <t>P-124</t>
  </si>
  <si>
    <t>File PC-ME 14040105 Pazanan2 Reconstruction.xlsx, sheet 'PUMPS', cells A10:F10 (spec in B10, price in F10)</t>
  </si>
  <si>
    <t>Type: Centrifugal (OH2) | Driver: موتور الکتریکی (E) | Head: 122.3 m | کد پروژه 03229 | FEED Report | Original type text: Centrifugal (OH2) | Original material text: I2 – Cast iron casing, bronze trim (API 610) | PZN2 review 1405-07: Supply overhead ×1.18 and VAT 10% are applied on top of unit prices (PUMPS G30:H31)</t>
  </si>
  <si>
    <t>P-125 A/B</t>
  </si>
  <si>
    <t>File PC-ME 14040105 Pazanan2 Reconstruction.xlsx, sheet 'PUMPS', cells A11:F11 (spec in B11, price in F11)</t>
  </si>
  <si>
    <t>Type: Centrifugal (OH2) | Driver: موتور الکتریکی (E) | Head: 122 m | کد پروژه 03229 | FEED Report | Original type text: Centrifugal (OH2) | Original material text: I2 – Cast iron casing, bronze trim (API 610) | PZN2 review 1405-07: Supply overhead ×1.18 and VAT 10% are applied on top of unit prices (PUMPS G30:H31)</t>
  </si>
  <si>
    <t>Disposal Water InjectionPumps</t>
  </si>
  <si>
    <t>File PC-ME 14040105 Pazanan2 Reconstruction.xlsx, sheet 'PUMPS', cells A12:F12 (spec in B12, price in F12)</t>
  </si>
  <si>
    <t>Type: Centrifugal (BB3) | Driver: موتور الکتریکی (E) | Head: 650 m | NACE MR0175: YES | کد پروژه 03229 | FEED Report | Original type text: Centrifugal (BB3) | Original material text: D2 – Super-duplex stainless steel casing &amp; trim (API 610) | PZN2 review 1405-07: Supply overhead ×1.18 and VAT 10% are applied on top of unit prices (PUMPS G30:H31)</t>
  </si>
  <si>
    <t>Vendor inquiry 1404Q1 – average of 1 quotation(s), PC-ME (91211-PZN-ME-RE-451) sheet PUMPS | source label: AACE Class 1</t>
  </si>
  <si>
    <t>File PC-ME 14040105 Pazanan2 Reconstruction.xlsx, sheet 'PUMPS', cells A13:F13 (spec in B13, price in F13)</t>
  </si>
  <si>
    <t>Type: P.D.-Rotary (Ext. Gear) | Driver: موتور الکتریکی (E) | NACE MR0175: YES | کد پروژه 03229 | FEED Report | Original type text: P.D.-Rotary (Ext. Gear) | Original material text: D1 – Duplex stainless steel casing &amp; trim (API 610) | PZN2 review 1405-07: Supply overhead ×1.18 and VAT 10% are applied on top of unit prices (PUMPS G30:H31)</t>
  </si>
  <si>
    <t>Evaporation Pond Water Return Pumps</t>
  </si>
  <si>
    <t>P-138 A/B</t>
  </si>
  <si>
    <t>File PC-ME 14040105 Pazanan2 Reconstruction.xlsx, sheet 'PUMPS', cells A14:F14 (spec in B14, price in F14)</t>
  </si>
  <si>
    <t>Type: Centrifugal (OH2) | Driver: موتور الکتریکی (E) | Head: 27 m | کد پروژه 03229 | FEED Report | Original type text: Centrifugal (OH2) | Original material text: D2 – Super-duplex stainless steel casing &amp; trim (API 610) | PZN2 review 1405-07: Supply overhead ×1.18 and VAT 10% are applied on top of unit prices (PUMPS G30:H31)</t>
  </si>
  <si>
    <t>P-139 A/B/C</t>
  </si>
  <si>
    <t>File PC-ME 14040105 Pazanan2 Reconstruction.xlsx, sheet 'PUMPS', cells A15:F15 (spec in B15, price in F15)</t>
  </si>
  <si>
    <t>Type: Centrifugal (BB3) | Driver: موتور الکتریکی (E) | Head: 385 m | NACE MR0175: YES | کد پروژه 03229 | FEED Report | Original type text: Centrifugal (BB3) | Original material text: D2 – Super-duplex stainless steel casing &amp; trim (API 610) | PZN2 review 1405-07: Supply overhead ×1.18 and VAT 10% are applied on top of unit prices (PUMPS G30:H31)</t>
  </si>
  <si>
    <t>File PC-ME 14040105 Pazanan2 Reconstruction.xlsx, sheet 'PUMPS', cells A16:F16 (spec in B16, price in F16)</t>
  </si>
  <si>
    <t>Type: Centrifugal (OH2) | Driver: موتور الکتریکی (E) | Head: 40 m | کد پروژه 03229 | FEED Report | Original type text: Centrifugal (OH2) | Original material text: S6 – Carbon steel casing, 12% Cr trim (API 610) | PZN2 review 1405-07: Supply overhead ×1.18 and VAT 10% are applied on top of unit prices (PUMPS G30:H31)</t>
  </si>
  <si>
    <t>File PC-ME 14040105 Pazanan2 Reconstruction.xlsx, sheet 'PUMPS', cells A17:F17 (spec in B17, price in F17)</t>
  </si>
  <si>
    <t>Type: Centrifugal (OH2) | Driver: موتور الکتریکی (E) | Head: 55 m | NACE MR0175: YES | کد پروژه 03229 | FEED Report | Original type text: Centrifugal (OH2) | Original material text: D2 – Super-duplex stainless steel casing &amp; trim (API 610) | PZN2 review 1405-07: Supply overhead ×1.18 and VAT 10% are applied on top of unit prices (PUMPS G30:H31)</t>
  </si>
  <si>
    <t>C. D. Drum / Flare K.O. Drum Sump Pump</t>
  </si>
  <si>
    <t>File PC-ME 14040105 Pazanan2 Reconstruction.xlsx, sheet 'PUMPS', cells A18:F18 (spec in B18, price in F18)</t>
  </si>
  <si>
    <t>Type: Centrifugal (VS4) | Driver: موتور الکتریکی (E) | Head: 21.4 m | کد پروژه 03229 | FEED Report | Original type text: Centrifugal (VS4) | Original material text: S6 – Carbon steel casing, 12% Cr trim (API 610) | PZN2 review 1405-07: Supply overhead ×1.18 and VAT 10% are applied on top of unit prices (PUMPS G30:H31)</t>
  </si>
  <si>
    <t>P-163 A/B</t>
  </si>
  <si>
    <t>Consultant basic MTO estimate R02 (Feb 2015), PC-ME sheet PUMPS col. AR (FOB EUR) – no 1404 quotation received (all vendors declined)</t>
  </si>
  <si>
    <t>File PC-ME 14040105 Pazanan2 Reconstruction.xlsx, sheet 'PUMPS', cells A19:F19 (spec in B19, price in F19)</t>
  </si>
  <si>
    <t>Type: P.D.-Rotary (Progressing Cavity) | Driver: موتور الکتریکی (E) | NACE MR0175: YES | کد پروژه 03229 | FEED Report | Original type text: P.D.-Rotary (Progressing Cavity) | Original material text: D1 – Duplex stainless steel casing &amp; trim (API 610) | PZN2 review 1405-07: Price reset to the 1393 base (25,000 EUR FOB) because 38,801.91 EUR was 25,000 × 1.552 escalation – avoids double escalation | PZN2 review 1405-07: Supply overhead ×1.18 and VAT 10% are applied on top of unit prices (PUMPS G30:H31)</t>
  </si>
  <si>
    <t>P-164 A/B</t>
  </si>
  <si>
    <t>File PC-ME 14040105 Pazanan2 Reconstruction.xlsx, sheet 'PUMPS', cells A20:F20 (spec in B20, price in F20)</t>
  </si>
  <si>
    <t>Type: Centrifugal (OH2) | Driver: موتور الکتریکی (E) | Head: 50 m | NACE MR0175: YES | کد پروژه 03229 | FEED Report | Original type text: Centrifugal (OH2) | Original material text: D2 – Super-duplex stainless steel casing &amp; trim (API 610) | PZN2 review 1405-07: Supply overhead ×1.18 and VAT 10% are applied on top of unit prices (PUMPS G30:H31)</t>
  </si>
  <si>
    <t>Oily Water Basin Pumps</t>
  </si>
  <si>
    <t>P-165 A/B</t>
  </si>
  <si>
    <t>File PC-ME 14040105 Pazanan2 Reconstruction.xlsx, sheet 'PUMPS', cells A21:F21 (spec in B21, price in F21)</t>
  </si>
  <si>
    <t>Type: Centrifugal (OH2) | Driver: موتور الکتریکی (E) | Head: 20 m | کد پروژه 03229 | FEED Report | Original type text: Centrifugal (OH2) | Original material text: S6 – Carbon steel casing, 12% Cr trim (API 610) | PZN2 review 1405-07: Supply overhead ×1.18 and VAT 10% are applied on top of unit prices (PUMPS G30:H31)</t>
  </si>
  <si>
    <t>P-171</t>
  </si>
  <si>
    <t>File PC-ME 14040105 Pazanan2 Reconstruction.xlsx, sheet 'PUMPS', cells A22:F22 (spec in B22, price in F22)</t>
  </si>
  <si>
    <t>Type: Centrifugal (Horizontal) | Driver: موتور الکتریکی (E) | Head: 21 m | کد پروژه 03229 | FEED Report | Original type text: Centrifugal (Horizontal) | Original material text: S1 – Carbon steel casing, cast iron trim (API 610) | PZN2 review 1405-07: Supply overhead ×1.18 and VAT 10% are applied on top of unit prices (PUMPS G30:H31)</t>
  </si>
  <si>
    <t>P-191</t>
  </si>
  <si>
    <t>File PC-ME 14040105 Pazanan2 Reconstruction.xlsx, sheet 'PUMPS', cells A23:F23 (spec in B23, price in F23)</t>
  </si>
  <si>
    <t>Type: Centrifugal (Horizontal) | Driver: موتور الکتریکی (E) | Head: 31 m | کد پروژه 03229 | FEED Report | Original type text: Centrifugal (Horizontal) | Original material text: I2 – Cast iron casing, bronze trim (API 610) | PZN2 review 1405-07: Supply overhead ×1.18 and VAT 10% are applied on top of unit prices (PUMPS G30:H31)</t>
  </si>
  <si>
    <t>P-192</t>
  </si>
  <si>
    <t>Vendor inquiry 1404Q1 – average of 3 quotation(s), PC-ME (91211-PZN-ME-RE-451) sheet PUMPS | source label: AACE Class 1</t>
  </si>
  <si>
    <t>File PC-ME 14040105 Pazanan2 Reconstruction.xlsx, sheet 'PUMPS', cells A24:F24 (spec in B24, price in F24)</t>
  </si>
  <si>
    <t>Type: Centrifugal (Horizontal, | Driver: موتور الکتریکی (E) | Head: 107 m | کد پروژه 03229 | FEED Report | Original type text: Centrifugal (Horizontal, Impeller Between Bearings Design) | Original material text: I2 – Cast iron casing, bronze trim (API 610) | PZN2 review 1405-07: Supply overhead ×1.18 and VAT 10% are applied on top of unit prices (PUMPS G30:H31)</t>
  </si>
  <si>
    <t>P-193</t>
  </si>
  <si>
    <t>File PC-ME 14040105 Pazanan2 Reconstruction.xlsx, sheet 'PUMPS', cells A25:F25 (spec in B25, price in F25)</t>
  </si>
  <si>
    <t>Type: Centrifugal (Horizontal, | Driver: دیزلی (Diesel Engine) | Head: 107 m | کد پروژه 03229 | FEED Report | Original type text: Centrifugal (Horizontal, Impeller Between Bearings Design) | Original material text: I2 – Cast iron casing, bronze trim (API 610) | PZN2 review 1405-07: Supply overhead ×1.18 and VAT 10% are applied on top of unit prices (PUMPS G30:H31)</t>
  </si>
  <si>
    <t>P-194 A/B</t>
  </si>
  <si>
    <t>File PC-ME 14040105 Pazanan2 Reconstruction.xlsx, sheet 'PUMPS', cells A26:F26 (spec in B26, price in F26)</t>
  </si>
  <si>
    <t>Type: Centrifugal | Driver: موتور الکتریکی (E) | Head: 107 m | کد پروژه 03229 | FEED Report | Original type text: Centrifugal (Horizontal, Overhung Impeller Design) | Original material text: I2 – Cast iron casing, bronze trim (API 610) | PZN2 review 1405-07: Supply overhead ×1.18 and VAT 10% are applied on top of unit prices (PUMPS G30:H31)</t>
  </si>
  <si>
    <t>P-210 A/B</t>
  </si>
  <si>
    <t>Portable (Air / Electric)</t>
  </si>
  <si>
    <t>Consultant basic MTO estimate R02 (Feb 2015), PC-ME sheet PUMPS col. AQ (IRR) – no 1404 quotation received (all vendors declined)</t>
  </si>
  <si>
    <t>File PC-ME 14040105 Pazanan2 Reconstruction.xlsx, sheet 'PUMPS', cells A27:F27 (spec in B27, price in F27)</t>
  </si>
  <si>
    <t>Type: Portable Barrel Pump | Driver: موتور پرتابل بادی/الکتریکی | کد پروژه 03229 | FEED Report | Original type text: Portable Barrel Pump | Original material text: S.S. 316 L – Stainless steel 316L (pump material, not an API class) | PZN2 review 1405-07: Price reset to the 1393 base (100,000,000 IRR) because the 1404 figure was only an escalation of it – avoids double escalation; flow corrected 160 → 9.6 m3/h | PZN2 review 1405-07: Supply overhead ×1.18 and VAT 10% are applied on top of unit prices (PUMPS G30:H31)</t>
  </si>
  <si>
    <t>P-211</t>
  </si>
  <si>
    <t>File PC-ME 14040105 Pazanan2 Reconstruction.xlsx, sheet 'PUMPS', cells A28:F28 (spec in B28, price in F28)</t>
  </si>
  <si>
    <t>(نام پروژه در فایل قید نشده است) – نمونه قیمتی نمک زدایی (PUMPS.csv)</t>
  </si>
  <si>
    <t>Shaft (Absorbed)</t>
  </si>
  <si>
    <t>Price (USD) – «نمونه قیمتی نمک‌زدایی» sheet PUMPS; project and year not stated</t>
  </si>
  <si>
    <t>File نمونه قیمتی نمک زدایی overall.xlsx, sheet 'PUMPS', cells A4:H4 (price in H4)</t>
  </si>
  <si>
    <t>Type: Centrifugal | Driver: Electric motor (E) | Power: 54.3 (Shaft) | Head: 95.8 m | Fluid: Crude Oil | Quantity not stated in source; 1 assumed. | Original type text: Centrifugal</t>
  </si>
  <si>
    <t>File نمونه قیمتی نمک زدایی overall.xlsx, sheet 'PUMPS', cells A5:H5 (price in H5)</t>
  </si>
  <si>
    <t>Type: Centrifugal | Driver: Electric motor (E) | Power: 33.12 (Shaft) | Head: 59.9 m | Fluid: Crude Oil | Quantity not stated in source; 1 assumed. | Original type text: Centrifugal</t>
  </si>
  <si>
    <t>File نمونه قیمتی نمک زدایی overall.xlsx, sheet 'PUMPS', cells A6:H6 (price in H6)</t>
  </si>
  <si>
    <t>Type: Centrifugal | Driver: Electric motor (E) | Power: 57.35 (Shaft) | Head: 34.8 m | Fluid: Stabilized Oil | Quantity not stated in source; 1 assumed. | Original type text: Centrifugal</t>
  </si>
  <si>
    <t>File نمونه قیمتی نمک زدایی overall.xlsx, sheet 'PUMPS', cells A7:H7 (price in H7)</t>
  </si>
  <si>
    <t>Type: Centrifugal | Driver: Electric motor (E) | Power: HOLD | Fluid: Stabilized Oil | Quantity not stated in source; 1 assumed. | Power column in source = HOLD | Original type text: Centrifugal</t>
  </si>
  <si>
    <t>File نمونه قیمتی نمک زدایی overall.xlsx, sheet 'PUMPS', cells A8:H8 (price in H8)</t>
  </si>
  <si>
    <t>Type: Centrifugal | Driver: Electric motor (E) | Power: 48 (Shaft) | Head: 311.3 m | Fluid: off Crude | Quantity not stated in source; 1 assumed. | Original type text: Centrifugal</t>
  </si>
  <si>
    <t>File نمونه قیمتی نمک زدایی overall.xlsx, sheet 'PUMPS', cells A9:H9 (price in H9)</t>
  </si>
  <si>
    <t>Type: Centrifugal | Driver: Electric motor (E) | Power: 1 (Shaft) | Head: 32.0 m | Fluid: Salty Water | Quantity not stated in source; 1 assumed. | Original type text: Centrifugal</t>
  </si>
  <si>
    <t>File نمونه قیمتی نمک زدایی overall.xlsx, sheet 'PUMPS', cells A10:H10 (price in H10)</t>
  </si>
  <si>
    <t>Type: Centrifugal | Driver: Electric motor (E) | Power: 13.1 (Shaft) | Head: 36.2 m | Fluid: Water | Quantity not stated in source; 1 assumed. | Original type text: Centrifugal</t>
  </si>
  <si>
    <t>File نمونه قیمتی نمک زدایی overall.xlsx, sheet 'PUMPS', cells A11:H11 (price in H11)</t>
  </si>
  <si>
    <t>Type: Centrifugal | Driver: Electric motor (E) | Head: 51.5 m | Fluid: Salty Water | Quantity not stated in source; 1 assumed. | Original type text: Centrifugal</t>
  </si>
  <si>
    <t>File نمونه قیمتی نمک زدایی overall.xlsx, sheet 'PUMPS', cells A12:H12 (price in H12)</t>
  </si>
  <si>
    <t>Type: Centrifugal | Driver: Electric motor (E) | Power: 3.9 Shaft | Head: 41.0 m | Fluid: Water | Quantity not stated in source; 1 assumed. | Original type text: Centrifugal</t>
  </si>
  <si>
    <t>File نمونه قیمتی نمک زدایی overall.xlsx, sheet 'PUMPS', cells A13:H13 (price in H13)</t>
  </si>
  <si>
    <t>Driver: Electric motor (E) | Power: 13.7 | Head: 120.0 m | Fluid: HC | Quantity not stated in source; 1 assumed. | Original type text: Centrifugal (assumed)</t>
  </si>
  <si>
    <t>File نمونه قیمتی نمک زدایی overall.xlsx, sheet 'PUMPS', cells A14:H14 (price in H14)</t>
  </si>
  <si>
    <t>Type: Sliding valve | Driver: (Not stated) | Head: 27.2 m | Fluid: Diesel | Quantity not stated in source; 1 assumed. | Original type text: Sliding valve</t>
  </si>
  <si>
    <t>File نمونه قیمتی نمک زدایی overall.xlsx, sheet 'PUMPS', cells A15:H15 (price in H15)</t>
  </si>
  <si>
    <t>Type: Screw | Driver: Electric motor (E) | Power: 0.8 | Head: 40.8 m | Fluid: Diesel | Quantity not stated in source; 1 assumed. | Original type text: Screw</t>
  </si>
  <si>
    <t>File نمونه قیمتی نمک زدایی overall.xlsx, sheet 'PUMPS', cells A16:H16 (price in H16)</t>
  </si>
  <si>
    <t>Type: Centrifugal | Driver: Electric motor (E) | Fluid: Water | Quantity not stated in source; 1 assumed. | Original type text: Centrifugal</t>
  </si>
  <si>
    <t>File نمونه قیمتی نمک زدایی overall.xlsx, sheet 'PUMPS', cells A17:H17 (price in H17)</t>
  </si>
  <si>
    <t>Type: Centrifugal | Driver: Electric motor (E) | Quantity not stated in source; 1 assumed. | Original type text: Centrifugal</t>
  </si>
  <si>
    <t>Consultant basic MTO estimate R02 (Feb 2015), PC-ME sheet PUMPS col. AR (FOB EUR)</t>
  </si>
  <si>
    <t>File PC-ME 14040105 Pazanan2 Reconstruction.xlsx, sheet 'PUMPS', spec B8, R02 (1393) FOB price AR8</t>
  </si>
  <si>
    <t>Paired historical record of Row 94 (same tag &amp; spec, 1404 inquiry price). Added 1405-07 for escalation / factor calibration. NOTE: counted in totals together with Row 94 – set Include=N if a single price per tag is needed.</t>
  </si>
  <si>
    <t>File PC-ME 14040105 Pazanan2 Reconstruction.xlsx, sheet 'PUMPS', spec B9, R02 (1393) FOB price AR9</t>
  </si>
  <si>
    <t>Paired historical record of Row 95 (same tag &amp; spec, 1404 inquiry price). Added 1405-07 for escalation / factor calibration. NOTE: counted in totals together with Row 95 – set Include=N if a single price per tag is needed.</t>
  </si>
  <si>
    <t>File PC-ME 14040105 Pazanan2 Reconstruction.xlsx, sheet 'PUMPS', spec B10, R02 (1393) FOB price AR10</t>
  </si>
  <si>
    <t>Paired historical record of Row 96 (same tag &amp; spec, 1404 inquiry price). Added 1405-07 for escalation / factor calibration. NOTE: counted in totals together with Row 96 – set Include=N if a single price per tag is needed.</t>
  </si>
  <si>
    <t>File PC-ME 14040105 Pazanan2 Reconstruction.xlsx, sheet 'PUMPS', spec B11, R02 (1393) FOB price AR11</t>
  </si>
  <si>
    <t>Paired historical record of Row 97 (same tag &amp; spec, 1404 inquiry price). Added 1405-07 for escalation / factor calibration. NOTE: counted in totals together with Row 97 – set Include=N if a single price per tag is needed.</t>
  </si>
  <si>
    <t>File PC-ME 14040105 Pazanan2 Reconstruction.xlsx, sheet 'PUMPS', spec B12, R02 (1393) FOB price AR12</t>
  </si>
  <si>
    <t>Paired historical record of Row 98 (same tag &amp; spec, 1404 inquiry price). Added 1405-07 for escalation / factor calibration. NOTE: counted in totals together with Row 98 – set Include=N if a single price per tag is needed.</t>
  </si>
  <si>
    <t>File PC-ME 14040105 Pazanan2 Reconstruction.xlsx, sheet 'PUMPS', spec B13, R02 (1393) FOB price AR13</t>
  </si>
  <si>
    <t>Paired historical record of Row 99 (same tag &amp; spec, 1404 inquiry price). Added 1405-07 for escalation / factor calibration. NOTE: counted in totals together with Row 99 – set Include=N if a single price per tag is needed.</t>
  </si>
  <si>
    <t>File PC-ME 14040105 Pazanan2 Reconstruction.xlsx, sheet 'PUMPS', spec B14, R02 (1393) FOB price AR14</t>
  </si>
  <si>
    <t>Paired historical record of Row 100 (same tag &amp; spec, 1404 inquiry price). Added 1405-07 for escalation / factor calibration. NOTE: counted in totals together with Row 100 – set Include=N if a single price per tag is needed.</t>
  </si>
  <si>
    <t>File PC-ME 14040105 Pazanan2 Reconstruction.xlsx, sheet 'PUMPS', spec B15, R02 (1393) FOB price AR15</t>
  </si>
  <si>
    <t>Paired historical record of Row 101 (same tag &amp; spec, 1404 inquiry price). Added 1405-07 for escalation / factor calibration. NOTE: counted in totals together with Row 101 – set Include=N if a single price per tag is needed.</t>
  </si>
  <si>
    <t>File PC-ME 14040105 Pazanan2 Reconstruction.xlsx, sheet 'PUMPS', spec B16, R02 (1393) FOB price AR16</t>
  </si>
  <si>
    <t>Paired historical record of Row 102 (same tag &amp; spec, 1404 inquiry price). Added 1405-07 for escalation / factor calibration. NOTE: counted in totals together with Row 102 – set Include=N if a single price per tag is needed.</t>
  </si>
  <si>
    <t>File PC-ME 14040105 Pazanan2 Reconstruction.xlsx, sheet 'PUMPS', spec B17, R02 (1393) FOB price AR17</t>
  </si>
  <si>
    <t>Paired historical record of Row 103 (same tag &amp; spec, 1404 inquiry price). Added 1405-07 for escalation / factor calibration. NOTE: counted in totals together with Row 103 – set Include=N if a single price per tag is needed.</t>
  </si>
  <si>
    <t>File PC-ME 14040105 Pazanan2 Reconstruction.xlsx, sheet 'PUMPS', spec B18, R02 (1393) FOB price AR18</t>
  </si>
  <si>
    <t>Paired historical record of Row 104 (same tag &amp; spec, 1404 inquiry price). Added 1405-07 for escalation / factor calibration. NOTE: counted in totals together with Row 104 – set Include=N if a single price per tag is needed.</t>
  </si>
  <si>
    <t>File PC-ME 14040105 Pazanan2 Reconstruction.xlsx, sheet 'PUMPS', spec B20, R02 (1393) FOB price AR20</t>
  </si>
  <si>
    <t>Paired historical record of Row 106 (same tag &amp; spec, 1404 inquiry price). Added 1405-07 for escalation / factor calibration. NOTE: counted in totals together with Row 106 – set Include=N if a single price per tag is needed.</t>
  </si>
  <si>
    <t>File PC-ME 14040105 Pazanan2 Reconstruction.xlsx, sheet 'PUMPS', spec B21, R02 (1393) FOB price AR21</t>
  </si>
  <si>
    <t>Paired historical record of Row 107 (same tag &amp; spec, 1404 inquiry price). Added 1405-07 for escalation / factor calibration. NOTE: counted in totals together with Row 107 – set Include=N if a single price per tag is needed.</t>
  </si>
  <si>
    <t>File PC-ME 14040105 Pazanan2 Reconstruction.xlsx, sheet 'PUMPS', spec B22, R02 (1393) FOB price AR22</t>
  </si>
  <si>
    <t>Paired historical record of Row 108 (same tag &amp; spec, 1404 inquiry price). Added 1405-07 for escalation / factor calibration. NOTE: counted in totals together with Row 108 – set Include=N if a single price per tag is needed.</t>
  </si>
  <si>
    <t>File PC-ME 14040105 Pazanan2 Reconstruction.xlsx, sheet 'PUMPS', spec B23, R02 (1393) FOB price AR23</t>
  </si>
  <si>
    <t>Paired historical record of Row 109 (same tag &amp; spec, 1404 inquiry price). Added 1405-07 for escalation / factor calibration. NOTE: counted in totals together with Row 109 – set Include=N if a single price per tag is needed.</t>
  </si>
  <si>
    <t>File PC-ME 14040105 Pazanan2 Reconstruction.xlsx, sheet 'PUMPS', spec B24, R02 (1393) FOB price AR24</t>
  </si>
  <si>
    <t>Paired historical record of Row 110 (same tag &amp; spec, 1404 inquiry price). Added 1405-07 for escalation / factor calibration. NOTE: counted in totals together with Row 110 – set Include=N if a single price per tag is needed.</t>
  </si>
  <si>
    <t>File PC-ME 14040105 Pazanan2 Reconstruction.xlsx, sheet 'PUMPS', spec B25, R02 (1393) FOB price AR25</t>
  </si>
  <si>
    <t>Paired historical record of Row 111 (same tag &amp; spec, 1404 inquiry price). Added 1405-07 for escalation / factor calibration. NOTE: counted in totals together with Row 111 – set Include=N if a single price per tag is needed.</t>
  </si>
  <si>
    <t>File PC-ME 14040105 Pazanan2 Reconstruction.xlsx, sheet 'PUMPS', spec B26, R02 (1393) FOB price AR26</t>
  </si>
  <si>
    <t>Paired historical record of Row 112 (same tag &amp; spec, 1404 inquiry price). Added 1405-07 for escalation / factor calibration. NOTE: counted in totals together with Row 112 – set Include=N if a single price per tag is needed.</t>
  </si>
  <si>
    <t>ESTIMATOR – برآورد قیمت پمپ جدید</t>
  </si>
  <si>
    <t>پارامترهای زرد را انتخاب کنید؛ ضریب هر پارامتر در ستون C همان ردیف و محاسبات در پنل سمت راست بلافاصله به‌روز می‌شود. روش: میانگین Coef رکوردهای همتا × kW^n × ضرایب پیکربندی؛ سپس کف قیمت API 610.</t>
  </si>
  <si>
    <t>پارامتر</t>
  </si>
  <si>
    <t>مقدار</t>
  </si>
  <si>
    <t>ضریب</t>
  </si>
  <si>
    <t>محاسبه</t>
  </si>
  <si>
    <t>نتیجه</t>
  </si>
  <si>
    <t>توضیح</t>
  </si>
  <si>
    <t>Size driver kW</t>
  </si>
  <si>
    <t>kW یا Q·H/(367·η)</t>
  </si>
  <si>
    <t>ضریب متریال</t>
  </si>
  <si>
    <t>Arrangement × Category × Plan</t>
  </si>
  <si>
    <t>Driver × NACE</t>
  </si>
  <si>
    <t>حاصل‌ضرب ۷ ضریب Scope</t>
  </si>
  <si>
    <t>ضریب کل پیکربندی</t>
  </si>
  <si>
    <t>Arr 2 - Dual Unpressurized</t>
  </si>
  <si>
    <t>Peer records (n)</t>
  </si>
  <si>
    <t>رکوردهای همتای دارای Coef</t>
  </si>
  <si>
    <t>Cat 2</t>
  </si>
  <si>
    <t>Peer Coef – average</t>
  </si>
  <si>
    <t>EUR / kW^n، سال هدف، پیکربندی پایه</t>
  </si>
  <si>
    <t>11+52</t>
  </si>
  <si>
    <t>Peer Coef – min</t>
  </si>
  <si>
    <t>Peer Coef – max</t>
  </si>
  <si>
    <t>NACE MR0175</t>
  </si>
  <si>
    <t>Floor applies?</t>
  </si>
  <si>
    <t>API 610، گریز از مرکز، کلاس S/D</t>
  </si>
  <si>
    <t>Floor EUR (target year)</t>
  </si>
  <si>
    <t>۲۵٬۰۰۰ یورو (۱۴۰۴) × نسبت PPI</t>
  </si>
  <si>
    <t>نتیجه برآورد</t>
  </si>
  <si>
    <t>Unit price EUR – expected</t>
  </si>
  <si>
    <t>MAX(Coef میانگین × kW^n × ALL_F ، کف)</t>
  </si>
  <si>
    <t>Unit price EUR – low</t>
  </si>
  <si>
    <t>با Coef کمینه همتاها</t>
  </si>
  <si>
    <t>Unit price EUR – high</t>
  </si>
  <si>
    <t>با Coef بیشینه همتاها</t>
  </si>
  <si>
    <t>Unit price USD – expected</t>
  </si>
  <si>
    <t>× نرخ یورو ÷ نرخ دلار سال هدف</t>
  </si>
  <si>
    <t>Unit price IRR – expected</t>
  </si>
  <si>
    <t>× نرخ یوروی سال هدف</t>
  </si>
  <si>
    <t>Power (kW) – if known</t>
  </si>
  <si>
    <t>Total IRR (× quantity)</t>
  </si>
  <si>
    <t>Target year / EUR→IRR / USD→IRR</t>
  </si>
  <si>
    <t>از شیت Assumptions</t>
  </si>
  <si>
    <t>Quantity (sets)</t>
  </si>
  <si>
    <t>SEARCH – جستجوی بانک قیمت پمپ</t>
  </si>
  <si>
    <t>(All) = بدون فیلتر؛ خانه خالی در بازه عددی = بدون محدودیت. نتایج با هر تغییر فوراً به‌روز می‌شوند (حداکثر ۲۰۰ ردیف).</t>
  </si>
  <si>
    <t>فیلتر</t>
  </si>
  <si>
    <t>حداکثر</t>
  </si>
  <si>
    <t>Text in Name / Tag</t>
  </si>
  <si>
    <t>(All)</t>
  </si>
  <si>
    <t>Include in Totals</t>
  </si>
  <si>
    <t>Project</t>
  </si>
  <si>
    <t>Material Class</t>
  </si>
  <si>
    <t>Only escalated price</t>
  </si>
  <si>
    <t>Capacity m³/h (min / max)</t>
  </si>
  <si>
    <t>Seal Arrangement</t>
  </si>
  <si>
    <t>Head m (min / max)</t>
  </si>
  <si>
    <t>Size kW (min / max)</t>
  </si>
  <si>
    <t>Cost Year</t>
  </si>
  <si>
    <t>تعداد نتایج</t>
  </si>
  <si>
    <t>یورو تعدیل‌شده – کمینه</t>
  </si>
  <si>
    <t>یورو تعدیل‌شده – میانگین</t>
  </si>
  <si>
    <t>یورو تعدیل‌شده – بیشینه</t>
  </si>
  <si>
    <t>ریال تعدیل‌شده – میانگین</t>
  </si>
  <si>
    <t>سال هدف</t>
  </si>
  <si>
    <t>#</t>
  </si>
  <si>
    <t>Master row</t>
  </si>
  <si>
    <t>Sub-Cat</t>
  </si>
  <si>
    <t>API Type</t>
  </si>
  <si>
    <t>Material</t>
  </si>
  <si>
    <t>Q m³/h</t>
  </si>
  <si>
    <t>Head m</t>
  </si>
  <si>
    <t>Size kW</t>
  </si>
  <si>
    <t>Seal</t>
  </si>
  <si>
    <t>Driver</t>
  </si>
  <si>
    <t>Service</t>
  </si>
  <si>
    <t>Cur.</t>
  </si>
  <si>
    <t>Unit Price (Ref)</t>
  </si>
  <si>
    <t>Price Basis</t>
  </si>
  <si>
    <t>Escalated EUR</t>
  </si>
  <si>
    <t>Escalated USD</t>
  </si>
  <si>
    <t>Escalated IRR</t>
  </si>
  <si>
    <t>Incl.</t>
  </si>
  <si>
    <t>VENDOR_QUOTES – ثبت طولی استعلام‌ها (هر ردیف = یک پیشنهاد)</t>
  </si>
  <si>
    <t>سند پیوست: در محاسبات Master استفاده نمی‌شود و فقط مبنای قیمت‌های استعلامی (مثل پازنان ۲، ۱۴۰۴) را مستند می‌کند. ستون Master Row = شماره Row رکورد در Master. ستون‌های (auto) خودکار پر می‌شوند. ردیف 5 نمونه است.</t>
  </si>
  <si>
    <t>Quote_ID</t>
  </si>
  <si>
    <t>Master Row</t>
  </si>
  <si>
    <t>Tag (auto)</t>
  </si>
  <si>
    <t>Equipment Name (auto)</t>
  </si>
  <si>
    <t>Vendor_ID</t>
  </si>
  <si>
    <t>Vendor Name (auto)</t>
  </si>
  <si>
    <t>AVL Status (auto)</t>
  </si>
  <si>
    <t>Quote Year (Jalali)</t>
  </si>
  <si>
    <t>Quote Ref / Date</t>
  </si>
  <si>
    <t>Validity (days)</t>
  </si>
  <si>
    <t>Currency</t>
  </si>
  <si>
    <t>Quoted Unit Price</t>
  </si>
  <si>
    <t>TBE OK</t>
  </si>
  <si>
    <t>Unit Price EUR (auto)</t>
  </si>
  <si>
    <t>Delivery (weeks)</t>
  </si>
  <si>
    <t>Sc: Driver</t>
  </si>
  <si>
    <t>Sc: Baseplate</t>
  </si>
  <si>
    <t>Sc: Seal System</t>
  </si>
  <si>
    <t>Sc: Spares</t>
  </si>
  <si>
    <t>Sc: TPI</t>
  </si>
  <si>
    <t>Remarks</t>
  </si>
  <si>
    <t>Q-EX01</t>
  </si>
  <si>
    <t>(e.g. 98)</t>
  </si>
  <si>
    <t>V-EX01</t>
  </si>
  <si>
    <t>INQ-123 / 1404-02</t>
  </si>
  <si>
    <t>نمونه – در شمارش وارد نمی‌شود</t>
  </si>
  <si>
    <t>PZN2-P-111 A/B-V-01</t>
  </si>
  <si>
    <t>V-01</t>
  </si>
  <si>
    <t>2025-02-15</t>
  </si>
  <si>
    <t>Pending</t>
  </si>
  <si>
    <t>Source: PUMPS I8:M8</t>
  </si>
  <si>
    <t>PZN2-P-111 A/B-V-02</t>
  </si>
  <si>
    <t>V-02</t>
  </si>
  <si>
    <t>2025-05-04</t>
  </si>
  <si>
    <t>Source: PUMPS N8:R8</t>
  </si>
  <si>
    <t>PZN2-P-111 A/B-V-03</t>
  </si>
  <si>
    <t>V-03</t>
  </si>
  <si>
    <t>Source: PUMPS S8:W8 – declined</t>
  </si>
  <si>
    <t>PZN2-P-111 A/B-V-04</t>
  </si>
  <si>
    <t>V-04</t>
  </si>
  <si>
    <t>Source: PUMPS X8:AB8 – no reply</t>
  </si>
  <si>
    <t>PZN2-P-122 A/B-V-01</t>
  </si>
  <si>
    <t>Source: PUMPS I9:M9</t>
  </si>
  <si>
    <t>PZN2-P-122 A/B-V-02</t>
  </si>
  <si>
    <t>Source: PUMPS N9:R9</t>
  </si>
  <si>
    <t>PZN2-P-122 A/B-V-03</t>
  </si>
  <si>
    <t>Source: PUMPS S9:W9 – declined</t>
  </si>
  <si>
    <t>PZN2-P-122 A/B-V-04</t>
  </si>
  <si>
    <t>Source: PUMPS X9:AB9 – no reply</t>
  </si>
  <si>
    <t>PZN2-P-124-V-01</t>
  </si>
  <si>
    <t>Source: PUMPS I10:M10</t>
  </si>
  <si>
    <t>PZN2-P-124-V-02</t>
  </si>
  <si>
    <t>Source: PUMPS N10:R10</t>
  </si>
  <si>
    <t>PZN2-P-124-V-03</t>
  </si>
  <si>
    <t>Source: PUMPS S10:W10 – declined</t>
  </si>
  <si>
    <t>PZN2-P-124-V-04</t>
  </si>
  <si>
    <t>Source: PUMPS X10:AB10 – no reply</t>
  </si>
  <si>
    <t>PZN2-P-125 A/B-V-01</t>
  </si>
  <si>
    <t>Source: PUMPS I11:M11</t>
  </si>
  <si>
    <t>PZN2-P-125 A/B-V-02</t>
  </si>
  <si>
    <t>Source: PUMPS N11:R11</t>
  </si>
  <si>
    <t>PZN2-P-125 A/B-V-03</t>
  </si>
  <si>
    <t>Source: PUMPS S11:W11 – declined</t>
  </si>
  <si>
    <t>PZN2-P-125 A/B-V-04</t>
  </si>
  <si>
    <t>Source: PUMPS X11:AB11 – no reply</t>
  </si>
  <si>
    <t>PZN2-P-136 A/B-V-01</t>
  </si>
  <si>
    <t>Source: PUMPS I12:M12</t>
  </si>
  <si>
    <t>PZN2-P-136 A/B-V-02</t>
  </si>
  <si>
    <t>Source: PUMPS N12:R12</t>
  </si>
  <si>
    <t>PZN2-P-136 A/B-V-03</t>
  </si>
  <si>
    <t>Source: PUMPS S12:W12 – declined</t>
  </si>
  <si>
    <t>PZN2-P-136 A/B-V-04</t>
  </si>
  <si>
    <t>Source: PUMPS X12:AB12 – no reply</t>
  </si>
  <si>
    <t>PZN2-P-137 A/B-V-01</t>
  </si>
  <si>
    <t>Source: PUMPS I13:M13</t>
  </si>
  <si>
    <t>PZN2-P-137 A/B-V-02</t>
  </si>
  <si>
    <t>Source: PUMPS N13:R13 – declined</t>
  </si>
  <si>
    <t>PZN2-P-137 A/B-V-03</t>
  </si>
  <si>
    <t>Source: PUMPS S13:W13 – declined</t>
  </si>
  <si>
    <t>PZN2-P-137 A/B-V-04</t>
  </si>
  <si>
    <t>Source: PUMPS X13:AB13 – no reply</t>
  </si>
  <si>
    <t>PZN2-P-138 A/B-V-01</t>
  </si>
  <si>
    <t>Source: PUMPS I14:M14</t>
  </si>
  <si>
    <t>PZN2-P-138 A/B-V-02</t>
  </si>
  <si>
    <t>Source: PUMPS N14:R14</t>
  </si>
  <si>
    <t>PZN2-P-138 A/B-V-03</t>
  </si>
  <si>
    <t>Source: PUMPS S14:W14 – declined</t>
  </si>
  <si>
    <t>PZN2-P-138 A/B-V-04</t>
  </si>
  <si>
    <t>Source: PUMPS X14:AB14 – no reply</t>
  </si>
  <si>
    <t>PZN2-P-139 A/B/C-V-01</t>
  </si>
  <si>
    <t>Source: PUMPS I15:M15</t>
  </si>
  <si>
    <t>PZN2-P-139 A/B/C-V-02</t>
  </si>
  <si>
    <t>Source: PUMPS N15:R15</t>
  </si>
  <si>
    <t>PZN2-P-139 A/B/C-V-03</t>
  </si>
  <si>
    <t>Source: PUMPS S15:W15 – declined</t>
  </si>
  <si>
    <t>PZN2-P-139 A/B/C-V-04</t>
  </si>
  <si>
    <t>Source: PUMPS X15:AB15 – no reply</t>
  </si>
  <si>
    <t>PZN2-P-151 A/B-V-01</t>
  </si>
  <si>
    <t>Source: PUMPS I16:M16</t>
  </si>
  <si>
    <t>PZN2-P-151 A/B-V-02</t>
  </si>
  <si>
    <t>Source: PUMPS N16:R16</t>
  </si>
  <si>
    <t>PZN2-P-151 A/B-V-03</t>
  </si>
  <si>
    <t>Source: PUMPS S16:W16 – declined</t>
  </si>
  <si>
    <t>PZN2-P-151 A/B-V-04</t>
  </si>
  <si>
    <t>Source: PUMPS X16:AB16 – no reply</t>
  </si>
  <si>
    <t>PZN2-P-161 A/B-V-01</t>
  </si>
  <si>
    <t>Source: PUMPS I17:M17</t>
  </si>
  <si>
    <t>PZN2-P-161 A/B-V-02</t>
  </si>
  <si>
    <t>Source: PUMPS N17:R17</t>
  </si>
  <si>
    <t>PZN2-P-161 A/B-V-03</t>
  </si>
  <si>
    <t>Source: PUMPS S17:W17 – declined</t>
  </si>
  <si>
    <t>PZN2-P-161 A/B-V-04</t>
  </si>
  <si>
    <t>Source: PUMPS X17:AB17 – no reply</t>
  </si>
  <si>
    <t>PZN2-P-162-V-01</t>
  </si>
  <si>
    <t>Source: PUMPS I18:M18</t>
  </si>
  <si>
    <t>PZN2-P-162-V-02</t>
  </si>
  <si>
    <t>Source: PUMPS N18:R18</t>
  </si>
  <si>
    <t>PZN2-P-162-V-03</t>
  </si>
  <si>
    <t>Source: PUMPS S18:W18 – declined</t>
  </si>
  <si>
    <t>PZN2-P-162-V-04</t>
  </si>
  <si>
    <t>Source: PUMPS X18:AB18 – no reply</t>
  </si>
  <si>
    <t>PZN2-P-163 A/B-V-01</t>
  </si>
  <si>
    <t>Source: PUMPS I19:M19 – declined</t>
  </si>
  <si>
    <t>PZN2-P-163 A/B-V-02</t>
  </si>
  <si>
    <t>Source: PUMPS N19:R19 – declined</t>
  </si>
  <si>
    <t>PZN2-P-163 A/B-V-03</t>
  </si>
  <si>
    <t>Source: PUMPS S19:W19 – declined</t>
  </si>
  <si>
    <t>PZN2-P-163 A/B-V-04</t>
  </si>
  <si>
    <t>Source: PUMPS X19:AB19 – no reply</t>
  </si>
  <si>
    <t>PZN2-P-164 A/B-V-01</t>
  </si>
  <si>
    <t>Source: PUMPS I20:M20</t>
  </si>
  <si>
    <t>PZN2-P-164 A/B-V-02</t>
  </si>
  <si>
    <t>Source: PUMPS N20:R20</t>
  </si>
  <si>
    <t>PZN2-P-164 A/B-V-03</t>
  </si>
  <si>
    <t>Source: PUMPS S20:W20 – declined</t>
  </si>
  <si>
    <t>PZN2-P-164 A/B-V-04</t>
  </si>
  <si>
    <t>Source: PUMPS X20:AB20 – no reply</t>
  </si>
  <si>
    <t>PZN2-P-165 A/B-V-01</t>
  </si>
  <si>
    <t>Source: PUMPS I21:M21</t>
  </si>
  <si>
    <t>PZN2-P-165 A/B-V-02</t>
  </si>
  <si>
    <t>Source: PUMPS N21:R21</t>
  </si>
  <si>
    <t>PZN2-P-165 A/B-V-03</t>
  </si>
  <si>
    <t>Source: PUMPS S21:W21 – declined</t>
  </si>
  <si>
    <t>PZN2-P-165 A/B-V-04</t>
  </si>
  <si>
    <t>Source: PUMPS X21:AB21 – no reply</t>
  </si>
  <si>
    <t>PZN2-P-171-V-01</t>
  </si>
  <si>
    <t>Source: PUMPS I22:M22</t>
  </si>
  <si>
    <t>PZN2-P-171-V-02</t>
  </si>
  <si>
    <t>Source: PUMPS N22:R22</t>
  </si>
  <si>
    <t>PZN2-P-171-V-03</t>
  </si>
  <si>
    <t>Source: PUMPS S22:W22 – declined</t>
  </si>
  <si>
    <t>PZN2-P-171-V-04</t>
  </si>
  <si>
    <t>Source: PUMPS X22:AB22 – no reply</t>
  </si>
  <si>
    <t>PZN2-P-191-V-01</t>
  </si>
  <si>
    <t>Source: PUMPS I23:M23</t>
  </si>
  <si>
    <t>PZN2-P-191-V-02</t>
  </si>
  <si>
    <t>Source: PUMPS N23:R23</t>
  </si>
  <si>
    <t>PZN2-P-191-V-03</t>
  </si>
  <si>
    <t>Source: PUMPS S23:W23 – declined</t>
  </si>
  <si>
    <t>PZN2-P-191-V-04</t>
  </si>
  <si>
    <t>Source: PUMPS X23:AB23 – no reply</t>
  </si>
  <si>
    <t>PZN2-P-192-V-01</t>
  </si>
  <si>
    <t>Source: PUMPS I24:M24</t>
  </si>
  <si>
    <t>PZN2-P-192-V-02</t>
  </si>
  <si>
    <t>Source: PUMPS N24:R24</t>
  </si>
  <si>
    <t>PZN2-P-192-V-03</t>
  </si>
  <si>
    <t>2025-02-21</t>
  </si>
  <si>
    <t>Source: PUMPS S24:W24</t>
  </si>
  <si>
    <t>PZN2-P-192-V-04</t>
  </si>
  <si>
    <t>Source: PUMPS X24:AB24 – no reply</t>
  </si>
  <si>
    <t>PZN2-P-193-V-01</t>
  </si>
  <si>
    <t>Source: PUMPS I25:M25</t>
  </si>
  <si>
    <t>PZN2-P-193-V-02</t>
  </si>
  <si>
    <t>Source: PUMPS N25:R25</t>
  </si>
  <si>
    <t>PZN2-P-193-V-03</t>
  </si>
  <si>
    <t>Source: PUMPS S25:W25</t>
  </si>
  <si>
    <t>PZN2-P-193-V-04</t>
  </si>
  <si>
    <t>Source: PUMPS X25:AB25 – no reply</t>
  </si>
  <si>
    <t>PZN2-P-194 A/B-V-01</t>
  </si>
  <si>
    <t>Source: PUMPS I26:M26</t>
  </si>
  <si>
    <t>PZN2-P-194 A/B-V-02</t>
  </si>
  <si>
    <t>Source: PUMPS N26:R26</t>
  </si>
  <si>
    <t>PZN2-P-194 A/B-V-03</t>
  </si>
  <si>
    <t>Source: PUMPS S26:W26</t>
  </si>
  <si>
    <t>PZN2-P-194 A/B-V-04</t>
  </si>
  <si>
    <t>Source: PUMPS X26:AB26 – no reply</t>
  </si>
  <si>
    <t>PZN2-P-210 A/B-V-01</t>
  </si>
  <si>
    <t>Source: PUMPS I27:M27 – declined</t>
  </si>
  <si>
    <t>PZN2-P-210 A/B-V-02</t>
  </si>
  <si>
    <t>Source: PUMPS N27:R27 – declined</t>
  </si>
  <si>
    <t>PZN2-P-210 A/B-V-03</t>
  </si>
  <si>
    <t>Source: PUMPS S27:W27 – declined</t>
  </si>
  <si>
    <t>PZN2-P-210 A/B-V-04</t>
  </si>
  <si>
    <t>Source: PUMPS X27:AB27 – no reply</t>
  </si>
  <si>
    <t>PZN2-P-211-V-01</t>
  </si>
  <si>
    <t>Source: PUMPS I28:M28 – declined</t>
  </si>
  <si>
    <t>PZN2-P-211-V-02</t>
  </si>
  <si>
    <t>Source: PUMPS N28:R28 – declined</t>
  </si>
  <si>
    <t>PZN2-P-211-V-03</t>
  </si>
  <si>
    <t>Source: PUMPS S28:W28 – declined</t>
  </si>
  <si>
    <t>PZN2-P-211-V-04</t>
  </si>
  <si>
    <t>Source: PUMPS X28:AB28 – no reply</t>
  </si>
  <si>
    <t>VENDOR_REGISTER – فهرست سازندگان و وضعیت AVL</t>
  </si>
  <si>
    <t>ردیف 5 نمونه است (خاکستری). ردیف‌های بعدی را تکمیل کنید؛ Vendor_ID در Master و Vendor_Quotes به‌صورت Dropdown از ستون A خوانده می‌شود.</t>
  </si>
  <si>
    <t>Vendor Name</t>
  </si>
  <si>
    <t>Country</t>
  </si>
  <si>
    <t>Origin</t>
  </si>
  <si>
    <t>AVL_Status</t>
  </si>
  <si>
    <t>Vendor_Rank</t>
  </si>
  <si>
    <t>Pump types supplied</t>
  </si>
  <si>
    <t>Licensor / OEM</t>
  </si>
  <si>
    <t>Notes</t>
  </si>
  <si>
    <t>(Example vendor)</t>
  </si>
  <si>
    <t>Iran</t>
  </si>
  <si>
    <t>Domestic (Licensed)</t>
  </si>
  <si>
    <t>NIOC/NISOC Approved</t>
  </si>
  <si>
    <t>Rank 1</t>
  </si>
  <si>
    <t>API 610 OH2/BB2</t>
  </si>
  <si>
    <t>(Licensor name)</t>
  </si>
  <si>
    <t>نمونه – حذف یا جایگزین کنید</t>
  </si>
  <si>
    <t>آریا سپهر کیهان</t>
  </si>
  <si>
    <t>Not checked</t>
  </si>
  <si>
    <t>Pazanan 2 pump inquiries (PC-ME 14040105, sheet PUMPS, cols I:AG)</t>
  </si>
  <si>
    <t>پمپیران</t>
  </si>
  <si>
    <t>کالای پمپ</t>
  </si>
  <si>
    <t>دالاهو پارس کیش (دمکو)</t>
  </si>
  <si>
    <t>FACTORS_ROT – ضرایب نرمال‌سازی (پیکربندی پایه: S-5، Seal Arr 1 / Plan 11 / Cat 2، موتور برقی، بدون NACE، Scope پایه)</t>
  </si>
  <si>
    <t>ستون D ضریب اولیه بر پایه قضاوت مهندسی است و کالیبره نشده. ضریب کالیبره را در ستون E (زرد) وارد کنید؛ ستون F خودکار جایگزین می‌شود.</t>
  </si>
  <si>
    <t>Key</t>
  </si>
  <si>
    <t>Group</t>
  </si>
  <si>
    <t>Option</t>
  </si>
  <si>
    <t>Provisional Factor</t>
  </si>
  <si>
    <t>Calibrated Factor (input)</t>
  </si>
  <si>
    <t>Used Factor</t>
  </si>
  <si>
    <t>Status</t>
  </si>
  <si>
    <t>MAT</t>
  </si>
  <si>
    <t>API 610 material class – base S-5 = 1.00 | بدنه چدن، پروانه چدن؛ رینگ چدن؛ شفت فولاد کربنی</t>
  </si>
  <si>
    <t>API 610 material class – base S-5 = 1.00 | بدنه چدن، پروانه برنز؛ رینگ برنز؛ شفت فولاد کربنی</t>
  </si>
  <si>
    <t>API 610 material class – base S-5 = 1.00 | بدنه فولاد کربنی، پروانه چدن؛ رینگ چدن؛ شفت فولاد کربنی</t>
  </si>
  <si>
    <t>API 610 material class – base S-5 = 1.00 | بدنه فولاد کربنی، پروانه نی‌رزیست (چدن آلیاژی نیکل‌دار)؛ رینگ نی‌رزیست؛ شفت AISI 4140</t>
  </si>
  <si>
    <t>API 610 material class – base S-5 = 1.00 | بدنه فولاد کربنی، پروانه فولاد کربنی؛ رینگ چدن؛ شفت فولاد کربنی</t>
  </si>
  <si>
    <t>API 610 material class – base S-5 = 1.00 | بدنه فولاد کربنی، پروانه فولاد کربنی؛ رینگ کروم ۱۲٪ سخت‌شده؛ شفت AISI 4140</t>
  </si>
  <si>
    <t>API 610 material class – base S-5 = 1.00 | بدنه فولاد کربنی، پروانه کروم ۱۲٪؛ رینگ کروم ۱۲٪ سخت‌شده؛ شفت کروم ۱۲٪</t>
  </si>
  <si>
    <t>API 610 material class – base S-5 = 1.00 | بدنه فولاد کربنی، پروانه فولاد ضدزنگ 316؛ رینگ 316 با روکش سخت؛ شفت 316</t>
  </si>
  <si>
    <t>API 610 material class – base S-5 = 1.00 | بدنه فولاد کربنی، پروانه آلیاژ نیکل‌-مس؛ رینگ نیکل‌-مس؛ شفت نیکل‌-مس</t>
  </si>
  <si>
    <t>API 610 material class – base S-5 = 1.00 | بدنه کروم ۱۲٪، پروانه کروم ۱۲٪؛ رینگ کروم ۱۲٪ سخت‌شده؛ شفت کروم ۱۲٪</t>
  </si>
  <si>
    <t>API 610 material class – base S-5 = 1.00 | بدنه فولاد ضدزنگ آستنیتی، پروانه فولاد ضدزنگ آستنیتی؛ رینگ با روکش سخت؛ شفت آستنیتی</t>
  </si>
  <si>
    <t>API 610 material class – base S-5 = 1.00 | بدنه فولاد ضدزنگ 316، پروانه فولاد ضدزنگ 316؛ رینگ با روکش سخت؛ شفت 316</t>
  </si>
  <si>
    <t>API 610 material class – base S-5 = 1.00 | بدنه داپلکس، پروانه داپلکس؛ رینگ با روکش سخت؛ شفت داپلکس</t>
  </si>
  <si>
    <t>API 610 material class – base S-5 = 1.00 | بدنه سوپرداپلکس، پروانه سوپرداپلکس؛ رینگ با روکش سخت؛ شفت سوپرداپلکس</t>
  </si>
  <si>
    <t>API 610 material class – base S-5 = 1.00 | بدنه فولاد ضدزنگ 316L، پروانه فولاد ضدزنگ 316L؛ —</t>
  </si>
  <si>
    <t>API 610 material class – base S-5 = 1.00</t>
  </si>
  <si>
    <t>SEAL_ARR</t>
  </si>
  <si>
    <t>Packing</t>
  </si>
  <si>
    <t>Seal type / API 682 arrangement – base Arr 1 = 1.00</t>
  </si>
  <si>
    <t>Arr 1 - Single</t>
  </si>
  <si>
    <t>Seal type / API 682 arrangement – base Arr 1 = 1.00 | Base</t>
  </si>
  <si>
    <t>Arr 3 - Dual Pressurized</t>
  </si>
  <si>
    <t>Sealless - Magnetic Drive</t>
  </si>
  <si>
    <t>Sealless - Canned Motor</t>
  </si>
  <si>
    <t>Seal type / API 682 arrangement – base Arr 1 = 1.00 | Neutral</t>
  </si>
  <si>
    <t>SEAL_CAT</t>
  </si>
  <si>
    <t>Cat 1</t>
  </si>
  <si>
    <t>API 682 category – base Cat 2 = 1.00</t>
  </si>
  <si>
    <t>API 682 category – base Cat 2 = 1.00 | Base</t>
  </si>
  <si>
    <t>Cat 3</t>
  </si>
  <si>
    <t>N/A</t>
  </si>
  <si>
    <t>SEAL_PLAN</t>
  </si>
  <si>
    <t>01</t>
  </si>
  <si>
    <t>API 682 seal plan – base Plan 11 = 1.00</t>
  </si>
  <si>
    <t>02</t>
  </si>
  <si>
    <t>11</t>
  </si>
  <si>
    <t>API 682 seal plan – base Plan 11 = 1.00 | Base</t>
  </si>
  <si>
    <t>13</t>
  </si>
  <si>
    <t>14</t>
  </si>
  <si>
    <t>21</t>
  </si>
  <si>
    <t>23</t>
  </si>
  <si>
    <t>32</t>
  </si>
  <si>
    <t>52</t>
  </si>
  <si>
    <t>53A</t>
  </si>
  <si>
    <t>53B</t>
  </si>
  <si>
    <t>53C</t>
  </si>
  <si>
    <t>54</t>
  </si>
  <si>
    <t>62</t>
  </si>
  <si>
    <t>65A</t>
  </si>
  <si>
    <t>72/76</t>
  </si>
  <si>
    <t>11+53B</t>
  </si>
  <si>
    <t>23+53B</t>
  </si>
  <si>
    <t>API 682 seal plan – base Plan 11 = 1.00 | Neutral</t>
  </si>
  <si>
    <t>DRV</t>
  </si>
  <si>
    <t>Driver type – base electric motor = 1.00 | Base</t>
  </si>
  <si>
    <t>Driver type – base electric motor = 1.00</t>
  </si>
  <si>
    <t>Steam Turbine</t>
  </si>
  <si>
    <t>Air / Pneumatic</t>
  </si>
  <si>
    <t>NACE</t>
  </si>
  <si>
    <t>NACE MR0175 / ISO 15156 compliance</t>
  </si>
  <si>
    <t>NACE MR0175 / ISO 15156 compliance | Base</t>
  </si>
  <si>
    <t>SC_DRV</t>
  </si>
  <si>
    <t>Scope: driver included (base = Y) | Base</t>
  </si>
  <si>
    <t>Scope: driver included (base = Y) | Bare-shaft pump</t>
  </si>
  <si>
    <t>Scope: driver included (base = Y)</t>
  </si>
  <si>
    <t>SC_BSP</t>
  </si>
  <si>
    <t>Scope: baseplate &amp; coupling (base = Y) | Base</t>
  </si>
  <si>
    <t>Scope: baseplate &amp; coupling (base = Y)</t>
  </si>
  <si>
    <t>SC_SEAL</t>
  </si>
  <si>
    <t>Scope: seal support system (base = Y) | Base</t>
  </si>
  <si>
    <t>Scope: seal support system (base = Y)</t>
  </si>
  <si>
    <t>SC_COMM</t>
  </si>
  <si>
    <t>Scope: commissioning spares (base = Y) | Base</t>
  </si>
  <si>
    <t>Scope: commissioning spares (base = Y)</t>
  </si>
  <si>
    <t>SC_2Y</t>
  </si>
  <si>
    <t>Scope: 2-year spares (base = N)</t>
  </si>
  <si>
    <t>Scope: 2-year spares (base = N) | Base</t>
  </si>
  <si>
    <t>SC_TPI</t>
  </si>
  <si>
    <t>Scope: third-party inspection (base = N)</t>
  </si>
  <si>
    <t>Scope: third-party inspection (base = N) | Base</t>
  </si>
  <si>
    <t>SC_FAT</t>
  </si>
  <si>
    <t>Scope: witnessed FAT (base = N)</t>
  </si>
  <si>
    <t>Scope: witnessed FAT (base = N) | Base</t>
  </si>
  <si>
    <t>LOOKUP CODES – منبع همه Dropdownها</t>
  </si>
  <si>
    <t>برای افزودن گزینه، مقدار را به انتهای ستون اضافه کنید (محدوده تا ردیف 60). گزینه‌های دارای ضریب باید در Factors_ROT هم اضافه شوند.</t>
  </si>
  <si>
    <t>SubCat</t>
  </si>
  <si>
    <t>Std</t>
  </si>
  <si>
    <t>IPS</t>
  </si>
  <si>
    <t>Family</t>
  </si>
  <si>
    <t>API610</t>
  </si>
  <si>
    <t>Power_Basis</t>
  </si>
  <si>
    <t>YN</t>
  </si>
  <si>
    <t>YNS</t>
  </si>
  <si>
    <t>Year</t>
  </si>
  <si>
    <t>Phase</t>
  </si>
  <si>
    <t>AVL</t>
  </si>
  <si>
    <t>Rank</t>
  </si>
  <si>
    <t>TBE</t>
  </si>
  <si>
    <t>SRCH_Project</t>
  </si>
  <si>
    <t>SRCH_SubCat</t>
  </si>
  <si>
    <t>SRCH_Service</t>
  </si>
  <si>
    <t>SRCH_Std</t>
  </si>
  <si>
    <t>SRCH_Family</t>
  </si>
  <si>
    <t>SRCH_API610</t>
  </si>
  <si>
    <t>SRCH_MAT</t>
  </si>
  <si>
    <t>SRCH_YNS</t>
  </si>
  <si>
    <t>SRCH_SEAL_ARR</t>
  </si>
  <si>
    <t>SRCH_DRV</t>
  </si>
  <si>
    <t>SRCH_Year</t>
  </si>
  <si>
    <t>SRCH_YN</t>
  </si>
  <si>
    <t>Motor Rated</t>
  </si>
  <si>
    <t>Conceptual</t>
  </si>
  <si>
    <t>Domestic</t>
  </si>
  <si>
    <t>API 674</t>
  </si>
  <si>
    <t>Import</t>
  </si>
  <si>
    <t>Conditional</t>
  </si>
  <si>
    <t>Rank 2</t>
  </si>
  <si>
    <t>API 675</t>
  </si>
  <si>
    <t>Non-AVL</t>
  </si>
  <si>
    <t>Rank 3</t>
  </si>
  <si>
    <t>Detail Engineering</t>
  </si>
  <si>
    <t>ISO 13709</t>
  </si>
  <si>
    <t>Tender / Procurement</t>
  </si>
  <si>
    <t>EPC Contract</t>
  </si>
  <si>
    <t>ISO 2858</t>
  </si>
  <si>
    <t>PD-Reciprocating (Plunger)</t>
  </si>
  <si>
    <t>Metering (Diaphragm)</t>
  </si>
  <si>
    <t>Metering (Plunger)</t>
  </si>
  <si>
    <t>Manufacturer Std</t>
  </si>
  <si>
    <t>Jet / Eductor</t>
  </si>
  <si>
    <t>Other</t>
  </si>
  <si>
    <t>ESCALATION_INDEX – شاخص قیمت تولیدکننده پمپ (Eurostat sts_inppd_a, NACE C28.13, EA20)</t>
  </si>
  <si>
    <t>Source: Pump_Escalation_Validation.xlsx, sheet Indices, Table 3 (C51:C71) = Jalali-year blend of Eurostat sts_inppd_a, NACE C28.13, EA20 (2021=100): PPI(Jalali Y) = 0.79×PPI(Y+621) + 0.21×PPI(Y+622) (Indices C3). CPI is not used.</t>
  </si>
  <si>
    <t>Jalali Year</t>
  </si>
  <si>
    <t>PPI C28.13 EA20 (2021=100), Jalali-year blend</t>
  </si>
  <si>
    <t>Gregorian ref.</t>
  </si>
  <si>
    <t>Source / status</t>
  </si>
  <si>
    <t>2006 (79%) / 2007 (21%)</t>
  </si>
  <si>
    <t>Eurostat sts_inppd_a (imputed before 2018) | Pump_Escalation_Validation.xlsx Indices C51</t>
  </si>
  <si>
    <t>2007 (79%) / 2008 (21%)</t>
  </si>
  <si>
    <t>Eurostat sts_inppd_a (imputed before 2018) | Pump_Escalation_Validation.xlsx Indices C52</t>
  </si>
  <si>
    <t>2008 (79%) / 2009 (21%)</t>
  </si>
  <si>
    <t>Eurostat sts_inppd_a (imputed before 2018) | Pump_Escalation_Validation.xlsx Indices C53</t>
  </si>
  <si>
    <t>2009 (79%) / 2010 (21%)</t>
  </si>
  <si>
    <t>Eurostat sts_inppd_a (imputed before 2018) | Pump_Escalation_Validation.xlsx Indices C54</t>
  </si>
  <si>
    <t>2010 (79%) / 2011 (21%)</t>
  </si>
  <si>
    <t>Eurostat sts_inppd_a (imputed before 2018) | Pump_Escalation_Validation.xlsx Indices C55</t>
  </si>
  <si>
    <t>2011 (79%) / 2012 (21%)</t>
  </si>
  <si>
    <t>Eurostat sts_inppd_a (imputed before 2018) | Pump_Escalation_Validation.xlsx Indices C56</t>
  </si>
  <si>
    <t>2012 (79%) / 2013 (21%)</t>
  </si>
  <si>
    <t>Eurostat sts_inppd_a (imputed before 2018) | Pump_Escalation_Validation.xlsx Indices C57</t>
  </si>
  <si>
    <t>2013 (79%) / 2014 (21%)</t>
  </si>
  <si>
    <t>Eurostat sts_inppd_a (imputed before 2018) | Pump_Escalation_Validation.xlsx Indices C58</t>
  </si>
  <si>
    <t>2014 (79%) / 2015 (21%)</t>
  </si>
  <si>
    <t>Eurostat sts_inppd_a (imputed before 2018) | Pump_Escalation_Validation.xlsx Indices C59</t>
  </si>
  <si>
    <t>2015 (79%) / 2016 (21%)</t>
  </si>
  <si>
    <t>Eurostat sts_inppd_a (imputed before 2018) | Pump_Escalation_Validation.xlsx Indices C60</t>
  </si>
  <si>
    <t>2016 (79%) / 2017 (21%)</t>
  </si>
  <si>
    <t>Eurostat sts_inppd_a (imputed before 2018) | Pump_Escalation_Validation.xlsx Indices C61</t>
  </si>
  <si>
    <t>2017 (79%) / 2018 (21%)</t>
  </si>
  <si>
    <t>Eurostat sts_inppd_a (imputed before 2018) | Pump_Escalation_Validation.xlsx Indices C62</t>
  </si>
  <si>
    <t>2018 (79%) / 2019 (21%)</t>
  </si>
  <si>
    <t>Eurostat sts_inppd_a | Pump_Escalation_Validation.xlsx Indices C63</t>
  </si>
  <si>
    <t>2019 (79%) / 2020 (21%)</t>
  </si>
  <si>
    <t>Eurostat sts_inppd_a | Pump_Escalation_Validation.xlsx Indices C64</t>
  </si>
  <si>
    <t>2020 (79%) / 2021 (21%)</t>
  </si>
  <si>
    <t>Eurostat sts_inppd_a | Pump_Escalation_Validation.xlsx Indices C65</t>
  </si>
  <si>
    <t>2021 (79%) / 2022 (21%)</t>
  </si>
  <si>
    <t>Eurostat sts_inppd_a | Pump_Escalation_Validation.xlsx Indices C66</t>
  </si>
  <si>
    <t>2022 (79%) / 2023 (21%)</t>
  </si>
  <si>
    <t>Eurostat sts_inppd_a | Pump_Escalation_Validation.xlsx Indices C67</t>
  </si>
  <si>
    <t>2023 (79%) / 2024 (21%)</t>
  </si>
  <si>
    <t>Eurostat sts_inppd_a | Pump_Escalation_Validation.xlsx Indices C68</t>
  </si>
  <si>
    <t>2024 (79%) / 2025 (21%)</t>
  </si>
  <si>
    <t>Eurostat sts_inppd_a | Pump_Escalation_Validation.xlsx Indices C69</t>
  </si>
  <si>
    <t>2025 (79%) / 2026 (21%)</t>
  </si>
  <si>
    <t>Eurostat 2025 (79%) + 2026 forecast (21%) | Pump_Escalation_Validation.xlsx Indices C70</t>
  </si>
  <si>
    <t>2026 (79%) / 2027 (21%)</t>
  </si>
  <si>
    <t>FORECAST – 2026 not yet published; +2%/yr trend (Indices C4); 21% weight of 2027 also forecast | Pump_Escalation_Validation.xlsx Indices C71</t>
  </si>
  <si>
    <t>ASSUMPTIONS &amp; FX REFERENCE – نرخ تسعیر و پارامترهای تعدیل</t>
  </si>
  <si>
    <t>جدول FX از Pumps_Price_Bank_Final_Updated_v2 منتقل شده است (فقط سال‌های دارای مرجع در ستون E تأییدشده‌اند). پارامترهای زرد ورودی کاربر هستند.</t>
  </si>
  <si>
    <t>USD → IRR</t>
  </si>
  <si>
    <t>EUR → IRR</t>
  </si>
  <si>
    <t>EUR / USD Ratio</t>
  </si>
  <si>
    <t>Basis / Document Reference Source</t>
  </si>
  <si>
    <t>Parameter</t>
  </si>
  <si>
    <t>Value</t>
  </si>
  <si>
    <t>Note</t>
  </si>
  <si>
    <t>(not found in the source files – add if needed)</t>
  </si>
  <si>
    <t>Target Year (سال هدف تعدیل)</t>
  </si>
  <si>
    <t>Dropdown. سال ۱۴۰۵ در Escalation_Index پیش‌بینی است.</t>
  </si>
  <si>
    <t>Target EUR→IRR (auto)</t>
  </si>
  <si>
    <t>از جدول FX</t>
  </si>
  <si>
    <t>Target EUR→IRR override (optional)</t>
  </si>
  <si>
    <t>نرخ روز را در صورت نیاز وارد کنید</t>
  </si>
  <si>
    <t>Target EUR→IRR used</t>
  </si>
  <si>
    <t>Target USD→IRR (auto)</t>
  </si>
  <si>
    <t>Target USD→IRR override (optional)</t>
  </si>
  <si>
    <t>Target USD→IRR used</t>
  </si>
  <si>
    <t>EUR: free-market euro rate 42,000 (label 'نرخ آزاد یورو', Maroon3 sheets p.lab.1392 / SEFTY.p.1392).</t>
  </si>
  <si>
    <t>PPI target year (C28.13 EA20)</t>
  </si>
  <si>
    <t>EUR: 40,530.8 – Maroon3 sheet Inflation, label 'نرخ تسعیر ارز سال 93' (currency not written in the label; presumed EUR – verify).</t>
  </si>
  <si>
    <t>Price floor, EUR (API 610 centrifugal, class S/D)</t>
  </si>
  <si>
    <t>روش تأییدشده تعدیل پمپ (مهر ۱۴۰۵)</t>
  </si>
  <si>
    <t>Floor base year</t>
  </si>
  <si>
    <t>PPI of floor base year</t>
  </si>
  <si>
    <t>Cost-capacity exponent n (price ∝ kW^n)</t>
  </si>
  <si>
    <t>Provisional – calibrate</t>
  </si>
  <si>
    <t>Pump efficiency for estimated kW</t>
  </si>
  <si>
    <t>kW ≈ Q[m³/h]·H[m] / (367·η)؛ آب با SG=1 فرض شده</t>
  </si>
  <si>
    <t>USD: 420,000 – Gachsaran4 sheet Procurement 'ارز مرجع' (PEP Rev. 1402/05).</t>
  </si>
  <si>
    <t>USD: 658,533 = cached external-link value used by Pazanan2 formulas (assumed IRR per USD; verify). EUR = USD x 1.0558 (cached ratio) – derived.</t>
  </si>
  <si>
    <t>EUR: 2,000,000 – Maroon3 sheet Inflation, label 'یورو به ریال' (1405 estimate). USD = EUR / 1.1 (same sheet) – derived. | اصلاح: فرمول دوری B25↔D25 حذف و USD = EUR/1.1 مستقیم شد.</t>
  </si>
  <si>
    <t>VERIFICATION LOG – صحت‌سنجی فیلدبه‌فیلد با فایل‌های مرجع</t>
  </si>
  <si>
    <t>هر ردیف یک فیلد از یک رکورد است که مستقیماً با سلول فایل مرجع مقایسه شده (نه با بانک قدیم). مراجع: KPL-476 R03، PEP-Rev.140205 گچساران، PC-ME 14040105 پازنان ۲، 18061405_Pump_only_CSV.csv، نمونه قیمتی نمک‌زدایی.</t>
  </si>
  <si>
    <t>Result</t>
  </si>
  <si>
    <t>Count</t>
  </si>
  <si>
    <t>معنی</t>
  </si>
  <si>
    <t>Match</t>
  </si>
  <si>
    <t>مطابق مرجع</t>
  </si>
  <si>
    <t>Inferred – marked</t>
  </si>
  <si>
    <t>در مرجع نیست؛ استنباطی و زرد شده (دلیل در Note سلول)</t>
  </si>
  <si>
    <t>Derived – marked</t>
  </si>
  <si>
    <t>محاسبه‌شده از داده مرجع (مثلاً هد از اختلاف فشار)؛ زرد شده</t>
  </si>
  <si>
    <t>Match (INS-PUMP sheet name)</t>
  </si>
  <si>
    <t>نام مطابق شیت INS-PUMP همان گزارش (دقیق‌تر از شیت PUMPS)</t>
  </si>
  <si>
    <t>Total checks</t>
  </si>
  <si>
    <t>Field</t>
  </si>
  <si>
    <t>Bank value</t>
  </si>
  <si>
    <t>Source value</t>
  </si>
  <si>
    <t>Source reference</t>
  </si>
  <si>
    <t>CSV line 5 col C</t>
  </si>
  <si>
    <t>CSV line 5 col E</t>
  </si>
  <si>
    <t>CSV line 5 col G</t>
  </si>
  <si>
    <t>CSV line 5 col H</t>
  </si>
  <si>
    <t>CSV line 5 col F</t>
  </si>
  <si>
    <t>CSV line 5 col I</t>
  </si>
  <si>
    <t>Unit Price</t>
  </si>
  <si>
    <t>CSV line 6 col C</t>
  </si>
  <si>
    <t>CSV line 6 col E</t>
  </si>
  <si>
    <t>CSV line 6 col G</t>
  </si>
  <si>
    <t>CSV line 6 col H</t>
  </si>
  <si>
    <t>CSV line 6 col F</t>
  </si>
  <si>
    <t>CSV line 6 col I</t>
  </si>
  <si>
    <t>CSV line 7 col C</t>
  </si>
  <si>
    <t>CSV line 7 col E</t>
  </si>
  <si>
    <t>CSV line 7 col G</t>
  </si>
  <si>
    <t>CSV line 7 col H</t>
  </si>
  <si>
    <t>CSV line 7 col F</t>
  </si>
  <si>
    <t>CSV line 7 col I</t>
  </si>
  <si>
    <t>CSV line 8 col C</t>
  </si>
  <si>
    <t>CSV line 8 col E</t>
  </si>
  <si>
    <t>CSV line 8 col G</t>
  </si>
  <si>
    <t>CSV line 8 col H</t>
  </si>
  <si>
    <t>CSV line 8 col F</t>
  </si>
  <si>
    <t>CSV line 8 col I</t>
  </si>
  <si>
    <t>CSV line 9 col C</t>
  </si>
  <si>
    <t>CSV line 9 col E</t>
  </si>
  <si>
    <t>CSV line 9 col G</t>
  </si>
  <si>
    <t>CSV line 9 col H</t>
  </si>
  <si>
    <t>CSV line 9 col F</t>
  </si>
  <si>
    <t>CSV line 9 col I</t>
  </si>
  <si>
    <t>CSV line 10 col C</t>
  </si>
  <si>
    <t>CSV line 10 col E</t>
  </si>
  <si>
    <t>CSV line 10 col G</t>
  </si>
  <si>
    <t>CSV line 10 col H</t>
  </si>
  <si>
    <t>CSV line 10 col F</t>
  </si>
  <si>
    <t>CSV line 10 col I</t>
  </si>
  <si>
    <t>CSV line 11 col C</t>
  </si>
  <si>
    <t>CSV line 11 col E</t>
  </si>
  <si>
    <t>CSV line 11 col G</t>
  </si>
  <si>
    <t>CSV line 11 col H</t>
  </si>
  <si>
    <t>CSV line 11 col F</t>
  </si>
  <si>
    <t>CSV line 11 col I</t>
  </si>
  <si>
    <t>CSV line 12 col C</t>
  </si>
  <si>
    <t>CSV line 12 col E</t>
  </si>
  <si>
    <t>CSV line 12 col G</t>
  </si>
  <si>
    <t>CSV line 12 col H</t>
  </si>
  <si>
    <t>CSV line 12 col F</t>
  </si>
  <si>
    <t>CSV line 12 col I</t>
  </si>
  <si>
    <t>CSV line 13 col C</t>
  </si>
  <si>
    <t>CSV line 13 col E</t>
  </si>
  <si>
    <t>CSV line 13 col G</t>
  </si>
  <si>
    <t>CSV line 13 col H</t>
  </si>
  <si>
    <t>CSV line 13 col F</t>
  </si>
  <si>
    <t>CSV line 13 col I</t>
  </si>
  <si>
    <t>CSV line 14 col C</t>
  </si>
  <si>
    <t>CSV line 14 col E</t>
  </si>
  <si>
    <t>CSV line 14 col G</t>
  </si>
  <si>
    <t>CSV line 14 col H</t>
  </si>
  <si>
    <t>CSV line 14 col F</t>
  </si>
  <si>
    <t>CSV line 14 col I</t>
  </si>
  <si>
    <t>CSV line 15 col C</t>
  </si>
  <si>
    <t>Sliding valve</t>
  </si>
  <si>
    <t>CSV line 15 col E</t>
  </si>
  <si>
    <t>CSV line 15 col G</t>
  </si>
  <si>
    <t>CSV line 15 col H</t>
  </si>
  <si>
    <t>CSV line 15 col F</t>
  </si>
  <si>
    <t>CSV line 15 col I</t>
  </si>
  <si>
    <t>CSV line 16 col C</t>
  </si>
  <si>
    <t>Screw</t>
  </si>
  <si>
    <t>CSV line 16 col E</t>
  </si>
  <si>
    <t>CSV line 16 col G</t>
  </si>
  <si>
    <t>CSV line 16 col H</t>
  </si>
  <si>
    <t>CSV line 16 col F</t>
  </si>
  <si>
    <t>CSV line 16 col I</t>
  </si>
  <si>
    <t>CSV line 17 col C</t>
  </si>
  <si>
    <t>CSV line 17 col E</t>
  </si>
  <si>
    <t>CSV line 17 col G</t>
  </si>
  <si>
    <t>CSV line 17 col H</t>
  </si>
  <si>
    <t>CSV line 17 col F</t>
  </si>
  <si>
    <t>CSV line 17 col I</t>
  </si>
  <si>
    <t>CSV line 18 col C</t>
  </si>
  <si>
    <t>CSV line 18 col E</t>
  </si>
  <si>
    <t>CSV line 18 col G</t>
  </si>
  <si>
    <t>CSV line 18 col H</t>
  </si>
  <si>
    <t>CSV line 18 col F</t>
  </si>
  <si>
    <t>CSV line 18 col I</t>
  </si>
  <si>
    <t>P.ME!D11</t>
  </si>
  <si>
    <t>P.ME!G11</t>
  </si>
  <si>
    <t>(not stated)</t>
  </si>
  <si>
    <t>P.ME!E11</t>
  </si>
  <si>
    <t>P.ME!H11</t>
  </si>
  <si>
    <t>P.ME!D12</t>
  </si>
  <si>
    <t>P.ME!G12</t>
  </si>
  <si>
    <t>P.ME!E12</t>
  </si>
  <si>
    <t>P.ME!H12</t>
  </si>
  <si>
    <t>P.ME!D13</t>
  </si>
  <si>
    <t>P.ME!G13</t>
  </si>
  <si>
    <t>P.ME!E13</t>
  </si>
  <si>
    <t>P.ME!H13</t>
  </si>
  <si>
    <t>P.ME!D14</t>
  </si>
  <si>
    <t>P.ME!G14</t>
  </si>
  <si>
    <t>P.ME!E14</t>
  </si>
  <si>
    <t>P.ME!H14</t>
  </si>
  <si>
    <t>P.ME!D17</t>
  </si>
  <si>
    <t>P.ME!G17</t>
  </si>
  <si>
    <t>P.ME!E17</t>
  </si>
  <si>
    <t>P.ME!H17</t>
  </si>
  <si>
    <t>P.ME!D18</t>
  </si>
  <si>
    <t>P.ME!G18</t>
  </si>
  <si>
    <t>P.ME!E18</t>
  </si>
  <si>
    <t>P.ME!H18</t>
  </si>
  <si>
    <t>P.ME!D20</t>
  </si>
  <si>
    <t>P.ME!G20</t>
  </si>
  <si>
    <t>P.ME!E20</t>
  </si>
  <si>
    <t>P.ME!H20</t>
  </si>
  <si>
    <t>P.ME!D21</t>
  </si>
  <si>
    <t>P.ME!G21</t>
  </si>
  <si>
    <t>P.ME!E21</t>
  </si>
  <si>
    <t>P.ME!H21</t>
  </si>
  <si>
    <t>P.ME!D23</t>
  </si>
  <si>
    <t>P.ME!G23</t>
  </si>
  <si>
    <t>P.ME!E23</t>
  </si>
  <si>
    <t>P.ME!H23</t>
  </si>
  <si>
    <t>P.ME!D24</t>
  </si>
  <si>
    <t>P.ME!G24</t>
  </si>
  <si>
    <t>P.ME!E24</t>
  </si>
  <si>
    <t>P.ME!H24</t>
  </si>
  <si>
    <t>P.ME!D25</t>
  </si>
  <si>
    <t>P.ME!G25</t>
  </si>
  <si>
    <t>P.ME!E25</t>
  </si>
  <si>
    <t>P.ME!H25</t>
  </si>
  <si>
    <t>P.ME!D36</t>
  </si>
  <si>
    <t>P.ME!G36</t>
  </si>
  <si>
    <t>P.ME!E36</t>
  </si>
  <si>
    <t>P.ME!H36</t>
  </si>
  <si>
    <t>P.ME!D46</t>
  </si>
  <si>
    <t>P.ME!G46</t>
  </si>
  <si>
    <t>P.ME!E46</t>
  </si>
  <si>
    <t>P.ME!H46</t>
  </si>
  <si>
    <t>P.ME!D50</t>
  </si>
  <si>
    <t>P.ME!G50</t>
  </si>
  <si>
    <t>P.ME!E50</t>
  </si>
  <si>
    <t>P.ME!H50</t>
  </si>
  <si>
    <t>P.ME!D51</t>
  </si>
  <si>
    <t>P.ME!G51</t>
  </si>
  <si>
    <t>P.ME!E51</t>
  </si>
  <si>
    <t>P.ME!H51</t>
  </si>
  <si>
    <t>P.ME!D53</t>
  </si>
  <si>
    <t>P.ME!G53</t>
  </si>
  <si>
    <t>P.ME!E53</t>
  </si>
  <si>
    <t>P.ME!H53</t>
  </si>
  <si>
    <t>P.ME!D54</t>
  </si>
  <si>
    <t>P.ME!G54</t>
  </si>
  <si>
    <t>P.ME!E54</t>
  </si>
  <si>
    <t>P.ME!H54</t>
  </si>
  <si>
    <t>P.ME!D55</t>
  </si>
  <si>
    <t>P.ME!G55</t>
  </si>
  <si>
    <t>P.ME!E55</t>
  </si>
  <si>
    <t>P.ME!H55</t>
  </si>
  <si>
    <t>P.ME!D57</t>
  </si>
  <si>
    <t>P.ME!G57</t>
  </si>
  <si>
    <t>P.ME!E57</t>
  </si>
  <si>
    <t>P.ME!H57</t>
  </si>
  <si>
    <t>P.ME!D58</t>
  </si>
  <si>
    <t>P.ME!G58</t>
  </si>
  <si>
    <t>P.ME!E58</t>
  </si>
  <si>
    <t>P.ME!H58</t>
  </si>
  <si>
    <t>P.ME!D60</t>
  </si>
  <si>
    <t>P.ME!G60</t>
  </si>
  <si>
    <t>P.ME!E60</t>
  </si>
  <si>
    <t>P.ME!H60</t>
  </si>
  <si>
    <t>P.ME!D61</t>
  </si>
  <si>
    <t>P.ME!G61</t>
  </si>
  <si>
    <t>P.ME!E61</t>
  </si>
  <si>
    <t>name: electric</t>
  </si>
  <si>
    <t>P.ME!H61</t>
  </si>
  <si>
    <t>P.ME!D62</t>
  </si>
  <si>
    <t>P.ME!G62</t>
  </si>
  <si>
    <t>P.ME!E62</t>
  </si>
  <si>
    <t>name: diesel</t>
  </si>
  <si>
    <t>P.ME!H62</t>
  </si>
  <si>
    <t>P.ME!D63</t>
  </si>
  <si>
    <t>P.ME!G63</t>
  </si>
  <si>
    <t>P.ME!E63</t>
  </si>
  <si>
    <t>P.ME!H63</t>
  </si>
  <si>
    <t>P.ME!D64</t>
  </si>
  <si>
    <t>P.ME!G64</t>
  </si>
  <si>
    <t>P.ME!E64</t>
  </si>
  <si>
    <t>P.ME!H64</t>
  </si>
  <si>
    <t>P.ME!D68</t>
  </si>
  <si>
    <t>P.ME!G68</t>
  </si>
  <si>
    <t>P.ME!E68</t>
  </si>
  <si>
    <t>P.ME!H68</t>
  </si>
  <si>
    <t>PUMPS-A (1)!F19</t>
  </si>
  <si>
    <t>PUMPS-A (1)!R19</t>
  </si>
  <si>
    <t>Centrifugal (OH2)</t>
  </si>
  <si>
    <t>PUMPS-A (1)!F20</t>
  </si>
  <si>
    <t>D1</t>
  </si>
  <si>
    <t>PUMPS-A (1)!F24</t>
  </si>
  <si>
    <t>PUMPS-A (1)!F21</t>
  </si>
  <si>
    <t>PUMPS-A (1)!F22</t>
  </si>
  <si>
    <t>PUMPS-A (1)!F23</t>
  </si>
  <si>
    <t>(no NACE line)</t>
  </si>
  <si>
    <t>Standard / IPS</t>
  </si>
  <si>
    <t>API 610 + IPS-G-PM-105</t>
  </si>
  <si>
    <t>API 610 &amp; IPS-G-PM-105</t>
  </si>
  <si>
    <t>PUMPS-A (1)!F25</t>
  </si>
  <si>
    <t>PUMPS-A (1)!AK19</t>
  </si>
  <si>
    <t>PUMPS-A (1)!F27</t>
  </si>
  <si>
    <t>PUMPS-A (1)!R27</t>
  </si>
  <si>
    <t>PUMPS-A (1)!F28</t>
  </si>
  <si>
    <t>PUMPS-A (1)!F32</t>
  </si>
  <si>
    <t>PUMPS-A (1)!F29</t>
  </si>
  <si>
    <t>PUMPS-A (1)!F30</t>
  </si>
  <si>
    <t>PUMPS-A (1)!F31</t>
  </si>
  <si>
    <t>PUMPS-A (1)!F33</t>
  </si>
  <si>
    <t>PUMPS-A (1)!AK27</t>
  </si>
  <si>
    <t>PUMPS-A (1)!F35</t>
  </si>
  <si>
    <t>PUMPS-A (1)!R35</t>
  </si>
  <si>
    <t>P.D.-Rotary (Ext. Gear)</t>
  </si>
  <si>
    <t>PUMPS-A (1)!F36</t>
  </si>
  <si>
    <t>PUMPS-A (1)!F39</t>
  </si>
  <si>
    <t>PUMPS-A (1)!F37</t>
  </si>
  <si>
    <t>PUMPS-A (1)!F38</t>
  </si>
  <si>
    <t>API 676 + IPS-M-PM-140</t>
  </si>
  <si>
    <t>API 676 &amp; IPS-M-PM-140</t>
  </si>
  <si>
    <t>PUMPS-A (1)!F40</t>
  </si>
  <si>
    <t>PUMPS-A (1)!AK35</t>
  </si>
  <si>
    <t>PUMPS-A (1)!F42</t>
  </si>
  <si>
    <t>PUMPS-A (1)!R42</t>
  </si>
  <si>
    <t>PUMPS-A (1)!F43</t>
  </si>
  <si>
    <t>D2</t>
  </si>
  <si>
    <t>PUMPS-A (1)!F47</t>
  </si>
  <si>
    <t>PUMPS-A (1)!F44</t>
  </si>
  <si>
    <t>PUMPS-A (1)!F45</t>
  </si>
  <si>
    <t>PUMPS-A (1)!F46</t>
  </si>
  <si>
    <t>PUMPS-A (1)!F48</t>
  </si>
  <si>
    <t>PUMPS-A (1)!AK42</t>
  </si>
  <si>
    <t>INS-PUMP-A (1)!AQ29</t>
  </si>
  <si>
    <t>PUMPS-A (2)!R19</t>
  </si>
  <si>
    <t>Centrifugal (BB3)</t>
  </si>
  <si>
    <t>PUMPS-A (2)!F20</t>
  </si>
  <si>
    <t>PUMPS-A (2)!F24</t>
  </si>
  <si>
    <t>PUMPS-A (2)!F21</t>
  </si>
  <si>
    <t>PUMPS-A (2)!F22</t>
  </si>
  <si>
    <t>PUMPS-A (2)!F23</t>
  </si>
  <si>
    <t>PUMPS-A (2)!F25</t>
  </si>
  <si>
    <t>PUMPS-A (2)!AK19</t>
  </si>
  <si>
    <t>INS-PUMP-A (1)!AQ31</t>
  </si>
  <si>
    <t>PUMPS-A (2)!R27</t>
  </si>
  <si>
    <t>PUMPS-A (2)!F28</t>
  </si>
  <si>
    <t>PUMPS-A (2)!F32</t>
  </si>
  <si>
    <t>PUMPS-A (2)!F29</t>
  </si>
  <si>
    <t>PUMPS-A (2)!F30</t>
  </si>
  <si>
    <t>PUMPS-A (2)!F31</t>
  </si>
  <si>
    <t>PUMPS-A (2)!F33</t>
  </si>
  <si>
    <t>PUMPS-A (2)!AK27</t>
  </si>
  <si>
    <t>PUMPS-A (2)!F35</t>
  </si>
  <si>
    <t>PUMPS-A (2)!R35</t>
  </si>
  <si>
    <t>PUMPS-A (2)!F36</t>
  </si>
  <si>
    <t>S5</t>
  </si>
  <si>
    <t>PUMPS-A (2)!F40</t>
  </si>
  <si>
    <t>PUMPS-A (2)!F37</t>
  </si>
  <si>
    <t>PUMPS-A (2)!F38</t>
  </si>
  <si>
    <t>PUMPS-A (2)!F39</t>
  </si>
  <si>
    <t>PUMPS-A (2)!F41</t>
  </si>
  <si>
    <t>PUMPS-A (2)!AK35</t>
  </si>
  <si>
    <t>PUMPS-A (2)!F43</t>
  </si>
  <si>
    <t>PUMPS-A (2)!R43</t>
  </si>
  <si>
    <t>PUMPS-A (2)!F44</t>
  </si>
  <si>
    <t>PUMPS-A (2)!F48</t>
  </si>
  <si>
    <t>PUMPS-A (2)!F45</t>
  </si>
  <si>
    <t>PUMPS-A (2)!F46</t>
  </si>
  <si>
    <t>PUMPS-A (2)!F47</t>
  </si>
  <si>
    <t>PUMPS-A (2)!F49</t>
  </si>
  <si>
    <t>PUMPS-A (2)!AK43</t>
  </si>
  <si>
    <t>PUMPS-A (3)!F19</t>
  </si>
  <si>
    <t>PUMPS-A (3)!R19</t>
  </si>
  <si>
    <t>PUMPS-A (3)!F20</t>
  </si>
  <si>
    <t>S6</t>
  </si>
  <si>
    <t>PUMPS-A (3)!F24</t>
  </si>
  <si>
    <t>PUMPS-A (3)!F21</t>
  </si>
  <si>
    <t>PUMPS-A (3)!F22</t>
  </si>
  <si>
    <t>PUMPS-A (3)!F23</t>
  </si>
  <si>
    <t>PUMPS-A (3)!F25</t>
  </si>
  <si>
    <t>PUMPS-A (3)!AK19</t>
  </si>
  <si>
    <t>PUMPS-A (3)!F27</t>
  </si>
  <si>
    <t>PUMPS-A (3)!R27</t>
  </si>
  <si>
    <t>P.D.-Rotary (Progressing Cavity)</t>
  </si>
  <si>
    <t>PUMPS-A (3)!F28</t>
  </si>
  <si>
    <t>PUMPS-A (3)!F31</t>
  </si>
  <si>
    <t>PUMPS-A (3)!F29</t>
  </si>
  <si>
    <t>PUMPS-A (3)!F30</t>
  </si>
  <si>
    <t>PUMPS-A (3)!F32</t>
  </si>
  <si>
    <t>PUMPS-A (3)!AK27</t>
  </si>
  <si>
    <t>PUMPS-A (3)!F34</t>
  </si>
  <si>
    <t>PUMPS-A (3)!R34</t>
  </si>
  <si>
    <t>PUMPS-A (3)!F35</t>
  </si>
  <si>
    <t>PUMPS-A (3)!F39</t>
  </si>
  <si>
    <t>PUMPS-A (3)!F36</t>
  </si>
  <si>
    <t>PUMPS-A (3)!F37</t>
  </si>
  <si>
    <t>PUMPS-A (3)!F38</t>
  </si>
  <si>
    <t>PUMPS-A (3)!F40</t>
  </si>
  <si>
    <t>PUMPS-A (3)!AK34</t>
  </si>
  <si>
    <t>PUMPS-A (3)!F42</t>
  </si>
  <si>
    <t>PUMPS-A (3)!R42</t>
  </si>
  <si>
    <t>PUMPS-A (3)!F43</t>
  </si>
  <si>
    <t>PUMPS-A (3)!F47</t>
  </si>
  <si>
    <t>PUMPS-A (3)!F44</t>
  </si>
  <si>
    <t>PUMPS-A (3)!F45</t>
  </si>
  <si>
    <t>PUMPS-A (3)!F46</t>
  </si>
  <si>
    <t>PUMPS-A (3)!F48</t>
  </si>
  <si>
    <t>PUMPS-A (3)!AK42</t>
  </si>
  <si>
    <t>DESALTERS-A!F32</t>
  </si>
  <si>
    <t>DESALTERS-A!F35</t>
  </si>
  <si>
    <t>DESALTERS-A!F33</t>
  </si>
  <si>
    <t>ΔP 4.4 bar</t>
  </si>
  <si>
    <t>DESALTERS-A!F34</t>
  </si>
  <si>
    <t>DESALTERS-A!F36</t>
  </si>
  <si>
    <t>priced inside package</t>
  </si>
  <si>
    <t>DESALTERS-A</t>
  </si>
  <si>
    <t>IWWTP-A (1)!F33</t>
  </si>
  <si>
    <t>IWWTP-A (1)!F34</t>
  </si>
  <si>
    <t>IWWTP-A (1)!F35</t>
  </si>
  <si>
    <t>IWWTP-A (1)</t>
  </si>
  <si>
    <t>IWWTP-A (1)!F38</t>
  </si>
  <si>
    <t>IWWTP-A (1)!F39</t>
  </si>
  <si>
    <t>IWWTP-A (1)!F40</t>
  </si>
  <si>
    <t>IWWTP-A (1)!F43</t>
  </si>
  <si>
    <t>IWWTP-A (1)!F44</t>
  </si>
  <si>
    <t>IWWTP-A (1)!F45</t>
  </si>
  <si>
    <t>P.D.-Rotary (Twin Screw)</t>
  </si>
  <si>
    <t>IWWTP-A (2)!F17</t>
  </si>
  <si>
    <t>IWWTP-A (2)!F18</t>
  </si>
  <si>
    <t>IWWTP-A (2)!F19</t>
  </si>
  <si>
    <t>IWWTP-A (2)</t>
  </si>
  <si>
    <t>PUMPS-B!F19</t>
  </si>
  <si>
    <t>PUMPS-B!R19</t>
  </si>
  <si>
    <t>PUMPS-B!F20</t>
  </si>
  <si>
    <t>PUMPS-B!F24</t>
  </si>
  <si>
    <t>PUMPS-B!F21</t>
  </si>
  <si>
    <t>PUMPS-B!F22</t>
  </si>
  <si>
    <t>PUMPS-B!F23</t>
  </si>
  <si>
    <t>PUMPS-B!F25</t>
  </si>
  <si>
    <t>PUMPS-B!F26</t>
  </si>
  <si>
    <t>PUMPS-B!AK19</t>
  </si>
  <si>
    <t>INS-PUMP-B (1)!AQ23</t>
  </si>
  <si>
    <t>PUMPS-B!R28</t>
  </si>
  <si>
    <t>PUMPS-B!F29</t>
  </si>
  <si>
    <t>PUMPS-B!F33</t>
  </si>
  <si>
    <t>PUMPS-B!F30</t>
  </si>
  <si>
    <t>PUMPS-B!F31</t>
  </si>
  <si>
    <t>PUMPS-B!F32</t>
  </si>
  <si>
    <t>PUMPS-B!F34</t>
  </si>
  <si>
    <t>PUMPS-B!F35</t>
  </si>
  <si>
    <t>PUMPS-B!AK28</t>
  </si>
  <si>
    <t>PUMPS-B!F37</t>
  </si>
  <si>
    <t>PUMPS-B!R37</t>
  </si>
  <si>
    <t>PUMPS-B!F38</t>
  </si>
  <si>
    <t>PUMPS-B!F42</t>
  </si>
  <si>
    <t>PUMPS-B!F39</t>
  </si>
  <si>
    <t>PUMPS-B!F40</t>
  </si>
  <si>
    <t>PUMPS-B!F41</t>
  </si>
  <si>
    <t>PUMPS-B!F43</t>
  </si>
  <si>
    <t>PUMPS-B!F44</t>
  </si>
  <si>
    <t>PUMPS-B!AK37</t>
  </si>
  <si>
    <t>PUMPS-B (2)!F19</t>
  </si>
  <si>
    <t>PUMPS-B (2)!R19</t>
  </si>
  <si>
    <t>PUMPS-B (2)!F20</t>
  </si>
  <si>
    <t>PUMPS-B (2)!F23</t>
  </si>
  <si>
    <t>PUMPS-B (2)!F21</t>
  </si>
  <si>
    <t>PUMPS-B (2)!F22</t>
  </si>
  <si>
    <t>PUMPS-B (2)!F24</t>
  </si>
  <si>
    <t>PUMPS-B (2)!F25</t>
  </si>
  <si>
    <t>PUMPS-B (2)!AK19</t>
  </si>
  <si>
    <t>PUMPS-B (2)!F27</t>
  </si>
  <si>
    <t>PUMPS-B (2)!R27</t>
  </si>
  <si>
    <t>PUMPS-B (2)!F28</t>
  </si>
  <si>
    <t>PUMPS-B (2)!F32</t>
  </si>
  <si>
    <t>PUMPS-B (2)!F29</t>
  </si>
  <si>
    <t>PUMPS-B (2)!F30</t>
  </si>
  <si>
    <t>PUMPS-B (2)!F31</t>
  </si>
  <si>
    <t>PUMPS-B (2)!F33</t>
  </si>
  <si>
    <t>PUMPS-B (2)!F34</t>
  </si>
  <si>
    <t>PUMPS-B (2)!AK27</t>
  </si>
  <si>
    <t>INS-PUMP-B (1)!AQ31</t>
  </si>
  <si>
    <t>PUMPS-B (2)!R36</t>
  </si>
  <si>
    <t>PUMPS-B (2)!F37</t>
  </si>
  <si>
    <t>PUMPS-B (2)!F41</t>
  </si>
  <si>
    <t>PUMPS-B (2)!F38</t>
  </si>
  <si>
    <t>PUMPS-B (2)!F39</t>
  </si>
  <si>
    <t>PUMPS-B (2)!F40</t>
  </si>
  <si>
    <t>PUMPS-B (2)!F42</t>
  </si>
  <si>
    <t>PUMPS-B (2)!F43</t>
  </si>
  <si>
    <t>PUMPS-B (2)!AK36</t>
  </si>
  <si>
    <t>INS-PUMP-B (1)!AQ33</t>
  </si>
  <si>
    <t>PUMPS-B (3)!R19</t>
  </si>
  <si>
    <t>PUMPS-B (3)!F20</t>
  </si>
  <si>
    <t>PUMPS-B (3)!F24</t>
  </si>
  <si>
    <t>PUMPS-B (3)!F21</t>
  </si>
  <si>
    <t>PUMPS-B (3)!F22</t>
  </si>
  <si>
    <t>PUMPS-B (3)!F23</t>
  </si>
  <si>
    <t>PUMPS-B (3)!F25</t>
  </si>
  <si>
    <t>PUMPS-B (3)!F26</t>
  </si>
  <si>
    <t>PUMPS-B (3)!AK19</t>
  </si>
  <si>
    <t>PUMPS-B (3)!F28</t>
  </si>
  <si>
    <t>PUMPS-B (3)!R28</t>
  </si>
  <si>
    <t>PUMPS-B (3)!F29</t>
  </si>
  <si>
    <t>PUMPS-B (3)!F33</t>
  </si>
  <si>
    <t>PUMPS-B (3)!F30</t>
  </si>
  <si>
    <t>PUMPS-B (3)!F31</t>
  </si>
  <si>
    <t>PUMPS-B (3)!F32</t>
  </si>
  <si>
    <t>PUMPS-B (3)!F34</t>
  </si>
  <si>
    <t>PUMPS-B (3)!AK28</t>
  </si>
  <si>
    <t>PUMPS-B (3)!F36</t>
  </si>
  <si>
    <t>PUMPS-B (3)!R36</t>
  </si>
  <si>
    <t>PUMPS-B (3)!F37</t>
  </si>
  <si>
    <t>PUMPS-B (3)!F41</t>
  </si>
  <si>
    <t>PUMPS-B (3)!F38</t>
  </si>
  <si>
    <t>PUMPS-B (3)!F39</t>
  </si>
  <si>
    <t>PUMPS-B (3)!F40</t>
  </si>
  <si>
    <t>PUMPS-B (3)!F42</t>
  </si>
  <si>
    <t>PUMPS-B (3)!AK36</t>
  </si>
  <si>
    <t>PUMPS-B (4)!F19</t>
  </si>
  <si>
    <t>PUMPS-B (4)!R19</t>
  </si>
  <si>
    <t>PUMPS-B (4)!F20</t>
  </si>
  <si>
    <t>PUMPS-B (4)!F24</t>
  </si>
  <si>
    <t>PUMPS-B (4)!F21</t>
  </si>
  <si>
    <t>PUMPS-B (4)!F22</t>
  </si>
  <si>
    <t>PUMPS-B (4)!F23</t>
  </si>
  <si>
    <t>PUMPS-B (4)!F25</t>
  </si>
  <si>
    <t>PUMPS-B (4)!AK19</t>
  </si>
  <si>
    <t>PUMPS-B (4)!F27</t>
  </si>
  <si>
    <t>PUMPS-B (4)!R27</t>
  </si>
  <si>
    <t>PUMPS-B (4)!F28</t>
  </si>
  <si>
    <t>PUMPS-B (4)!F31</t>
  </si>
  <si>
    <t>PUMPS-B (4)!F29</t>
  </si>
  <si>
    <t>PUMPS-B (4)!F30</t>
  </si>
  <si>
    <t>PUMPS-B (4)!F32</t>
  </si>
  <si>
    <t>PUMPS-B (4)!F33</t>
  </si>
  <si>
    <t>PUMPS-B (4)!AK27</t>
  </si>
  <si>
    <t>PUMPS-B (4)!F35</t>
  </si>
  <si>
    <t>PUMPS-B (4)!R35</t>
  </si>
  <si>
    <t>PUMPS-B (4)!F36</t>
  </si>
  <si>
    <t>PUMPS-B (4)!F40</t>
  </si>
  <si>
    <t>PUMPS-B (4)!F37</t>
  </si>
  <si>
    <t>PUMPS-B (4)!F38</t>
  </si>
  <si>
    <t>PUMPS-B (4)!F39</t>
  </si>
  <si>
    <t>PUMPS-B (4)!F41</t>
  </si>
  <si>
    <t>PUMPS-B (4)!F42</t>
  </si>
  <si>
    <t>PUMPS-B (4)!AK35</t>
  </si>
  <si>
    <t>PUMPS-B (5)!F19</t>
  </si>
  <si>
    <t>PUMPS-B (5)!R19</t>
  </si>
  <si>
    <t>PUMPS-B (5)!F20</t>
  </si>
  <si>
    <t>PUMPS-B (5)!F24</t>
  </si>
  <si>
    <t>PUMPS-B (5)!F21</t>
  </si>
  <si>
    <t>PUMPS-B (5)!F22</t>
  </si>
  <si>
    <t>PUMPS-B (5)!F23</t>
  </si>
  <si>
    <t>PUMPS-B (5)!F25</t>
  </si>
  <si>
    <t>PUMPS-B (5)!F26</t>
  </si>
  <si>
    <t>PUMPS-B (5)!AK19</t>
  </si>
  <si>
    <t>DESALTERS-B!F33</t>
  </si>
  <si>
    <t>DESALTERS-B!F36</t>
  </si>
  <si>
    <t>DESALTERS-B!F34</t>
  </si>
  <si>
    <t>DESALTERS-B!F35</t>
  </si>
  <si>
    <t>DESALTERS-B!F37</t>
  </si>
  <si>
    <t>DESALTERS-B!F38</t>
  </si>
  <si>
    <t>DESALTERS-B</t>
  </si>
  <si>
    <t>IWWTP-B (1)!F33</t>
  </si>
  <si>
    <t>IWWTP-B (1)!F34</t>
  </si>
  <si>
    <t>IWWTP-B (1)!F35</t>
  </si>
  <si>
    <t>IWWTP-B (1)</t>
  </si>
  <si>
    <t>IWWTP-B (1)!F38</t>
  </si>
  <si>
    <t>IWWTP-B (1)!F39</t>
  </si>
  <si>
    <t>IWWTP-B (1)!F40</t>
  </si>
  <si>
    <t>IWWTP-B (1)!F41</t>
  </si>
  <si>
    <t>IWWTP-B (1)!F44</t>
  </si>
  <si>
    <t>IWWTP-B (1)!F45</t>
  </si>
  <si>
    <t>IWWTP-B (1)!F46</t>
  </si>
  <si>
    <t>IWWTP-B (2)!F17</t>
  </si>
  <si>
    <t>IWWTP-B (2)!F18</t>
  </si>
  <si>
    <t>IWWTP-B (2)!F19</t>
  </si>
  <si>
    <t>IWWTP-B (2)!F20</t>
  </si>
  <si>
    <t>IWWTP-B (2)</t>
  </si>
  <si>
    <t>STRIPPER-B!F36</t>
  </si>
  <si>
    <t>STRIPPER-B!F39</t>
  </si>
  <si>
    <t>STRIPPER-B!F37</t>
  </si>
  <si>
    <t>ΔP 3.0 bar</t>
  </si>
  <si>
    <t>STRIPPER-B!F38</t>
  </si>
  <si>
    <t>STRIPPER-B!F40</t>
  </si>
  <si>
    <t>STRIPPER-B</t>
  </si>
  <si>
    <t>PUMPS-C!F19</t>
  </si>
  <si>
    <t>PUMPS-C!R19</t>
  </si>
  <si>
    <t>Centrifugal (Horizontal)</t>
  </si>
  <si>
    <t>PUMPS-C!F20</t>
  </si>
  <si>
    <t>I2</t>
  </si>
  <si>
    <t>PUMPS-C!F24</t>
  </si>
  <si>
    <t>PUMPS-C!F21</t>
  </si>
  <si>
    <t>PUMPS-C!F22</t>
  </si>
  <si>
    <t>PUMPS-C!F23</t>
  </si>
  <si>
    <t>ISO 5199 + IPS-M-PM-115</t>
  </si>
  <si>
    <t>ISO 5199 &amp; IPS-M-PM-115</t>
  </si>
  <si>
    <t>PUMPS-C!F25</t>
  </si>
  <si>
    <t>PUMPS-C!AK19</t>
  </si>
  <si>
    <t>Potable Water Loading Pump</t>
  </si>
  <si>
    <t>PUMPS-C!F27</t>
  </si>
  <si>
    <t>PUMPS-C!R27</t>
  </si>
  <si>
    <t>PUMPS-C!F28</t>
  </si>
  <si>
    <t>PUMPS-C!F32</t>
  </si>
  <si>
    <t>PUMPS-C!F29</t>
  </si>
  <si>
    <t>PUMPS-C!F30</t>
  </si>
  <si>
    <t>PUMPS-C!F31</t>
  </si>
  <si>
    <t>PUMPS-C!F33</t>
  </si>
  <si>
    <t>PUMPS-C!AK27</t>
  </si>
  <si>
    <t>PUMPS-C!F35</t>
  </si>
  <si>
    <t>PUMPS-C!R35</t>
  </si>
  <si>
    <t>Centrifugal (VS4)</t>
  </si>
  <si>
    <t>PUMPS-C!F36</t>
  </si>
  <si>
    <t>PUMPS-C!F40</t>
  </si>
  <si>
    <t>PUMPS-C!F37</t>
  </si>
  <si>
    <t>PUMPS-C!F38</t>
  </si>
  <si>
    <t>PUMPS-C!F39</t>
  </si>
  <si>
    <t>PUMPS-C!F41</t>
  </si>
  <si>
    <t>PUMPS-C!AK35</t>
  </si>
  <si>
    <t>PUMPS-C!F43</t>
  </si>
  <si>
    <t>PUMPS-C!R43</t>
  </si>
  <si>
    <t>PUMPS-C!F44</t>
  </si>
  <si>
    <t>S1</t>
  </si>
  <si>
    <t>PUMPS-C!F48</t>
  </si>
  <si>
    <t>PUMPS-C!F45</t>
  </si>
  <si>
    <t>PUMPS-C!F46</t>
  </si>
  <si>
    <t>PUMPS-C!F47</t>
  </si>
  <si>
    <t>PUMPS-C!F49</t>
  </si>
  <si>
    <t>PUMPS-C!AK43</t>
  </si>
  <si>
    <t>PUMPS-C (2)!F19</t>
  </si>
  <si>
    <t>PUMPS-C (2)!R19</t>
  </si>
  <si>
    <t>PUMPS-C (2)!F20</t>
  </si>
  <si>
    <t>PUMPS-C (2)!F24</t>
  </si>
  <si>
    <t>PUMPS-C (2)!F21</t>
  </si>
  <si>
    <t>PUMPS-C (2)!F22</t>
  </si>
  <si>
    <t>PUMPS-C (2)!F23</t>
  </si>
  <si>
    <t>PUMPS-C (2)!F25</t>
  </si>
  <si>
    <t>PUMPS-C (2)!AK19</t>
  </si>
  <si>
    <t>PUMPS-C (2)!F27</t>
  </si>
  <si>
    <t>PUMPS-C (2)!R27</t>
  </si>
  <si>
    <t>Centrifugal (Horizontal, Impeller Between Bearings Design)</t>
  </si>
  <si>
    <t>PUMPS-C (2)!F28</t>
  </si>
  <si>
    <t>PUMPS-C (2)!F33</t>
  </si>
  <si>
    <t>PUMPS-C (2)!F30</t>
  </si>
  <si>
    <t>PUMPS-C (2)!F31</t>
  </si>
  <si>
    <t>PUMPS-C (2)!F32</t>
  </si>
  <si>
    <t>NFPA 20 + IPS-M-PM-125</t>
  </si>
  <si>
    <t>NFPA 20 &amp; IPS-M-PM-125</t>
  </si>
  <si>
    <t>PUMPS-C (2)!F34</t>
  </si>
  <si>
    <t>PUMPS-C (2)!AK27</t>
  </si>
  <si>
    <t>PUMPS-C (2)!F36</t>
  </si>
  <si>
    <t>PUMPS-C (2)!R36</t>
  </si>
  <si>
    <t>PUMPS-C (2)!F37</t>
  </si>
  <si>
    <t>PUMPS-C (2)!F42</t>
  </si>
  <si>
    <t>PUMPS-C (2)!F39</t>
  </si>
  <si>
    <t>PUMPS-C (2)!F40</t>
  </si>
  <si>
    <t>PUMPS-C (2)!F41</t>
  </si>
  <si>
    <t>PUMPS-C (2)!F43</t>
  </si>
  <si>
    <t>PUMPS-C (2)!AK36</t>
  </si>
  <si>
    <t>PUMPS-C (3)!F19</t>
  </si>
  <si>
    <t>PUMPS-C (3)!R19</t>
  </si>
  <si>
    <t>Centrifugal (Horizontal, Overhung Impeller Design)</t>
  </si>
  <si>
    <t>PUMPS-C (3)!F20</t>
  </si>
  <si>
    <t>PUMPS-C (3)!F25</t>
  </si>
  <si>
    <t>PUMPS-C (3)!F22</t>
  </si>
  <si>
    <t>PUMPS-C (3)!F23</t>
  </si>
  <si>
    <t>PUMPS-C (3)!F24</t>
  </si>
  <si>
    <t>PUMPS-C (3)!F26</t>
  </si>
  <si>
    <t>PUMPS-C (3)!AK19</t>
  </si>
  <si>
    <t>PUMPS-C (3)!F28</t>
  </si>
  <si>
    <t>PUMPS-C (3)!R28</t>
  </si>
  <si>
    <t>PUMPS-C (3)!F29</t>
  </si>
  <si>
    <t>PUMPS-C (3)!F33</t>
  </si>
  <si>
    <t>PUMPS-C (3)!F30</t>
  </si>
  <si>
    <t>PUMPS-C (3)!F31</t>
  </si>
  <si>
    <t>PUMPS-C (3)!F32</t>
  </si>
  <si>
    <t>PUMPS-C (3)!F34</t>
  </si>
  <si>
    <t>PUMPS-C (3)!AK28</t>
  </si>
  <si>
    <t>Cooling Water (Sealing System)  Recycle Pumps</t>
  </si>
  <si>
    <t>PUMPS-C (3)!F41</t>
  </si>
  <si>
    <t>PUMPS-C (3)!R41</t>
  </si>
  <si>
    <t>PUMPS-C (3)!F44</t>
  </si>
  <si>
    <t>PUMPS-C (3)!F47</t>
  </si>
  <si>
    <t>PUMPS-C (3)!F45</t>
  </si>
  <si>
    <t>PUMPS-C (3)!F46</t>
  </si>
  <si>
    <t>PUMPS-C (3)!F48</t>
  </si>
  <si>
    <t>PUMPS-C (3)!U41</t>
  </si>
  <si>
    <t>Water Liquid Return Pumps</t>
  </si>
  <si>
    <t>PUMPS-C (4)!F19</t>
  </si>
  <si>
    <t>PUMPS-C (4)!R19</t>
  </si>
  <si>
    <t>PUMPS-C (4)!F21</t>
  </si>
  <si>
    <t>PUMPS-C (4)!F24</t>
  </si>
  <si>
    <t>PUMPS-C (4)!F22</t>
  </si>
  <si>
    <t>PUMPS-C (4)!F23</t>
  </si>
  <si>
    <t>PUMPS-C (4)!F25</t>
  </si>
  <si>
    <t>PUMPS-C (4)!U19</t>
  </si>
  <si>
    <t>PUMPS-A (4)!F19</t>
  </si>
  <si>
    <t>PUMPS-A (4)!R19</t>
  </si>
  <si>
    <t>Centrifugal , Submersible</t>
  </si>
  <si>
    <t>PUMPS-A (4)!F20</t>
  </si>
  <si>
    <t>PUMPS-A (4)!F25</t>
  </si>
  <si>
    <t>PUMPS-A (4)!F23</t>
  </si>
  <si>
    <t>ΔP 2.0 bar</t>
  </si>
  <si>
    <t>PUMPS-A (4)!F24</t>
  </si>
  <si>
    <t>JIS B 8325 + None</t>
  </si>
  <si>
    <t>PUMPS-A (4)!F26</t>
  </si>
  <si>
    <t>PUMPS-A (4)!F21</t>
  </si>
  <si>
    <t>PUMPS-A (4)!AK19</t>
  </si>
  <si>
    <t>PUMPS-B (5)!F28</t>
  </si>
  <si>
    <t>PUMPS-B (5)!R28</t>
  </si>
  <si>
    <t>PUMPS-B (5)!F29</t>
  </si>
  <si>
    <t>PUMPS-B (5)!F34</t>
  </si>
  <si>
    <t>PUMPS-B (5)!F32</t>
  </si>
  <si>
    <t>PUMPS-B (5)!F33</t>
  </si>
  <si>
    <t>PUMPS-B (5)!F35</t>
  </si>
  <si>
    <t>PUMPS-B (5)!F30</t>
  </si>
  <si>
    <t>PUMPS-B (5)!AK28</t>
  </si>
  <si>
    <t>PUMPS-C (3)!F36</t>
  </si>
  <si>
    <t>PUMPS-C (3)!R36</t>
  </si>
  <si>
    <t>Portable Barrel Pump</t>
  </si>
  <si>
    <t>PUMPS-C (3)!F37</t>
  </si>
  <si>
    <t>S.S. 316 L</t>
  </si>
  <si>
    <t>PUMPS-C (3)!F40</t>
  </si>
  <si>
    <t>PUMPS-C (3)!F38 (L/min→m³/h)</t>
  </si>
  <si>
    <t>PUMPS-C (3)!U36</t>
  </si>
  <si>
    <t>PUMPS-C (4)!F27</t>
  </si>
  <si>
    <t>PUMPS-C (4)!R27</t>
  </si>
  <si>
    <t>PUMPS-C (4)!F28</t>
  </si>
  <si>
    <t>PUMPS-C (4)!F31</t>
  </si>
  <si>
    <t>PUMPS-C (4)!F29</t>
  </si>
  <si>
    <t>PUMPS-C (4)!U27</t>
  </si>
  <si>
    <t>PUMPS!B8</t>
  </si>
  <si>
    <t>PUMPS!C8</t>
  </si>
  <si>
    <t>Centrifugal (VS6)</t>
  </si>
  <si>
    <t>PUMPS!F8</t>
  </si>
  <si>
    <t>PUMPS!B9</t>
  </si>
  <si>
    <t>PUMPS!C9</t>
  </si>
  <si>
    <t>PUMPS!F9</t>
  </si>
  <si>
    <t>PUMPS!B10</t>
  </si>
  <si>
    <t>PUMPS!C10</t>
  </si>
  <si>
    <t>PUMPS!F10</t>
  </si>
  <si>
    <t>PUMPS!B11</t>
  </si>
  <si>
    <t>PUMPS!C11</t>
  </si>
  <si>
    <t>PUMPS!F11</t>
  </si>
  <si>
    <t>PUMPS!B12</t>
  </si>
  <si>
    <t>PUMPS!C12</t>
  </si>
  <si>
    <t>PUMPS!F12</t>
  </si>
  <si>
    <t>PUMPS!B13</t>
  </si>
  <si>
    <t>PUMPS!C13</t>
  </si>
  <si>
    <t>PUMPS!F13</t>
  </si>
  <si>
    <t>PUMPS!B14</t>
  </si>
  <si>
    <t>PUMPS!C14</t>
  </si>
  <si>
    <t>PUMPS!F14</t>
  </si>
  <si>
    <t>PUMPS!B15</t>
  </si>
  <si>
    <t>PUMPS!C15</t>
  </si>
  <si>
    <t>PUMPS!F15</t>
  </si>
  <si>
    <t>PUMPS!B16</t>
  </si>
  <si>
    <t>PUMPS!C16</t>
  </si>
  <si>
    <t>PUMPS!F16</t>
  </si>
  <si>
    <t>PUMPS!B17</t>
  </si>
  <si>
    <t>PUMPS!C17</t>
  </si>
  <si>
    <t>PUMPS!F17</t>
  </si>
  <si>
    <t>PUMPS!B18</t>
  </si>
  <si>
    <t>PUMPS!C18</t>
  </si>
  <si>
    <t>PUMPS!F18</t>
  </si>
  <si>
    <t>PUMPS!B19</t>
  </si>
  <si>
    <t>PUMPS!C19</t>
  </si>
  <si>
    <t>PUMPS!AR19/AQ19</t>
  </si>
  <si>
    <t>PUMPS!B20</t>
  </si>
  <si>
    <t>PUMPS!C20</t>
  </si>
  <si>
    <t>PUMPS!F20</t>
  </si>
  <si>
    <t>PUMPS!B21</t>
  </si>
  <si>
    <t>PUMPS!C21</t>
  </si>
  <si>
    <t>PUMPS!F21</t>
  </si>
  <si>
    <t>PUMPS!B22</t>
  </si>
  <si>
    <t>PUMPS!C22</t>
  </si>
  <si>
    <t>PUMPS!F22</t>
  </si>
  <si>
    <t>PUMPS!B23</t>
  </si>
  <si>
    <t>PUMPS!C23</t>
  </si>
  <si>
    <t>PUMPS!F23</t>
  </si>
  <si>
    <t>PUMPS!B24</t>
  </si>
  <si>
    <t>PUMPS!C24</t>
  </si>
  <si>
    <t>PUMPS!F24</t>
  </si>
  <si>
    <t>PUMPS!B25</t>
  </si>
  <si>
    <t>PUMPS!C25</t>
  </si>
  <si>
    <t>PUMPS!F25</t>
  </si>
  <si>
    <t>PUMPS!B26</t>
  </si>
  <si>
    <t>PUMPS!C26</t>
  </si>
  <si>
    <t>PUMPS!F26</t>
  </si>
  <si>
    <t>PUMPS!B27</t>
  </si>
  <si>
    <t>PUMPS!C27</t>
  </si>
  <si>
    <t>PUMPS!B27 (L/min→m³/h)</t>
  </si>
  <si>
    <t>PUMPS!AR27/AQ27</t>
  </si>
  <si>
    <t>PUMPS!B28</t>
  </si>
  <si>
    <t>PUMPS!C28</t>
  </si>
  <si>
    <t>PUMPS!B28 (L/min→m³/h)</t>
  </si>
  <si>
    <t>PUMPS!AR28/AQ28</t>
  </si>
  <si>
    <t>PUMPS!B4</t>
  </si>
  <si>
    <t>PUMPS!D4</t>
  </si>
  <si>
    <t>PUMPS!F4</t>
  </si>
  <si>
    <t>PUMPS!G4</t>
  </si>
  <si>
    <t>PUMPS!E4</t>
  </si>
  <si>
    <t>PUMPS!H4</t>
  </si>
  <si>
    <t>PUMPS!B5</t>
  </si>
  <si>
    <t>PUMPS!D5</t>
  </si>
  <si>
    <t>PUMPS!F5</t>
  </si>
  <si>
    <t>PUMPS!G5</t>
  </si>
  <si>
    <t>PUMPS!E5</t>
  </si>
  <si>
    <t>PUMPS!H5</t>
  </si>
  <si>
    <t>PUMPS!B6</t>
  </si>
  <si>
    <t>PUMPS!D6</t>
  </si>
  <si>
    <t>PUMPS!F6</t>
  </si>
  <si>
    <t>PUMPS!G6</t>
  </si>
  <si>
    <t>PUMPS!E6</t>
  </si>
  <si>
    <t>PUMPS!H6</t>
  </si>
  <si>
    <t>PUMPS!B7</t>
  </si>
  <si>
    <t>PUMPS!D7</t>
  </si>
  <si>
    <t>PUMPS!E7</t>
  </si>
  <si>
    <t>PUMPS!H7</t>
  </si>
  <si>
    <t>PUMPS!D8</t>
  </si>
  <si>
    <t>PUMPS!G8</t>
  </si>
  <si>
    <t>PUMPS!E8</t>
  </si>
  <si>
    <t>PUMPS!H8</t>
  </si>
  <si>
    <t>PUMPS!D9</t>
  </si>
  <si>
    <t>PUMPS!G9</t>
  </si>
  <si>
    <t>PUMPS!E9</t>
  </si>
  <si>
    <t>PUMPS!H9</t>
  </si>
  <si>
    <t>PUMPS!D10</t>
  </si>
  <si>
    <t>PUMPS!G10</t>
  </si>
  <si>
    <t>PUMPS!E10</t>
  </si>
  <si>
    <t>PUMPS!H10</t>
  </si>
  <si>
    <t>PUMPS!D11</t>
  </si>
  <si>
    <t>PUMPS!E11</t>
  </si>
  <si>
    <t>PUMPS!H11</t>
  </si>
  <si>
    <t>PUMPS!D12</t>
  </si>
  <si>
    <t>PUMPS!G12</t>
  </si>
  <si>
    <t>PUMPS!E12</t>
  </si>
  <si>
    <t>PUMPS!H12</t>
  </si>
  <si>
    <t>PUMPS!G13</t>
  </si>
  <si>
    <t>PUMPS!E13</t>
  </si>
  <si>
    <t>PUMPS!H13</t>
  </si>
  <si>
    <t>PUMPS!D14</t>
  </si>
  <si>
    <t>PUMPS!E14</t>
  </si>
  <si>
    <t>PUMPS!H14</t>
  </si>
  <si>
    <t>PUMPS!D15</t>
  </si>
  <si>
    <t>PUMPS!G15</t>
  </si>
  <si>
    <t>PUMPS!E15</t>
  </si>
  <si>
    <t>PUMPS!H15</t>
  </si>
  <si>
    <t>PUMPS!D16</t>
  </si>
  <si>
    <t>PUMPS!E16</t>
  </si>
  <si>
    <t>PUMPS!H16</t>
  </si>
  <si>
    <t>PUMPS!D17</t>
  </si>
  <si>
    <t>PUMPS!E17</t>
  </si>
  <si>
    <t>PUMPS!H17</t>
  </si>
  <si>
    <t>PUMPS!AR8/AQ8</t>
  </si>
  <si>
    <t>PUMPS!AR9/AQ9</t>
  </si>
  <si>
    <t>PUMPS!AR10/AQ10</t>
  </si>
  <si>
    <t>PUMPS!AR11/AQ11</t>
  </si>
  <si>
    <t>PUMPS!AR12/AQ12</t>
  </si>
  <si>
    <t>PUMPS!AR13/AQ13</t>
  </si>
  <si>
    <t>PUMPS!AR14/AQ14</t>
  </si>
  <si>
    <t>PUMPS!AR15/AQ15</t>
  </si>
  <si>
    <t>PUMPS!AR16/AQ16</t>
  </si>
  <si>
    <t>PUMPS!AR17/AQ17</t>
  </si>
  <si>
    <t>PUMPS!AR18/AQ18</t>
  </si>
  <si>
    <t>PUMPS!AR20/AQ20</t>
  </si>
  <si>
    <t>PUMPS!AR21/AQ21</t>
  </si>
  <si>
    <t>PUMPS!AR22/AQ22</t>
  </si>
  <si>
    <t>PUMPS!AR23/AQ23</t>
  </si>
  <si>
    <t>PUMPS!AR24/AQ24</t>
  </si>
  <si>
    <t>PUMPS!AR25/AQ25</t>
  </si>
  <si>
    <t>PUMPS!AR26/AQ26</t>
  </si>
  <si>
    <t>CHANGE_LOG</t>
  </si>
  <si>
    <t>Field / Record</t>
  </si>
  <si>
    <t>Change</t>
  </si>
  <si>
    <t>Structure</t>
  </si>
  <si>
    <t>Master Database</t>
  </si>
  <si>
    <t>28 → 72 columns in 7 groups (A–G); sub-category sheets replaced by AutoFilter on Master</t>
  </si>
  <si>
    <t>Split</t>
  </si>
  <si>
    <t>Weight / Power</t>
  </si>
  <si>
    <t>Split into Power (kW) + Power Basis; "(Shaft)" → Shaft (Absorbed); HOLD → blank + remark</t>
  </si>
  <si>
    <t>Capacity / Pressure / Head</t>
  </si>
  <si>
    <t>Text converted to numeric columns (m³/h, barg, m); original text kept in Remarks where relevant</t>
  </si>
  <si>
    <t>Mapping</t>
  </si>
  <si>
    <t>Type → Pump Family + API 610 Type</t>
  </si>
  <si>
    <t>OH2/BB3/VS4/VS6 parsed; "Centrifugal (assumed)" → Family=Centrifugal, Type=Not stated</t>
  </si>
  <si>
    <t>D1/D2/I2/S1/S5/S6 → API 610 Annex H codes D-1/D-2/I-2/S-1/S-5/S-6; S.S.316L → SS316L (non-API)</t>
  </si>
  <si>
    <t>Design Code → Pump Standard</t>
  </si>
  <si>
    <t>"API 610 / IPS" → API 610 (IPS reference kept in source text)</t>
  </si>
  <si>
    <t>Driver (from Remarks)</t>
  </si>
  <si>
    <t>Electric / Diesel / Portable parsed from Remarks "Driver:" text</t>
  </si>
  <si>
    <t>Price Basis → Price Source Type</t>
  </si>
  <si>
    <t>FEED MTO → Historical Estimate; Inquiry → Budgetary Quote; Purchase price → PO</t>
  </si>
  <si>
    <t>Src AACE Class (verify)</t>
  </si>
  <si>
    <t>Koopal FEED → 3; Gachsaran 4 Basic Design MTO → 4; Pazanan 2 Basic MTO → 4; CSV (no project) → blank. Original label kept in "Estimate Class (as stated in source)"</t>
  </si>
  <si>
    <t>Pazanan 2 EUR inquiries → FOB (sheet header "GOING UNIT PRICE FOB EUR"); others Not stated</t>
  </si>
  <si>
    <t>New</t>
  </si>
  <si>
    <t>Seal / Ex / VFD / NACE / Scope</t>
  </si>
  <si>
    <t>Not stated in any source → "Not stated" (factor 1.00) – to be completed</t>
  </si>
  <si>
    <t>Fix</t>
  </si>
  <si>
    <t>Assumptions &amp; FX (1405)</t>
  </si>
  <si>
    <t>Circular reference B25 (=C25/D25) ↔ D25 (=C25/B25) removed: B25 = C25/1.1 per Maroon3 note</t>
  </si>
  <si>
    <t>Escalation</t>
  </si>
  <si>
    <t>PPI-based method from claude/pump-escalation-method.md, incl. 25,000 EUR floor; PPI table needs Eurostat values</t>
  </si>
  <si>
    <t>QA</t>
  </si>
  <si>
    <t>Rows 88, 89, 92, 93</t>
  </si>
  <si>
    <t>Reference currency EUR with price 1e8–3e8 → flagged "Check currency" (probably IRR) – not changed, verify against Koopal source</t>
  </si>
  <si>
    <t>Update</t>
  </si>
  <si>
    <t>Koopal Bangestan rows 59–78, 91</t>
  </si>
  <si>
    <t>NACE, Type, Material, Std, Q, Head, Ex (P-246), Incoterm, Scope TPI filled from KPL-476 R03 (PUMPS-B…(5), DESALTERS-B, STRIPPER-B, IWWTP-B, INS-PUMP-B, TOTAL (2)); evidence in cell comments; inferred cells yellow</t>
  </si>
  <si>
    <t>Row 77 (P-144)</t>
  </si>
  <si>
    <t>Pump type corrected: Centrifugal (assumed) → PD-Rotary (Twin Screw) per IWWTP-B (2) F17</t>
  </si>
  <si>
    <t>Seal (Plan 53B)</t>
  </si>
  <si>
    <t>TK-154, P-154 A/B, F-161 serve a common Plan 53B sealing system; tag allocation not stated → Seal fields left Not stated</t>
  </si>
  <si>
    <t>Koopal Asmari / Common rows 41–58, 79–93 (excl. 91)</t>
  </si>
  <si>
    <t>NACE (N, inferred – no MR-0175 in any -A/-C sheet), Type/Material/Std of package pumps, Q, Head, Ex (P-236), Incoterm, Scope TPI from KPL-476 R03; evidence in cell comments; inferred cells yellow</t>
  </si>
  <si>
    <t>Rows 88, 89, 92, 93 (P-154, P-157, P-220, P-116)</t>
  </si>
  <si>
    <t>Reference currency EUR → IRR (prices sit in the "Unit Price (Rials)" column U)</t>
  </si>
  <si>
    <t>Row 92 (P-220)</t>
  </si>
  <si>
    <t>Capacity 160 m³/h → 9.6 m³/h (source: 160 Lit/min)</t>
  </si>
  <si>
    <t>Row 58 (P-134)</t>
  </si>
  <si>
    <t>Pump type corrected: Centrifugal (assumed) → PD-Rotary (Twin Screw) per IWWTP-A (2) F17</t>
  </si>
  <si>
    <t>Gachsaran 4 rows 15–35, 39, 40</t>
  </si>
  <si>
    <t>Reference price changed from IRR (stored as 1399) to the EUR base price found inside P.ME formulas (=EUR×per_Euro×USD_Change_IRR); Cost Year 1402 (inferred). Previous conversion with the 1399 FX rate overstated EUR ≈2.6×</t>
  </si>
  <si>
    <t>Gachsaran 4 rows 36–38 (fire pumps)</t>
  </si>
  <si>
    <t>IRR constants kept; Cost Year 1399 → 1402 (inferred, PEP Rev.1402/05)</t>
  </si>
  <si>
    <t>Gachsaran 4 all pumps</t>
  </si>
  <si>
    <t>Incoterm EXW, Scope TPI/Comm. spares/2-yr spares = N (inferred – carried as separate lines in Procurement sheet)</t>
  </si>
  <si>
    <t>Gachsaran 4 NACE</t>
  </si>
  <si>
    <t>P.PI marks piping classes AN16/CN16 as NACE (sour process lines) but no pump-level NACE statement → pump NACE left Not stated</t>
  </si>
  <si>
    <t>FX 1402</t>
  </si>
  <si>
    <t>PEP implies EUR→IRR = 420,000×1.085 = 455,700; bank FX table 1402 has 529,500 – verify</t>
  </si>
  <si>
    <t>Pazanan 2 rows 94–114</t>
  </si>
  <si>
    <t>NACE from item descriptions (Y explicit for P-111/136/137/139/161/163/164; N inferred for the rest)</t>
  </si>
  <si>
    <t>Rows 105, 113, 114 (P-163, P-210, P-211)</t>
  </si>
  <si>
    <t>No quotation existed (all declined); the 1404 value was the 1393 R02 price × external factor. Reset to 1393 base price, Source Type = Historical Estimate, to avoid double escalation</t>
  </si>
  <si>
    <t>Rows 113, 114</t>
  </si>
  <si>
    <t>Vendor_Register / Vendor_Quotes</t>
  </si>
  <si>
    <t>4 vendors and all Pazanan 2 quotations (incl. declined / no reply) loaded; Bid Count, Min/Max, Spread now live in Master</t>
  </si>
  <si>
    <t>Escalation_Index</t>
  </si>
  <si>
    <t>PPI 1385–1405 filled from Pump_Escalation_Validation.xlsx (Indices C51:C71, EA20 C28.13, 2021=100, Jalali blend 0.79/0.21); 1405 is a forecast</t>
  </si>
  <si>
    <t>Rows 129–146</t>
  </si>
  <si>
    <t>18 Pazanan 2 R02 (1393) FOB records added (PUMPS AR8:AR26), paired with the 1404 inquiry records of the same tags</t>
  </si>
  <si>
    <t>Gachsaran 4 IRR cells</t>
  </si>
  <si>
    <t>Converted with bank FX 1402; project rate 455,692 IRR/EUR and project IRR price recorded in cell comment (light-blue cells)</t>
  </si>
  <si>
    <t>v6 Structure</t>
  </si>
  <si>
    <t>New column order (identification → key specs → supplementary specs → price → scope → source → calculations → control) with collapsible groups</t>
  </si>
  <si>
    <t>v6 Removed</t>
  </si>
  <si>
    <t>Unit, VFD, Motor Ex, Price Source Type, Src AACE Class, Bid Count, Min/Max Quote, Spread, Price Age, DQ Score, Usable For Class, Accuracy</t>
  </si>
  <si>
    <t>Removed per organisation request; VFD and Ex factors removed from DRIVE_F, Estimator and Factors_ROT; Class_Matrix sheet removed</t>
  </si>
  <si>
    <t>v6 New</t>
  </si>
  <si>
    <t>Standards (combined), IPS Standard, Escalated USD, Price Basis (as stated in source)</t>
  </si>
  <si>
    <t>Standards = Pump Standard + IPS + NACE + NFPA listing; Price Basis quotes the source basis and its class label</t>
  </si>
  <si>
    <t>v6 Fix</t>
  </si>
  <si>
    <t>Duplicate sub-category text in parentheses removed (it equalled the sub-category full name in all records)</t>
  </si>
  <si>
    <t>Gachsaran 4 Pump Standard</t>
  </si>
  <si>
    <t>"API 610" removed → Not stated (no standard given in PEP P.ME); Pump Family "Centrifugal" marked inferred (source: assumed)</t>
  </si>
  <si>
    <t>Non-API pumps → N/A (non-API 610); Koopal P-270/P-271 → BB, P-272 → OH (per source text)</t>
  </si>
  <si>
    <t>Factors / material descriptions</t>
  </si>
  <si>
    <t>Material class descriptions rewritten per API 610 Table H.1 (casing / impeller / rings / shaft)</t>
  </si>
  <si>
    <t>v8 Layout</t>
  </si>
  <si>
    <t>Seal columns / Vendor_Quotes</t>
  </si>
  <si>
    <t>Seal Type and API 682 Category grouped (collapsed) with Pump Standard, IPS and NACE; API 682 Seal Plan stays visible. Vendor_Quotes: Equipment Name (auto) and Vendor Name (auto) added</t>
  </si>
  <si>
    <t>v7 Removed</t>
  </si>
  <si>
    <t>Category, Vendor_ID, NFPA 20 Listing</t>
  </si>
  <si>
    <t>Category always ROT (covered by Sub-Category); no awarded vendor in any record; NFPA listing never stated</t>
  </si>
  <si>
    <t>v7 Moved</t>
  </si>
  <si>
    <t>Unit Price EUR / USD / IRR (source yr)</t>
  </si>
  <si>
    <t>Moved next to Unit Price (Reference); Scope flags made collapsible</t>
  </si>
  <si>
    <t>v7 Verified</t>
  </si>
  <si>
    <t>All records</t>
  </si>
  <si>
    <t>Field-by-field verification against the five source files – see Verification_Log</t>
  </si>
  <si>
    <t>v7 Notes</t>
  </si>
  <si>
    <t>Master / Factors_ROT / Dashboard</t>
  </si>
  <si>
    <t>Sub-Category, API type and material notes moved to Master and Factors_ROT; Incoterm notes state what the price includes / excludes</t>
  </si>
  <si>
    <t>v6 Data fix</t>
  </si>
  <si>
    <t>Row 9 – Sub-Category</t>
  </si>
  <si>
    <t>ROT-DRN → ROT-WAT</t>
  </si>
  <si>
    <t>Row 11 – Service Fluid</t>
  </si>
  <si>
    <t>Chemical → Diesel / Fuel Oil</t>
  </si>
  <si>
    <t>Row 11 – API 610 Type</t>
  </si>
  <si>
    <t>N/A → N/A (non-API 610)</t>
  </si>
  <si>
    <t>Row 12 – Service Fluid</t>
  </si>
  <si>
    <t>Row 12 – API 610 Type</t>
  </si>
  <si>
    <t>Row 13 – Service Fluid</t>
  </si>
  <si>
    <t>Sludge → Process / Dilution Water</t>
  </si>
  <si>
    <t>Row 13 – Pump Family</t>
  </si>
  <si>
    <t>Jet / Eductor → Centrifugal</t>
  </si>
  <si>
    <t>Row 15 – Pump Standard</t>
  </si>
  <si>
    <t>API 610 → Not stated</t>
  </si>
  <si>
    <t>Row 16 – Pump Standard</t>
  </si>
  <si>
    <t>Row 17 – Pump Standard</t>
  </si>
  <si>
    <t>Row 18 – Pump Standard</t>
  </si>
  <si>
    <t>Row 19 – Pump Standard</t>
  </si>
  <si>
    <t>Row 20 – Pump Standard</t>
  </si>
  <si>
    <t>Row 21 – Pump Standard</t>
  </si>
  <si>
    <t>Row 22 – Pump Standard</t>
  </si>
  <si>
    <t>Row 23 – Pump Standard</t>
  </si>
  <si>
    <t>Row 24 – Pump Standard</t>
  </si>
  <si>
    <t>Row 25 – Pump Standard</t>
  </si>
  <si>
    <t>Row 26 – Sub-Category</t>
  </si>
  <si>
    <t>ROT-INJ → ROT-AUX</t>
  </si>
  <si>
    <t>Row 26 – Pump Standard</t>
  </si>
  <si>
    <t>Row 27 – Pump Standard</t>
  </si>
  <si>
    <t>Row 28 – Pump Standard</t>
  </si>
  <si>
    <t>Row 29 – Pump Standard</t>
  </si>
  <si>
    <t>Row 30 – Pump Standard</t>
  </si>
  <si>
    <t>Row 31 – Pump Standard</t>
  </si>
  <si>
    <t>Row 32 – Pump Standard</t>
  </si>
  <si>
    <t>Row 33 – Sub-Category</t>
  </si>
  <si>
    <t>ROT-CRU → ROT-DRN</t>
  </si>
  <si>
    <t>Row 33 – Pump Standard</t>
  </si>
  <si>
    <t>Row 34 – Pump Standard</t>
  </si>
  <si>
    <t>Row 35 – Service Fluid</t>
  </si>
  <si>
    <t>Row 35 – Pump Standard</t>
  </si>
  <si>
    <t>Row 36 – Pump Standard</t>
  </si>
  <si>
    <t>Row 37 – Pump Standard</t>
  </si>
  <si>
    <t>Row 38 – Pump Standard</t>
  </si>
  <si>
    <t>Row 39 – Pump Standard</t>
  </si>
  <si>
    <t>Row 40 – Pump Standard</t>
  </si>
  <si>
    <t>Row 42 – Sub-Category</t>
  </si>
  <si>
    <t>ROT-INJ → ROT-CRU</t>
  </si>
  <si>
    <t>Row 42 – Service Fluid</t>
  </si>
  <si>
    <t>Produced / Disposal Water → Crude Oil</t>
  </si>
  <si>
    <t>Row 43 – Sub-Category</t>
  </si>
  <si>
    <t>Row 43 – API 610 Type</t>
  </si>
  <si>
    <t>Row 50 – Sub-Category</t>
  </si>
  <si>
    <t>Row 50 – API 610 Type</t>
  </si>
  <si>
    <t>Row 51 – Service Fluid</t>
  </si>
  <si>
    <t>Process / Dilution Water → Oily Water / Drain</t>
  </si>
  <si>
    <t>Row 57 – API 610 Type</t>
  </si>
  <si>
    <t>Row 58 – Sub-Category</t>
  </si>
  <si>
    <t>Row 58 – API 610 Type</t>
  </si>
  <si>
    <t>Row 61 – Sub-Category</t>
  </si>
  <si>
    <t>Row 61 – Service Fluid</t>
  </si>
  <si>
    <t>Row 62 – Sub-Category</t>
  </si>
  <si>
    <t>Row 62 – API 610 Type</t>
  </si>
  <si>
    <t>Row 69 – Sub-Category</t>
  </si>
  <si>
    <t>Row 69 – API 610 Type</t>
  </si>
  <si>
    <t>Row 70 – Service Fluid</t>
  </si>
  <si>
    <t>Row 76 – API 610 Type</t>
  </si>
  <si>
    <t>Row 77 – Sub-Category</t>
  </si>
  <si>
    <t>Row 77 – API 610 Type</t>
  </si>
  <si>
    <t>Row 79 – API 610 Type</t>
  </si>
  <si>
    <t>Not stated → N/A (non-API 610)</t>
  </si>
  <si>
    <t>Row 80 – API 610 Type</t>
  </si>
  <si>
    <t>Row 81 – Pump Family</t>
  </si>
  <si>
    <t>Centrifugal - Vertical Sump → Centrifugal</t>
  </si>
  <si>
    <t>Row 82 – Service Fluid</t>
  </si>
  <si>
    <t>Row 82 – API 610 Type</t>
  </si>
  <si>
    <t>Row 83 – Pump Family</t>
  </si>
  <si>
    <t>Row 84 – API 610 Type</t>
  </si>
  <si>
    <t>Not stated → BB (unspecified)</t>
  </si>
  <si>
    <t>Row 85 – API 610 Type</t>
  </si>
  <si>
    <t>Row 86 – API 610 Type</t>
  </si>
  <si>
    <t>Not stated → OH (unspecified)</t>
  </si>
  <si>
    <t>Row 87 – API 610 Type</t>
  </si>
  <si>
    <t>Row 88 – API 610 Type</t>
  </si>
  <si>
    <t>Row 89 – API 610 Type</t>
  </si>
  <si>
    <t>Row 90 – API 610 Type</t>
  </si>
  <si>
    <t>Row 91 – API 610 Type</t>
  </si>
  <si>
    <t>Row 92 – Sub-Category</t>
  </si>
  <si>
    <t>Row 92 – Pump Standard</t>
  </si>
  <si>
    <t>Row 92 – API 610 Type</t>
  </si>
  <si>
    <t>Row 93 – Sub-Category</t>
  </si>
  <si>
    <t>ROT-WAT → ROT-AUX</t>
  </si>
  <si>
    <t>Row 93 – Pump Standard</t>
  </si>
  <si>
    <t>Row 93 – API 610 Type</t>
  </si>
  <si>
    <t>Row 95 – API 610 Type</t>
  </si>
  <si>
    <t>Row 99 – Sub-Category</t>
  </si>
  <si>
    <t>Row 99 – API 610 Type</t>
  </si>
  <si>
    <t>Row 104 – Pump Family</t>
  </si>
  <si>
    <t>Row 105 – Sub-Category</t>
  </si>
  <si>
    <t>Row 105 – API 610 Type</t>
  </si>
  <si>
    <t>Row 106 – Service Fluid</t>
  </si>
  <si>
    <t>Row 108 – Service Fluid</t>
  </si>
  <si>
    <t>Row 108 – API 610 Type</t>
  </si>
  <si>
    <t>Row 109 – API 610 Type</t>
  </si>
  <si>
    <t>Row 113 – Sub-Category</t>
  </si>
  <si>
    <t>Row 113 – Pump Standard</t>
  </si>
  <si>
    <t>Row 113 – API 610 Type</t>
  </si>
  <si>
    <t>Row 114 – Sub-Category</t>
  </si>
  <si>
    <t>Row 114 – Pump Standard</t>
  </si>
  <si>
    <t>Row 114 – API 610 Type</t>
  </si>
  <si>
    <t>Row 123 – Sub-Category</t>
  </si>
  <si>
    <t>Row 125 – Service Fluid</t>
  </si>
  <si>
    <t>Row 125 – API 610 Type</t>
  </si>
  <si>
    <t>Row 126 – Service Fluid</t>
  </si>
  <si>
    <t>Row 126 – API 610 Type</t>
  </si>
  <si>
    <t>Row 127 – Service Fluid</t>
  </si>
  <si>
    <t>Row 127 – Pump Family</t>
  </si>
  <si>
    <t>Row 130 – API 610 Type</t>
  </si>
  <si>
    <t>Row 134 – Sub-Category</t>
  </si>
  <si>
    <t>Row 134 – API 610 Type</t>
  </si>
  <si>
    <t>Row 139 – Pump Family</t>
  </si>
  <si>
    <t>Row 140 – Service Fluid</t>
  </si>
  <si>
    <t>Row 142 – Service Fluid</t>
  </si>
  <si>
    <t>Row 142 – API 610 Type</t>
  </si>
  <si>
    <t>Row 143 – API 610 Type</t>
  </si>
  <si>
    <t>Row 1 – Diff. Head (m)</t>
  </si>
  <si>
    <t>None → 95.8</t>
  </si>
  <si>
    <t>Row 2 – Diff. Head (m)</t>
  </si>
  <si>
    <t>None → 59.9</t>
  </si>
  <si>
    <t>Row 3 – Diff. Head (m)</t>
  </si>
  <si>
    <t>None → 34.8</t>
  </si>
  <si>
    <t>Row 4 – Diff. Head (m)</t>
  </si>
  <si>
    <t>None → 329.0</t>
  </si>
  <si>
    <t>Row 5 – Diff. Head (m)</t>
  </si>
  <si>
    <t>None → 311.3</t>
  </si>
  <si>
    <t>Row 6 – Diff. Head (m)</t>
  </si>
  <si>
    <t>None → 32.0</t>
  </si>
  <si>
    <t>Row 7 – Diff. Head (m)</t>
  </si>
  <si>
    <t>None → 36.2</t>
  </si>
  <si>
    <t>Row 8 – Diff. Head (m)</t>
  </si>
  <si>
    <t>None → 1383.0</t>
  </si>
  <si>
    <t>Row 9 – Diff. Head (m)</t>
  </si>
  <si>
    <t>None → 41.0</t>
  </si>
  <si>
    <t>Row 10 – Diff. Head (m)</t>
  </si>
  <si>
    <t>None → 120.0</t>
  </si>
  <si>
    <t>Row 11 – Diff. Head (m)</t>
  </si>
  <si>
    <t>None → 27.2</t>
  </si>
  <si>
    <t>Row 12 – Diff. Head (m)</t>
  </si>
  <si>
    <t>None → 40.8</t>
  </si>
  <si>
    <t>Row 13 – Diff. Head (m)</t>
  </si>
  <si>
    <t>None → 15.0</t>
  </si>
  <si>
    <t>Row 14 – Diff. Head (m)</t>
  </si>
  <si>
    <t>None → 18.0</t>
  </si>
  <si>
    <t>Row 35 – Driver Type</t>
  </si>
  <si>
    <t>Diesel Engine → Electric Motor</t>
  </si>
  <si>
    <t>Row 54 – IPS Standard</t>
  </si>
  <si>
    <t>None → IPS-G-PM-105</t>
  </si>
  <si>
    <t>Row 55 – IPS Standard</t>
  </si>
  <si>
    <t>Row 56 – IPS Standard</t>
  </si>
  <si>
    <t>Row 57 – IPS Standard</t>
  </si>
  <si>
    <t>None → IPS-M-PM-140</t>
  </si>
  <si>
    <t>Row 58 – IPS Standard</t>
  </si>
  <si>
    <t>Row 73 – IPS Standard</t>
  </si>
  <si>
    <t>Row 74 – IPS Standard</t>
  </si>
  <si>
    <t>Row 75 – IPS Standard</t>
  </si>
  <si>
    <t>Row 76 – IPS Standard</t>
  </si>
  <si>
    <t>Row 77 – IPS Standard</t>
  </si>
  <si>
    <t>Row 88 – Equipment Name</t>
  </si>
  <si>
    <t>Cooling Water (Pumps Seal System) Recycle Pumps → Cooling Water (Sealing System) Recycle Pumps</t>
  </si>
  <si>
    <t>Row 89 – Equipment Name</t>
  </si>
  <si>
    <t>Water Liquid Ring Return Pumps (Deaeration System) → Water Liquid Return Pumps (Deaeration System)</t>
  </si>
  <si>
    <t>Row 115 – Diff. Head (m)</t>
  </si>
  <si>
    <t>Row 116 – Diff. Head (m)</t>
  </si>
  <si>
    <t>None → 59.85</t>
  </si>
  <si>
    <t>Row 117 – Diff. Head (m)</t>
  </si>
  <si>
    <t>None → 34.75</t>
  </si>
  <si>
    <t>Row 119 – Diff. Head (m)</t>
  </si>
  <si>
    <t>Row 120 – Diff. Head (m)</t>
  </si>
  <si>
    <t>Row 121 – Diff. Head (m)</t>
  </si>
  <si>
    <t>None → 36.15</t>
  </si>
  <si>
    <t>Row 122 – Diff. Head (m)</t>
  </si>
  <si>
    <t>None → 51.5</t>
  </si>
  <si>
    <t>Row 123 – Diff. Head (m)</t>
  </si>
  <si>
    <t>Row 124 – Diff. Head (m)</t>
  </si>
  <si>
    <t>Row 125 – Diff. Head (m)</t>
  </si>
  <si>
    <t>Row 126 – Diff. Head (m)</t>
  </si>
  <si>
    <t>Row 126 – Power (kW)</t>
  </si>
  <si>
    <t>0.8 → 0.83</t>
  </si>
  <si>
    <t>Only Match Sub-Category in peers?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</si>
</sst>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0.0"/>
    <numFmt numFmtId="167" formatCode="0.000"/>
  </numFmts>
  <fonts count="18">
    <font>
      <sz val="11"/>
      <color theme="1"/>
      <name val="Calibri"/>
      <family val="2"/>
      <charset val="1"/>
    </font>
    <font>
      <b/>
      <sz val="14"/>
      <color rgb="FF1F3864"/>
      <name val="Arial"/>
      <charset val="1"/>
    </font>
    <font>
      <i/>
      <sz val="8"/>
      <color rgb="FF595959"/>
      <name val="Arial"/>
      <charset val="1"/>
    </font>
    <font>
      <b/>
      <sz val="9"/>
      <name val="Arial"/>
      <charset val="1"/>
    </font>
    <font>
      <sz val="9"/>
      <name val="Arial"/>
      <charset val="1"/>
    </font>
    <font>
      <b/>
      <sz val="9"/>
      <color rgb="FF008000"/>
      <name val="Arial"/>
      <charset val="1"/>
    </font>
    <font>
      <b/>
      <sz val="11"/>
      <color rgb="FF1F3864"/>
      <name val="Arial"/>
      <charset val="1"/>
    </font>
    <font>
      <b/>
      <sz val="9"/>
      <color rgb="FFFFFFFF"/>
      <name val="Arial"/>
      <charset val="1"/>
    </font>
    <font>
      <sz val="10"/>
      <name val="FreeSans"/>
      <family val="2"/>
    </font>
    <font>
      <sz val="10"/>
      <name val="Arial"/>
      <family val="2"/>
    </font>
    <font>
      <sz val="9"/>
      <color rgb="FF0000FF"/>
      <name val="Arial"/>
      <charset val="1"/>
    </font>
    <font>
      <i/>
      <sz val="9"/>
      <color rgb="FF808080"/>
      <name val="Arial"/>
      <charset val="1"/>
    </font>
    <font>
      <b/>
      <sz val="13"/>
      <color rgb="FF1F3864"/>
      <name val="Arial"/>
      <charset val="1"/>
    </font>
    <font>
      <sz val="10"/>
      <color rgb="FF595959"/>
      <name val="Arial"/>
      <family val="2"/>
    </font>
    <font>
      <b/>
      <sz val="10"/>
      <name val="Arial"/>
      <family val="2"/>
    </font>
    <font>
      <b/>
      <sz val="10"/>
      <color rgb="FFFFFFFF"/>
      <name val="Arial"/>
      <family val="2"/>
    </font>
    <font>
      <sz val="9"/>
      <color rgb="FF595959"/>
      <name val="Arial"/>
      <family val="2"/>
    </font>
    <font>
      <sz val="9"/>
      <color rgb="FF0000FF"/>
      <name val="Arial"/>
      <family val="2"/>
    </font>
  </fonts>
  <fills count="16">
    <fill>
      <patternFill patternType="none"/>
    </fill>
    <fill>
      <patternFill patternType="gray125"/>
    </fill>
    <fill>
      <patternFill patternType="solid">
        <fgColor rgb="FF1F3864"/>
        <bgColor rgb="FF333399"/>
      </patternFill>
    </fill>
    <fill>
      <patternFill patternType="solid">
        <fgColor rgb="FFE2EFDA"/>
        <bgColor rgb="FFDDEBF7"/>
      </patternFill>
    </fill>
    <fill>
      <patternFill patternType="solid">
        <fgColor rgb="FFC00000"/>
        <bgColor rgb="FF800000"/>
      </patternFill>
    </fill>
    <fill>
      <patternFill patternType="solid">
        <fgColor rgb="FF7030A0"/>
        <bgColor rgb="FF993366"/>
      </patternFill>
    </fill>
    <fill>
      <patternFill patternType="solid">
        <fgColor rgb="FF375623"/>
        <bgColor rgb="FF404040"/>
      </patternFill>
    </fill>
    <fill>
      <patternFill patternType="solid">
        <fgColor rgb="FFFFF2CC"/>
        <bgColor rgb="FFF2F2F2"/>
      </patternFill>
    </fill>
    <fill>
      <patternFill patternType="solid">
        <fgColor rgb="FF833C0B"/>
        <bgColor rgb="FF7F6000"/>
      </patternFill>
    </fill>
    <fill>
      <patternFill patternType="solid">
        <fgColor rgb="FF404040"/>
        <bgColor rgb="FF375623"/>
      </patternFill>
    </fill>
    <fill>
      <patternFill patternType="solid">
        <fgColor rgb="FF7F6000"/>
        <bgColor rgb="FF833C0B"/>
      </patternFill>
    </fill>
    <fill>
      <patternFill patternType="solid">
        <fgColor rgb="FF595959"/>
        <bgColor rgb="FF404040"/>
      </patternFill>
    </fill>
    <fill>
      <patternFill patternType="solid">
        <fgColor rgb="FFDDEBF7"/>
        <bgColor rgb="FFE2EFDA"/>
      </patternFill>
    </fill>
    <fill>
      <patternFill patternType="solid">
        <fgColor rgb="FFD9D9D9"/>
        <bgColor rgb="FFDDEBF7"/>
      </patternFill>
    </fill>
    <fill>
      <patternFill patternType="solid">
        <fgColor rgb="FFF2F2F2"/>
        <bgColor rgb="FFE2EFDA"/>
      </patternFill>
    </fill>
    <fill>
      <patternFill patternType="solid">
        <fgColor rgb="FFFFFF00"/>
        <bgColor rgb="FFFFFF0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86">
    <xf numFmtId="0" fontId="0" fillId="0" borderId="0" xfId="0"/>
    <xf numFmtId="0" fontId="7" fillId="11"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10" borderId="2"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1" fillId="0" borderId="0" xfId="0" applyFont="1"/>
    <xf numFmtId="0" fontId="2" fillId="0" borderId="0" xfId="0" applyFont="1"/>
    <xf numFmtId="0" fontId="4" fillId="0" borderId="1" xfId="0" applyFont="1" applyBorder="1" applyAlignment="1">
      <alignment vertical="top" wrapText="1"/>
    </xf>
    <xf numFmtId="0" fontId="3" fillId="0" borderId="1" xfId="0" applyFont="1" applyBorder="1"/>
    <xf numFmtId="164" fontId="5" fillId="0" borderId="1" xfId="0" applyNumberFormat="1" applyFont="1" applyBorder="1"/>
    <xf numFmtId="3" fontId="5" fillId="0" borderId="1" xfId="0" applyNumberFormat="1" applyFont="1" applyBorder="1"/>
    <xf numFmtId="165" fontId="5" fillId="0" borderId="1" xfId="0" applyNumberFormat="1" applyFont="1" applyBorder="1"/>
    <xf numFmtId="0" fontId="6" fillId="0" borderId="0" xfId="0" applyFont="1"/>
    <xf numFmtId="0" fontId="7" fillId="2" borderId="1" xfId="0" applyFont="1" applyFill="1" applyBorder="1" applyAlignment="1">
      <alignment horizontal="center" vertical="center" wrapText="1"/>
    </xf>
    <xf numFmtId="0" fontId="4" fillId="0" borderId="1" xfId="0" applyFont="1" applyBorder="1"/>
    <xf numFmtId="1" fontId="4" fillId="0" borderId="1" xfId="0" applyNumberFormat="1" applyFont="1" applyBorder="1"/>
    <xf numFmtId="0" fontId="3" fillId="3" borderId="1" xfId="0" applyFont="1" applyFill="1" applyBorder="1"/>
    <xf numFmtId="1" fontId="3" fillId="3" borderId="1" xfId="0" applyNumberFormat="1" applyFont="1" applyFill="1" applyBorder="1"/>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10" fillId="0" borderId="1" xfId="0" applyFont="1" applyBorder="1"/>
    <xf numFmtId="166" fontId="10" fillId="0" borderId="1" xfId="0" applyNumberFormat="1" applyFont="1" applyBorder="1"/>
    <xf numFmtId="166" fontId="4" fillId="14" borderId="1" xfId="0" applyNumberFormat="1" applyFont="1" applyFill="1" applyBorder="1"/>
    <xf numFmtId="0" fontId="4" fillId="14" borderId="1" xfId="0" applyFont="1" applyFill="1" applyBorder="1"/>
    <xf numFmtId="3" fontId="10" fillId="0" borderId="1" xfId="0" applyNumberFormat="1" applyFont="1" applyBorder="1"/>
    <xf numFmtId="3" fontId="4" fillId="14" borderId="1" xfId="0" applyNumberFormat="1" applyFont="1" applyFill="1" applyBorder="1"/>
    <xf numFmtId="2" fontId="4" fillId="14" borderId="1" xfId="0" applyNumberFormat="1" applyFont="1" applyFill="1" applyBorder="1"/>
    <xf numFmtId="165" fontId="4" fillId="14" borderId="1" xfId="0" applyNumberFormat="1" applyFont="1" applyFill="1" applyBorder="1"/>
    <xf numFmtId="0" fontId="10" fillId="15" borderId="1" xfId="0" applyFont="1" applyFill="1" applyBorder="1"/>
    <xf numFmtId="3" fontId="4" fillId="12" borderId="1" xfId="0" applyNumberFormat="1" applyFont="1" applyFill="1" applyBorder="1"/>
    <xf numFmtId="166" fontId="10" fillId="15" borderId="1" xfId="0" applyNumberFormat="1" applyFont="1" applyFill="1" applyBorder="1"/>
    <xf numFmtId="0" fontId="10" fillId="7" borderId="1" xfId="0" applyFont="1" applyFill="1" applyBorder="1"/>
    <xf numFmtId="2" fontId="3" fillId="3" borderId="1" xfId="0" applyNumberFormat="1" applyFont="1" applyFill="1" applyBorder="1"/>
    <xf numFmtId="1" fontId="4" fillId="14" borderId="1" xfId="0" applyNumberFormat="1" applyFont="1" applyFill="1" applyBorder="1"/>
    <xf numFmtId="0" fontId="7" fillId="6" borderId="1" xfId="0" applyFont="1" applyFill="1" applyBorder="1"/>
    <xf numFmtId="3" fontId="3" fillId="3" borderId="1" xfId="0" applyNumberFormat="1" applyFont="1" applyFill="1" applyBorder="1"/>
    <xf numFmtId="166" fontId="4" fillId="0" borderId="1" xfId="0" applyNumberFormat="1" applyFont="1" applyBorder="1"/>
    <xf numFmtId="3" fontId="4" fillId="0" borderId="1" xfId="0" applyNumberFormat="1" applyFont="1" applyBorder="1"/>
    <xf numFmtId="0" fontId="11" fillId="14" borderId="1" xfId="0" applyFont="1" applyFill="1" applyBorder="1"/>
    <xf numFmtId="3" fontId="11" fillId="14" borderId="1" xfId="0" applyNumberFormat="1" applyFont="1" applyFill="1" applyBorder="1"/>
    <xf numFmtId="0" fontId="12" fillId="0" borderId="0" xfId="0" applyFont="1"/>
    <xf numFmtId="2" fontId="10" fillId="0" borderId="1" xfId="0" applyNumberFormat="1" applyFont="1" applyBorder="1"/>
    <xf numFmtId="2" fontId="10" fillId="7" borderId="1" xfId="0" applyNumberFormat="1" applyFont="1" applyFill="1" applyBorder="1"/>
    <xf numFmtId="2" fontId="3" fillId="0" borderId="1" xfId="0" applyNumberFormat="1" applyFont="1" applyBorder="1"/>
    <xf numFmtId="0" fontId="7" fillId="10" borderId="1" xfId="0" applyFont="1" applyFill="1" applyBorder="1" applyAlignment="1">
      <alignment horizontal="center" vertical="center" wrapText="1"/>
    </xf>
    <xf numFmtId="167" fontId="10" fillId="0" borderId="1" xfId="0" applyNumberFormat="1" applyFont="1" applyBorder="1"/>
    <xf numFmtId="167" fontId="10" fillId="15" borderId="1" xfId="0" applyNumberFormat="1" applyFont="1" applyFill="1" applyBorder="1"/>
    <xf numFmtId="167" fontId="4" fillId="0" borderId="1" xfId="0" applyNumberFormat="1" applyFont="1" applyBorder="1"/>
    <xf numFmtId="164" fontId="10" fillId="7" borderId="1" xfId="0" applyNumberFormat="1" applyFont="1" applyFill="1" applyBorder="1"/>
    <xf numFmtId="164" fontId="4" fillId="0" borderId="1" xfId="0" applyNumberFormat="1" applyFont="1" applyBorder="1"/>
    <xf numFmtId="0" fontId="4" fillId="15" borderId="1" xfId="0" applyFont="1" applyFill="1" applyBorder="1"/>
    <xf numFmtId="0" fontId="7" fillId="9" borderId="1" xfId="0" applyFont="1" applyFill="1" applyBorder="1" applyAlignment="1">
      <alignment vertical="top" wrapText="1"/>
    </xf>
    <xf numFmtId="0" fontId="1" fillId="0" borderId="0" xfId="0" applyFont="1" applyAlignment="1">
      <alignment horizontal="center"/>
    </xf>
    <xf numFmtId="0" fontId="13" fillId="0" borderId="0" xfId="0" applyFont="1" applyAlignment="1">
      <alignment horizontal="center"/>
    </xf>
    <xf numFmtId="0" fontId="14" fillId="0" borderId="1" xfId="0" applyFont="1" applyBorder="1" applyAlignment="1">
      <alignment horizontal="center" vertical="center" wrapText="1" readingOrder="2"/>
    </xf>
    <xf numFmtId="0" fontId="9" fillId="0" borderId="1" xfId="0" applyFont="1" applyBorder="1" applyAlignment="1">
      <alignment horizontal="right" vertical="center" wrapText="1" readingOrder="2"/>
    </xf>
    <xf numFmtId="0" fontId="14" fillId="0" borderId="1" xfId="0" applyFont="1" applyBorder="1"/>
    <xf numFmtId="0" fontId="9" fillId="0" borderId="1" xfId="0" applyFont="1" applyBorder="1" applyAlignment="1">
      <alignment vertical="top" wrapText="1"/>
    </xf>
    <xf numFmtId="0" fontId="9" fillId="0" borderId="2" xfId="0" applyFont="1" applyBorder="1" applyAlignment="1">
      <alignment vertical="top" wrapText="1"/>
    </xf>
    <xf numFmtId="0" fontId="14" fillId="7" borderId="2" xfId="0" applyFont="1" applyFill="1" applyBorder="1" applyAlignment="1">
      <alignment vertical="top" wrapText="1"/>
    </xf>
    <xf numFmtId="0" fontId="15"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9" fillId="0" borderId="1" xfId="0" applyFont="1" applyBorder="1"/>
    <xf numFmtId="0" fontId="15" fillId="2" borderId="1" xfId="0" applyFont="1" applyFill="1" applyBorder="1" applyAlignment="1">
      <alignment horizontal="center" vertical="center" wrapText="1"/>
    </xf>
    <xf numFmtId="1" fontId="9" fillId="0" borderId="1" xfId="0" applyNumberFormat="1" applyFont="1" applyBorder="1"/>
    <xf numFmtId="9" fontId="9" fillId="0" borderId="1" xfId="0" applyNumberFormat="1" applyFont="1" applyBorder="1"/>
    <xf numFmtId="0" fontId="14" fillId="3" borderId="1" xfId="0" applyFont="1" applyFill="1" applyBorder="1"/>
    <xf numFmtId="0" fontId="14" fillId="3" borderId="1" xfId="0" applyFont="1" applyFill="1" applyBorder="1" applyAlignment="1">
      <alignment vertical="top" wrapText="1"/>
    </xf>
    <xf numFmtId="1" fontId="14" fillId="3" borderId="1" xfId="0" applyNumberFormat="1" applyFont="1" applyFill="1" applyBorder="1"/>
    <xf numFmtId="9" fontId="14" fillId="3" borderId="1" xfId="0" applyNumberFormat="1" applyFont="1" applyFill="1" applyBorder="1"/>
    <xf numFmtId="0" fontId="10" fillId="7" borderId="1" xfId="0" applyFont="1" applyFill="1" applyBorder="1" applyAlignment="1">
      <alignment wrapText="1"/>
    </xf>
    <xf numFmtId="0" fontId="16" fillId="0" borderId="1" xfId="0" applyFont="1" applyBorder="1" applyAlignment="1">
      <alignment horizontal="center" vertical="center"/>
    </xf>
    <xf numFmtId="0" fontId="13" fillId="0" borderId="1" xfId="0" applyFont="1" applyBorder="1" applyAlignment="1">
      <alignment horizontal="center"/>
    </xf>
    <xf numFmtId="0" fontId="17" fillId="7" borderId="1" xfId="0" applyFont="1" applyFill="1" applyBorder="1"/>
  </cellXfs>
  <cellStyles count="1">
    <cellStyle name="Normal" xfId="0" builtinId="0"/>
  </cellStyles>
  <dxfs count="1">
    <dxf>
      <fill>
        <patternFill>
          <bgColor rgb="FFF2F2F2"/>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7030A0"/>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75623"/>
      <rgbColor rgb="FF833C0B"/>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showGridLines="0" zoomScaleNormal="100" workbookViewId="0">
      <selection activeCell="B6" sqref="B6:B7"/>
    </sheetView>
  </sheetViews>
  <sheetFormatPr defaultColWidth="8.7109375" defaultRowHeight="15"/>
  <cols>
    <col min="1" max="1" width="20" customWidth="1"/>
    <col min="2" max="2" width="120" customWidth="1"/>
  </cols>
  <sheetData>
    <row r="1" spans="1:2" ht="18">
      <c r="A1" s="62" t="s">
        <v>0</v>
      </c>
      <c r="B1" s="62"/>
    </row>
    <row r="2" spans="1:2">
      <c r="A2" s="63" t="s">
        <v>1</v>
      </c>
      <c r="B2" s="63"/>
    </row>
    <row r="4" spans="1:2" ht="39.75" customHeight="1">
      <c r="A4" s="64" t="s">
        <v>2</v>
      </c>
      <c r="B4" s="65" t="s">
        <v>3</v>
      </c>
    </row>
    <row r="5" spans="1:2" ht="39.75" customHeight="1">
      <c r="A5" s="64" t="s">
        <v>4</v>
      </c>
      <c r="B5" s="65" t="s">
        <v>5</v>
      </c>
    </row>
    <row r="6" spans="1:2" ht="39.75" customHeight="1">
      <c r="A6" s="64" t="s">
        <v>6</v>
      </c>
      <c r="B6" s="65" t="s">
        <v>7</v>
      </c>
    </row>
    <row r="7" spans="1:2" ht="39.75" customHeight="1">
      <c r="A7" s="64" t="s">
        <v>8</v>
      </c>
      <c r="B7" s="65" t="s">
        <v>9</v>
      </c>
    </row>
    <row r="8" spans="1:2" ht="39.75" customHeight="1">
      <c r="A8" s="64" t="s">
        <v>10</v>
      </c>
      <c r="B8" s="65" t="s">
        <v>11</v>
      </c>
    </row>
    <row r="9" spans="1:2" ht="39.75" customHeight="1">
      <c r="A9" s="64" t="s">
        <v>12</v>
      </c>
      <c r="B9" s="65" t="s">
        <v>13</v>
      </c>
    </row>
    <row r="10" spans="1:2" ht="39.75" customHeight="1">
      <c r="A10" s="64" t="s">
        <v>14</v>
      </c>
      <c r="B10" s="65" t="s">
        <v>15</v>
      </c>
    </row>
    <row r="11" spans="1:2" ht="39.75" customHeight="1">
      <c r="A11" s="64" t="s">
        <v>16</v>
      </c>
      <c r="B11" s="65" t="s">
        <v>17</v>
      </c>
    </row>
    <row r="12" spans="1:2" ht="39.75" customHeight="1">
      <c r="A12" s="64" t="s">
        <v>18</v>
      </c>
      <c r="B12" s="65" t="s">
        <v>19</v>
      </c>
    </row>
    <row r="13" spans="1:2" ht="39.75" customHeight="1">
      <c r="A13" s="64" t="s">
        <v>20</v>
      </c>
      <c r="B13" s="65" t="s">
        <v>21</v>
      </c>
    </row>
    <row r="14" spans="1:2" ht="39.75" customHeight="1">
      <c r="A14" s="64" t="s">
        <v>22</v>
      </c>
      <c r="B14" s="65" t="s">
        <v>23</v>
      </c>
    </row>
    <row r="15" spans="1:2" ht="39.75" customHeight="1">
      <c r="A15" s="64" t="s">
        <v>24</v>
      </c>
      <c r="B15" s="65" t="s">
        <v>25</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4"/>
  <sheetViews>
    <sheetView showGridLines="0" zoomScaleNormal="100" workbookViewId="0">
      <selection activeCell="B9" sqref="B9"/>
    </sheetView>
  </sheetViews>
  <sheetFormatPr defaultColWidth="8.7109375" defaultRowHeight="15"/>
  <cols>
    <col min="1" max="1" width="22" customWidth="1"/>
    <col min="2" max="2" width="34" customWidth="1"/>
    <col min="3" max="3" width="46" customWidth="1"/>
    <col min="4" max="4" width="30" customWidth="1"/>
    <col min="5" max="5" width="14" customWidth="1"/>
    <col min="6" max="8" width="12" customWidth="1"/>
  </cols>
  <sheetData>
    <row r="1" spans="1:8" ht="18">
      <c r="A1" s="10" t="s">
        <v>26</v>
      </c>
    </row>
    <row r="2" spans="1:8">
      <c r="A2" s="11" t="s">
        <v>27</v>
      </c>
    </row>
    <row r="4" spans="1:8">
      <c r="A4" s="13" t="s">
        <v>28</v>
      </c>
      <c r="B4" s="14">
        <f>'Assumptions &amp; FX Reference'!$I$5</f>
        <v>1404</v>
      </c>
      <c r="C4" s="13" t="s">
        <v>29</v>
      </c>
      <c r="D4" s="15">
        <f>'Assumptions &amp; FX Reference'!$I$8</f>
        <v>695268</v>
      </c>
      <c r="E4" s="13" t="s">
        <v>30</v>
      </c>
      <c r="F4" s="15">
        <f>'Assumptions &amp; FX Reference'!$I$11</f>
        <v>658533</v>
      </c>
      <c r="G4" s="13" t="s">
        <v>31</v>
      </c>
      <c r="H4" s="16">
        <f>'Assumptions &amp; FX Reference'!$I$12</f>
        <v>123.416</v>
      </c>
    </row>
    <row r="6" spans="1:8">
      <c r="A6" s="17" t="s">
        <v>32</v>
      </c>
    </row>
    <row r="7" spans="1:8" ht="38.25">
      <c r="A7" s="75" t="s">
        <v>33</v>
      </c>
      <c r="B7" s="75" t="s">
        <v>34</v>
      </c>
      <c r="C7" s="75" t="s">
        <v>35</v>
      </c>
      <c r="D7" s="75" t="s">
        <v>36</v>
      </c>
      <c r="E7" s="75" t="s">
        <v>37</v>
      </c>
      <c r="F7" s="75" t="s">
        <v>38</v>
      </c>
      <c r="G7" s="75" t="s">
        <v>39</v>
      </c>
      <c r="H7" s="75" t="s">
        <v>40</v>
      </c>
    </row>
    <row r="8" spans="1:8" ht="30" customHeight="1">
      <c r="A8" s="66" t="s">
        <v>41</v>
      </c>
      <c r="B8" s="74" t="s">
        <v>42</v>
      </c>
      <c r="C8" s="67" t="s">
        <v>43</v>
      </c>
      <c r="D8" s="76">
        <f>COUNTIFS('Master Database'!$BG$5:$BG$600,"Y",'Master Database'!$E$5:$E$600,A8)</f>
        <v>15</v>
      </c>
      <c r="E8" s="76">
        <f>COUNTIFS('Master Database'!$BG$5:$BG$600,"Y",'Master Database'!$E$5:$E$600,A8,'Master Database'!$AG$5:$AG$600,"&gt;0")</f>
        <v>10</v>
      </c>
      <c r="F8" s="77">
        <f>IF(D8=0,"",COUNTIFS('Master Database'!$BG$5:$BG$600,"Y",'Master Database'!$E$5:$E$600,A8,'Master Database'!$G$5:$G$600,"&lt;&gt;Not stated")/D8)</f>
        <v>0.46666666666666667</v>
      </c>
      <c r="G8" s="77">
        <f>IF(D8=0,"",COUNTIFS('Master Database'!$BG$5:$BG$600,"Y",'Master Database'!$E$5:$E$600,A8,'Master Database'!$P$5:$P$600,"&lt;&gt;Not stated")/D8)</f>
        <v>0</v>
      </c>
      <c r="H8" s="77">
        <f>IF(D8=0,"",COUNTIFS('Master Database'!$BG$5:$BG$600,"Y",'Master Database'!$E$5:$E$600,A8,'Master Database'!$K$5:$K$600,"&gt;0")/D8)</f>
        <v>0.93333333333333335</v>
      </c>
    </row>
    <row r="9" spans="1:8" ht="30" customHeight="1">
      <c r="A9" s="66" t="s">
        <v>44</v>
      </c>
      <c r="B9" s="74" t="s">
        <v>45</v>
      </c>
      <c r="C9" s="67" t="s">
        <v>46</v>
      </c>
      <c r="D9" s="76">
        <f>COUNTIFS('Master Database'!$BG$5:$BG$600,"Y",'Master Database'!$E$5:$E$600,A9)</f>
        <v>36</v>
      </c>
      <c r="E9" s="76">
        <f>COUNTIFS('Master Database'!$BG$5:$BG$600,"Y",'Master Database'!$E$5:$E$600,A9,'Master Database'!$AG$5:$AG$600,"&gt;0")</f>
        <v>28</v>
      </c>
      <c r="F9" s="77">
        <f>IF(D9=0,"",COUNTIFS('Master Database'!$BG$5:$BG$600,"Y",'Master Database'!$E$5:$E$600,A9,'Master Database'!$G$5:$G$600,"&lt;&gt;Not stated")/D9)</f>
        <v>0.66666666666666663</v>
      </c>
      <c r="G9" s="77">
        <f>IF(D9=0,"",COUNTIFS('Master Database'!$BG$5:$BG$600,"Y",'Master Database'!$E$5:$E$600,A9,'Master Database'!$P$5:$P$600,"&lt;&gt;Not stated")/D9)</f>
        <v>0</v>
      </c>
      <c r="H9" s="77">
        <f>IF(D9=0,"",COUNTIFS('Master Database'!$BG$5:$BG$600,"Y",'Master Database'!$E$5:$E$600,A9,'Master Database'!$K$5:$K$600,"&gt;0")/D9)</f>
        <v>0.91666666666666663</v>
      </c>
    </row>
    <row r="10" spans="1:8" ht="30" customHeight="1">
      <c r="A10" s="66" t="s">
        <v>47</v>
      </c>
      <c r="B10" s="74" t="s">
        <v>48</v>
      </c>
      <c r="C10" s="67" t="s">
        <v>49</v>
      </c>
      <c r="D10" s="76">
        <f>COUNTIFS('Master Database'!$BG$5:$BG$600,"Y",'Master Database'!$E$5:$E$600,A10)</f>
        <v>21</v>
      </c>
      <c r="E10" s="76">
        <f>COUNTIFS('Master Database'!$BG$5:$BG$600,"Y",'Master Database'!$E$5:$E$600,A10,'Master Database'!$AG$5:$AG$600,"&gt;0")</f>
        <v>15</v>
      </c>
      <c r="F10" s="77">
        <f>IF(D10=0,"",COUNTIFS('Master Database'!$BG$5:$BG$600,"Y",'Master Database'!$E$5:$E$600,A10,'Master Database'!$G$5:$G$600,"&lt;&gt;Not stated")/D10)</f>
        <v>0.80952380952380953</v>
      </c>
      <c r="G10" s="77">
        <f>IF(D10=0,"",COUNTIFS('Master Database'!$BG$5:$BG$600,"Y",'Master Database'!$E$5:$E$600,A10,'Master Database'!$P$5:$P$600,"&lt;&gt;Not stated")/D10)</f>
        <v>0</v>
      </c>
      <c r="H10" s="77">
        <f>IF(D10=0,"",COUNTIFS('Master Database'!$BG$5:$BG$600,"Y",'Master Database'!$E$5:$E$600,A10,'Master Database'!$K$5:$K$600,"&gt;0")/D10)</f>
        <v>0.76190476190476186</v>
      </c>
    </row>
    <row r="11" spans="1:8" ht="30" customHeight="1">
      <c r="A11" s="66" t="s">
        <v>50</v>
      </c>
      <c r="B11" s="74" t="s">
        <v>51</v>
      </c>
      <c r="C11" s="67" t="s">
        <v>52</v>
      </c>
      <c r="D11" s="76">
        <f>COUNTIFS('Master Database'!$BG$5:$BG$600,"Y",'Master Database'!$E$5:$E$600,A11)</f>
        <v>33</v>
      </c>
      <c r="E11" s="76">
        <f>COUNTIFS('Master Database'!$BG$5:$BG$600,"Y",'Master Database'!$E$5:$E$600,A11,'Master Database'!$AG$5:$AG$600,"&gt;0")</f>
        <v>27</v>
      </c>
      <c r="F11" s="77">
        <f>IF(D11=0,"",COUNTIFS('Master Database'!$BG$5:$BG$600,"Y",'Master Database'!$E$5:$E$600,A11,'Master Database'!$G$5:$G$600,"&lt;&gt;Not stated")/D11)</f>
        <v>0.75757575757575757</v>
      </c>
      <c r="G11" s="77">
        <f>IF(D11=0,"",COUNTIFS('Master Database'!$BG$5:$BG$600,"Y",'Master Database'!$E$5:$E$600,A11,'Master Database'!$P$5:$P$600,"&lt;&gt;Not stated")/D11)</f>
        <v>0</v>
      </c>
      <c r="H11" s="77">
        <f>IF(D11=0,"",COUNTIFS('Master Database'!$BG$5:$BG$600,"Y",'Master Database'!$E$5:$E$600,A11,'Master Database'!$K$5:$K$600,"&gt;0")/D11)</f>
        <v>0.63636363636363635</v>
      </c>
    </row>
    <row r="12" spans="1:8" ht="30" customHeight="1">
      <c r="A12" s="66" t="s">
        <v>53</v>
      </c>
      <c r="B12" s="74" t="s">
        <v>54</v>
      </c>
      <c r="C12" s="67" t="s">
        <v>55</v>
      </c>
      <c r="D12" s="76">
        <f>COUNTIFS('Master Database'!$BG$5:$BG$600,"Y",'Master Database'!$E$5:$E$600,A12)</f>
        <v>11</v>
      </c>
      <c r="E12" s="76">
        <f>COUNTIFS('Master Database'!$BG$5:$BG$600,"Y",'Master Database'!$E$5:$E$600,A12,'Master Database'!$AG$5:$AG$600,"&gt;0")</f>
        <v>9</v>
      </c>
      <c r="F12" s="77">
        <f>IF(D12=0,"",COUNTIFS('Master Database'!$BG$5:$BG$600,"Y",'Master Database'!$E$5:$E$600,A12,'Master Database'!$G$5:$G$600,"&lt;&gt;Not stated")/D12)</f>
        <v>0.63636363636363635</v>
      </c>
      <c r="G12" s="77">
        <f>IF(D12=0,"",COUNTIFS('Master Database'!$BG$5:$BG$600,"Y",'Master Database'!$E$5:$E$600,A12,'Master Database'!$P$5:$P$600,"&lt;&gt;Not stated")/D12)</f>
        <v>0</v>
      </c>
      <c r="H12" s="77">
        <f>IF(D12=0,"",COUNTIFS('Master Database'!$BG$5:$BG$600,"Y",'Master Database'!$E$5:$E$600,A12,'Master Database'!$K$5:$K$600,"&gt;0")/D12)</f>
        <v>0.54545454545454541</v>
      </c>
    </row>
    <row r="13" spans="1:8" ht="30" customHeight="1">
      <c r="A13" s="66" t="s">
        <v>56</v>
      </c>
      <c r="B13" s="74" t="s">
        <v>57</v>
      </c>
      <c r="C13" s="67" t="s">
        <v>58</v>
      </c>
      <c r="D13" s="76">
        <f>COUNTIFS('Master Database'!$BG$5:$BG$600,"Y",'Master Database'!$E$5:$E$600,A13)</f>
        <v>16</v>
      </c>
      <c r="E13" s="76">
        <f>COUNTIFS('Master Database'!$BG$5:$BG$600,"Y",'Master Database'!$E$5:$E$600,A13,'Master Database'!$AG$5:$AG$600,"&gt;0")</f>
        <v>16</v>
      </c>
      <c r="F13" s="77">
        <f>IF(D13=0,"",COUNTIFS('Master Database'!$BG$5:$BG$600,"Y",'Master Database'!$E$5:$E$600,A13,'Master Database'!$G$5:$G$600,"&lt;&gt;Not stated")/D13)</f>
        <v>0.75</v>
      </c>
      <c r="G13" s="77">
        <f>IF(D13=0,"",COUNTIFS('Master Database'!$BG$5:$BG$600,"Y",'Master Database'!$E$5:$E$600,A13,'Master Database'!$P$5:$P$600,"&lt;&gt;Not stated")/D13)</f>
        <v>0</v>
      </c>
      <c r="H13" s="77">
        <f>IF(D13=0,"",COUNTIFS('Master Database'!$BG$5:$BG$600,"Y",'Master Database'!$E$5:$E$600,A13,'Master Database'!$K$5:$K$600,"&gt;0")/D13)</f>
        <v>1</v>
      </c>
    </row>
    <row r="14" spans="1:8" ht="30" customHeight="1">
      <c r="A14" s="78" t="s">
        <v>59</v>
      </c>
      <c r="B14" s="78"/>
      <c r="C14" s="79"/>
      <c r="D14" s="80">
        <f>COUNTIFS('Master Database'!$BG$5:$BG$600,"Y")</f>
        <v>132</v>
      </c>
      <c r="E14" s="80">
        <f>COUNTIFS('Master Database'!$BG$5:$BG$600,"Y",'Master Database'!$AG$5:$AG$600,"&gt;0")</f>
        <v>105</v>
      </c>
      <c r="F14" s="81">
        <f>IF(D14=0,"",COUNTIFS('Master Database'!$BG$5:$BG$600,"Y",'Master Database'!$G$5:$G$600,"&lt;&gt;Not stated")/D14)</f>
        <v>0.69696969696969702</v>
      </c>
      <c r="G14" s="81">
        <f>IF(D14=0,"",COUNTIFS('Master Database'!$BG$5:$BG$600,"Y",'Master Database'!$P$5:$P$600,"&lt;&gt;Not stated")/D14)</f>
        <v>0</v>
      </c>
      <c r="H14" s="81">
        <f>IF(D14=0,"",COUNTIFS('Master Database'!$BG$5:$BG$600,"Y",'Master Database'!$K$5:$K$600,"&gt;0")/D14)</f>
        <v>0.80303030303030298</v>
      </c>
    </row>
    <row r="16" spans="1:8">
      <c r="A16" s="17" t="s">
        <v>60</v>
      </c>
    </row>
    <row r="17" spans="1:8" ht="15" customHeight="1">
      <c r="A17" s="72" t="s">
        <v>61</v>
      </c>
      <c r="B17" s="72" t="s">
        <v>62</v>
      </c>
      <c r="C17" s="72" t="s">
        <v>63</v>
      </c>
      <c r="D17" s="72" t="s">
        <v>64</v>
      </c>
      <c r="E17" s="73" t="s">
        <v>65</v>
      </c>
      <c r="F17" s="73"/>
      <c r="G17" s="73"/>
      <c r="H17" s="73"/>
    </row>
    <row r="18" spans="1:8" ht="27.75" customHeight="1">
      <c r="A18" s="66" t="s">
        <v>66</v>
      </c>
      <c r="B18" s="74" t="s">
        <v>67</v>
      </c>
      <c r="C18" s="74" t="s">
        <v>67</v>
      </c>
      <c r="D18" s="67" t="s">
        <v>68</v>
      </c>
      <c r="E18" s="68" t="s">
        <v>69</v>
      </c>
      <c r="F18" s="68"/>
      <c r="G18" s="68"/>
      <c r="H18" s="68"/>
    </row>
    <row r="19" spans="1:8" ht="27.75" customHeight="1">
      <c r="A19" s="66" t="s">
        <v>70</v>
      </c>
      <c r="B19" s="74" t="s">
        <v>67</v>
      </c>
      <c r="C19" s="74" t="s">
        <v>71</v>
      </c>
      <c r="D19" s="67" t="s">
        <v>72</v>
      </c>
      <c r="E19" s="68" t="s">
        <v>73</v>
      </c>
      <c r="F19" s="68"/>
      <c r="G19" s="68"/>
      <c r="H19" s="68"/>
    </row>
    <row r="20" spans="1:8" ht="27.75" customHeight="1">
      <c r="A20" s="66" t="s">
        <v>74</v>
      </c>
      <c r="B20" s="74" t="s">
        <v>75</v>
      </c>
      <c r="C20" s="74" t="s">
        <v>67</v>
      </c>
      <c r="D20" s="67" t="s">
        <v>68</v>
      </c>
      <c r="E20" s="68" t="s">
        <v>76</v>
      </c>
      <c r="F20" s="68"/>
      <c r="G20" s="68"/>
      <c r="H20" s="68"/>
    </row>
    <row r="21" spans="1:8" ht="27.75" customHeight="1">
      <c r="A21" s="66" t="s">
        <v>77</v>
      </c>
      <c r="B21" s="74" t="s">
        <v>75</v>
      </c>
      <c r="C21" s="74" t="s">
        <v>78</v>
      </c>
      <c r="D21" s="67" t="s">
        <v>79</v>
      </c>
      <c r="E21" s="68" t="s">
        <v>80</v>
      </c>
      <c r="F21" s="68"/>
      <c r="G21" s="68"/>
      <c r="H21" s="68"/>
    </row>
    <row r="22" spans="1:8" ht="27.75" customHeight="1">
      <c r="A22" s="66" t="s">
        <v>81</v>
      </c>
      <c r="B22" s="74" t="s">
        <v>75</v>
      </c>
      <c r="C22" s="74" t="s">
        <v>75</v>
      </c>
      <c r="D22" s="67" t="s">
        <v>68</v>
      </c>
      <c r="E22" s="68" t="s">
        <v>82</v>
      </c>
      <c r="F22" s="68"/>
      <c r="G22" s="68"/>
      <c r="H22" s="68"/>
    </row>
    <row r="23" spans="1:8" ht="27.75" customHeight="1">
      <c r="A23" s="66" t="s">
        <v>83</v>
      </c>
      <c r="B23" s="74" t="s">
        <v>75</v>
      </c>
      <c r="C23" s="74" t="s">
        <v>75</v>
      </c>
      <c r="D23" s="67" t="s">
        <v>84</v>
      </c>
      <c r="E23" s="68" t="s">
        <v>85</v>
      </c>
      <c r="F23" s="68"/>
      <c r="G23" s="68"/>
      <c r="H23" s="68"/>
    </row>
    <row r="24" spans="1:8" ht="27.75" customHeight="1">
      <c r="A24" s="66" t="s">
        <v>86</v>
      </c>
      <c r="B24" s="74" t="s">
        <v>75</v>
      </c>
      <c r="C24" s="74" t="s">
        <v>87</v>
      </c>
      <c r="D24" s="67" t="s">
        <v>88</v>
      </c>
      <c r="E24" s="68" t="s">
        <v>89</v>
      </c>
      <c r="F24" s="68"/>
      <c r="G24" s="68"/>
      <c r="H24" s="68"/>
    </row>
    <row r="25" spans="1:8" ht="27.75" customHeight="1">
      <c r="A25" s="66" t="s">
        <v>90</v>
      </c>
      <c r="B25" s="74" t="s">
        <v>75</v>
      </c>
      <c r="C25" s="74" t="s">
        <v>91</v>
      </c>
      <c r="D25" s="67" t="s">
        <v>92</v>
      </c>
      <c r="E25" s="68" t="s">
        <v>93</v>
      </c>
      <c r="F25" s="68"/>
      <c r="G25" s="68"/>
      <c r="H25" s="68"/>
    </row>
    <row r="26" spans="1:8" ht="27.75" customHeight="1">
      <c r="A26" s="66" t="s">
        <v>94</v>
      </c>
      <c r="B26" s="74" t="s">
        <v>75</v>
      </c>
      <c r="C26" s="74" t="s">
        <v>95</v>
      </c>
      <c r="D26" s="67" t="s">
        <v>96</v>
      </c>
      <c r="E26" s="68" t="s">
        <v>97</v>
      </c>
      <c r="F26" s="68"/>
      <c r="G26" s="68"/>
      <c r="H26" s="68"/>
    </row>
    <row r="27" spans="1:8" ht="27.75" customHeight="1">
      <c r="A27" s="66" t="s">
        <v>98</v>
      </c>
      <c r="B27" s="74" t="s">
        <v>87</v>
      </c>
      <c r="C27" s="74" t="s">
        <v>87</v>
      </c>
      <c r="D27" s="67" t="s">
        <v>88</v>
      </c>
      <c r="E27" s="68" t="s">
        <v>99</v>
      </c>
      <c r="F27" s="68"/>
      <c r="G27" s="68"/>
      <c r="H27" s="68"/>
    </row>
    <row r="28" spans="1:8" ht="27.75" customHeight="1">
      <c r="A28" s="66" t="s">
        <v>100</v>
      </c>
      <c r="B28" s="74" t="s">
        <v>101</v>
      </c>
      <c r="C28" s="74" t="s">
        <v>101</v>
      </c>
      <c r="D28" s="67" t="s">
        <v>102</v>
      </c>
      <c r="E28" s="68" t="s">
        <v>103</v>
      </c>
      <c r="F28" s="68"/>
      <c r="G28" s="68"/>
      <c r="H28" s="68"/>
    </row>
    <row r="29" spans="1:8" ht="27.75" customHeight="1">
      <c r="A29" s="66" t="s">
        <v>104</v>
      </c>
      <c r="B29" s="74" t="s">
        <v>91</v>
      </c>
      <c r="C29" s="74" t="s">
        <v>91</v>
      </c>
      <c r="D29" s="67" t="s">
        <v>105</v>
      </c>
      <c r="E29" s="68" t="s">
        <v>106</v>
      </c>
      <c r="F29" s="68"/>
      <c r="G29" s="68"/>
      <c r="H29" s="68"/>
    </row>
    <row r="30" spans="1:8" ht="27.75" customHeight="1">
      <c r="A30" s="66" t="s">
        <v>107</v>
      </c>
      <c r="B30" s="74" t="s">
        <v>108</v>
      </c>
      <c r="C30" s="74" t="s">
        <v>108</v>
      </c>
      <c r="D30" s="67" t="s">
        <v>109</v>
      </c>
      <c r="E30" s="68" t="s">
        <v>110</v>
      </c>
      <c r="F30" s="68"/>
      <c r="G30" s="68"/>
      <c r="H30" s="68"/>
    </row>
    <row r="31" spans="1:8" ht="27.75" customHeight="1">
      <c r="A31" s="66" t="s">
        <v>111</v>
      </c>
      <c r="B31" s="74" t="s">
        <v>112</v>
      </c>
      <c r="C31" s="74" t="s">
        <v>112</v>
      </c>
      <c r="D31" s="67" t="s">
        <v>113</v>
      </c>
      <c r="E31" s="68" t="s">
        <v>114</v>
      </c>
      <c r="F31" s="68"/>
      <c r="G31" s="68"/>
      <c r="H31" s="68"/>
    </row>
    <row r="32" spans="1:8" ht="27.75" customHeight="1">
      <c r="A32" s="66" t="s">
        <v>115</v>
      </c>
      <c r="B32" s="74" t="s">
        <v>116</v>
      </c>
      <c r="C32" s="74" t="s">
        <v>116</v>
      </c>
      <c r="D32" s="67" t="s">
        <v>117</v>
      </c>
      <c r="E32" s="68" t="s">
        <v>118</v>
      </c>
      <c r="F32" s="68"/>
      <c r="G32" s="68"/>
      <c r="H32" s="68"/>
    </row>
    <row r="33" spans="1:8" ht="27.75" customHeight="1">
      <c r="A33" s="66" t="s">
        <v>119</v>
      </c>
      <c r="B33" s="74" t="s">
        <v>117</v>
      </c>
      <c r="C33" s="74" t="s">
        <v>117</v>
      </c>
      <c r="D33" s="67" t="s">
        <v>117</v>
      </c>
      <c r="E33" s="68" t="s">
        <v>120</v>
      </c>
      <c r="F33" s="68"/>
      <c r="G33" s="68"/>
      <c r="H33" s="68"/>
    </row>
    <row r="36" spans="1:8">
      <c r="A36" s="17" t="s">
        <v>121</v>
      </c>
    </row>
    <row r="37" spans="1:8" ht="15" customHeight="1">
      <c r="A37" s="70" t="s">
        <v>122</v>
      </c>
      <c r="B37" s="70" t="s">
        <v>123</v>
      </c>
      <c r="C37" s="71" t="s">
        <v>124</v>
      </c>
      <c r="D37" s="71"/>
      <c r="E37" s="71"/>
      <c r="F37" s="71"/>
      <c r="G37" s="71"/>
      <c r="H37" s="71"/>
    </row>
    <row r="38" spans="1:8" ht="27.75" customHeight="1">
      <c r="A38" s="66" t="s">
        <v>125</v>
      </c>
      <c r="B38" s="67" t="s">
        <v>126</v>
      </c>
      <c r="C38" s="68" t="s">
        <v>127</v>
      </c>
      <c r="D38" s="68"/>
      <c r="E38" s="68"/>
      <c r="F38" s="68"/>
      <c r="G38" s="68"/>
      <c r="H38" s="68"/>
    </row>
    <row r="39" spans="1:8" ht="27.75" customHeight="1">
      <c r="A39" s="66" t="s">
        <v>128</v>
      </c>
      <c r="B39" s="67" t="s">
        <v>129</v>
      </c>
      <c r="C39" s="68" t="s">
        <v>130</v>
      </c>
      <c r="D39" s="68"/>
      <c r="E39" s="68"/>
      <c r="F39" s="68"/>
      <c r="G39" s="68"/>
      <c r="H39" s="68"/>
    </row>
    <row r="40" spans="1:8" ht="27.75" customHeight="1">
      <c r="A40" s="66" t="s">
        <v>131</v>
      </c>
      <c r="B40" s="67" t="s">
        <v>132</v>
      </c>
      <c r="C40" s="68" t="s">
        <v>133</v>
      </c>
      <c r="D40" s="68"/>
      <c r="E40" s="68"/>
      <c r="F40" s="68"/>
      <c r="G40" s="68"/>
      <c r="H40" s="68"/>
    </row>
    <row r="41" spans="1:8" ht="27.75" customHeight="1">
      <c r="A41" s="66" t="s">
        <v>134</v>
      </c>
      <c r="B41" s="67" t="s">
        <v>135</v>
      </c>
      <c r="C41" s="68" t="s">
        <v>136</v>
      </c>
      <c r="D41" s="68"/>
      <c r="E41" s="68"/>
      <c r="F41" s="68"/>
      <c r="G41" s="68"/>
      <c r="H41" s="68"/>
    </row>
    <row r="42" spans="1:8" ht="27.75" customHeight="1">
      <c r="A42" s="66" t="s">
        <v>137</v>
      </c>
      <c r="B42" s="67" t="s">
        <v>138</v>
      </c>
      <c r="C42" s="68" t="s">
        <v>139</v>
      </c>
      <c r="D42" s="68"/>
      <c r="E42" s="68"/>
      <c r="F42" s="68"/>
      <c r="G42" s="68"/>
      <c r="H42" s="68"/>
    </row>
    <row r="43" spans="1:8" ht="27.75" customHeight="1">
      <c r="A43" s="66" t="s">
        <v>140</v>
      </c>
      <c r="B43" s="67" t="s">
        <v>141</v>
      </c>
      <c r="C43" s="68" t="s">
        <v>142</v>
      </c>
      <c r="D43" s="68"/>
      <c r="E43" s="68"/>
      <c r="F43" s="68"/>
      <c r="G43" s="68"/>
      <c r="H43" s="68"/>
    </row>
    <row r="44" spans="1:8" ht="27.75" customHeight="1">
      <c r="A44" s="66" t="s">
        <v>143</v>
      </c>
      <c r="B44" s="67" t="s">
        <v>144</v>
      </c>
      <c r="C44" s="68" t="s">
        <v>145</v>
      </c>
      <c r="D44" s="68"/>
      <c r="E44" s="68"/>
      <c r="F44" s="68"/>
      <c r="G44" s="68"/>
      <c r="H44" s="68"/>
    </row>
    <row r="45" spans="1:8" ht="27.75" customHeight="1">
      <c r="A45" s="66" t="s">
        <v>146</v>
      </c>
      <c r="B45" s="67" t="s">
        <v>147</v>
      </c>
      <c r="C45" s="68" t="s">
        <v>148</v>
      </c>
      <c r="D45" s="68"/>
      <c r="E45" s="68"/>
      <c r="F45" s="68"/>
      <c r="G45" s="68"/>
      <c r="H45" s="68"/>
    </row>
    <row r="46" spans="1:8" ht="27.75" customHeight="1">
      <c r="A46" s="66" t="s">
        <v>149</v>
      </c>
      <c r="B46" s="67" t="s">
        <v>150</v>
      </c>
      <c r="C46" s="68" t="s">
        <v>151</v>
      </c>
      <c r="D46" s="68"/>
      <c r="E46" s="68"/>
      <c r="F46" s="68"/>
      <c r="G46" s="68"/>
      <c r="H46" s="68"/>
    </row>
    <row r="47" spans="1:8" ht="27.75" customHeight="1">
      <c r="A47" s="66" t="s">
        <v>152</v>
      </c>
      <c r="B47" s="67" t="s">
        <v>153</v>
      </c>
      <c r="C47" s="68" t="s">
        <v>154</v>
      </c>
      <c r="D47" s="68"/>
      <c r="E47" s="68"/>
      <c r="F47" s="68"/>
      <c r="G47" s="68"/>
      <c r="H47" s="68"/>
    </row>
    <row r="48" spans="1:8" ht="27.75" customHeight="1">
      <c r="A48" s="66" t="s">
        <v>155</v>
      </c>
      <c r="B48" s="67" t="s">
        <v>156</v>
      </c>
      <c r="C48" s="68" t="s">
        <v>157</v>
      </c>
      <c r="D48" s="68"/>
      <c r="E48" s="68"/>
      <c r="F48" s="68"/>
      <c r="G48" s="68"/>
      <c r="H48" s="68"/>
    </row>
    <row r="49" spans="1:8" ht="27.75" customHeight="1">
      <c r="A49" s="66" t="s">
        <v>158</v>
      </c>
      <c r="B49" s="67" t="s">
        <v>159</v>
      </c>
      <c r="C49" s="68" t="s">
        <v>160</v>
      </c>
      <c r="D49" s="68"/>
      <c r="E49" s="68"/>
      <c r="F49" s="68"/>
      <c r="G49" s="68"/>
      <c r="H49" s="68"/>
    </row>
    <row r="50" spans="1:8" ht="27.75" customHeight="1">
      <c r="A50" s="66" t="s">
        <v>161</v>
      </c>
      <c r="B50" s="67" t="s">
        <v>162</v>
      </c>
      <c r="C50" s="68" t="s">
        <v>163</v>
      </c>
      <c r="D50" s="68"/>
      <c r="E50" s="68"/>
      <c r="F50" s="68"/>
      <c r="G50" s="68"/>
      <c r="H50" s="68"/>
    </row>
    <row r="51" spans="1:8" ht="27.75" customHeight="1">
      <c r="A51" s="66" t="s">
        <v>164</v>
      </c>
      <c r="B51" s="67" t="s">
        <v>165</v>
      </c>
      <c r="C51" s="68" t="s">
        <v>166</v>
      </c>
      <c r="D51" s="68"/>
      <c r="E51" s="68"/>
      <c r="F51" s="68"/>
      <c r="G51" s="68"/>
      <c r="H51" s="68"/>
    </row>
    <row r="52" spans="1:8" ht="27.75" customHeight="1">
      <c r="A52" s="66" t="s">
        <v>167</v>
      </c>
      <c r="B52" s="67" t="s">
        <v>168</v>
      </c>
      <c r="C52" s="68" t="s">
        <v>169</v>
      </c>
      <c r="D52" s="68"/>
      <c r="E52" s="68"/>
      <c r="F52" s="68"/>
      <c r="G52" s="68"/>
      <c r="H52" s="68"/>
    </row>
    <row r="53" spans="1:8" ht="27.75" customHeight="1">
      <c r="A53" s="66" t="s">
        <v>170</v>
      </c>
      <c r="B53" s="67" t="s">
        <v>171</v>
      </c>
      <c r="C53" s="68" t="s">
        <v>172</v>
      </c>
      <c r="D53" s="68"/>
      <c r="E53" s="68"/>
      <c r="F53" s="68"/>
      <c r="G53" s="68"/>
      <c r="H53" s="68"/>
    </row>
    <row r="54" spans="1:8" ht="27.75" customHeight="1">
      <c r="A54" s="66" t="s">
        <v>173</v>
      </c>
      <c r="B54" s="67" t="s">
        <v>174</v>
      </c>
      <c r="C54" s="68" t="s">
        <v>175</v>
      </c>
      <c r="D54" s="68"/>
      <c r="E54" s="68"/>
      <c r="F54" s="68"/>
      <c r="G54" s="68"/>
      <c r="H54" s="68"/>
    </row>
    <row r="55" spans="1:8" ht="27.75" customHeight="1">
      <c r="A55" s="66" t="s">
        <v>176</v>
      </c>
      <c r="B55" s="67" t="s">
        <v>177</v>
      </c>
      <c r="C55" s="68" t="s">
        <v>178</v>
      </c>
      <c r="D55" s="68"/>
      <c r="E55" s="68"/>
      <c r="F55" s="68"/>
      <c r="G55" s="68"/>
      <c r="H55" s="68"/>
    </row>
    <row r="56" spans="1:8" ht="27.75" customHeight="1">
      <c r="A56" s="66" t="s">
        <v>179</v>
      </c>
      <c r="B56" s="67" t="s">
        <v>180</v>
      </c>
      <c r="C56" s="68" t="s">
        <v>181</v>
      </c>
      <c r="D56" s="68"/>
      <c r="E56" s="68"/>
      <c r="F56" s="68"/>
      <c r="G56" s="68"/>
      <c r="H56" s="68"/>
    </row>
    <row r="57" spans="1:8" ht="27.75" customHeight="1">
      <c r="A57" s="66" t="s">
        <v>182</v>
      </c>
      <c r="B57" s="67" t="s">
        <v>183</v>
      </c>
      <c r="C57" s="68" t="s">
        <v>184</v>
      </c>
      <c r="D57" s="68"/>
      <c r="E57" s="68"/>
      <c r="F57" s="68"/>
      <c r="G57" s="68"/>
      <c r="H57" s="68"/>
    </row>
    <row r="58" spans="1:8" ht="27.75" customHeight="1">
      <c r="A58" s="66" t="s">
        <v>185</v>
      </c>
      <c r="B58" s="67" t="s">
        <v>186</v>
      </c>
      <c r="C58" s="68" t="s">
        <v>187</v>
      </c>
      <c r="D58" s="68"/>
      <c r="E58" s="68"/>
      <c r="F58" s="68"/>
      <c r="G58" s="68"/>
      <c r="H58" s="68"/>
    </row>
    <row r="59" spans="1:8" ht="27.75" customHeight="1">
      <c r="A59" s="66" t="s">
        <v>188</v>
      </c>
      <c r="B59" s="67" t="s">
        <v>189</v>
      </c>
      <c r="C59" s="68" t="s">
        <v>190</v>
      </c>
      <c r="D59" s="68"/>
      <c r="E59" s="68"/>
      <c r="F59" s="68"/>
      <c r="G59" s="68"/>
      <c r="H59" s="68"/>
    </row>
    <row r="60" spans="1:8" ht="27.75" customHeight="1">
      <c r="A60" s="66" t="s">
        <v>119</v>
      </c>
      <c r="B60" s="67" t="s">
        <v>117</v>
      </c>
      <c r="C60" s="68" t="s">
        <v>191</v>
      </c>
      <c r="D60" s="68"/>
      <c r="E60" s="68"/>
      <c r="F60" s="68"/>
      <c r="G60" s="68"/>
      <c r="H60" s="68"/>
    </row>
    <row r="63" spans="1:8">
      <c r="A63" s="17" t="s">
        <v>192</v>
      </c>
    </row>
    <row r="64" spans="1:8" ht="15" customHeight="1">
      <c r="A64" s="25" t="s">
        <v>193</v>
      </c>
      <c r="B64" s="25" t="s">
        <v>194</v>
      </c>
      <c r="C64" s="25" t="s">
        <v>195</v>
      </c>
      <c r="D64" s="9" t="s">
        <v>196</v>
      </c>
      <c r="E64" s="9"/>
      <c r="F64" s="9"/>
      <c r="G64" s="9"/>
      <c r="H64" s="9"/>
    </row>
    <row r="65" spans="1:8" ht="39.75" customHeight="1">
      <c r="A65" s="66" t="s">
        <v>197</v>
      </c>
      <c r="B65" s="67" t="s">
        <v>198</v>
      </c>
      <c r="C65" s="67" t="s">
        <v>199</v>
      </c>
      <c r="D65" s="68" t="s">
        <v>200</v>
      </c>
      <c r="E65" s="68"/>
      <c r="F65" s="68"/>
      <c r="G65" s="68"/>
      <c r="H65" s="68"/>
    </row>
    <row r="66" spans="1:8" ht="39.75" customHeight="1">
      <c r="A66" s="66" t="s">
        <v>201</v>
      </c>
      <c r="B66" s="67" t="s">
        <v>202</v>
      </c>
      <c r="C66" s="67" t="s">
        <v>203</v>
      </c>
      <c r="D66" s="68" t="s">
        <v>117</v>
      </c>
      <c r="E66" s="68"/>
      <c r="F66" s="68"/>
      <c r="G66" s="68"/>
      <c r="H66" s="68"/>
    </row>
    <row r="67" spans="1:8" ht="39.75" customHeight="1">
      <c r="A67" s="66" t="s">
        <v>204</v>
      </c>
      <c r="B67" s="67" t="s">
        <v>205</v>
      </c>
      <c r="C67" s="67" t="s">
        <v>206</v>
      </c>
      <c r="D67" s="68" t="s">
        <v>207</v>
      </c>
      <c r="E67" s="68"/>
      <c r="F67" s="68"/>
      <c r="G67" s="68"/>
      <c r="H67" s="68"/>
    </row>
    <row r="68" spans="1:8" ht="39.75" customHeight="1">
      <c r="A68" s="66" t="s">
        <v>208</v>
      </c>
      <c r="B68" s="67" t="s">
        <v>209</v>
      </c>
      <c r="C68" s="67" t="s">
        <v>210</v>
      </c>
      <c r="D68" s="68" t="s">
        <v>117</v>
      </c>
      <c r="E68" s="68"/>
      <c r="F68" s="68"/>
      <c r="G68" s="68"/>
      <c r="H68" s="68"/>
    </row>
    <row r="69" spans="1:8" ht="39.75" customHeight="1">
      <c r="A69" s="66" t="s">
        <v>211</v>
      </c>
      <c r="B69" s="67" t="s">
        <v>212</v>
      </c>
      <c r="C69" s="67" t="s">
        <v>213</v>
      </c>
      <c r="D69" s="68" t="s">
        <v>117</v>
      </c>
      <c r="E69" s="68"/>
      <c r="F69" s="68"/>
      <c r="G69" s="68"/>
      <c r="H69" s="68"/>
    </row>
    <row r="70" spans="1:8" ht="39.75" customHeight="1">
      <c r="A70" s="66" t="s">
        <v>214</v>
      </c>
      <c r="B70" s="67" t="s">
        <v>215</v>
      </c>
      <c r="C70" s="67" t="s">
        <v>216</v>
      </c>
      <c r="D70" s="68" t="s">
        <v>117</v>
      </c>
      <c r="E70" s="68"/>
      <c r="F70" s="68"/>
      <c r="G70" s="68"/>
      <c r="H70" s="68"/>
    </row>
    <row r="71" spans="1:8" ht="39.75" customHeight="1">
      <c r="A71" s="66" t="s">
        <v>217</v>
      </c>
      <c r="B71" s="67" t="s">
        <v>218</v>
      </c>
      <c r="C71" s="67" t="s">
        <v>219</v>
      </c>
      <c r="D71" s="68" t="s">
        <v>117</v>
      </c>
      <c r="E71" s="68"/>
      <c r="F71" s="68"/>
      <c r="G71" s="68"/>
      <c r="H71" s="68"/>
    </row>
    <row r="72" spans="1:8" ht="39.75" customHeight="1">
      <c r="A72" s="66" t="s">
        <v>220</v>
      </c>
      <c r="B72" s="67" t="s">
        <v>221</v>
      </c>
      <c r="C72" s="67" t="s">
        <v>222</v>
      </c>
      <c r="D72" s="68" t="s">
        <v>117</v>
      </c>
      <c r="E72" s="68"/>
      <c r="F72" s="68"/>
      <c r="G72" s="68"/>
      <c r="H72" s="68"/>
    </row>
    <row r="73" spans="1:8" ht="39.75" customHeight="1">
      <c r="A73" s="66" t="s">
        <v>119</v>
      </c>
      <c r="B73" s="67" t="s">
        <v>223</v>
      </c>
      <c r="C73" s="67" t="s">
        <v>224</v>
      </c>
      <c r="D73" s="68" t="s">
        <v>225</v>
      </c>
      <c r="E73" s="68"/>
      <c r="F73" s="68"/>
      <c r="G73" s="68"/>
      <c r="H73" s="68"/>
    </row>
    <row r="74" spans="1:8" ht="33.75" customHeight="1">
      <c r="A74" s="69" t="s">
        <v>226</v>
      </c>
      <c r="B74" s="69"/>
      <c r="C74" s="69"/>
      <c r="D74" s="69"/>
      <c r="E74" s="69"/>
      <c r="F74" s="69"/>
      <c r="G74" s="69"/>
      <c r="H74" s="69"/>
    </row>
  </sheetData>
  <mergeCells count="52">
    <mergeCell ref="D73:H73"/>
    <mergeCell ref="A74:H74"/>
    <mergeCell ref="D68:H68"/>
    <mergeCell ref="D69:H69"/>
    <mergeCell ref="D70:H70"/>
    <mergeCell ref="D71:H71"/>
    <mergeCell ref="D72:H72"/>
    <mergeCell ref="C60:H60"/>
    <mergeCell ref="D64:H64"/>
    <mergeCell ref="D65:H65"/>
    <mergeCell ref="D66:H66"/>
    <mergeCell ref="D67:H67"/>
    <mergeCell ref="C55:H55"/>
    <mergeCell ref="C56:H56"/>
    <mergeCell ref="C57:H57"/>
    <mergeCell ref="C58:H58"/>
    <mergeCell ref="C59:H59"/>
    <mergeCell ref="C50:H50"/>
    <mergeCell ref="C51:H51"/>
    <mergeCell ref="C52:H52"/>
    <mergeCell ref="C53:H53"/>
    <mergeCell ref="C54:H54"/>
    <mergeCell ref="C45:H45"/>
    <mergeCell ref="C46:H46"/>
    <mergeCell ref="C47:H47"/>
    <mergeCell ref="C48:H48"/>
    <mergeCell ref="C49:H49"/>
    <mergeCell ref="C40:H40"/>
    <mergeCell ref="C41:H41"/>
    <mergeCell ref="C42:H42"/>
    <mergeCell ref="C43:H43"/>
    <mergeCell ref="C44:H44"/>
    <mergeCell ref="E32:H32"/>
    <mergeCell ref="E33:H33"/>
    <mergeCell ref="C37:H37"/>
    <mergeCell ref="C38:H38"/>
    <mergeCell ref="C39:H39"/>
    <mergeCell ref="E27:H27"/>
    <mergeCell ref="E28:H28"/>
    <mergeCell ref="E29:H29"/>
    <mergeCell ref="E30:H30"/>
    <mergeCell ref="E31:H31"/>
    <mergeCell ref="E22:H22"/>
    <mergeCell ref="E23:H23"/>
    <mergeCell ref="E24:H24"/>
    <mergeCell ref="E25:H25"/>
    <mergeCell ref="E26:H26"/>
    <mergeCell ref="E17:H17"/>
    <mergeCell ref="E18:H18"/>
    <mergeCell ref="E19:H19"/>
    <mergeCell ref="E20:H20"/>
    <mergeCell ref="E21:H21"/>
  </mergeCell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G150"/>
  <sheetViews>
    <sheetView showGridLines="0" zoomScaleNormal="100" workbookViewId="0">
      <pane xSplit="2" ySplit="4" topLeftCell="C125" activePane="bottomRight" state="frozen"/>
      <selection pane="topRight" activeCell="C1" sqref="C1"/>
      <selection pane="bottomLeft" activeCell="A5" sqref="A5"/>
      <selection pane="bottomRight" activeCell="BE135" sqref="BE135"/>
    </sheetView>
  </sheetViews>
  <sheetFormatPr defaultColWidth="8.7109375" defaultRowHeight="15" outlineLevelCol="1"/>
  <cols>
    <col min="1" max="1" width="6" customWidth="1"/>
    <col min="2" max="2" width="34" customWidth="1"/>
    <col min="3" max="5" width="16" customWidth="1" outlineLevel="1"/>
    <col min="6" max="7" width="12" customWidth="1"/>
    <col min="8" max="9" width="9" customWidth="1"/>
    <col min="10" max="10" width="8" customWidth="1"/>
    <col min="11" max="11" width="9" customWidth="1" outlineLevel="1"/>
    <col min="12" max="12" width="30" customWidth="1"/>
    <col min="13" max="17" width="11" customWidth="1" outlineLevel="1"/>
    <col min="18" max="18" width="10" customWidth="1"/>
    <col min="19" max="19" width="14" customWidth="1"/>
    <col min="20" max="20" width="18" customWidth="1"/>
    <col min="21" max="21" width="8" customWidth="1"/>
    <col min="22" max="22" width="18" customWidth="1"/>
    <col min="23" max="23" width="9" customWidth="1"/>
    <col min="24" max="24" width="15" customWidth="1"/>
    <col min="25" max="26" width="8" customWidth="1"/>
    <col min="27" max="27" width="14" customWidth="1"/>
    <col min="28" max="29" width="12" customWidth="1"/>
    <col min="30" max="30" width="16" customWidth="1"/>
    <col min="31" max="31" width="30" customWidth="1"/>
    <col min="32" max="32" width="9" customWidth="1"/>
    <col min="33" max="34" width="13" customWidth="1" outlineLevel="1"/>
    <col min="35" max="35" width="17.7109375" customWidth="1" outlineLevel="1"/>
    <col min="36" max="36" width="22" customWidth="1"/>
    <col min="37" max="37" width="12" customWidth="1"/>
    <col min="38" max="44" width="8" customWidth="1" outlineLevel="1"/>
    <col min="45" max="45" width="28" customWidth="1"/>
    <col min="46" max="56" width="7" customWidth="1" outlineLevel="1"/>
    <col min="57" max="57" width="30" customWidth="1"/>
    <col min="58" max="58" width="40" customWidth="1"/>
    <col min="59" max="59" width="8" customWidth="1"/>
  </cols>
  <sheetData>
    <row r="1" spans="1:59" ht="18">
      <c r="A1" s="10" t="s">
        <v>227</v>
      </c>
    </row>
    <row r="2" spans="1:59">
      <c r="A2" s="11" t="s">
        <v>228</v>
      </c>
    </row>
    <row r="3" spans="1:59" ht="21.75" customHeight="1">
      <c r="A3" s="8" t="s">
        <v>229</v>
      </c>
      <c r="B3" s="8"/>
      <c r="C3" s="8"/>
      <c r="D3" s="8"/>
      <c r="E3" s="8"/>
      <c r="F3" s="7" t="s">
        <v>230</v>
      </c>
      <c r="G3" s="7"/>
      <c r="H3" s="7"/>
      <c r="I3" s="7"/>
      <c r="J3" s="7"/>
      <c r="K3" s="7"/>
      <c r="L3" s="7"/>
      <c r="M3" s="7"/>
      <c r="N3" s="7"/>
      <c r="O3" s="7"/>
      <c r="P3" s="7"/>
      <c r="Q3" s="7"/>
      <c r="R3" s="7"/>
      <c r="S3" s="7"/>
      <c r="T3" s="7"/>
      <c r="U3" s="7"/>
      <c r="V3" s="6" t="s">
        <v>231</v>
      </c>
      <c r="W3" s="6"/>
      <c r="X3" s="6"/>
      <c r="Y3" s="5" t="s">
        <v>232</v>
      </c>
      <c r="Z3" s="5"/>
      <c r="AA3" s="5"/>
      <c r="AB3" s="5"/>
      <c r="AC3" s="5"/>
      <c r="AD3" s="5"/>
      <c r="AE3" s="5"/>
      <c r="AF3" s="5"/>
      <c r="AG3" s="5"/>
      <c r="AH3" s="5"/>
      <c r="AI3" s="5"/>
      <c r="AJ3" s="4" t="s">
        <v>233</v>
      </c>
      <c r="AK3" s="4"/>
      <c r="AL3" s="3" t="s">
        <v>234</v>
      </c>
      <c r="AM3" s="3"/>
      <c r="AN3" s="3"/>
      <c r="AO3" s="3"/>
      <c r="AP3" s="3"/>
      <c r="AQ3" s="3"/>
      <c r="AR3" s="3"/>
      <c r="AS3" s="26" t="s">
        <v>235</v>
      </c>
      <c r="AT3" s="2" t="s">
        <v>236</v>
      </c>
      <c r="AU3" s="2"/>
      <c r="AV3" s="2"/>
      <c r="AW3" s="2"/>
      <c r="AX3" s="2"/>
      <c r="AY3" s="2"/>
      <c r="AZ3" s="2"/>
      <c r="BA3" s="2"/>
      <c r="BB3" s="2"/>
      <c r="BC3" s="2"/>
      <c r="BD3" s="2"/>
      <c r="BE3" s="1" t="s">
        <v>235</v>
      </c>
      <c r="BF3" s="1"/>
      <c r="BG3" s="1"/>
    </row>
    <row r="4" spans="1:59" ht="54" customHeight="1">
      <c r="A4" s="27" t="s">
        <v>237</v>
      </c>
      <c r="B4" s="27" t="s">
        <v>238</v>
      </c>
      <c r="C4" s="27" t="s">
        <v>239</v>
      </c>
      <c r="D4" s="27" t="s">
        <v>240</v>
      </c>
      <c r="E4" s="28" t="s">
        <v>33</v>
      </c>
      <c r="F4" s="28" t="s">
        <v>241</v>
      </c>
      <c r="G4" s="28" t="s">
        <v>242</v>
      </c>
      <c r="H4" s="27" t="s">
        <v>243</v>
      </c>
      <c r="I4" s="27" t="s">
        <v>244</v>
      </c>
      <c r="J4" s="27" t="s">
        <v>245</v>
      </c>
      <c r="K4" s="29" t="s">
        <v>246</v>
      </c>
      <c r="L4" s="29" t="s">
        <v>6</v>
      </c>
      <c r="M4" s="28" t="s">
        <v>247</v>
      </c>
      <c r="N4" s="28" t="s">
        <v>248</v>
      </c>
      <c r="O4" s="28" t="s">
        <v>249</v>
      </c>
      <c r="P4" s="28" t="s">
        <v>250</v>
      </c>
      <c r="Q4" s="28" t="s">
        <v>251</v>
      </c>
      <c r="R4" s="28" t="s">
        <v>252</v>
      </c>
      <c r="S4" s="28" t="s">
        <v>253</v>
      </c>
      <c r="T4" s="28" t="s">
        <v>254</v>
      </c>
      <c r="U4" s="27" t="s">
        <v>255</v>
      </c>
      <c r="V4" s="28" t="s">
        <v>256</v>
      </c>
      <c r="W4" s="27" t="s">
        <v>257</v>
      </c>
      <c r="X4" s="28" t="s">
        <v>258</v>
      </c>
      <c r="Y4" s="28" t="s">
        <v>259</v>
      </c>
      <c r="Z4" s="28" t="s">
        <v>260</v>
      </c>
      <c r="AA4" s="27" t="s">
        <v>261</v>
      </c>
      <c r="AB4" s="29" t="s">
        <v>262</v>
      </c>
      <c r="AC4" s="29" t="s">
        <v>263</v>
      </c>
      <c r="AD4" s="29" t="s">
        <v>264</v>
      </c>
      <c r="AE4" s="27" t="s">
        <v>265</v>
      </c>
      <c r="AF4" s="28" t="s">
        <v>193</v>
      </c>
      <c r="AG4" s="29" t="s">
        <v>266</v>
      </c>
      <c r="AH4" s="29" t="s">
        <v>267</v>
      </c>
      <c r="AI4" s="29" t="s">
        <v>268</v>
      </c>
      <c r="AJ4" s="27" t="s">
        <v>269</v>
      </c>
      <c r="AK4" s="28" t="s">
        <v>270</v>
      </c>
      <c r="AL4" s="28" t="s">
        <v>271</v>
      </c>
      <c r="AM4" s="28" t="s">
        <v>272</v>
      </c>
      <c r="AN4" s="28" t="s">
        <v>273</v>
      </c>
      <c r="AO4" s="28" t="s">
        <v>274</v>
      </c>
      <c r="AP4" s="28" t="s">
        <v>275</v>
      </c>
      <c r="AQ4" s="28" t="s">
        <v>276</v>
      </c>
      <c r="AR4" s="28" t="s">
        <v>277</v>
      </c>
      <c r="AS4" s="29" t="s">
        <v>278</v>
      </c>
      <c r="AT4" s="29" t="s">
        <v>279</v>
      </c>
      <c r="AU4" s="29" t="s">
        <v>280</v>
      </c>
      <c r="AV4" s="29" t="s">
        <v>281</v>
      </c>
      <c r="AW4" s="29" t="s">
        <v>282</v>
      </c>
      <c r="AX4" s="29" t="s">
        <v>283</v>
      </c>
      <c r="AY4" s="29" t="s">
        <v>284</v>
      </c>
      <c r="AZ4" s="29" t="s">
        <v>285</v>
      </c>
      <c r="BA4" s="29" t="s">
        <v>286</v>
      </c>
      <c r="BB4" s="29" t="s">
        <v>287</v>
      </c>
      <c r="BC4" s="29" t="s">
        <v>288</v>
      </c>
      <c r="BD4" s="29" t="s">
        <v>289</v>
      </c>
      <c r="BE4" s="27" t="s">
        <v>290</v>
      </c>
      <c r="BF4" s="27" t="s">
        <v>291</v>
      </c>
      <c r="BG4" s="28" t="s">
        <v>292</v>
      </c>
    </row>
    <row r="5" spans="1:59" ht="24" customHeight="1">
      <c r="A5" s="30">
        <v>1</v>
      </c>
      <c r="B5" s="30" t="s">
        <v>293</v>
      </c>
      <c r="C5" s="30" t="s">
        <v>294</v>
      </c>
      <c r="D5" s="30" t="s">
        <v>295</v>
      </c>
      <c r="E5" s="30" t="s">
        <v>41</v>
      </c>
      <c r="F5" s="30" t="s">
        <v>119</v>
      </c>
      <c r="G5" s="30" t="s">
        <v>119</v>
      </c>
      <c r="H5" s="31"/>
      <c r="I5" s="31">
        <v>95.8</v>
      </c>
      <c r="J5" s="31">
        <v>54.3</v>
      </c>
      <c r="K5" s="32">
        <f>IF(ISNUMBER(J5),J5,IF(AND(ISNUMBER(H5),ISNUMBER(I5)),H5*I5/(367*'Assumptions &amp; FX Reference'!$I$17),""))</f>
        <v>54.3</v>
      </c>
      <c r="L5" s="33" t="str">
        <f t="shared" ref="L5:L36" si="0">IF(IF(OR(M5="Not stated",M5=""),""," + "&amp;M5)&amp;IF(OR(N5="None",N5=""),""," + "&amp;N5)&amp;IF(O5="Y"," + NACE MR0175","")="","Not stated",MID(IF(OR(M5="Not stated",M5=""),""," + "&amp;M5)&amp;IF(OR(N5="None",N5=""),""," + "&amp;N5)&amp;IF(O5="Y"," + NACE MR0175",""),4,300))</f>
        <v>Not stated</v>
      </c>
      <c r="M5" s="30" t="s">
        <v>119</v>
      </c>
      <c r="N5" s="30" t="s">
        <v>296</v>
      </c>
      <c r="O5" s="30" t="s">
        <v>119</v>
      </c>
      <c r="P5" s="30" t="s">
        <v>119</v>
      </c>
      <c r="Q5" s="30" t="s">
        <v>119</v>
      </c>
      <c r="R5" s="30" t="s">
        <v>119</v>
      </c>
      <c r="S5" s="30" t="s">
        <v>297</v>
      </c>
      <c r="T5" s="30" t="s">
        <v>298</v>
      </c>
      <c r="U5" s="30">
        <v>1</v>
      </c>
      <c r="V5" s="30" t="s">
        <v>299</v>
      </c>
      <c r="W5" s="31"/>
      <c r="X5" s="30" t="s">
        <v>119</v>
      </c>
      <c r="Y5" s="30" t="s">
        <v>300</v>
      </c>
      <c r="Z5" s="30" t="s">
        <v>301</v>
      </c>
      <c r="AA5" s="34">
        <v>240000</v>
      </c>
      <c r="AB5" s="35" t="str">
        <f>IF(NOT(ISNUMBER(AA5)),"(Not stated)",IF(NOT(ISNUMBER(Y5)),"(Cost year not stated)",IFERROR(IF(Z5="EUR",AA5,IF(Z5="IRR",AA5/INDEX('Assumptions &amp; FX Reference'!$C$5:$C$25,MATCH(Y5,'Assumptions &amp; FX Reference'!$A$5:$A$25,0)),IF(Z5="USD",AA5*INDEX('Assumptions &amp; FX Reference'!$B$5:$B$25,MATCH(Y5,'Assumptions &amp; FX Reference'!$A$5:$A$25,0))/INDEX('Assumptions &amp; FX Reference'!$C$5:$C$25,MATCH(Y5,'Assumptions &amp; FX Reference'!$A$5:$A$25,0)),"(Currency?)"))),"(FX rate missing)")))</f>
        <v>(Cost year not stated)</v>
      </c>
      <c r="AC5" s="35" t="str">
        <f>IF(NOT(ISNUMBER(AA5)),"(Not stated)",IF(NOT(ISNUMBER(Y5)),"(Cost year not stated)",IFERROR(IF(Z5="USD",AA5,IF(Z5="IRR",AA5/INDEX('Assumptions &amp; FX Reference'!$B$5:$B$25,MATCH(Y5,'Assumptions &amp; FX Reference'!$A$5:$A$25,0)),IF(Z5="EUR",AA5*INDEX('Assumptions &amp; FX Reference'!$C$5:$C$25,MATCH(Y5,'Assumptions &amp; FX Reference'!$A$5:$A$25,0))/INDEX('Assumptions &amp; FX Reference'!$B$5:$B$25,MATCH(Y5,'Assumptions &amp; FX Reference'!$A$5:$A$25,0)),"(Currency?)"))),"(FX rate missing)")))</f>
        <v>(Cost year not stated)</v>
      </c>
      <c r="AD5" s="35" t="str">
        <f>IF(NOT(ISNUMBER(AA5)),"(Not stated)",IF(NOT(ISNUMBER(Y5)),"(Cost year not stated)",IFERROR(IF(Z5="IRR",AA5,IF(Z5="USD",AA5*INDEX('Assumptions &amp; FX Reference'!$B$5:$B$25,MATCH(Y5,'Assumptions &amp; FX Reference'!$A$5:$A$25,0)),IF(Z5="EUR",AA5*INDEX('Assumptions &amp; FX Reference'!$C$5:$C$25,MATCH(Y5,'Assumptions &amp; FX Reference'!$A$5:$A$25,0)),"(Currency?)"))),"(FX rate missing)")))</f>
        <v>(Cost year not stated)</v>
      </c>
      <c r="AE5" s="30" t="s">
        <v>302</v>
      </c>
      <c r="AF5" s="30" t="s">
        <v>119</v>
      </c>
      <c r="AG5" s="35" t="str">
        <f>IF(AND(Z5="EUR",N(AA5)&gt;5000000),"(Check currency – excluded)",IF(AND(ISNUMBER(AB5),ISNUMBER(AZ5),ISNUMBER(BA5)),IF(AND(BB5="Y",ISNUMBER('Assumptions &amp; FX Reference'!$I$15)),MAX(AB5*BA5/AZ5,'Assumptions &amp; FX Reference'!$I$13*BA5/'Assumptions &amp; FX Reference'!$I$15),AB5*BA5/AZ5),"(PPI/FX missing)"))</f>
        <v>(PPI/FX missing)</v>
      </c>
      <c r="AH5" s="35" t="str">
        <f>IF(AND(ISNUMBER(AG5),ISNUMBER('Assumptions &amp; FX Reference'!$I$8),ISNUMBER('Assumptions &amp; FX Reference'!$I$11)),AG5*'Assumptions &amp; FX Reference'!$I$8/'Assumptions &amp; FX Reference'!$I$11,"")</f>
        <v/>
      </c>
      <c r="AI5" s="35" t="str">
        <f>IF(AND(ISNUMBER(AG5),ISNUMBER('Assumptions &amp; FX Reference'!$I$8)),AG5*'Assumptions &amp; FX Reference'!$I$8,"")</f>
        <v/>
      </c>
      <c r="AJ5" s="30" t="s">
        <v>295</v>
      </c>
      <c r="AK5" s="30" t="s">
        <v>119</v>
      </c>
      <c r="AL5" s="30" t="s">
        <v>119</v>
      </c>
      <c r="AM5" s="30" t="s">
        <v>119</v>
      </c>
      <c r="AN5" s="30" t="s">
        <v>119</v>
      </c>
      <c r="AO5" s="30" t="s">
        <v>119</v>
      </c>
      <c r="AP5" s="30" t="s">
        <v>119</v>
      </c>
      <c r="AQ5" s="30" t="s">
        <v>119</v>
      </c>
      <c r="AR5" s="30" t="s">
        <v>119</v>
      </c>
      <c r="AS5" s="33" t="str">
        <f t="shared" ref="AS5:AS36" si="1">IF(AND(Z5="EUR",N(AA5)&gt;5000000),"Check currency (EUR&gt;5M); ","")&amp;IF(NOT(ISNUMBER(AA5)),"No price; ","")&amp;IF(G5="Not stated","Material missing; ","")&amp;IF(P5="Not stated","Seal missing; ","")&amp;IF(K5="","Size driver missing; ","")&amp;IF(NOT(ISNUMBER(AZ5)),"Base-year PPI missing; ","")</f>
        <v xml:space="preserve">Material missing; Seal missing; Base-year PPI missing; </v>
      </c>
      <c r="AT5" s="36">
        <f>IFERROR(INDEX(Factors_ROT!$F$5:$F$200,MATCH("MAT|"&amp;G5,Factors_ROT!$A$5:$A$200,0)),1)</f>
        <v>1</v>
      </c>
      <c r="AU5" s="36">
        <f>IFERROR(INDEX(Factors_ROT!$F$5:$F$200,MATCH("SEAL_ARR|"&amp;P5,Factors_ROT!$A$5:$A$200,0)),1)*IFERROR(INDEX(Factors_ROT!$F$5:$F$200,MATCH("SEAL_CAT|"&amp;Q5,Factors_ROT!$A$5:$A$200,0)),1)*IFERROR(INDEX(Factors_ROT!$F$5:$F$200,MATCH("SEAL_PLAN|"&amp;R5,Factors_ROT!$A$5:$A$200,0)),1)</f>
        <v>1</v>
      </c>
      <c r="AV5" s="36">
        <f>IFERROR(INDEX(Factors_ROT!$F$5:$F$200,MATCH("DRV|"&amp;S5,Factors_ROT!$A$5:$A$200,0)),1)*IFERROR(INDEX(Factors_ROT!$F$5:$F$200,MATCH("NACE|"&amp;O5,Factors_ROT!$A$5:$A$200,0)),1)</f>
        <v>1</v>
      </c>
      <c r="AW5" s="36">
        <f>IFERROR(INDEX(Factors_ROT!$F$5:$F$200,MATCH("SC_DRV|"&amp;AL5,Factors_ROT!$A$5:$A$200,0)),1)*IFERROR(INDEX(Factors_ROT!$F$5:$F$200,MATCH("SC_BSP|"&amp;AM5,Factors_ROT!$A$5:$A$200,0)),1)*IFERROR(INDEX(Factors_ROT!$F$5:$F$200,MATCH("SC_SEAL|"&amp;AN5,Factors_ROT!$A$5:$A$200,0)),1)*IFERROR(INDEX(Factors_ROT!$F$5:$F$200,MATCH("SC_COMM|"&amp;AO5,Factors_ROT!$A$5:$A$200,0)),1)*IFERROR(INDEX(Factors_ROT!$F$5:$F$200,MATCH("SC_2Y|"&amp;AP5,Factors_ROT!$A$5:$A$200,0)),1)*IFERROR(INDEX(Factors_ROT!$F$5:$F$200,MATCH("SC_TPI|"&amp;AQ5,Factors_ROT!$A$5:$A$200,0)),1)*IFERROR(INDEX(Factors_ROT!$F$5:$F$200,MATCH("SC_FAT|"&amp;AR5,Factors_ROT!$A$5:$A$200,0)),1)</f>
        <v>1</v>
      </c>
      <c r="AX5" s="36">
        <f t="shared" ref="AX5:AX36" si="2">AT5*AU5*AV5*AW5</f>
        <v>1</v>
      </c>
      <c r="AY5" s="35" t="str">
        <f t="shared" ref="AY5:AY36" si="3">IF(ISNUMBER(AB5),AB5/AX5,"")</f>
        <v/>
      </c>
      <c r="AZ5" s="37" t="str">
        <f>IFERROR(IF(N(INDEX(Escalation_Index!$B$5:$B$25,MATCH(Y5,Escalation_Index!$A$5:$A$25,0)))&gt;0,INDEX(Escalation_Index!$B$5:$B$25,MATCH(Y5,Escalation_Index!$A$5:$A$25,0)),""),"")</f>
        <v/>
      </c>
      <c r="BA5" s="37">
        <f>IF(ISNUMBER('Assumptions &amp; FX Reference'!$I$12),'Assumptions &amp; FX Reference'!$I$12,"")</f>
        <v>123.416</v>
      </c>
      <c r="BB5" s="33" t="str">
        <f t="shared" ref="BB5:BB36" si="4">IF(AND(M5="API 610",LEFT(V5,11)="Centrifugal",OR(LEFT(G5,2)="S-",LEFT(G5,2)="D-")),"Y","N")</f>
        <v>N</v>
      </c>
      <c r="BC5" s="35" t="str">
        <f t="shared" ref="BC5:BC36" si="5">IF(ISNUMBER(AG5),AG5/AX5,"")</f>
        <v/>
      </c>
      <c r="BD5" s="35" t="str">
        <f>IF(AND(ISNUMBER(BC5),ISNUMBER(K5)),IF(K5&gt;0,BC5/K5^'Assumptions &amp; FX Reference'!$I$16,""),"")</f>
        <v/>
      </c>
      <c r="BE5" s="30" t="s">
        <v>303</v>
      </c>
      <c r="BF5" s="30" t="s">
        <v>304</v>
      </c>
      <c r="BG5" s="30" t="s">
        <v>305</v>
      </c>
    </row>
    <row r="6" spans="1:59" ht="24" customHeight="1">
      <c r="A6" s="30">
        <v>2</v>
      </c>
      <c r="B6" s="30" t="s">
        <v>306</v>
      </c>
      <c r="C6" s="30" t="s">
        <v>294</v>
      </c>
      <c r="D6" s="30" t="s">
        <v>295</v>
      </c>
      <c r="E6" s="30" t="s">
        <v>41</v>
      </c>
      <c r="F6" s="30" t="s">
        <v>119</v>
      </c>
      <c r="G6" s="30" t="s">
        <v>119</v>
      </c>
      <c r="H6" s="31"/>
      <c r="I6" s="31">
        <v>59.9</v>
      </c>
      <c r="J6" s="31">
        <v>33.1</v>
      </c>
      <c r="K6" s="32">
        <f>IF(ISNUMBER(J6),J6,IF(AND(ISNUMBER(H6),ISNUMBER(I6)),H6*I6/(367*'Assumptions &amp; FX Reference'!$I$17),""))</f>
        <v>33.1</v>
      </c>
      <c r="L6" s="33" t="str">
        <f t="shared" si="0"/>
        <v>Not stated</v>
      </c>
      <c r="M6" s="30" t="s">
        <v>119</v>
      </c>
      <c r="N6" s="30" t="s">
        <v>296</v>
      </c>
      <c r="O6" s="30" t="s">
        <v>119</v>
      </c>
      <c r="P6" s="30" t="s">
        <v>119</v>
      </c>
      <c r="Q6" s="30" t="s">
        <v>119</v>
      </c>
      <c r="R6" s="30" t="s">
        <v>119</v>
      </c>
      <c r="S6" s="30" t="s">
        <v>297</v>
      </c>
      <c r="T6" s="30" t="s">
        <v>298</v>
      </c>
      <c r="U6" s="30">
        <v>1</v>
      </c>
      <c r="V6" s="30" t="s">
        <v>299</v>
      </c>
      <c r="W6" s="31"/>
      <c r="X6" s="30" t="s">
        <v>119</v>
      </c>
      <c r="Y6" s="30" t="s">
        <v>300</v>
      </c>
      <c r="Z6" s="30" t="s">
        <v>301</v>
      </c>
      <c r="AA6" s="34">
        <v>280000</v>
      </c>
      <c r="AB6" s="35" t="str">
        <f>IF(NOT(ISNUMBER(AA6)),"(Not stated)",IF(NOT(ISNUMBER(Y6)),"(Cost year not stated)",IFERROR(IF(Z6="EUR",AA6,IF(Z6="IRR",AA6/INDEX('Assumptions &amp; FX Reference'!$C$5:$C$25,MATCH(Y6,'Assumptions &amp; FX Reference'!$A$5:$A$25,0)),IF(Z6="USD",AA6*INDEX('Assumptions &amp; FX Reference'!$B$5:$B$25,MATCH(Y6,'Assumptions &amp; FX Reference'!$A$5:$A$25,0))/INDEX('Assumptions &amp; FX Reference'!$C$5:$C$25,MATCH(Y6,'Assumptions &amp; FX Reference'!$A$5:$A$25,0)),"(Currency?)"))),"(FX rate missing)")))</f>
        <v>(Cost year not stated)</v>
      </c>
      <c r="AC6" s="35" t="str">
        <f>IF(NOT(ISNUMBER(AA6)),"(Not stated)",IF(NOT(ISNUMBER(Y6)),"(Cost year not stated)",IFERROR(IF(Z6="USD",AA6,IF(Z6="IRR",AA6/INDEX('Assumptions &amp; FX Reference'!$B$5:$B$25,MATCH(Y6,'Assumptions &amp; FX Reference'!$A$5:$A$25,0)),IF(Z6="EUR",AA6*INDEX('Assumptions &amp; FX Reference'!$C$5:$C$25,MATCH(Y6,'Assumptions &amp; FX Reference'!$A$5:$A$25,0))/INDEX('Assumptions &amp; FX Reference'!$B$5:$B$25,MATCH(Y6,'Assumptions &amp; FX Reference'!$A$5:$A$25,0)),"(Currency?)"))),"(FX rate missing)")))</f>
        <v>(Cost year not stated)</v>
      </c>
      <c r="AD6" s="35" t="str">
        <f>IF(NOT(ISNUMBER(AA6)),"(Not stated)",IF(NOT(ISNUMBER(Y6)),"(Cost year not stated)",IFERROR(IF(Z6="IRR",AA6,IF(Z6="USD",AA6*INDEX('Assumptions &amp; FX Reference'!$B$5:$B$25,MATCH(Y6,'Assumptions &amp; FX Reference'!$A$5:$A$25,0)),IF(Z6="EUR",AA6*INDEX('Assumptions &amp; FX Reference'!$C$5:$C$25,MATCH(Y6,'Assumptions &amp; FX Reference'!$A$5:$A$25,0)),"(Currency?)"))),"(FX rate missing)")))</f>
        <v>(Cost year not stated)</v>
      </c>
      <c r="AE6" s="30" t="s">
        <v>302</v>
      </c>
      <c r="AF6" s="30" t="s">
        <v>119</v>
      </c>
      <c r="AG6" s="35" t="str">
        <f>IF(AND(Z6="EUR",N(AA6)&gt;5000000),"(Check currency – excluded)",IF(AND(ISNUMBER(AB6),ISNUMBER(AZ6),ISNUMBER(BA6)),IF(AND(BB6="Y",ISNUMBER('Assumptions &amp; FX Reference'!$I$15)),MAX(AB6*BA6/AZ6,'Assumptions &amp; FX Reference'!$I$13*BA6/'Assumptions &amp; FX Reference'!$I$15),AB6*BA6/AZ6),"(PPI/FX missing)"))</f>
        <v>(PPI/FX missing)</v>
      </c>
      <c r="AH6" s="35" t="str">
        <f>IF(AND(ISNUMBER(AG6),ISNUMBER('Assumptions &amp; FX Reference'!$I$8),ISNUMBER('Assumptions &amp; FX Reference'!$I$11)),AG6*'Assumptions &amp; FX Reference'!$I$8/'Assumptions &amp; FX Reference'!$I$11,"")</f>
        <v/>
      </c>
      <c r="AI6" s="35" t="str">
        <f>IF(AND(ISNUMBER(AG6),ISNUMBER('Assumptions &amp; FX Reference'!$I$8)),AG6*'Assumptions &amp; FX Reference'!$I$8,"")</f>
        <v/>
      </c>
      <c r="AJ6" s="30" t="s">
        <v>295</v>
      </c>
      <c r="AK6" s="30" t="s">
        <v>119</v>
      </c>
      <c r="AL6" s="30" t="s">
        <v>119</v>
      </c>
      <c r="AM6" s="30" t="s">
        <v>119</v>
      </c>
      <c r="AN6" s="30" t="s">
        <v>119</v>
      </c>
      <c r="AO6" s="30" t="s">
        <v>119</v>
      </c>
      <c r="AP6" s="30" t="s">
        <v>119</v>
      </c>
      <c r="AQ6" s="30" t="s">
        <v>119</v>
      </c>
      <c r="AR6" s="30" t="s">
        <v>119</v>
      </c>
      <c r="AS6" s="33" t="str">
        <f t="shared" si="1"/>
        <v xml:space="preserve">Material missing; Seal missing; Base-year PPI missing; </v>
      </c>
      <c r="AT6" s="36">
        <f>IFERROR(INDEX(Factors_ROT!$F$5:$F$200,MATCH("MAT|"&amp;G6,Factors_ROT!$A$5:$A$200,0)),1)</f>
        <v>1</v>
      </c>
      <c r="AU6" s="36">
        <f>IFERROR(INDEX(Factors_ROT!$F$5:$F$200,MATCH("SEAL_ARR|"&amp;P6,Factors_ROT!$A$5:$A$200,0)),1)*IFERROR(INDEX(Factors_ROT!$F$5:$F$200,MATCH("SEAL_CAT|"&amp;Q6,Factors_ROT!$A$5:$A$200,0)),1)*IFERROR(INDEX(Factors_ROT!$F$5:$F$200,MATCH("SEAL_PLAN|"&amp;R6,Factors_ROT!$A$5:$A$200,0)),1)</f>
        <v>1</v>
      </c>
      <c r="AV6" s="36">
        <f>IFERROR(INDEX(Factors_ROT!$F$5:$F$200,MATCH("DRV|"&amp;S6,Factors_ROT!$A$5:$A$200,0)),1)*IFERROR(INDEX(Factors_ROT!$F$5:$F$200,MATCH("NACE|"&amp;O6,Factors_ROT!$A$5:$A$200,0)),1)</f>
        <v>1</v>
      </c>
      <c r="AW6" s="36">
        <f>IFERROR(INDEX(Factors_ROT!$F$5:$F$200,MATCH("SC_DRV|"&amp;AL6,Factors_ROT!$A$5:$A$200,0)),1)*IFERROR(INDEX(Factors_ROT!$F$5:$F$200,MATCH("SC_BSP|"&amp;AM6,Factors_ROT!$A$5:$A$200,0)),1)*IFERROR(INDEX(Factors_ROT!$F$5:$F$200,MATCH("SC_SEAL|"&amp;AN6,Factors_ROT!$A$5:$A$200,0)),1)*IFERROR(INDEX(Factors_ROT!$F$5:$F$200,MATCH("SC_COMM|"&amp;AO6,Factors_ROT!$A$5:$A$200,0)),1)*IFERROR(INDEX(Factors_ROT!$F$5:$F$200,MATCH("SC_2Y|"&amp;AP6,Factors_ROT!$A$5:$A$200,0)),1)*IFERROR(INDEX(Factors_ROT!$F$5:$F$200,MATCH("SC_TPI|"&amp;AQ6,Factors_ROT!$A$5:$A$200,0)),1)*IFERROR(INDEX(Factors_ROT!$F$5:$F$200,MATCH("SC_FAT|"&amp;AR6,Factors_ROT!$A$5:$A$200,0)),1)</f>
        <v>1</v>
      </c>
      <c r="AX6" s="36">
        <f t="shared" si="2"/>
        <v>1</v>
      </c>
      <c r="AY6" s="35" t="str">
        <f t="shared" si="3"/>
        <v/>
      </c>
      <c r="AZ6" s="37" t="str">
        <f>IFERROR(IF(N(INDEX(Escalation_Index!$B$5:$B$25,MATCH(Y6,Escalation_Index!$A$5:$A$25,0)))&gt;0,INDEX(Escalation_Index!$B$5:$B$25,MATCH(Y6,Escalation_Index!$A$5:$A$25,0)),""),"")</f>
        <v/>
      </c>
      <c r="BA6" s="37">
        <f>IF(ISNUMBER('Assumptions &amp; FX Reference'!$I$12),'Assumptions &amp; FX Reference'!$I$12,"")</f>
        <v>123.416</v>
      </c>
      <c r="BB6" s="33" t="str">
        <f t="shared" si="4"/>
        <v>N</v>
      </c>
      <c r="BC6" s="35" t="str">
        <f t="shared" si="5"/>
        <v/>
      </c>
      <c r="BD6" s="35" t="str">
        <f>IF(AND(ISNUMBER(BC6),ISNUMBER(K6)),IF(K6&gt;0,BC6/K6^'Assumptions &amp; FX Reference'!$I$16,""),"")</f>
        <v/>
      </c>
      <c r="BE6" s="30" t="s">
        <v>307</v>
      </c>
      <c r="BF6" s="30" t="s">
        <v>308</v>
      </c>
      <c r="BG6" s="30" t="s">
        <v>305</v>
      </c>
    </row>
    <row r="7" spans="1:59" ht="24" customHeight="1">
      <c r="A7" s="30">
        <v>3</v>
      </c>
      <c r="B7" s="30" t="s">
        <v>309</v>
      </c>
      <c r="C7" s="30" t="s">
        <v>294</v>
      </c>
      <c r="D7" s="30" t="s">
        <v>295</v>
      </c>
      <c r="E7" s="30" t="s">
        <v>41</v>
      </c>
      <c r="F7" s="30" t="s">
        <v>119</v>
      </c>
      <c r="G7" s="30" t="s">
        <v>119</v>
      </c>
      <c r="H7" s="31"/>
      <c r="I7" s="31">
        <v>34.799999999999997</v>
      </c>
      <c r="J7" s="31">
        <v>57.4</v>
      </c>
      <c r="K7" s="32">
        <f>IF(ISNUMBER(J7),J7,IF(AND(ISNUMBER(H7),ISNUMBER(I7)),H7*I7/(367*'Assumptions &amp; FX Reference'!$I$17),""))</f>
        <v>57.4</v>
      </c>
      <c r="L7" s="33" t="str">
        <f t="shared" si="0"/>
        <v>Not stated</v>
      </c>
      <c r="M7" s="30" t="s">
        <v>119</v>
      </c>
      <c r="N7" s="30" t="s">
        <v>296</v>
      </c>
      <c r="O7" s="30" t="s">
        <v>119</v>
      </c>
      <c r="P7" s="30" t="s">
        <v>119</v>
      </c>
      <c r="Q7" s="30" t="s">
        <v>119</v>
      </c>
      <c r="R7" s="30" t="s">
        <v>119</v>
      </c>
      <c r="S7" s="30" t="s">
        <v>297</v>
      </c>
      <c r="T7" s="30" t="s">
        <v>298</v>
      </c>
      <c r="U7" s="30">
        <v>1</v>
      </c>
      <c r="V7" s="30" t="s">
        <v>299</v>
      </c>
      <c r="W7" s="31"/>
      <c r="X7" s="30" t="s">
        <v>119</v>
      </c>
      <c r="Y7" s="30" t="s">
        <v>300</v>
      </c>
      <c r="Z7" s="30" t="s">
        <v>301</v>
      </c>
      <c r="AA7" s="34">
        <v>250000</v>
      </c>
      <c r="AB7" s="35" t="str">
        <f>IF(NOT(ISNUMBER(AA7)),"(Not stated)",IF(NOT(ISNUMBER(Y7)),"(Cost year not stated)",IFERROR(IF(Z7="EUR",AA7,IF(Z7="IRR",AA7/INDEX('Assumptions &amp; FX Reference'!$C$5:$C$25,MATCH(Y7,'Assumptions &amp; FX Reference'!$A$5:$A$25,0)),IF(Z7="USD",AA7*INDEX('Assumptions &amp; FX Reference'!$B$5:$B$25,MATCH(Y7,'Assumptions &amp; FX Reference'!$A$5:$A$25,0))/INDEX('Assumptions &amp; FX Reference'!$C$5:$C$25,MATCH(Y7,'Assumptions &amp; FX Reference'!$A$5:$A$25,0)),"(Currency?)"))),"(FX rate missing)")))</f>
        <v>(Cost year not stated)</v>
      </c>
      <c r="AC7" s="35" t="str">
        <f>IF(NOT(ISNUMBER(AA7)),"(Not stated)",IF(NOT(ISNUMBER(Y7)),"(Cost year not stated)",IFERROR(IF(Z7="USD",AA7,IF(Z7="IRR",AA7/INDEX('Assumptions &amp; FX Reference'!$B$5:$B$25,MATCH(Y7,'Assumptions &amp; FX Reference'!$A$5:$A$25,0)),IF(Z7="EUR",AA7*INDEX('Assumptions &amp; FX Reference'!$C$5:$C$25,MATCH(Y7,'Assumptions &amp; FX Reference'!$A$5:$A$25,0))/INDEX('Assumptions &amp; FX Reference'!$B$5:$B$25,MATCH(Y7,'Assumptions &amp; FX Reference'!$A$5:$A$25,0)),"(Currency?)"))),"(FX rate missing)")))</f>
        <v>(Cost year not stated)</v>
      </c>
      <c r="AD7" s="35" t="str">
        <f>IF(NOT(ISNUMBER(AA7)),"(Not stated)",IF(NOT(ISNUMBER(Y7)),"(Cost year not stated)",IFERROR(IF(Z7="IRR",AA7,IF(Z7="USD",AA7*INDEX('Assumptions &amp; FX Reference'!$B$5:$B$25,MATCH(Y7,'Assumptions &amp; FX Reference'!$A$5:$A$25,0)),IF(Z7="EUR",AA7*INDEX('Assumptions &amp; FX Reference'!$C$5:$C$25,MATCH(Y7,'Assumptions &amp; FX Reference'!$A$5:$A$25,0)),"(Currency?)"))),"(FX rate missing)")))</f>
        <v>(Cost year not stated)</v>
      </c>
      <c r="AE7" s="30" t="s">
        <v>302</v>
      </c>
      <c r="AF7" s="30" t="s">
        <v>119</v>
      </c>
      <c r="AG7" s="35" t="str">
        <f>IF(AND(Z7="EUR",N(AA7)&gt;5000000),"(Check currency – excluded)",IF(AND(ISNUMBER(AB7),ISNUMBER(AZ7),ISNUMBER(BA7)),IF(AND(BB7="Y",ISNUMBER('Assumptions &amp; FX Reference'!$I$15)),MAX(AB7*BA7/AZ7,'Assumptions &amp; FX Reference'!$I$13*BA7/'Assumptions &amp; FX Reference'!$I$15),AB7*BA7/AZ7),"(PPI/FX missing)"))</f>
        <v>(PPI/FX missing)</v>
      </c>
      <c r="AH7" s="35" t="str">
        <f>IF(AND(ISNUMBER(AG7),ISNUMBER('Assumptions &amp; FX Reference'!$I$8),ISNUMBER('Assumptions &amp; FX Reference'!$I$11)),AG7*'Assumptions &amp; FX Reference'!$I$8/'Assumptions &amp; FX Reference'!$I$11,"")</f>
        <v/>
      </c>
      <c r="AI7" s="35" t="str">
        <f>IF(AND(ISNUMBER(AG7),ISNUMBER('Assumptions &amp; FX Reference'!$I$8)),AG7*'Assumptions &amp; FX Reference'!$I$8,"")</f>
        <v/>
      </c>
      <c r="AJ7" s="30" t="s">
        <v>295</v>
      </c>
      <c r="AK7" s="30" t="s">
        <v>119</v>
      </c>
      <c r="AL7" s="30" t="s">
        <v>119</v>
      </c>
      <c r="AM7" s="30" t="s">
        <v>119</v>
      </c>
      <c r="AN7" s="30" t="s">
        <v>119</v>
      </c>
      <c r="AO7" s="30" t="s">
        <v>119</v>
      </c>
      <c r="AP7" s="30" t="s">
        <v>119</v>
      </c>
      <c r="AQ7" s="30" t="s">
        <v>119</v>
      </c>
      <c r="AR7" s="30" t="s">
        <v>119</v>
      </c>
      <c r="AS7" s="33" t="str">
        <f t="shared" si="1"/>
        <v xml:space="preserve">Material missing; Seal missing; Base-year PPI missing; </v>
      </c>
      <c r="AT7" s="36">
        <f>IFERROR(INDEX(Factors_ROT!$F$5:$F$200,MATCH("MAT|"&amp;G7,Factors_ROT!$A$5:$A$200,0)),1)</f>
        <v>1</v>
      </c>
      <c r="AU7" s="36">
        <f>IFERROR(INDEX(Factors_ROT!$F$5:$F$200,MATCH("SEAL_ARR|"&amp;P7,Factors_ROT!$A$5:$A$200,0)),1)*IFERROR(INDEX(Factors_ROT!$F$5:$F$200,MATCH("SEAL_CAT|"&amp;Q7,Factors_ROT!$A$5:$A$200,0)),1)*IFERROR(INDEX(Factors_ROT!$F$5:$F$200,MATCH("SEAL_PLAN|"&amp;R7,Factors_ROT!$A$5:$A$200,0)),1)</f>
        <v>1</v>
      </c>
      <c r="AV7" s="36">
        <f>IFERROR(INDEX(Factors_ROT!$F$5:$F$200,MATCH("DRV|"&amp;S7,Factors_ROT!$A$5:$A$200,0)),1)*IFERROR(INDEX(Factors_ROT!$F$5:$F$200,MATCH("NACE|"&amp;O7,Factors_ROT!$A$5:$A$200,0)),1)</f>
        <v>1</v>
      </c>
      <c r="AW7" s="36">
        <f>IFERROR(INDEX(Factors_ROT!$F$5:$F$200,MATCH("SC_DRV|"&amp;AL7,Factors_ROT!$A$5:$A$200,0)),1)*IFERROR(INDEX(Factors_ROT!$F$5:$F$200,MATCH("SC_BSP|"&amp;AM7,Factors_ROT!$A$5:$A$200,0)),1)*IFERROR(INDEX(Factors_ROT!$F$5:$F$200,MATCH("SC_SEAL|"&amp;AN7,Factors_ROT!$A$5:$A$200,0)),1)*IFERROR(INDEX(Factors_ROT!$F$5:$F$200,MATCH("SC_COMM|"&amp;AO7,Factors_ROT!$A$5:$A$200,0)),1)*IFERROR(INDEX(Factors_ROT!$F$5:$F$200,MATCH("SC_2Y|"&amp;AP7,Factors_ROT!$A$5:$A$200,0)),1)*IFERROR(INDEX(Factors_ROT!$F$5:$F$200,MATCH("SC_TPI|"&amp;AQ7,Factors_ROT!$A$5:$A$200,0)),1)*IFERROR(INDEX(Factors_ROT!$F$5:$F$200,MATCH("SC_FAT|"&amp;AR7,Factors_ROT!$A$5:$A$200,0)),1)</f>
        <v>1</v>
      </c>
      <c r="AX7" s="36">
        <f t="shared" si="2"/>
        <v>1</v>
      </c>
      <c r="AY7" s="35" t="str">
        <f t="shared" si="3"/>
        <v/>
      </c>
      <c r="AZ7" s="37" t="str">
        <f>IFERROR(IF(N(INDEX(Escalation_Index!$B$5:$B$25,MATCH(Y7,Escalation_Index!$A$5:$A$25,0)))&gt;0,INDEX(Escalation_Index!$B$5:$B$25,MATCH(Y7,Escalation_Index!$A$5:$A$25,0)),""),"")</f>
        <v/>
      </c>
      <c r="BA7" s="37">
        <f>IF(ISNUMBER('Assumptions &amp; FX Reference'!$I$12),'Assumptions &amp; FX Reference'!$I$12,"")</f>
        <v>123.416</v>
      </c>
      <c r="BB7" s="33" t="str">
        <f t="shared" si="4"/>
        <v>N</v>
      </c>
      <c r="BC7" s="35" t="str">
        <f t="shared" si="5"/>
        <v/>
      </c>
      <c r="BD7" s="35" t="str">
        <f>IF(AND(ISNUMBER(BC7),ISNUMBER(K7)),IF(K7&gt;0,BC7/K7^'Assumptions &amp; FX Reference'!$I$16,""),"")</f>
        <v/>
      </c>
      <c r="BE7" s="30" t="s">
        <v>310</v>
      </c>
      <c r="BF7" s="30" t="s">
        <v>311</v>
      </c>
      <c r="BG7" s="30" t="s">
        <v>305</v>
      </c>
    </row>
    <row r="8" spans="1:59" ht="24" customHeight="1">
      <c r="A8" s="30">
        <v>4</v>
      </c>
      <c r="B8" s="30" t="s">
        <v>312</v>
      </c>
      <c r="C8" s="30" t="s">
        <v>294</v>
      </c>
      <c r="D8" s="30" t="s">
        <v>295</v>
      </c>
      <c r="E8" s="30" t="s">
        <v>41</v>
      </c>
      <c r="F8" s="30" t="s">
        <v>119</v>
      </c>
      <c r="G8" s="30" t="s">
        <v>119</v>
      </c>
      <c r="H8" s="31"/>
      <c r="I8" s="31">
        <v>329</v>
      </c>
      <c r="J8" s="31">
        <v>379</v>
      </c>
      <c r="K8" s="32">
        <f>IF(ISNUMBER(J8),J8,IF(AND(ISNUMBER(H8),ISNUMBER(I8)),H8*I8/(367*'Assumptions &amp; FX Reference'!$I$17),""))</f>
        <v>379</v>
      </c>
      <c r="L8" s="33" t="str">
        <f t="shared" si="0"/>
        <v>Not stated</v>
      </c>
      <c r="M8" s="30" t="s">
        <v>119</v>
      </c>
      <c r="N8" s="30" t="s">
        <v>296</v>
      </c>
      <c r="O8" s="30" t="s">
        <v>119</v>
      </c>
      <c r="P8" s="30" t="s">
        <v>119</v>
      </c>
      <c r="Q8" s="30" t="s">
        <v>119</v>
      </c>
      <c r="R8" s="30" t="s">
        <v>119</v>
      </c>
      <c r="S8" s="30" t="s">
        <v>297</v>
      </c>
      <c r="T8" s="30" t="s">
        <v>298</v>
      </c>
      <c r="U8" s="30">
        <v>1</v>
      </c>
      <c r="V8" s="30" t="s">
        <v>299</v>
      </c>
      <c r="W8" s="31"/>
      <c r="X8" s="30" t="s">
        <v>119</v>
      </c>
      <c r="Y8" s="30" t="s">
        <v>300</v>
      </c>
      <c r="Z8" s="30" t="s">
        <v>301</v>
      </c>
      <c r="AA8" s="34">
        <v>420000</v>
      </c>
      <c r="AB8" s="35" t="str">
        <f>IF(NOT(ISNUMBER(AA8)),"(Not stated)",IF(NOT(ISNUMBER(Y8)),"(Cost year not stated)",IFERROR(IF(Z8="EUR",AA8,IF(Z8="IRR",AA8/INDEX('Assumptions &amp; FX Reference'!$C$5:$C$25,MATCH(Y8,'Assumptions &amp; FX Reference'!$A$5:$A$25,0)),IF(Z8="USD",AA8*INDEX('Assumptions &amp; FX Reference'!$B$5:$B$25,MATCH(Y8,'Assumptions &amp; FX Reference'!$A$5:$A$25,0))/INDEX('Assumptions &amp; FX Reference'!$C$5:$C$25,MATCH(Y8,'Assumptions &amp; FX Reference'!$A$5:$A$25,0)),"(Currency?)"))),"(FX rate missing)")))</f>
        <v>(Cost year not stated)</v>
      </c>
      <c r="AC8" s="35" t="str">
        <f>IF(NOT(ISNUMBER(AA8)),"(Not stated)",IF(NOT(ISNUMBER(Y8)),"(Cost year not stated)",IFERROR(IF(Z8="USD",AA8,IF(Z8="IRR",AA8/INDEX('Assumptions &amp; FX Reference'!$B$5:$B$25,MATCH(Y8,'Assumptions &amp; FX Reference'!$A$5:$A$25,0)),IF(Z8="EUR",AA8*INDEX('Assumptions &amp; FX Reference'!$C$5:$C$25,MATCH(Y8,'Assumptions &amp; FX Reference'!$A$5:$A$25,0))/INDEX('Assumptions &amp; FX Reference'!$B$5:$B$25,MATCH(Y8,'Assumptions &amp; FX Reference'!$A$5:$A$25,0)),"(Currency?)"))),"(FX rate missing)")))</f>
        <v>(Cost year not stated)</v>
      </c>
      <c r="AD8" s="35" t="str">
        <f>IF(NOT(ISNUMBER(AA8)),"(Not stated)",IF(NOT(ISNUMBER(Y8)),"(Cost year not stated)",IFERROR(IF(Z8="IRR",AA8,IF(Z8="USD",AA8*INDEX('Assumptions &amp; FX Reference'!$B$5:$B$25,MATCH(Y8,'Assumptions &amp; FX Reference'!$A$5:$A$25,0)),IF(Z8="EUR",AA8*INDEX('Assumptions &amp; FX Reference'!$C$5:$C$25,MATCH(Y8,'Assumptions &amp; FX Reference'!$A$5:$A$25,0)),"(Currency?)"))),"(FX rate missing)")))</f>
        <v>(Cost year not stated)</v>
      </c>
      <c r="AE8" s="30" t="s">
        <v>302</v>
      </c>
      <c r="AF8" s="30" t="s">
        <v>119</v>
      </c>
      <c r="AG8" s="35" t="str">
        <f>IF(AND(Z8="EUR",N(AA8)&gt;5000000),"(Check currency – excluded)",IF(AND(ISNUMBER(AB8),ISNUMBER(AZ8),ISNUMBER(BA8)),IF(AND(BB8="Y",ISNUMBER('Assumptions &amp; FX Reference'!$I$15)),MAX(AB8*BA8/AZ8,'Assumptions &amp; FX Reference'!$I$13*BA8/'Assumptions &amp; FX Reference'!$I$15),AB8*BA8/AZ8),"(PPI/FX missing)"))</f>
        <v>(PPI/FX missing)</v>
      </c>
      <c r="AH8" s="35" t="str">
        <f>IF(AND(ISNUMBER(AG8),ISNUMBER('Assumptions &amp; FX Reference'!$I$8),ISNUMBER('Assumptions &amp; FX Reference'!$I$11)),AG8*'Assumptions &amp; FX Reference'!$I$8/'Assumptions &amp; FX Reference'!$I$11,"")</f>
        <v/>
      </c>
      <c r="AI8" s="35" t="str">
        <f>IF(AND(ISNUMBER(AG8),ISNUMBER('Assumptions &amp; FX Reference'!$I$8)),AG8*'Assumptions &amp; FX Reference'!$I$8,"")</f>
        <v/>
      </c>
      <c r="AJ8" s="30" t="s">
        <v>295</v>
      </c>
      <c r="AK8" s="30" t="s">
        <v>119</v>
      </c>
      <c r="AL8" s="30" t="s">
        <v>119</v>
      </c>
      <c r="AM8" s="30" t="s">
        <v>119</v>
      </c>
      <c r="AN8" s="30" t="s">
        <v>119</v>
      </c>
      <c r="AO8" s="30" t="s">
        <v>119</v>
      </c>
      <c r="AP8" s="30" t="s">
        <v>119</v>
      </c>
      <c r="AQ8" s="30" t="s">
        <v>119</v>
      </c>
      <c r="AR8" s="30" t="s">
        <v>119</v>
      </c>
      <c r="AS8" s="33" t="str">
        <f t="shared" si="1"/>
        <v xml:space="preserve">Material missing; Seal missing; Base-year PPI missing; </v>
      </c>
      <c r="AT8" s="36">
        <f>IFERROR(INDEX(Factors_ROT!$F$5:$F$200,MATCH("MAT|"&amp;G8,Factors_ROT!$A$5:$A$200,0)),1)</f>
        <v>1</v>
      </c>
      <c r="AU8" s="36">
        <f>IFERROR(INDEX(Factors_ROT!$F$5:$F$200,MATCH("SEAL_ARR|"&amp;P8,Factors_ROT!$A$5:$A$200,0)),1)*IFERROR(INDEX(Factors_ROT!$F$5:$F$200,MATCH("SEAL_CAT|"&amp;Q8,Factors_ROT!$A$5:$A$200,0)),1)*IFERROR(INDEX(Factors_ROT!$F$5:$F$200,MATCH("SEAL_PLAN|"&amp;R8,Factors_ROT!$A$5:$A$200,0)),1)</f>
        <v>1</v>
      </c>
      <c r="AV8" s="36">
        <f>IFERROR(INDEX(Factors_ROT!$F$5:$F$200,MATCH("DRV|"&amp;S8,Factors_ROT!$A$5:$A$200,0)),1)*IFERROR(INDEX(Factors_ROT!$F$5:$F$200,MATCH("NACE|"&amp;O8,Factors_ROT!$A$5:$A$200,0)),1)</f>
        <v>1</v>
      </c>
      <c r="AW8" s="36">
        <f>IFERROR(INDEX(Factors_ROT!$F$5:$F$200,MATCH("SC_DRV|"&amp;AL8,Factors_ROT!$A$5:$A$200,0)),1)*IFERROR(INDEX(Factors_ROT!$F$5:$F$200,MATCH("SC_BSP|"&amp;AM8,Factors_ROT!$A$5:$A$200,0)),1)*IFERROR(INDEX(Factors_ROT!$F$5:$F$200,MATCH("SC_SEAL|"&amp;AN8,Factors_ROT!$A$5:$A$200,0)),1)*IFERROR(INDEX(Factors_ROT!$F$5:$F$200,MATCH("SC_COMM|"&amp;AO8,Factors_ROT!$A$5:$A$200,0)),1)*IFERROR(INDEX(Factors_ROT!$F$5:$F$200,MATCH("SC_2Y|"&amp;AP8,Factors_ROT!$A$5:$A$200,0)),1)*IFERROR(INDEX(Factors_ROT!$F$5:$F$200,MATCH("SC_TPI|"&amp;AQ8,Factors_ROT!$A$5:$A$200,0)),1)*IFERROR(INDEX(Factors_ROT!$F$5:$F$200,MATCH("SC_FAT|"&amp;AR8,Factors_ROT!$A$5:$A$200,0)),1)</f>
        <v>1</v>
      </c>
      <c r="AX8" s="36">
        <f t="shared" si="2"/>
        <v>1</v>
      </c>
      <c r="AY8" s="35" t="str">
        <f t="shared" si="3"/>
        <v/>
      </c>
      <c r="AZ8" s="37" t="str">
        <f>IFERROR(IF(N(INDEX(Escalation_Index!$B$5:$B$25,MATCH(Y8,Escalation_Index!$A$5:$A$25,0)))&gt;0,INDEX(Escalation_Index!$B$5:$B$25,MATCH(Y8,Escalation_Index!$A$5:$A$25,0)),""),"")</f>
        <v/>
      </c>
      <c r="BA8" s="37">
        <f>IF(ISNUMBER('Assumptions &amp; FX Reference'!$I$12),'Assumptions &amp; FX Reference'!$I$12,"")</f>
        <v>123.416</v>
      </c>
      <c r="BB8" s="33" t="str">
        <f t="shared" si="4"/>
        <v>N</v>
      </c>
      <c r="BC8" s="35" t="str">
        <f t="shared" si="5"/>
        <v/>
      </c>
      <c r="BD8" s="35" t="str">
        <f>IF(AND(ISNUMBER(BC8),ISNUMBER(K8)),IF(K8&gt;0,BC8/K8^'Assumptions &amp; FX Reference'!$I$16,""),"")</f>
        <v/>
      </c>
      <c r="BE8" s="30" t="s">
        <v>313</v>
      </c>
      <c r="BF8" s="30" t="s">
        <v>314</v>
      </c>
      <c r="BG8" s="30" t="s">
        <v>305</v>
      </c>
    </row>
    <row r="9" spans="1:59" ht="24" customHeight="1">
      <c r="A9" s="30">
        <v>5</v>
      </c>
      <c r="B9" s="30" t="s">
        <v>315</v>
      </c>
      <c r="C9" s="30" t="s">
        <v>294</v>
      </c>
      <c r="D9" s="30" t="s">
        <v>295</v>
      </c>
      <c r="E9" s="30" t="s">
        <v>41</v>
      </c>
      <c r="F9" s="30" t="s">
        <v>119</v>
      </c>
      <c r="G9" s="30" t="s">
        <v>119</v>
      </c>
      <c r="H9" s="31"/>
      <c r="I9" s="31">
        <v>311.3</v>
      </c>
      <c r="J9" s="31">
        <v>48</v>
      </c>
      <c r="K9" s="32">
        <f>IF(ISNUMBER(J9),J9,IF(AND(ISNUMBER(H9),ISNUMBER(I9)),H9*I9/(367*'Assumptions &amp; FX Reference'!$I$17),""))</f>
        <v>48</v>
      </c>
      <c r="L9" s="33" t="str">
        <f t="shared" si="0"/>
        <v>Not stated</v>
      </c>
      <c r="M9" s="30" t="s">
        <v>119</v>
      </c>
      <c r="N9" s="30" t="s">
        <v>296</v>
      </c>
      <c r="O9" s="30" t="s">
        <v>119</v>
      </c>
      <c r="P9" s="30" t="s">
        <v>119</v>
      </c>
      <c r="Q9" s="30" t="s">
        <v>119</v>
      </c>
      <c r="R9" s="30" t="s">
        <v>119</v>
      </c>
      <c r="S9" s="30" t="s">
        <v>297</v>
      </c>
      <c r="T9" s="30" t="s">
        <v>298</v>
      </c>
      <c r="U9" s="30">
        <v>1</v>
      </c>
      <c r="V9" s="30" t="s">
        <v>299</v>
      </c>
      <c r="W9" s="31"/>
      <c r="X9" s="30" t="s">
        <v>119</v>
      </c>
      <c r="Y9" s="30" t="s">
        <v>300</v>
      </c>
      <c r="Z9" s="30" t="s">
        <v>301</v>
      </c>
      <c r="AA9" s="34">
        <v>75000</v>
      </c>
      <c r="AB9" s="35" t="str">
        <f>IF(NOT(ISNUMBER(AA9)),"(Not stated)",IF(NOT(ISNUMBER(Y9)),"(Cost year not stated)",IFERROR(IF(Z9="EUR",AA9,IF(Z9="IRR",AA9/INDEX('Assumptions &amp; FX Reference'!$C$5:$C$25,MATCH(Y9,'Assumptions &amp; FX Reference'!$A$5:$A$25,0)),IF(Z9="USD",AA9*INDEX('Assumptions &amp; FX Reference'!$B$5:$B$25,MATCH(Y9,'Assumptions &amp; FX Reference'!$A$5:$A$25,0))/INDEX('Assumptions &amp; FX Reference'!$C$5:$C$25,MATCH(Y9,'Assumptions &amp; FX Reference'!$A$5:$A$25,0)),"(Currency?)"))),"(FX rate missing)")))</f>
        <v>(Cost year not stated)</v>
      </c>
      <c r="AC9" s="35" t="str">
        <f>IF(NOT(ISNUMBER(AA9)),"(Not stated)",IF(NOT(ISNUMBER(Y9)),"(Cost year not stated)",IFERROR(IF(Z9="USD",AA9,IF(Z9="IRR",AA9/INDEX('Assumptions &amp; FX Reference'!$B$5:$B$25,MATCH(Y9,'Assumptions &amp; FX Reference'!$A$5:$A$25,0)),IF(Z9="EUR",AA9*INDEX('Assumptions &amp; FX Reference'!$C$5:$C$25,MATCH(Y9,'Assumptions &amp; FX Reference'!$A$5:$A$25,0))/INDEX('Assumptions &amp; FX Reference'!$B$5:$B$25,MATCH(Y9,'Assumptions &amp; FX Reference'!$A$5:$A$25,0)),"(Currency?)"))),"(FX rate missing)")))</f>
        <v>(Cost year not stated)</v>
      </c>
      <c r="AD9" s="35" t="str">
        <f>IF(NOT(ISNUMBER(AA9)),"(Not stated)",IF(NOT(ISNUMBER(Y9)),"(Cost year not stated)",IFERROR(IF(Z9="IRR",AA9,IF(Z9="USD",AA9*INDEX('Assumptions &amp; FX Reference'!$B$5:$B$25,MATCH(Y9,'Assumptions &amp; FX Reference'!$A$5:$A$25,0)),IF(Z9="EUR",AA9*INDEX('Assumptions &amp; FX Reference'!$C$5:$C$25,MATCH(Y9,'Assumptions &amp; FX Reference'!$A$5:$A$25,0)),"(Currency?)"))),"(FX rate missing)")))</f>
        <v>(Cost year not stated)</v>
      </c>
      <c r="AE9" s="30" t="s">
        <v>302</v>
      </c>
      <c r="AF9" s="30" t="s">
        <v>119</v>
      </c>
      <c r="AG9" s="35" t="str">
        <f>IF(AND(Z9="EUR",N(AA9)&gt;5000000),"(Check currency – excluded)",IF(AND(ISNUMBER(AB9),ISNUMBER(AZ9),ISNUMBER(BA9)),IF(AND(BB9="Y",ISNUMBER('Assumptions &amp; FX Reference'!$I$15)),MAX(AB9*BA9/AZ9,'Assumptions &amp; FX Reference'!$I$13*BA9/'Assumptions &amp; FX Reference'!$I$15),AB9*BA9/AZ9),"(PPI/FX missing)"))</f>
        <v>(PPI/FX missing)</v>
      </c>
      <c r="AH9" s="35" t="str">
        <f>IF(AND(ISNUMBER(AG9),ISNUMBER('Assumptions &amp; FX Reference'!$I$8),ISNUMBER('Assumptions &amp; FX Reference'!$I$11)),AG9*'Assumptions &amp; FX Reference'!$I$8/'Assumptions &amp; FX Reference'!$I$11,"")</f>
        <v/>
      </c>
      <c r="AI9" s="35" t="str">
        <f>IF(AND(ISNUMBER(AG9),ISNUMBER('Assumptions &amp; FX Reference'!$I$8)),AG9*'Assumptions &amp; FX Reference'!$I$8,"")</f>
        <v/>
      </c>
      <c r="AJ9" s="30" t="s">
        <v>295</v>
      </c>
      <c r="AK9" s="30" t="s">
        <v>119</v>
      </c>
      <c r="AL9" s="30" t="s">
        <v>119</v>
      </c>
      <c r="AM9" s="30" t="s">
        <v>119</v>
      </c>
      <c r="AN9" s="30" t="s">
        <v>119</v>
      </c>
      <c r="AO9" s="30" t="s">
        <v>119</v>
      </c>
      <c r="AP9" s="30" t="s">
        <v>119</v>
      </c>
      <c r="AQ9" s="30" t="s">
        <v>119</v>
      </c>
      <c r="AR9" s="30" t="s">
        <v>119</v>
      </c>
      <c r="AS9" s="33" t="str">
        <f t="shared" si="1"/>
        <v xml:space="preserve">Material missing; Seal missing; Base-year PPI missing; </v>
      </c>
      <c r="AT9" s="36">
        <f>IFERROR(INDEX(Factors_ROT!$F$5:$F$200,MATCH("MAT|"&amp;G9,Factors_ROT!$A$5:$A$200,0)),1)</f>
        <v>1</v>
      </c>
      <c r="AU9" s="36">
        <f>IFERROR(INDEX(Factors_ROT!$F$5:$F$200,MATCH("SEAL_ARR|"&amp;P9,Factors_ROT!$A$5:$A$200,0)),1)*IFERROR(INDEX(Factors_ROT!$F$5:$F$200,MATCH("SEAL_CAT|"&amp;Q9,Factors_ROT!$A$5:$A$200,0)),1)*IFERROR(INDEX(Factors_ROT!$F$5:$F$200,MATCH("SEAL_PLAN|"&amp;R9,Factors_ROT!$A$5:$A$200,0)),1)</f>
        <v>1</v>
      </c>
      <c r="AV9" s="36">
        <f>IFERROR(INDEX(Factors_ROT!$F$5:$F$200,MATCH("DRV|"&amp;S9,Factors_ROT!$A$5:$A$200,0)),1)*IFERROR(INDEX(Factors_ROT!$F$5:$F$200,MATCH("NACE|"&amp;O9,Factors_ROT!$A$5:$A$200,0)),1)</f>
        <v>1</v>
      </c>
      <c r="AW9" s="36">
        <f>IFERROR(INDEX(Factors_ROT!$F$5:$F$200,MATCH("SC_DRV|"&amp;AL9,Factors_ROT!$A$5:$A$200,0)),1)*IFERROR(INDEX(Factors_ROT!$F$5:$F$200,MATCH("SC_BSP|"&amp;AM9,Factors_ROT!$A$5:$A$200,0)),1)*IFERROR(INDEX(Factors_ROT!$F$5:$F$200,MATCH("SC_SEAL|"&amp;AN9,Factors_ROT!$A$5:$A$200,0)),1)*IFERROR(INDEX(Factors_ROT!$F$5:$F$200,MATCH("SC_COMM|"&amp;AO9,Factors_ROT!$A$5:$A$200,0)),1)*IFERROR(INDEX(Factors_ROT!$F$5:$F$200,MATCH("SC_2Y|"&amp;AP9,Factors_ROT!$A$5:$A$200,0)),1)*IFERROR(INDEX(Factors_ROT!$F$5:$F$200,MATCH("SC_TPI|"&amp;AQ9,Factors_ROT!$A$5:$A$200,0)),1)*IFERROR(INDEX(Factors_ROT!$F$5:$F$200,MATCH("SC_FAT|"&amp;AR9,Factors_ROT!$A$5:$A$200,0)),1)</f>
        <v>1</v>
      </c>
      <c r="AX9" s="36">
        <f t="shared" si="2"/>
        <v>1</v>
      </c>
      <c r="AY9" s="35" t="str">
        <f t="shared" si="3"/>
        <v/>
      </c>
      <c r="AZ9" s="37" t="str">
        <f>IFERROR(IF(N(INDEX(Escalation_Index!$B$5:$B$25,MATCH(Y9,Escalation_Index!$A$5:$A$25,0)))&gt;0,INDEX(Escalation_Index!$B$5:$B$25,MATCH(Y9,Escalation_Index!$A$5:$A$25,0)),""),"")</f>
        <v/>
      </c>
      <c r="BA9" s="37">
        <f>IF(ISNUMBER('Assumptions &amp; FX Reference'!$I$12),'Assumptions &amp; FX Reference'!$I$12,"")</f>
        <v>123.416</v>
      </c>
      <c r="BB9" s="33" t="str">
        <f t="shared" si="4"/>
        <v>N</v>
      </c>
      <c r="BC9" s="35" t="str">
        <f t="shared" si="5"/>
        <v/>
      </c>
      <c r="BD9" s="35" t="str">
        <f>IF(AND(ISNUMBER(BC9),ISNUMBER(K9)),IF(K9&gt;0,BC9/K9^'Assumptions &amp; FX Reference'!$I$16,""),"")</f>
        <v/>
      </c>
      <c r="BE9" s="30" t="s">
        <v>316</v>
      </c>
      <c r="BF9" s="30" t="s">
        <v>317</v>
      </c>
      <c r="BG9" s="30" t="s">
        <v>305</v>
      </c>
    </row>
    <row r="10" spans="1:59" ht="24" customHeight="1">
      <c r="A10" s="30">
        <v>6</v>
      </c>
      <c r="B10" s="30" t="s">
        <v>318</v>
      </c>
      <c r="C10" s="30" t="s">
        <v>294</v>
      </c>
      <c r="D10" s="30" t="s">
        <v>295</v>
      </c>
      <c r="E10" s="30" t="s">
        <v>44</v>
      </c>
      <c r="F10" s="30" t="s">
        <v>119</v>
      </c>
      <c r="G10" s="30" t="s">
        <v>119</v>
      </c>
      <c r="H10" s="31"/>
      <c r="I10" s="31">
        <v>32</v>
      </c>
      <c r="J10" s="31">
        <v>2.2000000000000002</v>
      </c>
      <c r="K10" s="32">
        <f>IF(ISNUMBER(J10),J10,IF(AND(ISNUMBER(H10),ISNUMBER(I10)),H10*I10/(367*'Assumptions &amp; FX Reference'!$I$17),""))</f>
        <v>2.2000000000000002</v>
      </c>
      <c r="L10" s="33" t="str">
        <f t="shared" si="0"/>
        <v>Not stated</v>
      </c>
      <c r="M10" s="30" t="s">
        <v>119</v>
      </c>
      <c r="N10" s="30" t="s">
        <v>296</v>
      </c>
      <c r="O10" s="30" t="s">
        <v>119</v>
      </c>
      <c r="P10" s="30" t="s">
        <v>119</v>
      </c>
      <c r="Q10" s="30" t="s">
        <v>119</v>
      </c>
      <c r="R10" s="30" t="s">
        <v>119</v>
      </c>
      <c r="S10" s="30" t="s">
        <v>297</v>
      </c>
      <c r="T10" s="30" t="s">
        <v>319</v>
      </c>
      <c r="U10" s="30">
        <v>1</v>
      </c>
      <c r="V10" s="30" t="s">
        <v>299</v>
      </c>
      <c r="W10" s="31"/>
      <c r="X10" s="30" t="s">
        <v>119</v>
      </c>
      <c r="Y10" s="30" t="s">
        <v>300</v>
      </c>
      <c r="Z10" s="30" t="s">
        <v>301</v>
      </c>
      <c r="AA10" s="34">
        <v>60000</v>
      </c>
      <c r="AB10" s="35" t="str">
        <f>IF(NOT(ISNUMBER(AA10)),"(Not stated)",IF(NOT(ISNUMBER(Y10)),"(Cost year not stated)",IFERROR(IF(Z10="EUR",AA10,IF(Z10="IRR",AA10/INDEX('Assumptions &amp; FX Reference'!$C$5:$C$25,MATCH(Y10,'Assumptions &amp; FX Reference'!$A$5:$A$25,0)),IF(Z10="USD",AA10*INDEX('Assumptions &amp; FX Reference'!$B$5:$B$25,MATCH(Y10,'Assumptions &amp; FX Reference'!$A$5:$A$25,0))/INDEX('Assumptions &amp; FX Reference'!$C$5:$C$25,MATCH(Y10,'Assumptions &amp; FX Reference'!$A$5:$A$25,0)),"(Currency?)"))),"(FX rate missing)")))</f>
        <v>(Cost year not stated)</v>
      </c>
      <c r="AC10" s="35" t="str">
        <f>IF(NOT(ISNUMBER(AA10)),"(Not stated)",IF(NOT(ISNUMBER(Y10)),"(Cost year not stated)",IFERROR(IF(Z10="USD",AA10,IF(Z10="IRR",AA10/INDEX('Assumptions &amp; FX Reference'!$B$5:$B$25,MATCH(Y10,'Assumptions &amp; FX Reference'!$A$5:$A$25,0)),IF(Z10="EUR",AA10*INDEX('Assumptions &amp; FX Reference'!$C$5:$C$25,MATCH(Y10,'Assumptions &amp; FX Reference'!$A$5:$A$25,0))/INDEX('Assumptions &amp; FX Reference'!$B$5:$B$25,MATCH(Y10,'Assumptions &amp; FX Reference'!$A$5:$A$25,0)),"(Currency?)"))),"(FX rate missing)")))</f>
        <v>(Cost year not stated)</v>
      </c>
      <c r="AD10" s="35" t="str">
        <f>IF(NOT(ISNUMBER(AA10)),"(Not stated)",IF(NOT(ISNUMBER(Y10)),"(Cost year not stated)",IFERROR(IF(Z10="IRR",AA10,IF(Z10="USD",AA10*INDEX('Assumptions &amp; FX Reference'!$B$5:$B$25,MATCH(Y10,'Assumptions &amp; FX Reference'!$A$5:$A$25,0)),IF(Z10="EUR",AA10*INDEX('Assumptions &amp; FX Reference'!$C$5:$C$25,MATCH(Y10,'Assumptions &amp; FX Reference'!$A$5:$A$25,0)),"(Currency?)"))),"(FX rate missing)")))</f>
        <v>(Cost year not stated)</v>
      </c>
      <c r="AE10" s="30" t="s">
        <v>302</v>
      </c>
      <c r="AF10" s="30" t="s">
        <v>119</v>
      </c>
      <c r="AG10" s="35" t="str">
        <f>IF(AND(Z10="EUR",N(AA10)&gt;5000000),"(Check currency – excluded)",IF(AND(ISNUMBER(AB10),ISNUMBER(AZ10),ISNUMBER(BA10)),IF(AND(BB10="Y",ISNUMBER('Assumptions &amp; FX Reference'!$I$15)),MAX(AB10*BA10/AZ10,'Assumptions &amp; FX Reference'!$I$13*BA10/'Assumptions &amp; FX Reference'!$I$15),AB10*BA10/AZ10),"(PPI/FX missing)"))</f>
        <v>(PPI/FX missing)</v>
      </c>
      <c r="AH10" s="35" t="str">
        <f>IF(AND(ISNUMBER(AG10),ISNUMBER('Assumptions &amp; FX Reference'!$I$8),ISNUMBER('Assumptions &amp; FX Reference'!$I$11)),AG10*'Assumptions &amp; FX Reference'!$I$8/'Assumptions &amp; FX Reference'!$I$11,"")</f>
        <v/>
      </c>
      <c r="AI10" s="35" t="str">
        <f>IF(AND(ISNUMBER(AG10),ISNUMBER('Assumptions &amp; FX Reference'!$I$8)),AG10*'Assumptions &amp; FX Reference'!$I$8,"")</f>
        <v/>
      </c>
      <c r="AJ10" s="30" t="s">
        <v>295</v>
      </c>
      <c r="AK10" s="30" t="s">
        <v>119</v>
      </c>
      <c r="AL10" s="30" t="s">
        <v>119</v>
      </c>
      <c r="AM10" s="30" t="s">
        <v>119</v>
      </c>
      <c r="AN10" s="30" t="s">
        <v>119</v>
      </c>
      <c r="AO10" s="30" t="s">
        <v>119</v>
      </c>
      <c r="AP10" s="30" t="s">
        <v>119</v>
      </c>
      <c r="AQ10" s="30" t="s">
        <v>119</v>
      </c>
      <c r="AR10" s="30" t="s">
        <v>119</v>
      </c>
      <c r="AS10" s="33" t="str">
        <f t="shared" si="1"/>
        <v xml:space="preserve">Material missing; Seal missing; Base-year PPI missing; </v>
      </c>
      <c r="AT10" s="36">
        <f>IFERROR(INDEX(Factors_ROT!$F$5:$F$200,MATCH("MAT|"&amp;G10,Factors_ROT!$A$5:$A$200,0)),1)</f>
        <v>1</v>
      </c>
      <c r="AU10" s="36">
        <f>IFERROR(INDEX(Factors_ROT!$F$5:$F$200,MATCH("SEAL_ARR|"&amp;P10,Factors_ROT!$A$5:$A$200,0)),1)*IFERROR(INDEX(Factors_ROT!$F$5:$F$200,MATCH("SEAL_CAT|"&amp;Q10,Factors_ROT!$A$5:$A$200,0)),1)*IFERROR(INDEX(Factors_ROT!$F$5:$F$200,MATCH("SEAL_PLAN|"&amp;R10,Factors_ROT!$A$5:$A$200,0)),1)</f>
        <v>1</v>
      </c>
      <c r="AV10" s="36">
        <f>IFERROR(INDEX(Factors_ROT!$F$5:$F$200,MATCH("DRV|"&amp;S10,Factors_ROT!$A$5:$A$200,0)),1)*IFERROR(INDEX(Factors_ROT!$F$5:$F$200,MATCH("NACE|"&amp;O10,Factors_ROT!$A$5:$A$200,0)),1)</f>
        <v>1</v>
      </c>
      <c r="AW10" s="36">
        <f>IFERROR(INDEX(Factors_ROT!$F$5:$F$200,MATCH("SC_DRV|"&amp;AL10,Factors_ROT!$A$5:$A$200,0)),1)*IFERROR(INDEX(Factors_ROT!$F$5:$F$200,MATCH("SC_BSP|"&amp;AM10,Factors_ROT!$A$5:$A$200,0)),1)*IFERROR(INDEX(Factors_ROT!$F$5:$F$200,MATCH("SC_SEAL|"&amp;AN10,Factors_ROT!$A$5:$A$200,0)),1)*IFERROR(INDEX(Factors_ROT!$F$5:$F$200,MATCH("SC_COMM|"&amp;AO10,Factors_ROT!$A$5:$A$200,0)),1)*IFERROR(INDEX(Factors_ROT!$F$5:$F$200,MATCH("SC_2Y|"&amp;AP10,Factors_ROT!$A$5:$A$200,0)),1)*IFERROR(INDEX(Factors_ROT!$F$5:$F$200,MATCH("SC_TPI|"&amp;AQ10,Factors_ROT!$A$5:$A$200,0)),1)*IFERROR(INDEX(Factors_ROT!$F$5:$F$200,MATCH("SC_FAT|"&amp;AR10,Factors_ROT!$A$5:$A$200,0)),1)</f>
        <v>1</v>
      </c>
      <c r="AX10" s="36">
        <f t="shared" si="2"/>
        <v>1</v>
      </c>
      <c r="AY10" s="35" t="str">
        <f t="shared" si="3"/>
        <v/>
      </c>
      <c r="AZ10" s="37" t="str">
        <f>IFERROR(IF(N(INDEX(Escalation_Index!$B$5:$B$25,MATCH(Y10,Escalation_Index!$A$5:$A$25,0)))&gt;0,INDEX(Escalation_Index!$B$5:$B$25,MATCH(Y10,Escalation_Index!$A$5:$A$25,0)),""),"")</f>
        <v/>
      </c>
      <c r="BA10" s="37">
        <f>IF(ISNUMBER('Assumptions &amp; FX Reference'!$I$12),'Assumptions &amp; FX Reference'!$I$12,"")</f>
        <v>123.416</v>
      </c>
      <c r="BB10" s="33" t="str">
        <f t="shared" si="4"/>
        <v>N</v>
      </c>
      <c r="BC10" s="35" t="str">
        <f t="shared" si="5"/>
        <v/>
      </c>
      <c r="BD10" s="35" t="str">
        <f>IF(AND(ISNUMBER(BC10),ISNUMBER(K10)),IF(K10&gt;0,BC10/K10^'Assumptions &amp; FX Reference'!$I$16,""),"")</f>
        <v/>
      </c>
      <c r="BE10" s="30" t="s">
        <v>320</v>
      </c>
      <c r="BF10" s="30" t="s">
        <v>321</v>
      </c>
      <c r="BG10" s="30" t="s">
        <v>305</v>
      </c>
    </row>
    <row r="11" spans="1:59" ht="24" customHeight="1">
      <c r="A11" s="30">
        <v>7</v>
      </c>
      <c r="B11" s="30" t="s">
        <v>322</v>
      </c>
      <c r="C11" s="30" t="s">
        <v>294</v>
      </c>
      <c r="D11" s="30" t="s">
        <v>295</v>
      </c>
      <c r="E11" s="30" t="s">
        <v>44</v>
      </c>
      <c r="F11" s="30" t="s">
        <v>119</v>
      </c>
      <c r="G11" s="30" t="s">
        <v>119</v>
      </c>
      <c r="H11" s="31"/>
      <c r="I11" s="31">
        <v>36.200000000000003</v>
      </c>
      <c r="J11" s="31">
        <v>13.1</v>
      </c>
      <c r="K11" s="32">
        <f>IF(ISNUMBER(J11),J11,IF(AND(ISNUMBER(H11),ISNUMBER(I11)),H11*I11/(367*'Assumptions &amp; FX Reference'!$I$17),""))</f>
        <v>13.1</v>
      </c>
      <c r="L11" s="33" t="str">
        <f t="shared" si="0"/>
        <v>Not stated</v>
      </c>
      <c r="M11" s="30" t="s">
        <v>119</v>
      </c>
      <c r="N11" s="30" t="s">
        <v>296</v>
      </c>
      <c r="O11" s="30" t="s">
        <v>119</v>
      </c>
      <c r="P11" s="30" t="s">
        <v>119</v>
      </c>
      <c r="Q11" s="30" t="s">
        <v>119</v>
      </c>
      <c r="R11" s="30" t="s">
        <v>119</v>
      </c>
      <c r="S11" s="30" t="s">
        <v>297</v>
      </c>
      <c r="T11" s="30" t="s">
        <v>319</v>
      </c>
      <c r="U11" s="30">
        <v>1</v>
      </c>
      <c r="V11" s="30" t="s">
        <v>299</v>
      </c>
      <c r="W11" s="31"/>
      <c r="X11" s="30" t="s">
        <v>119</v>
      </c>
      <c r="Y11" s="30" t="s">
        <v>300</v>
      </c>
      <c r="Z11" s="30" t="s">
        <v>301</v>
      </c>
      <c r="AA11" s="34">
        <v>60000</v>
      </c>
      <c r="AB11" s="35" t="str">
        <f>IF(NOT(ISNUMBER(AA11)),"(Not stated)",IF(NOT(ISNUMBER(Y11)),"(Cost year not stated)",IFERROR(IF(Z11="EUR",AA11,IF(Z11="IRR",AA11/INDEX('Assumptions &amp; FX Reference'!$C$5:$C$25,MATCH(Y11,'Assumptions &amp; FX Reference'!$A$5:$A$25,0)),IF(Z11="USD",AA11*INDEX('Assumptions &amp; FX Reference'!$B$5:$B$25,MATCH(Y11,'Assumptions &amp; FX Reference'!$A$5:$A$25,0))/INDEX('Assumptions &amp; FX Reference'!$C$5:$C$25,MATCH(Y11,'Assumptions &amp; FX Reference'!$A$5:$A$25,0)),"(Currency?)"))),"(FX rate missing)")))</f>
        <v>(Cost year not stated)</v>
      </c>
      <c r="AC11" s="35" t="str">
        <f>IF(NOT(ISNUMBER(AA11)),"(Not stated)",IF(NOT(ISNUMBER(Y11)),"(Cost year not stated)",IFERROR(IF(Z11="USD",AA11,IF(Z11="IRR",AA11/INDEX('Assumptions &amp; FX Reference'!$B$5:$B$25,MATCH(Y11,'Assumptions &amp; FX Reference'!$A$5:$A$25,0)),IF(Z11="EUR",AA11*INDEX('Assumptions &amp; FX Reference'!$C$5:$C$25,MATCH(Y11,'Assumptions &amp; FX Reference'!$A$5:$A$25,0))/INDEX('Assumptions &amp; FX Reference'!$B$5:$B$25,MATCH(Y11,'Assumptions &amp; FX Reference'!$A$5:$A$25,0)),"(Currency?)"))),"(FX rate missing)")))</f>
        <v>(Cost year not stated)</v>
      </c>
      <c r="AD11" s="35" t="str">
        <f>IF(NOT(ISNUMBER(AA11)),"(Not stated)",IF(NOT(ISNUMBER(Y11)),"(Cost year not stated)",IFERROR(IF(Z11="IRR",AA11,IF(Z11="USD",AA11*INDEX('Assumptions &amp; FX Reference'!$B$5:$B$25,MATCH(Y11,'Assumptions &amp; FX Reference'!$A$5:$A$25,0)),IF(Z11="EUR",AA11*INDEX('Assumptions &amp; FX Reference'!$C$5:$C$25,MATCH(Y11,'Assumptions &amp; FX Reference'!$A$5:$A$25,0)),"(Currency?)"))),"(FX rate missing)")))</f>
        <v>(Cost year not stated)</v>
      </c>
      <c r="AE11" s="30" t="s">
        <v>302</v>
      </c>
      <c r="AF11" s="30" t="s">
        <v>119</v>
      </c>
      <c r="AG11" s="35" t="str">
        <f>IF(AND(Z11="EUR",N(AA11)&gt;5000000),"(Check currency – excluded)",IF(AND(ISNUMBER(AB11),ISNUMBER(AZ11),ISNUMBER(BA11)),IF(AND(BB11="Y",ISNUMBER('Assumptions &amp; FX Reference'!$I$15)),MAX(AB11*BA11/AZ11,'Assumptions &amp; FX Reference'!$I$13*BA11/'Assumptions &amp; FX Reference'!$I$15),AB11*BA11/AZ11),"(PPI/FX missing)"))</f>
        <v>(PPI/FX missing)</v>
      </c>
      <c r="AH11" s="35" t="str">
        <f>IF(AND(ISNUMBER(AG11),ISNUMBER('Assumptions &amp; FX Reference'!$I$8),ISNUMBER('Assumptions &amp; FX Reference'!$I$11)),AG11*'Assumptions &amp; FX Reference'!$I$8/'Assumptions &amp; FX Reference'!$I$11,"")</f>
        <v/>
      </c>
      <c r="AI11" s="35" t="str">
        <f>IF(AND(ISNUMBER(AG11),ISNUMBER('Assumptions &amp; FX Reference'!$I$8)),AG11*'Assumptions &amp; FX Reference'!$I$8,"")</f>
        <v/>
      </c>
      <c r="AJ11" s="30" t="s">
        <v>295</v>
      </c>
      <c r="AK11" s="30" t="s">
        <v>119</v>
      </c>
      <c r="AL11" s="30" t="s">
        <v>119</v>
      </c>
      <c r="AM11" s="30" t="s">
        <v>119</v>
      </c>
      <c r="AN11" s="30" t="s">
        <v>119</v>
      </c>
      <c r="AO11" s="30" t="s">
        <v>119</v>
      </c>
      <c r="AP11" s="30" t="s">
        <v>119</v>
      </c>
      <c r="AQ11" s="30" t="s">
        <v>119</v>
      </c>
      <c r="AR11" s="30" t="s">
        <v>119</v>
      </c>
      <c r="AS11" s="33" t="str">
        <f t="shared" si="1"/>
        <v xml:space="preserve">Material missing; Seal missing; Base-year PPI missing; </v>
      </c>
      <c r="AT11" s="36">
        <f>IFERROR(INDEX(Factors_ROT!$F$5:$F$200,MATCH("MAT|"&amp;G11,Factors_ROT!$A$5:$A$200,0)),1)</f>
        <v>1</v>
      </c>
      <c r="AU11" s="36">
        <f>IFERROR(INDEX(Factors_ROT!$F$5:$F$200,MATCH("SEAL_ARR|"&amp;P11,Factors_ROT!$A$5:$A$200,0)),1)*IFERROR(INDEX(Factors_ROT!$F$5:$F$200,MATCH("SEAL_CAT|"&amp;Q11,Factors_ROT!$A$5:$A$200,0)),1)*IFERROR(INDEX(Factors_ROT!$F$5:$F$200,MATCH("SEAL_PLAN|"&amp;R11,Factors_ROT!$A$5:$A$200,0)),1)</f>
        <v>1</v>
      </c>
      <c r="AV11" s="36">
        <f>IFERROR(INDEX(Factors_ROT!$F$5:$F$200,MATCH("DRV|"&amp;S11,Factors_ROT!$A$5:$A$200,0)),1)*IFERROR(INDEX(Factors_ROT!$F$5:$F$200,MATCH("NACE|"&amp;O11,Factors_ROT!$A$5:$A$200,0)),1)</f>
        <v>1</v>
      </c>
      <c r="AW11" s="36">
        <f>IFERROR(INDEX(Factors_ROT!$F$5:$F$200,MATCH("SC_DRV|"&amp;AL11,Factors_ROT!$A$5:$A$200,0)),1)*IFERROR(INDEX(Factors_ROT!$F$5:$F$200,MATCH("SC_BSP|"&amp;AM11,Factors_ROT!$A$5:$A$200,0)),1)*IFERROR(INDEX(Factors_ROT!$F$5:$F$200,MATCH("SC_SEAL|"&amp;AN11,Factors_ROT!$A$5:$A$200,0)),1)*IFERROR(INDEX(Factors_ROT!$F$5:$F$200,MATCH("SC_COMM|"&amp;AO11,Factors_ROT!$A$5:$A$200,0)),1)*IFERROR(INDEX(Factors_ROT!$F$5:$F$200,MATCH("SC_2Y|"&amp;AP11,Factors_ROT!$A$5:$A$200,0)),1)*IFERROR(INDEX(Factors_ROT!$F$5:$F$200,MATCH("SC_TPI|"&amp;AQ11,Factors_ROT!$A$5:$A$200,0)),1)*IFERROR(INDEX(Factors_ROT!$F$5:$F$200,MATCH("SC_FAT|"&amp;AR11,Factors_ROT!$A$5:$A$200,0)),1)</f>
        <v>1</v>
      </c>
      <c r="AX11" s="36">
        <f t="shared" si="2"/>
        <v>1</v>
      </c>
      <c r="AY11" s="35" t="str">
        <f t="shared" si="3"/>
        <v/>
      </c>
      <c r="AZ11" s="37" t="str">
        <f>IFERROR(IF(N(INDEX(Escalation_Index!$B$5:$B$25,MATCH(Y11,Escalation_Index!$A$5:$A$25,0)))&gt;0,INDEX(Escalation_Index!$B$5:$B$25,MATCH(Y11,Escalation_Index!$A$5:$A$25,0)),""),"")</f>
        <v/>
      </c>
      <c r="BA11" s="37">
        <f>IF(ISNUMBER('Assumptions &amp; FX Reference'!$I$12),'Assumptions &amp; FX Reference'!$I$12,"")</f>
        <v>123.416</v>
      </c>
      <c r="BB11" s="33" t="str">
        <f t="shared" si="4"/>
        <v>N</v>
      </c>
      <c r="BC11" s="35" t="str">
        <f t="shared" si="5"/>
        <v/>
      </c>
      <c r="BD11" s="35" t="str">
        <f>IF(AND(ISNUMBER(BC11),ISNUMBER(K11)),IF(K11&gt;0,BC11/K11^'Assumptions &amp; FX Reference'!$I$16,""),"")</f>
        <v/>
      </c>
      <c r="BE11" s="30" t="s">
        <v>323</v>
      </c>
      <c r="BF11" s="30" t="s">
        <v>324</v>
      </c>
      <c r="BG11" s="30" t="s">
        <v>305</v>
      </c>
    </row>
    <row r="12" spans="1:59" ht="24" customHeight="1">
      <c r="A12" s="30">
        <v>8</v>
      </c>
      <c r="B12" s="30" t="s">
        <v>325</v>
      </c>
      <c r="C12" s="30" t="s">
        <v>294</v>
      </c>
      <c r="D12" s="30" t="s">
        <v>295</v>
      </c>
      <c r="E12" s="30" t="s">
        <v>47</v>
      </c>
      <c r="F12" s="30" t="s">
        <v>119</v>
      </c>
      <c r="G12" s="30" t="s">
        <v>119</v>
      </c>
      <c r="H12" s="31"/>
      <c r="I12" s="31">
        <v>1383</v>
      </c>
      <c r="J12" s="31">
        <v>423</v>
      </c>
      <c r="K12" s="32">
        <f>IF(ISNUMBER(J12),J12,IF(AND(ISNUMBER(H12),ISNUMBER(I12)),H12*I12/(367*'Assumptions &amp; FX Reference'!$I$17),""))</f>
        <v>423</v>
      </c>
      <c r="L12" s="33" t="str">
        <f t="shared" si="0"/>
        <v>Not stated</v>
      </c>
      <c r="M12" s="30" t="s">
        <v>119</v>
      </c>
      <c r="N12" s="30" t="s">
        <v>296</v>
      </c>
      <c r="O12" s="30" t="s">
        <v>119</v>
      </c>
      <c r="P12" s="30" t="s">
        <v>119</v>
      </c>
      <c r="Q12" s="30" t="s">
        <v>119</v>
      </c>
      <c r="R12" s="30" t="s">
        <v>119</v>
      </c>
      <c r="S12" s="30" t="s">
        <v>297</v>
      </c>
      <c r="T12" s="30" t="s">
        <v>326</v>
      </c>
      <c r="U12" s="30">
        <v>1</v>
      </c>
      <c r="V12" s="30" t="s">
        <v>299</v>
      </c>
      <c r="W12" s="31"/>
      <c r="X12" s="30" t="s">
        <v>119</v>
      </c>
      <c r="Y12" s="30" t="s">
        <v>300</v>
      </c>
      <c r="Z12" s="30" t="s">
        <v>301</v>
      </c>
      <c r="AA12" s="34">
        <v>410000</v>
      </c>
      <c r="AB12" s="35" t="str">
        <f>IF(NOT(ISNUMBER(AA12)),"(Not stated)",IF(NOT(ISNUMBER(Y12)),"(Cost year not stated)",IFERROR(IF(Z12="EUR",AA12,IF(Z12="IRR",AA12/INDEX('Assumptions &amp; FX Reference'!$C$5:$C$25,MATCH(Y12,'Assumptions &amp; FX Reference'!$A$5:$A$25,0)),IF(Z12="USD",AA12*INDEX('Assumptions &amp; FX Reference'!$B$5:$B$25,MATCH(Y12,'Assumptions &amp; FX Reference'!$A$5:$A$25,0))/INDEX('Assumptions &amp; FX Reference'!$C$5:$C$25,MATCH(Y12,'Assumptions &amp; FX Reference'!$A$5:$A$25,0)),"(Currency?)"))),"(FX rate missing)")))</f>
        <v>(Cost year not stated)</v>
      </c>
      <c r="AC12" s="35" t="str">
        <f>IF(NOT(ISNUMBER(AA12)),"(Not stated)",IF(NOT(ISNUMBER(Y12)),"(Cost year not stated)",IFERROR(IF(Z12="USD",AA12,IF(Z12="IRR",AA12/INDEX('Assumptions &amp; FX Reference'!$B$5:$B$25,MATCH(Y12,'Assumptions &amp; FX Reference'!$A$5:$A$25,0)),IF(Z12="EUR",AA12*INDEX('Assumptions &amp; FX Reference'!$C$5:$C$25,MATCH(Y12,'Assumptions &amp; FX Reference'!$A$5:$A$25,0))/INDEX('Assumptions &amp; FX Reference'!$B$5:$B$25,MATCH(Y12,'Assumptions &amp; FX Reference'!$A$5:$A$25,0)),"(Currency?)"))),"(FX rate missing)")))</f>
        <v>(Cost year not stated)</v>
      </c>
      <c r="AD12" s="35" t="str">
        <f>IF(NOT(ISNUMBER(AA12)),"(Not stated)",IF(NOT(ISNUMBER(Y12)),"(Cost year not stated)",IFERROR(IF(Z12="IRR",AA12,IF(Z12="USD",AA12*INDEX('Assumptions &amp; FX Reference'!$B$5:$B$25,MATCH(Y12,'Assumptions &amp; FX Reference'!$A$5:$A$25,0)),IF(Z12="EUR",AA12*INDEX('Assumptions &amp; FX Reference'!$C$5:$C$25,MATCH(Y12,'Assumptions &amp; FX Reference'!$A$5:$A$25,0)),"(Currency?)"))),"(FX rate missing)")))</f>
        <v>(Cost year not stated)</v>
      </c>
      <c r="AE12" s="30" t="s">
        <v>302</v>
      </c>
      <c r="AF12" s="30" t="s">
        <v>119</v>
      </c>
      <c r="AG12" s="35" t="str">
        <f>IF(AND(Z12="EUR",N(AA12)&gt;5000000),"(Check currency – excluded)",IF(AND(ISNUMBER(AB12),ISNUMBER(AZ12),ISNUMBER(BA12)),IF(AND(BB12="Y",ISNUMBER('Assumptions &amp; FX Reference'!$I$15)),MAX(AB12*BA12/AZ12,'Assumptions &amp; FX Reference'!$I$13*BA12/'Assumptions &amp; FX Reference'!$I$15),AB12*BA12/AZ12),"(PPI/FX missing)"))</f>
        <v>(PPI/FX missing)</v>
      </c>
      <c r="AH12" s="35" t="str">
        <f>IF(AND(ISNUMBER(AG12),ISNUMBER('Assumptions &amp; FX Reference'!$I$8),ISNUMBER('Assumptions &amp; FX Reference'!$I$11)),AG12*'Assumptions &amp; FX Reference'!$I$8/'Assumptions &amp; FX Reference'!$I$11,"")</f>
        <v/>
      </c>
      <c r="AI12" s="35" t="str">
        <f>IF(AND(ISNUMBER(AG12),ISNUMBER('Assumptions &amp; FX Reference'!$I$8)),AG12*'Assumptions &amp; FX Reference'!$I$8,"")</f>
        <v/>
      </c>
      <c r="AJ12" s="30" t="s">
        <v>295</v>
      </c>
      <c r="AK12" s="30" t="s">
        <v>119</v>
      </c>
      <c r="AL12" s="30" t="s">
        <v>119</v>
      </c>
      <c r="AM12" s="30" t="s">
        <v>119</v>
      </c>
      <c r="AN12" s="30" t="s">
        <v>119</v>
      </c>
      <c r="AO12" s="30" t="s">
        <v>119</v>
      </c>
      <c r="AP12" s="30" t="s">
        <v>119</v>
      </c>
      <c r="AQ12" s="30" t="s">
        <v>119</v>
      </c>
      <c r="AR12" s="30" t="s">
        <v>119</v>
      </c>
      <c r="AS12" s="33" t="str">
        <f t="shared" si="1"/>
        <v xml:space="preserve">Material missing; Seal missing; Base-year PPI missing; </v>
      </c>
      <c r="AT12" s="36">
        <f>IFERROR(INDEX(Factors_ROT!$F$5:$F$200,MATCH("MAT|"&amp;G12,Factors_ROT!$A$5:$A$200,0)),1)</f>
        <v>1</v>
      </c>
      <c r="AU12" s="36">
        <f>IFERROR(INDEX(Factors_ROT!$F$5:$F$200,MATCH("SEAL_ARR|"&amp;P12,Factors_ROT!$A$5:$A$200,0)),1)*IFERROR(INDEX(Factors_ROT!$F$5:$F$200,MATCH("SEAL_CAT|"&amp;Q12,Factors_ROT!$A$5:$A$200,0)),1)*IFERROR(INDEX(Factors_ROT!$F$5:$F$200,MATCH("SEAL_PLAN|"&amp;R12,Factors_ROT!$A$5:$A$200,0)),1)</f>
        <v>1</v>
      </c>
      <c r="AV12" s="36">
        <f>IFERROR(INDEX(Factors_ROT!$F$5:$F$200,MATCH("DRV|"&amp;S12,Factors_ROT!$A$5:$A$200,0)),1)*IFERROR(INDEX(Factors_ROT!$F$5:$F$200,MATCH("NACE|"&amp;O12,Factors_ROT!$A$5:$A$200,0)),1)</f>
        <v>1</v>
      </c>
      <c r="AW12" s="36">
        <f>IFERROR(INDEX(Factors_ROT!$F$5:$F$200,MATCH("SC_DRV|"&amp;AL12,Factors_ROT!$A$5:$A$200,0)),1)*IFERROR(INDEX(Factors_ROT!$F$5:$F$200,MATCH("SC_BSP|"&amp;AM12,Factors_ROT!$A$5:$A$200,0)),1)*IFERROR(INDEX(Factors_ROT!$F$5:$F$200,MATCH("SC_SEAL|"&amp;AN12,Factors_ROT!$A$5:$A$200,0)),1)*IFERROR(INDEX(Factors_ROT!$F$5:$F$200,MATCH("SC_COMM|"&amp;AO12,Factors_ROT!$A$5:$A$200,0)),1)*IFERROR(INDEX(Factors_ROT!$F$5:$F$200,MATCH("SC_2Y|"&amp;AP12,Factors_ROT!$A$5:$A$200,0)),1)*IFERROR(INDEX(Factors_ROT!$F$5:$F$200,MATCH("SC_TPI|"&amp;AQ12,Factors_ROT!$A$5:$A$200,0)),1)*IFERROR(INDEX(Factors_ROT!$F$5:$F$200,MATCH("SC_FAT|"&amp;AR12,Factors_ROT!$A$5:$A$200,0)),1)</f>
        <v>1</v>
      </c>
      <c r="AX12" s="36">
        <f t="shared" si="2"/>
        <v>1</v>
      </c>
      <c r="AY12" s="35" t="str">
        <f t="shared" si="3"/>
        <v/>
      </c>
      <c r="AZ12" s="37" t="str">
        <f>IFERROR(IF(N(INDEX(Escalation_Index!$B$5:$B$25,MATCH(Y12,Escalation_Index!$A$5:$A$25,0)))&gt;0,INDEX(Escalation_Index!$B$5:$B$25,MATCH(Y12,Escalation_Index!$A$5:$A$25,0)),""),"")</f>
        <v/>
      </c>
      <c r="BA12" s="37">
        <f>IF(ISNUMBER('Assumptions &amp; FX Reference'!$I$12),'Assumptions &amp; FX Reference'!$I$12,"")</f>
        <v>123.416</v>
      </c>
      <c r="BB12" s="33" t="str">
        <f t="shared" si="4"/>
        <v>N</v>
      </c>
      <c r="BC12" s="35" t="str">
        <f t="shared" si="5"/>
        <v/>
      </c>
      <c r="BD12" s="35" t="str">
        <f>IF(AND(ISNUMBER(BC12),ISNUMBER(K12)),IF(K12&gt;0,BC12/K12^'Assumptions &amp; FX Reference'!$I$16,""),"")</f>
        <v/>
      </c>
      <c r="BE12" s="30" t="s">
        <v>327</v>
      </c>
      <c r="BF12" s="30" t="s">
        <v>328</v>
      </c>
      <c r="BG12" s="30" t="s">
        <v>305</v>
      </c>
    </row>
    <row r="13" spans="1:59" ht="24" customHeight="1">
      <c r="A13" s="30">
        <v>9</v>
      </c>
      <c r="B13" s="30" t="s">
        <v>329</v>
      </c>
      <c r="C13" s="30" t="s">
        <v>294</v>
      </c>
      <c r="D13" s="30" t="s">
        <v>295</v>
      </c>
      <c r="E13" s="30" t="s">
        <v>44</v>
      </c>
      <c r="F13" s="30" t="s">
        <v>119</v>
      </c>
      <c r="G13" s="30" t="s">
        <v>119</v>
      </c>
      <c r="H13" s="31"/>
      <c r="I13" s="31">
        <v>41</v>
      </c>
      <c r="J13" s="31">
        <v>3.9</v>
      </c>
      <c r="K13" s="32">
        <f>IF(ISNUMBER(J13),J13,IF(AND(ISNUMBER(H13),ISNUMBER(I13)),H13*I13/(367*'Assumptions &amp; FX Reference'!$I$17),""))</f>
        <v>3.9</v>
      </c>
      <c r="L13" s="33" t="str">
        <f t="shared" si="0"/>
        <v>Not stated</v>
      </c>
      <c r="M13" s="30" t="s">
        <v>119</v>
      </c>
      <c r="N13" s="30" t="s">
        <v>296</v>
      </c>
      <c r="O13" s="30" t="s">
        <v>119</v>
      </c>
      <c r="P13" s="30" t="s">
        <v>119</v>
      </c>
      <c r="Q13" s="30" t="s">
        <v>119</v>
      </c>
      <c r="R13" s="30" t="s">
        <v>119</v>
      </c>
      <c r="S13" s="30" t="s">
        <v>297</v>
      </c>
      <c r="T13" s="30" t="s">
        <v>330</v>
      </c>
      <c r="U13" s="30">
        <v>1</v>
      </c>
      <c r="V13" s="30" t="s">
        <v>299</v>
      </c>
      <c r="W13" s="31"/>
      <c r="X13" s="30" t="s">
        <v>119</v>
      </c>
      <c r="Y13" s="30" t="s">
        <v>300</v>
      </c>
      <c r="Z13" s="30" t="s">
        <v>301</v>
      </c>
      <c r="AA13" s="34">
        <v>8000</v>
      </c>
      <c r="AB13" s="35" t="str">
        <f>IF(NOT(ISNUMBER(AA13)),"(Not stated)",IF(NOT(ISNUMBER(Y13)),"(Cost year not stated)",IFERROR(IF(Z13="EUR",AA13,IF(Z13="IRR",AA13/INDEX('Assumptions &amp; FX Reference'!$C$5:$C$25,MATCH(Y13,'Assumptions &amp; FX Reference'!$A$5:$A$25,0)),IF(Z13="USD",AA13*INDEX('Assumptions &amp; FX Reference'!$B$5:$B$25,MATCH(Y13,'Assumptions &amp; FX Reference'!$A$5:$A$25,0))/INDEX('Assumptions &amp; FX Reference'!$C$5:$C$25,MATCH(Y13,'Assumptions &amp; FX Reference'!$A$5:$A$25,0)),"(Currency?)"))),"(FX rate missing)")))</f>
        <v>(Cost year not stated)</v>
      </c>
      <c r="AC13" s="35" t="str">
        <f>IF(NOT(ISNUMBER(AA13)),"(Not stated)",IF(NOT(ISNUMBER(Y13)),"(Cost year not stated)",IFERROR(IF(Z13="USD",AA13,IF(Z13="IRR",AA13/INDEX('Assumptions &amp; FX Reference'!$B$5:$B$25,MATCH(Y13,'Assumptions &amp; FX Reference'!$A$5:$A$25,0)),IF(Z13="EUR",AA13*INDEX('Assumptions &amp; FX Reference'!$C$5:$C$25,MATCH(Y13,'Assumptions &amp; FX Reference'!$A$5:$A$25,0))/INDEX('Assumptions &amp; FX Reference'!$B$5:$B$25,MATCH(Y13,'Assumptions &amp; FX Reference'!$A$5:$A$25,0)),"(Currency?)"))),"(FX rate missing)")))</f>
        <v>(Cost year not stated)</v>
      </c>
      <c r="AD13" s="35" t="str">
        <f>IF(NOT(ISNUMBER(AA13)),"(Not stated)",IF(NOT(ISNUMBER(Y13)),"(Cost year not stated)",IFERROR(IF(Z13="IRR",AA13,IF(Z13="USD",AA13*INDEX('Assumptions &amp; FX Reference'!$B$5:$B$25,MATCH(Y13,'Assumptions &amp; FX Reference'!$A$5:$A$25,0)),IF(Z13="EUR",AA13*INDEX('Assumptions &amp; FX Reference'!$C$5:$C$25,MATCH(Y13,'Assumptions &amp; FX Reference'!$A$5:$A$25,0)),"(Currency?)"))),"(FX rate missing)")))</f>
        <v>(Cost year not stated)</v>
      </c>
      <c r="AE13" s="30" t="s">
        <v>302</v>
      </c>
      <c r="AF13" s="30" t="s">
        <v>119</v>
      </c>
      <c r="AG13" s="35" t="str">
        <f>IF(AND(Z13="EUR",N(AA13)&gt;5000000),"(Check currency – excluded)",IF(AND(ISNUMBER(AB13),ISNUMBER(AZ13),ISNUMBER(BA13)),IF(AND(BB13="Y",ISNUMBER('Assumptions &amp; FX Reference'!$I$15)),MAX(AB13*BA13/AZ13,'Assumptions &amp; FX Reference'!$I$13*BA13/'Assumptions &amp; FX Reference'!$I$15),AB13*BA13/AZ13),"(PPI/FX missing)"))</f>
        <v>(PPI/FX missing)</v>
      </c>
      <c r="AH13" s="35" t="str">
        <f>IF(AND(ISNUMBER(AG13),ISNUMBER('Assumptions &amp; FX Reference'!$I$8),ISNUMBER('Assumptions &amp; FX Reference'!$I$11)),AG13*'Assumptions &amp; FX Reference'!$I$8/'Assumptions &amp; FX Reference'!$I$11,"")</f>
        <v/>
      </c>
      <c r="AI13" s="35" t="str">
        <f>IF(AND(ISNUMBER(AG13),ISNUMBER('Assumptions &amp; FX Reference'!$I$8)),AG13*'Assumptions &amp; FX Reference'!$I$8,"")</f>
        <v/>
      </c>
      <c r="AJ13" s="30" t="s">
        <v>295</v>
      </c>
      <c r="AK13" s="30" t="s">
        <v>119</v>
      </c>
      <c r="AL13" s="30" t="s">
        <v>119</v>
      </c>
      <c r="AM13" s="30" t="s">
        <v>119</v>
      </c>
      <c r="AN13" s="30" t="s">
        <v>119</v>
      </c>
      <c r="AO13" s="30" t="s">
        <v>119</v>
      </c>
      <c r="AP13" s="30" t="s">
        <v>119</v>
      </c>
      <c r="AQ13" s="30" t="s">
        <v>119</v>
      </c>
      <c r="AR13" s="30" t="s">
        <v>119</v>
      </c>
      <c r="AS13" s="33" t="str">
        <f t="shared" si="1"/>
        <v xml:space="preserve">Material missing; Seal missing; Base-year PPI missing; </v>
      </c>
      <c r="AT13" s="36">
        <f>IFERROR(INDEX(Factors_ROT!$F$5:$F$200,MATCH("MAT|"&amp;G13,Factors_ROT!$A$5:$A$200,0)),1)</f>
        <v>1</v>
      </c>
      <c r="AU13" s="36">
        <f>IFERROR(INDEX(Factors_ROT!$F$5:$F$200,MATCH("SEAL_ARR|"&amp;P13,Factors_ROT!$A$5:$A$200,0)),1)*IFERROR(INDEX(Factors_ROT!$F$5:$F$200,MATCH("SEAL_CAT|"&amp;Q13,Factors_ROT!$A$5:$A$200,0)),1)*IFERROR(INDEX(Factors_ROT!$F$5:$F$200,MATCH("SEAL_PLAN|"&amp;R13,Factors_ROT!$A$5:$A$200,0)),1)</f>
        <v>1</v>
      </c>
      <c r="AV13" s="36">
        <f>IFERROR(INDEX(Factors_ROT!$F$5:$F$200,MATCH("DRV|"&amp;S13,Factors_ROT!$A$5:$A$200,0)),1)*IFERROR(INDEX(Factors_ROT!$F$5:$F$200,MATCH("NACE|"&amp;O13,Factors_ROT!$A$5:$A$200,0)),1)</f>
        <v>1</v>
      </c>
      <c r="AW13" s="36">
        <f>IFERROR(INDEX(Factors_ROT!$F$5:$F$200,MATCH("SC_DRV|"&amp;AL13,Factors_ROT!$A$5:$A$200,0)),1)*IFERROR(INDEX(Factors_ROT!$F$5:$F$200,MATCH("SC_BSP|"&amp;AM13,Factors_ROT!$A$5:$A$200,0)),1)*IFERROR(INDEX(Factors_ROT!$F$5:$F$200,MATCH("SC_SEAL|"&amp;AN13,Factors_ROT!$A$5:$A$200,0)),1)*IFERROR(INDEX(Factors_ROT!$F$5:$F$200,MATCH("SC_COMM|"&amp;AO13,Factors_ROT!$A$5:$A$200,0)),1)*IFERROR(INDEX(Factors_ROT!$F$5:$F$200,MATCH("SC_2Y|"&amp;AP13,Factors_ROT!$A$5:$A$200,0)),1)*IFERROR(INDEX(Factors_ROT!$F$5:$F$200,MATCH("SC_TPI|"&amp;AQ13,Factors_ROT!$A$5:$A$200,0)),1)*IFERROR(INDEX(Factors_ROT!$F$5:$F$200,MATCH("SC_FAT|"&amp;AR13,Factors_ROT!$A$5:$A$200,0)),1)</f>
        <v>1</v>
      </c>
      <c r="AX13" s="36">
        <f t="shared" si="2"/>
        <v>1</v>
      </c>
      <c r="AY13" s="35" t="str">
        <f t="shared" si="3"/>
        <v/>
      </c>
      <c r="AZ13" s="37" t="str">
        <f>IFERROR(IF(N(INDEX(Escalation_Index!$B$5:$B$25,MATCH(Y13,Escalation_Index!$A$5:$A$25,0)))&gt;0,INDEX(Escalation_Index!$B$5:$B$25,MATCH(Y13,Escalation_Index!$A$5:$A$25,0)),""),"")</f>
        <v/>
      </c>
      <c r="BA13" s="37">
        <f>IF(ISNUMBER('Assumptions &amp; FX Reference'!$I$12),'Assumptions &amp; FX Reference'!$I$12,"")</f>
        <v>123.416</v>
      </c>
      <c r="BB13" s="33" t="str">
        <f t="shared" si="4"/>
        <v>N</v>
      </c>
      <c r="BC13" s="35" t="str">
        <f t="shared" si="5"/>
        <v/>
      </c>
      <c r="BD13" s="35" t="str">
        <f>IF(AND(ISNUMBER(BC13),ISNUMBER(K13)),IF(K13&gt;0,BC13/K13^'Assumptions &amp; FX Reference'!$I$16,""),"")</f>
        <v/>
      </c>
      <c r="BE13" s="30" t="s">
        <v>331</v>
      </c>
      <c r="BF13" s="30" t="s">
        <v>332</v>
      </c>
      <c r="BG13" s="30" t="s">
        <v>305</v>
      </c>
    </row>
    <row r="14" spans="1:59" ht="24" customHeight="1">
      <c r="A14" s="30">
        <v>10</v>
      </c>
      <c r="B14" s="30" t="s">
        <v>333</v>
      </c>
      <c r="C14" s="30" t="s">
        <v>294</v>
      </c>
      <c r="D14" s="30" t="s">
        <v>295</v>
      </c>
      <c r="E14" s="30" t="s">
        <v>50</v>
      </c>
      <c r="F14" s="30" t="s">
        <v>119</v>
      </c>
      <c r="G14" s="30" t="s">
        <v>119</v>
      </c>
      <c r="H14" s="31"/>
      <c r="I14" s="31">
        <v>120</v>
      </c>
      <c r="J14" s="31">
        <v>13.7</v>
      </c>
      <c r="K14" s="32">
        <f>IF(ISNUMBER(J14),J14,IF(AND(ISNUMBER(H14),ISNUMBER(I14)),H14*I14/(367*'Assumptions &amp; FX Reference'!$I$17),""))</f>
        <v>13.7</v>
      </c>
      <c r="L14" s="33" t="str">
        <f t="shared" si="0"/>
        <v>Not stated</v>
      </c>
      <c r="M14" s="30" t="s">
        <v>119</v>
      </c>
      <c r="N14" s="30" t="s">
        <v>296</v>
      </c>
      <c r="O14" s="30" t="s">
        <v>119</v>
      </c>
      <c r="P14" s="30" t="s">
        <v>119</v>
      </c>
      <c r="Q14" s="30" t="s">
        <v>119</v>
      </c>
      <c r="R14" s="30" t="s">
        <v>119</v>
      </c>
      <c r="S14" s="30" t="s">
        <v>297</v>
      </c>
      <c r="T14" s="30" t="s">
        <v>334</v>
      </c>
      <c r="U14" s="30">
        <v>1</v>
      </c>
      <c r="V14" s="30" t="s">
        <v>299</v>
      </c>
      <c r="W14" s="31"/>
      <c r="X14" s="30" t="s">
        <v>119</v>
      </c>
      <c r="Y14" s="30" t="s">
        <v>300</v>
      </c>
      <c r="Z14" s="30" t="s">
        <v>301</v>
      </c>
      <c r="AA14" s="34">
        <v>40000</v>
      </c>
      <c r="AB14" s="35" t="str">
        <f>IF(NOT(ISNUMBER(AA14)),"(Not stated)",IF(NOT(ISNUMBER(Y14)),"(Cost year not stated)",IFERROR(IF(Z14="EUR",AA14,IF(Z14="IRR",AA14/INDEX('Assumptions &amp; FX Reference'!$C$5:$C$25,MATCH(Y14,'Assumptions &amp; FX Reference'!$A$5:$A$25,0)),IF(Z14="USD",AA14*INDEX('Assumptions &amp; FX Reference'!$B$5:$B$25,MATCH(Y14,'Assumptions &amp; FX Reference'!$A$5:$A$25,0))/INDEX('Assumptions &amp; FX Reference'!$C$5:$C$25,MATCH(Y14,'Assumptions &amp; FX Reference'!$A$5:$A$25,0)),"(Currency?)"))),"(FX rate missing)")))</f>
        <v>(Cost year not stated)</v>
      </c>
      <c r="AC14" s="35" t="str">
        <f>IF(NOT(ISNUMBER(AA14)),"(Not stated)",IF(NOT(ISNUMBER(Y14)),"(Cost year not stated)",IFERROR(IF(Z14="USD",AA14,IF(Z14="IRR",AA14/INDEX('Assumptions &amp; FX Reference'!$B$5:$B$25,MATCH(Y14,'Assumptions &amp; FX Reference'!$A$5:$A$25,0)),IF(Z14="EUR",AA14*INDEX('Assumptions &amp; FX Reference'!$C$5:$C$25,MATCH(Y14,'Assumptions &amp; FX Reference'!$A$5:$A$25,0))/INDEX('Assumptions &amp; FX Reference'!$B$5:$B$25,MATCH(Y14,'Assumptions &amp; FX Reference'!$A$5:$A$25,0)),"(Currency?)"))),"(FX rate missing)")))</f>
        <v>(Cost year not stated)</v>
      </c>
      <c r="AD14" s="35" t="str">
        <f>IF(NOT(ISNUMBER(AA14)),"(Not stated)",IF(NOT(ISNUMBER(Y14)),"(Cost year not stated)",IFERROR(IF(Z14="IRR",AA14,IF(Z14="USD",AA14*INDEX('Assumptions &amp; FX Reference'!$B$5:$B$25,MATCH(Y14,'Assumptions &amp; FX Reference'!$A$5:$A$25,0)),IF(Z14="EUR",AA14*INDEX('Assumptions &amp; FX Reference'!$C$5:$C$25,MATCH(Y14,'Assumptions &amp; FX Reference'!$A$5:$A$25,0)),"(Currency?)"))),"(FX rate missing)")))</f>
        <v>(Cost year not stated)</v>
      </c>
      <c r="AE14" s="30" t="s">
        <v>302</v>
      </c>
      <c r="AF14" s="30" t="s">
        <v>119</v>
      </c>
      <c r="AG14" s="35" t="str">
        <f>IF(AND(Z14="EUR",N(AA14)&gt;5000000),"(Check currency – excluded)",IF(AND(ISNUMBER(AB14),ISNUMBER(AZ14),ISNUMBER(BA14)),IF(AND(BB14="Y",ISNUMBER('Assumptions &amp; FX Reference'!$I$15)),MAX(AB14*BA14/AZ14,'Assumptions &amp; FX Reference'!$I$13*BA14/'Assumptions &amp; FX Reference'!$I$15),AB14*BA14/AZ14),"(PPI/FX missing)"))</f>
        <v>(PPI/FX missing)</v>
      </c>
      <c r="AH14" s="35" t="str">
        <f>IF(AND(ISNUMBER(AG14),ISNUMBER('Assumptions &amp; FX Reference'!$I$8),ISNUMBER('Assumptions &amp; FX Reference'!$I$11)),AG14*'Assumptions &amp; FX Reference'!$I$8/'Assumptions &amp; FX Reference'!$I$11,"")</f>
        <v/>
      </c>
      <c r="AI14" s="35" t="str">
        <f>IF(AND(ISNUMBER(AG14),ISNUMBER('Assumptions &amp; FX Reference'!$I$8)),AG14*'Assumptions &amp; FX Reference'!$I$8,"")</f>
        <v/>
      </c>
      <c r="AJ14" s="30" t="s">
        <v>295</v>
      </c>
      <c r="AK14" s="30" t="s">
        <v>119</v>
      </c>
      <c r="AL14" s="30" t="s">
        <v>119</v>
      </c>
      <c r="AM14" s="30" t="s">
        <v>119</v>
      </c>
      <c r="AN14" s="30" t="s">
        <v>119</v>
      </c>
      <c r="AO14" s="30" t="s">
        <v>119</v>
      </c>
      <c r="AP14" s="30" t="s">
        <v>119</v>
      </c>
      <c r="AQ14" s="30" t="s">
        <v>119</v>
      </c>
      <c r="AR14" s="30" t="s">
        <v>119</v>
      </c>
      <c r="AS14" s="33" t="str">
        <f t="shared" si="1"/>
        <v xml:space="preserve">Material missing; Seal missing; Base-year PPI missing; </v>
      </c>
      <c r="AT14" s="36">
        <f>IFERROR(INDEX(Factors_ROT!$F$5:$F$200,MATCH("MAT|"&amp;G14,Factors_ROT!$A$5:$A$200,0)),1)</f>
        <v>1</v>
      </c>
      <c r="AU14" s="36">
        <f>IFERROR(INDEX(Factors_ROT!$F$5:$F$200,MATCH("SEAL_ARR|"&amp;P14,Factors_ROT!$A$5:$A$200,0)),1)*IFERROR(INDEX(Factors_ROT!$F$5:$F$200,MATCH("SEAL_CAT|"&amp;Q14,Factors_ROT!$A$5:$A$200,0)),1)*IFERROR(INDEX(Factors_ROT!$F$5:$F$200,MATCH("SEAL_PLAN|"&amp;R14,Factors_ROT!$A$5:$A$200,0)),1)</f>
        <v>1</v>
      </c>
      <c r="AV14" s="36">
        <f>IFERROR(INDEX(Factors_ROT!$F$5:$F$200,MATCH("DRV|"&amp;S14,Factors_ROT!$A$5:$A$200,0)),1)*IFERROR(INDEX(Factors_ROT!$F$5:$F$200,MATCH("NACE|"&amp;O14,Factors_ROT!$A$5:$A$200,0)),1)</f>
        <v>1</v>
      </c>
      <c r="AW14" s="36">
        <f>IFERROR(INDEX(Factors_ROT!$F$5:$F$200,MATCH("SC_DRV|"&amp;AL14,Factors_ROT!$A$5:$A$200,0)),1)*IFERROR(INDEX(Factors_ROT!$F$5:$F$200,MATCH("SC_BSP|"&amp;AM14,Factors_ROT!$A$5:$A$200,0)),1)*IFERROR(INDEX(Factors_ROT!$F$5:$F$200,MATCH("SC_SEAL|"&amp;AN14,Factors_ROT!$A$5:$A$200,0)),1)*IFERROR(INDEX(Factors_ROT!$F$5:$F$200,MATCH("SC_COMM|"&amp;AO14,Factors_ROT!$A$5:$A$200,0)),1)*IFERROR(INDEX(Factors_ROT!$F$5:$F$200,MATCH("SC_2Y|"&amp;AP14,Factors_ROT!$A$5:$A$200,0)),1)*IFERROR(INDEX(Factors_ROT!$F$5:$F$200,MATCH("SC_TPI|"&amp;AQ14,Factors_ROT!$A$5:$A$200,0)),1)*IFERROR(INDEX(Factors_ROT!$F$5:$F$200,MATCH("SC_FAT|"&amp;AR14,Factors_ROT!$A$5:$A$200,0)),1)</f>
        <v>1</v>
      </c>
      <c r="AX14" s="36">
        <f t="shared" si="2"/>
        <v>1</v>
      </c>
      <c r="AY14" s="35" t="str">
        <f t="shared" si="3"/>
        <v/>
      </c>
      <c r="AZ14" s="37" t="str">
        <f>IFERROR(IF(N(INDEX(Escalation_Index!$B$5:$B$25,MATCH(Y14,Escalation_Index!$A$5:$A$25,0)))&gt;0,INDEX(Escalation_Index!$B$5:$B$25,MATCH(Y14,Escalation_Index!$A$5:$A$25,0)),""),"")</f>
        <v/>
      </c>
      <c r="BA14" s="37">
        <f>IF(ISNUMBER('Assumptions &amp; FX Reference'!$I$12),'Assumptions &amp; FX Reference'!$I$12,"")</f>
        <v>123.416</v>
      </c>
      <c r="BB14" s="33" t="str">
        <f t="shared" si="4"/>
        <v>N</v>
      </c>
      <c r="BC14" s="35" t="str">
        <f t="shared" si="5"/>
        <v/>
      </c>
      <c r="BD14" s="35" t="str">
        <f>IF(AND(ISNUMBER(BC14),ISNUMBER(K14)),IF(K14&gt;0,BC14/K14^'Assumptions &amp; FX Reference'!$I$16,""),"")</f>
        <v/>
      </c>
      <c r="BE14" s="30" t="s">
        <v>335</v>
      </c>
      <c r="BF14" s="30" t="s">
        <v>336</v>
      </c>
      <c r="BG14" s="30" t="s">
        <v>305</v>
      </c>
    </row>
    <row r="15" spans="1:59" ht="24" customHeight="1">
      <c r="A15" s="30">
        <v>11</v>
      </c>
      <c r="B15" s="30" t="s">
        <v>337</v>
      </c>
      <c r="C15" s="30" t="s">
        <v>294</v>
      </c>
      <c r="D15" s="30" t="s">
        <v>295</v>
      </c>
      <c r="E15" s="30" t="s">
        <v>53</v>
      </c>
      <c r="F15" s="30" t="s">
        <v>188</v>
      </c>
      <c r="G15" s="30" t="s">
        <v>119</v>
      </c>
      <c r="H15" s="31"/>
      <c r="I15" s="31">
        <v>27.2</v>
      </c>
      <c r="J15" s="31">
        <v>4</v>
      </c>
      <c r="K15" s="32">
        <f>IF(ISNUMBER(J15),J15,IF(AND(ISNUMBER(H15),ISNUMBER(I15)),H15*I15/(367*'Assumptions &amp; FX Reference'!$I$17),""))</f>
        <v>4</v>
      </c>
      <c r="L15" s="33" t="str">
        <f t="shared" si="0"/>
        <v>Not stated</v>
      </c>
      <c r="M15" s="30" t="s">
        <v>119</v>
      </c>
      <c r="N15" s="30" t="s">
        <v>296</v>
      </c>
      <c r="O15" s="30" t="s">
        <v>119</v>
      </c>
      <c r="P15" s="30" t="s">
        <v>119</v>
      </c>
      <c r="Q15" s="30" t="s">
        <v>119</v>
      </c>
      <c r="R15" s="30" t="s">
        <v>119</v>
      </c>
      <c r="S15" s="30" t="s">
        <v>297</v>
      </c>
      <c r="T15" s="30" t="s">
        <v>338</v>
      </c>
      <c r="U15" s="30">
        <v>1</v>
      </c>
      <c r="V15" s="30" t="s">
        <v>339</v>
      </c>
      <c r="W15" s="31"/>
      <c r="X15" s="30" t="s">
        <v>119</v>
      </c>
      <c r="Y15" s="30" t="s">
        <v>300</v>
      </c>
      <c r="Z15" s="30" t="s">
        <v>301</v>
      </c>
      <c r="AA15" s="34">
        <v>5000</v>
      </c>
      <c r="AB15" s="35" t="str">
        <f>IF(NOT(ISNUMBER(AA15)),"(Not stated)",IF(NOT(ISNUMBER(Y15)),"(Cost year not stated)",IFERROR(IF(Z15="EUR",AA15,IF(Z15="IRR",AA15/INDEX('Assumptions &amp; FX Reference'!$C$5:$C$25,MATCH(Y15,'Assumptions &amp; FX Reference'!$A$5:$A$25,0)),IF(Z15="USD",AA15*INDEX('Assumptions &amp; FX Reference'!$B$5:$B$25,MATCH(Y15,'Assumptions &amp; FX Reference'!$A$5:$A$25,0))/INDEX('Assumptions &amp; FX Reference'!$C$5:$C$25,MATCH(Y15,'Assumptions &amp; FX Reference'!$A$5:$A$25,0)),"(Currency?)"))),"(FX rate missing)")))</f>
        <v>(Cost year not stated)</v>
      </c>
      <c r="AC15" s="35" t="str">
        <f>IF(NOT(ISNUMBER(AA15)),"(Not stated)",IF(NOT(ISNUMBER(Y15)),"(Cost year not stated)",IFERROR(IF(Z15="USD",AA15,IF(Z15="IRR",AA15/INDEX('Assumptions &amp; FX Reference'!$B$5:$B$25,MATCH(Y15,'Assumptions &amp; FX Reference'!$A$5:$A$25,0)),IF(Z15="EUR",AA15*INDEX('Assumptions &amp; FX Reference'!$C$5:$C$25,MATCH(Y15,'Assumptions &amp; FX Reference'!$A$5:$A$25,0))/INDEX('Assumptions &amp; FX Reference'!$B$5:$B$25,MATCH(Y15,'Assumptions &amp; FX Reference'!$A$5:$A$25,0)),"(Currency?)"))),"(FX rate missing)")))</f>
        <v>(Cost year not stated)</v>
      </c>
      <c r="AD15" s="35" t="str">
        <f>IF(NOT(ISNUMBER(AA15)),"(Not stated)",IF(NOT(ISNUMBER(Y15)),"(Cost year not stated)",IFERROR(IF(Z15="IRR",AA15,IF(Z15="USD",AA15*INDEX('Assumptions &amp; FX Reference'!$B$5:$B$25,MATCH(Y15,'Assumptions &amp; FX Reference'!$A$5:$A$25,0)),IF(Z15="EUR",AA15*INDEX('Assumptions &amp; FX Reference'!$C$5:$C$25,MATCH(Y15,'Assumptions &amp; FX Reference'!$A$5:$A$25,0)),"(Currency?)"))),"(FX rate missing)")))</f>
        <v>(Cost year not stated)</v>
      </c>
      <c r="AE15" s="30" t="s">
        <v>302</v>
      </c>
      <c r="AF15" s="30" t="s">
        <v>119</v>
      </c>
      <c r="AG15" s="35" t="str">
        <f>IF(AND(Z15="EUR",N(AA15)&gt;5000000),"(Check currency – excluded)",IF(AND(ISNUMBER(AB15),ISNUMBER(AZ15),ISNUMBER(BA15)),IF(AND(BB15="Y",ISNUMBER('Assumptions &amp; FX Reference'!$I$15)),MAX(AB15*BA15/AZ15,'Assumptions &amp; FX Reference'!$I$13*BA15/'Assumptions &amp; FX Reference'!$I$15),AB15*BA15/AZ15),"(PPI/FX missing)"))</f>
        <v>(PPI/FX missing)</v>
      </c>
      <c r="AH15" s="35" t="str">
        <f>IF(AND(ISNUMBER(AG15),ISNUMBER('Assumptions &amp; FX Reference'!$I$8),ISNUMBER('Assumptions &amp; FX Reference'!$I$11)),AG15*'Assumptions &amp; FX Reference'!$I$8/'Assumptions &amp; FX Reference'!$I$11,"")</f>
        <v/>
      </c>
      <c r="AI15" s="35" t="str">
        <f>IF(AND(ISNUMBER(AG15),ISNUMBER('Assumptions &amp; FX Reference'!$I$8)),AG15*'Assumptions &amp; FX Reference'!$I$8,"")</f>
        <v/>
      </c>
      <c r="AJ15" s="30" t="s">
        <v>295</v>
      </c>
      <c r="AK15" s="30" t="s">
        <v>119</v>
      </c>
      <c r="AL15" s="30" t="s">
        <v>119</v>
      </c>
      <c r="AM15" s="30" t="s">
        <v>119</v>
      </c>
      <c r="AN15" s="30" t="s">
        <v>119</v>
      </c>
      <c r="AO15" s="30" t="s">
        <v>119</v>
      </c>
      <c r="AP15" s="30" t="s">
        <v>119</v>
      </c>
      <c r="AQ15" s="30" t="s">
        <v>119</v>
      </c>
      <c r="AR15" s="30" t="s">
        <v>119</v>
      </c>
      <c r="AS15" s="33" t="str">
        <f t="shared" si="1"/>
        <v xml:space="preserve">Material missing; Seal missing; Base-year PPI missing; </v>
      </c>
      <c r="AT15" s="36">
        <f>IFERROR(INDEX(Factors_ROT!$F$5:$F$200,MATCH("MAT|"&amp;G15,Factors_ROT!$A$5:$A$200,0)),1)</f>
        <v>1</v>
      </c>
      <c r="AU15" s="36">
        <f>IFERROR(INDEX(Factors_ROT!$F$5:$F$200,MATCH("SEAL_ARR|"&amp;P15,Factors_ROT!$A$5:$A$200,0)),1)*IFERROR(INDEX(Factors_ROT!$F$5:$F$200,MATCH("SEAL_CAT|"&amp;Q15,Factors_ROT!$A$5:$A$200,0)),1)*IFERROR(INDEX(Factors_ROT!$F$5:$F$200,MATCH("SEAL_PLAN|"&amp;R15,Factors_ROT!$A$5:$A$200,0)),1)</f>
        <v>1</v>
      </c>
      <c r="AV15" s="36">
        <f>IFERROR(INDEX(Factors_ROT!$F$5:$F$200,MATCH("DRV|"&amp;S15,Factors_ROT!$A$5:$A$200,0)),1)*IFERROR(INDEX(Factors_ROT!$F$5:$F$200,MATCH("NACE|"&amp;O15,Factors_ROT!$A$5:$A$200,0)),1)</f>
        <v>1</v>
      </c>
      <c r="AW15" s="36">
        <f>IFERROR(INDEX(Factors_ROT!$F$5:$F$200,MATCH("SC_DRV|"&amp;AL15,Factors_ROT!$A$5:$A$200,0)),1)*IFERROR(INDEX(Factors_ROT!$F$5:$F$200,MATCH("SC_BSP|"&amp;AM15,Factors_ROT!$A$5:$A$200,0)),1)*IFERROR(INDEX(Factors_ROT!$F$5:$F$200,MATCH("SC_SEAL|"&amp;AN15,Factors_ROT!$A$5:$A$200,0)),1)*IFERROR(INDEX(Factors_ROT!$F$5:$F$200,MATCH("SC_COMM|"&amp;AO15,Factors_ROT!$A$5:$A$200,0)),1)*IFERROR(INDEX(Factors_ROT!$F$5:$F$200,MATCH("SC_2Y|"&amp;AP15,Factors_ROT!$A$5:$A$200,0)),1)*IFERROR(INDEX(Factors_ROT!$F$5:$F$200,MATCH("SC_TPI|"&amp;AQ15,Factors_ROT!$A$5:$A$200,0)),1)*IFERROR(INDEX(Factors_ROT!$F$5:$F$200,MATCH("SC_FAT|"&amp;AR15,Factors_ROT!$A$5:$A$200,0)),1)</f>
        <v>1</v>
      </c>
      <c r="AX15" s="36">
        <f t="shared" si="2"/>
        <v>1</v>
      </c>
      <c r="AY15" s="35" t="str">
        <f t="shared" si="3"/>
        <v/>
      </c>
      <c r="AZ15" s="37" t="str">
        <f>IFERROR(IF(N(INDEX(Escalation_Index!$B$5:$B$25,MATCH(Y15,Escalation_Index!$A$5:$A$25,0)))&gt;0,INDEX(Escalation_Index!$B$5:$B$25,MATCH(Y15,Escalation_Index!$A$5:$A$25,0)),""),"")</f>
        <v/>
      </c>
      <c r="BA15" s="37">
        <f>IF(ISNUMBER('Assumptions &amp; FX Reference'!$I$12),'Assumptions &amp; FX Reference'!$I$12,"")</f>
        <v>123.416</v>
      </c>
      <c r="BB15" s="33" t="str">
        <f t="shared" si="4"/>
        <v>N</v>
      </c>
      <c r="BC15" s="35" t="str">
        <f t="shared" si="5"/>
        <v/>
      </c>
      <c r="BD15" s="35" t="str">
        <f>IF(AND(ISNUMBER(BC15),ISNUMBER(K15)),IF(K15&gt;0,BC15/K15^'Assumptions &amp; FX Reference'!$I$16,""),"")</f>
        <v/>
      </c>
      <c r="BE15" s="30" t="s">
        <v>340</v>
      </c>
      <c r="BF15" s="30" t="s">
        <v>341</v>
      </c>
      <c r="BG15" s="30" t="s">
        <v>305</v>
      </c>
    </row>
    <row r="16" spans="1:59" ht="24" customHeight="1">
      <c r="A16" s="30">
        <v>12</v>
      </c>
      <c r="B16" s="30" t="s">
        <v>342</v>
      </c>
      <c r="C16" s="30" t="s">
        <v>294</v>
      </c>
      <c r="D16" s="30" t="s">
        <v>295</v>
      </c>
      <c r="E16" s="30" t="s">
        <v>53</v>
      </c>
      <c r="F16" s="30" t="s">
        <v>188</v>
      </c>
      <c r="G16" s="30" t="s">
        <v>119</v>
      </c>
      <c r="H16" s="31"/>
      <c r="I16" s="31">
        <v>40.799999999999997</v>
      </c>
      <c r="J16" s="31">
        <v>0.8</v>
      </c>
      <c r="K16" s="32">
        <f>IF(ISNUMBER(J16),J16,IF(AND(ISNUMBER(H16),ISNUMBER(I16)),H16*I16/(367*'Assumptions &amp; FX Reference'!$I$17),""))</f>
        <v>0.8</v>
      </c>
      <c r="L16" s="33" t="str">
        <f t="shared" si="0"/>
        <v>Not stated</v>
      </c>
      <c r="M16" s="30" t="s">
        <v>119</v>
      </c>
      <c r="N16" s="30" t="s">
        <v>296</v>
      </c>
      <c r="O16" s="30" t="s">
        <v>119</v>
      </c>
      <c r="P16" s="30" t="s">
        <v>119</v>
      </c>
      <c r="Q16" s="30" t="s">
        <v>119</v>
      </c>
      <c r="R16" s="30" t="s">
        <v>119</v>
      </c>
      <c r="S16" s="30" t="s">
        <v>297</v>
      </c>
      <c r="T16" s="30" t="s">
        <v>338</v>
      </c>
      <c r="U16" s="30">
        <v>1</v>
      </c>
      <c r="V16" s="30" t="s">
        <v>343</v>
      </c>
      <c r="W16" s="31"/>
      <c r="X16" s="30" t="s">
        <v>119</v>
      </c>
      <c r="Y16" s="30" t="s">
        <v>300</v>
      </c>
      <c r="Z16" s="30" t="s">
        <v>301</v>
      </c>
      <c r="AA16" s="34">
        <v>3000</v>
      </c>
      <c r="AB16" s="35" t="str">
        <f>IF(NOT(ISNUMBER(AA16)),"(Not stated)",IF(NOT(ISNUMBER(Y16)),"(Cost year not stated)",IFERROR(IF(Z16="EUR",AA16,IF(Z16="IRR",AA16/INDEX('Assumptions &amp; FX Reference'!$C$5:$C$25,MATCH(Y16,'Assumptions &amp; FX Reference'!$A$5:$A$25,0)),IF(Z16="USD",AA16*INDEX('Assumptions &amp; FX Reference'!$B$5:$B$25,MATCH(Y16,'Assumptions &amp; FX Reference'!$A$5:$A$25,0))/INDEX('Assumptions &amp; FX Reference'!$C$5:$C$25,MATCH(Y16,'Assumptions &amp; FX Reference'!$A$5:$A$25,0)),"(Currency?)"))),"(FX rate missing)")))</f>
        <v>(Cost year not stated)</v>
      </c>
      <c r="AC16" s="35" t="str">
        <f>IF(NOT(ISNUMBER(AA16)),"(Not stated)",IF(NOT(ISNUMBER(Y16)),"(Cost year not stated)",IFERROR(IF(Z16="USD",AA16,IF(Z16="IRR",AA16/INDEX('Assumptions &amp; FX Reference'!$B$5:$B$25,MATCH(Y16,'Assumptions &amp; FX Reference'!$A$5:$A$25,0)),IF(Z16="EUR",AA16*INDEX('Assumptions &amp; FX Reference'!$C$5:$C$25,MATCH(Y16,'Assumptions &amp; FX Reference'!$A$5:$A$25,0))/INDEX('Assumptions &amp; FX Reference'!$B$5:$B$25,MATCH(Y16,'Assumptions &amp; FX Reference'!$A$5:$A$25,0)),"(Currency?)"))),"(FX rate missing)")))</f>
        <v>(Cost year not stated)</v>
      </c>
      <c r="AD16" s="35" t="str">
        <f>IF(NOT(ISNUMBER(AA16)),"(Not stated)",IF(NOT(ISNUMBER(Y16)),"(Cost year not stated)",IFERROR(IF(Z16="IRR",AA16,IF(Z16="USD",AA16*INDEX('Assumptions &amp; FX Reference'!$B$5:$B$25,MATCH(Y16,'Assumptions &amp; FX Reference'!$A$5:$A$25,0)),IF(Z16="EUR",AA16*INDEX('Assumptions &amp; FX Reference'!$C$5:$C$25,MATCH(Y16,'Assumptions &amp; FX Reference'!$A$5:$A$25,0)),"(Currency?)"))),"(FX rate missing)")))</f>
        <v>(Cost year not stated)</v>
      </c>
      <c r="AE16" s="30" t="s">
        <v>302</v>
      </c>
      <c r="AF16" s="30" t="s">
        <v>119</v>
      </c>
      <c r="AG16" s="35" t="str">
        <f>IF(AND(Z16="EUR",N(AA16)&gt;5000000),"(Check currency – excluded)",IF(AND(ISNUMBER(AB16),ISNUMBER(AZ16),ISNUMBER(BA16)),IF(AND(BB16="Y",ISNUMBER('Assumptions &amp; FX Reference'!$I$15)),MAX(AB16*BA16/AZ16,'Assumptions &amp; FX Reference'!$I$13*BA16/'Assumptions &amp; FX Reference'!$I$15),AB16*BA16/AZ16),"(PPI/FX missing)"))</f>
        <v>(PPI/FX missing)</v>
      </c>
      <c r="AH16" s="35" t="str">
        <f>IF(AND(ISNUMBER(AG16),ISNUMBER('Assumptions &amp; FX Reference'!$I$8),ISNUMBER('Assumptions &amp; FX Reference'!$I$11)),AG16*'Assumptions &amp; FX Reference'!$I$8/'Assumptions &amp; FX Reference'!$I$11,"")</f>
        <v/>
      </c>
      <c r="AI16" s="35" t="str">
        <f>IF(AND(ISNUMBER(AG16),ISNUMBER('Assumptions &amp; FX Reference'!$I$8)),AG16*'Assumptions &amp; FX Reference'!$I$8,"")</f>
        <v/>
      </c>
      <c r="AJ16" s="30" t="s">
        <v>295</v>
      </c>
      <c r="AK16" s="30" t="s">
        <v>119</v>
      </c>
      <c r="AL16" s="30" t="s">
        <v>119</v>
      </c>
      <c r="AM16" s="30" t="s">
        <v>119</v>
      </c>
      <c r="AN16" s="30" t="s">
        <v>119</v>
      </c>
      <c r="AO16" s="30" t="s">
        <v>119</v>
      </c>
      <c r="AP16" s="30" t="s">
        <v>119</v>
      </c>
      <c r="AQ16" s="30" t="s">
        <v>119</v>
      </c>
      <c r="AR16" s="30" t="s">
        <v>119</v>
      </c>
      <c r="AS16" s="33" t="str">
        <f t="shared" si="1"/>
        <v xml:space="preserve">Material missing; Seal missing; Base-year PPI missing; </v>
      </c>
      <c r="AT16" s="36">
        <f>IFERROR(INDEX(Factors_ROT!$F$5:$F$200,MATCH("MAT|"&amp;G16,Factors_ROT!$A$5:$A$200,0)),1)</f>
        <v>1</v>
      </c>
      <c r="AU16" s="36">
        <f>IFERROR(INDEX(Factors_ROT!$F$5:$F$200,MATCH("SEAL_ARR|"&amp;P16,Factors_ROT!$A$5:$A$200,0)),1)*IFERROR(INDEX(Factors_ROT!$F$5:$F$200,MATCH("SEAL_CAT|"&amp;Q16,Factors_ROT!$A$5:$A$200,0)),1)*IFERROR(INDEX(Factors_ROT!$F$5:$F$200,MATCH("SEAL_PLAN|"&amp;R16,Factors_ROT!$A$5:$A$200,0)),1)</f>
        <v>1</v>
      </c>
      <c r="AV16" s="36">
        <f>IFERROR(INDEX(Factors_ROT!$F$5:$F$200,MATCH("DRV|"&amp;S16,Factors_ROT!$A$5:$A$200,0)),1)*IFERROR(INDEX(Factors_ROT!$F$5:$F$200,MATCH("NACE|"&amp;O16,Factors_ROT!$A$5:$A$200,0)),1)</f>
        <v>1</v>
      </c>
      <c r="AW16" s="36">
        <f>IFERROR(INDEX(Factors_ROT!$F$5:$F$200,MATCH("SC_DRV|"&amp;AL16,Factors_ROT!$A$5:$A$200,0)),1)*IFERROR(INDEX(Factors_ROT!$F$5:$F$200,MATCH("SC_BSP|"&amp;AM16,Factors_ROT!$A$5:$A$200,0)),1)*IFERROR(INDEX(Factors_ROT!$F$5:$F$200,MATCH("SC_SEAL|"&amp;AN16,Factors_ROT!$A$5:$A$200,0)),1)*IFERROR(INDEX(Factors_ROT!$F$5:$F$200,MATCH("SC_COMM|"&amp;AO16,Factors_ROT!$A$5:$A$200,0)),1)*IFERROR(INDEX(Factors_ROT!$F$5:$F$200,MATCH("SC_2Y|"&amp;AP16,Factors_ROT!$A$5:$A$200,0)),1)*IFERROR(INDEX(Factors_ROT!$F$5:$F$200,MATCH("SC_TPI|"&amp;AQ16,Factors_ROT!$A$5:$A$200,0)),1)*IFERROR(INDEX(Factors_ROT!$F$5:$F$200,MATCH("SC_FAT|"&amp;AR16,Factors_ROT!$A$5:$A$200,0)),1)</f>
        <v>1</v>
      </c>
      <c r="AX16" s="36">
        <f t="shared" si="2"/>
        <v>1</v>
      </c>
      <c r="AY16" s="35" t="str">
        <f t="shared" si="3"/>
        <v/>
      </c>
      <c r="AZ16" s="37" t="str">
        <f>IFERROR(IF(N(INDEX(Escalation_Index!$B$5:$B$25,MATCH(Y16,Escalation_Index!$A$5:$A$25,0)))&gt;0,INDEX(Escalation_Index!$B$5:$B$25,MATCH(Y16,Escalation_Index!$A$5:$A$25,0)),""),"")</f>
        <v/>
      </c>
      <c r="BA16" s="37">
        <f>IF(ISNUMBER('Assumptions &amp; FX Reference'!$I$12),'Assumptions &amp; FX Reference'!$I$12,"")</f>
        <v>123.416</v>
      </c>
      <c r="BB16" s="33" t="str">
        <f t="shared" si="4"/>
        <v>N</v>
      </c>
      <c r="BC16" s="35" t="str">
        <f t="shared" si="5"/>
        <v/>
      </c>
      <c r="BD16" s="35" t="str">
        <f>IF(AND(ISNUMBER(BC16),ISNUMBER(K16)),IF(K16&gt;0,BC16/K16^'Assumptions &amp; FX Reference'!$I$16,""),"")</f>
        <v/>
      </c>
      <c r="BE16" s="30" t="s">
        <v>344</v>
      </c>
      <c r="BF16" s="30" t="s">
        <v>345</v>
      </c>
      <c r="BG16" s="30" t="s">
        <v>305</v>
      </c>
    </row>
    <row r="17" spans="1:59" ht="24" customHeight="1">
      <c r="A17" s="30">
        <v>13</v>
      </c>
      <c r="B17" s="30" t="s">
        <v>346</v>
      </c>
      <c r="C17" s="30" t="s">
        <v>294</v>
      </c>
      <c r="D17" s="30" t="s">
        <v>295</v>
      </c>
      <c r="E17" s="30" t="s">
        <v>44</v>
      </c>
      <c r="F17" s="30" t="s">
        <v>119</v>
      </c>
      <c r="G17" s="30" t="s">
        <v>119</v>
      </c>
      <c r="H17" s="31"/>
      <c r="I17" s="31">
        <v>15</v>
      </c>
      <c r="J17" s="31">
        <v>5</v>
      </c>
      <c r="K17" s="32">
        <f>IF(ISNUMBER(J17),J17,IF(AND(ISNUMBER(H17),ISNUMBER(I17)),H17*I17/(367*'Assumptions &amp; FX Reference'!$I$17),""))</f>
        <v>5</v>
      </c>
      <c r="L17" s="33" t="str">
        <f t="shared" si="0"/>
        <v>Not stated</v>
      </c>
      <c r="M17" s="30" t="s">
        <v>119</v>
      </c>
      <c r="N17" s="30" t="s">
        <v>296</v>
      </c>
      <c r="O17" s="30" t="s">
        <v>119</v>
      </c>
      <c r="P17" s="30" t="s">
        <v>119</v>
      </c>
      <c r="Q17" s="30" t="s">
        <v>119</v>
      </c>
      <c r="R17" s="30" t="s">
        <v>119</v>
      </c>
      <c r="S17" s="30" t="s">
        <v>297</v>
      </c>
      <c r="T17" s="30" t="s">
        <v>319</v>
      </c>
      <c r="U17" s="30">
        <v>1</v>
      </c>
      <c r="V17" s="30" t="s">
        <v>299</v>
      </c>
      <c r="W17" s="31"/>
      <c r="X17" s="30" t="s">
        <v>119</v>
      </c>
      <c r="Y17" s="30" t="s">
        <v>300</v>
      </c>
      <c r="Z17" s="30" t="s">
        <v>301</v>
      </c>
      <c r="AA17" s="34">
        <v>3000</v>
      </c>
      <c r="AB17" s="35" t="str">
        <f>IF(NOT(ISNUMBER(AA17)),"(Not stated)",IF(NOT(ISNUMBER(Y17)),"(Cost year not stated)",IFERROR(IF(Z17="EUR",AA17,IF(Z17="IRR",AA17/INDEX('Assumptions &amp; FX Reference'!$C$5:$C$25,MATCH(Y17,'Assumptions &amp; FX Reference'!$A$5:$A$25,0)),IF(Z17="USD",AA17*INDEX('Assumptions &amp; FX Reference'!$B$5:$B$25,MATCH(Y17,'Assumptions &amp; FX Reference'!$A$5:$A$25,0))/INDEX('Assumptions &amp; FX Reference'!$C$5:$C$25,MATCH(Y17,'Assumptions &amp; FX Reference'!$A$5:$A$25,0)),"(Currency?)"))),"(FX rate missing)")))</f>
        <v>(Cost year not stated)</v>
      </c>
      <c r="AC17" s="35" t="str">
        <f>IF(NOT(ISNUMBER(AA17)),"(Not stated)",IF(NOT(ISNUMBER(Y17)),"(Cost year not stated)",IFERROR(IF(Z17="USD",AA17,IF(Z17="IRR",AA17/INDEX('Assumptions &amp; FX Reference'!$B$5:$B$25,MATCH(Y17,'Assumptions &amp; FX Reference'!$A$5:$A$25,0)),IF(Z17="EUR",AA17*INDEX('Assumptions &amp; FX Reference'!$C$5:$C$25,MATCH(Y17,'Assumptions &amp; FX Reference'!$A$5:$A$25,0))/INDEX('Assumptions &amp; FX Reference'!$B$5:$B$25,MATCH(Y17,'Assumptions &amp; FX Reference'!$A$5:$A$25,0)),"(Currency?)"))),"(FX rate missing)")))</f>
        <v>(Cost year not stated)</v>
      </c>
      <c r="AD17" s="35" t="str">
        <f>IF(NOT(ISNUMBER(AA17)),"(Not stated)",IF(NOT(ISNUMBER(Y17)),"(Cost year not stated)",IFERROR(IF(Z17="IRR",AA17,IF(Z17="USD",AA17*INDEX('Assumptions &amp; FX Reference'!$B$5:$B$25,MATCH(Y17,'Assumptions &amp; FX Reference'!$A$5:$A$25,0)),IF(Z17="EUR",AA17*INDEX('Assumptions &amp; FX Reference'!$C$5:$C$25,MATCH(Y17,'Assumptions &amp; FX Reference'!$A$5:$A$25,0)),"(Currency?)"))),"(FX rate missing)")))</f>
        <v>(Cost year not stated)</v>
      </c>
      <c r="AE17" s="30" t="s">
        <v>302</v>
      </c>
      <c r="AF17" s="30" t="s">
        <v>119</v>
      </c>
      <c r="AG17" s="35" t="str">
        <f>IF(AND(Z17="EUR",N(AA17)&gt;5000000),"(Check currency – excluded)",IF(AND(ISNUMBER(AB17),ISNUMBER(AZ17),ISNUMBER(BA17)),IF(AND(BB17="Y",ISNUMBER('Assumptions &amp; FX Reference'!$I$15)),MAX(AB17*BA17/AZ17,'Assumptions &amp; FX Reference'!$I$13*BA17/'Assumptions &amp; FX Reference'!$I$15),AB17*BA17/AZ17),"(PPI/FX missing)"))</f>
        <v>(PPI/FX missing)</v>
      </c>
      <c r="AH17" s="35" t="str">
        <f>IF(AND(ISNUMBER(AG17),ISNUMBER('Assumptions &amp; FX Reference'!$I$8),ISNUMBER('Assumptions &amp; FX Reference'!$I$11)),AG17*'Assumptions &amp; FX Reference'!$I$8/'Assumptions &amp; FX Reference'!$I$11,"")</f>
        <v/>
      </c>
      <c r="AI17" s="35" t="str">
        <f>IF(AND(ISNUMBER(AG17),ISNUMBER('Assumptions &amp; FX Reference'!$I$8)),AG17*'Assumptions &amp; FX Reference'!$I$8,"")</f>
        <v/>
      </c>
      <c r="AJ17" s="30" t="s">
        <v>295</v>
      </c>
      <c r="AK17" s="30" t="s">
        <v>119</v>
      </c>
      <c r="AL17" s="30" t="s">
        <v>119</v>
      </c>
      <c r="AM17" s="30" t="s">
        <v>119</v>
      </c>
      <c r="AN17" s="30" t="s">
        <v>119</v>
      </c>
      <c r="AO17" s="30" t="s">
        <v>119</v>
      </c>
      <c r="AP17" s="30" t="s">
        <v>119</v>
      </c>
      <c r="AQ17" s="30" t="s">
        <v>119</v>
      </c>
      <c r="AR17" s="30" t="s">
        <v>119</v>
      </c>
      <c r="AS17" s="33" t="str">
        <f t="shared" si="1"/>
        <v xml:space="preserve">Material missing; Seal missing; Base-year PPI missing; </v>
      </c>
      <c r="AT17" s="36">
        <f>IFERROR(INDEX(Factors_ROT!$F$5:$F$200,MATCH("MAT|"&amp;G17,Factors_ROT!$A$5:$A$200,0)),1)</f>
        <v>1</v>
      </c>
      <c r="AU17" s="36">
        <f>IFERROR(INDEX(Factors_ROT!$F$5:$F$200,MATCH("SEAL_ARR|"&amp;P17,Factors_ROT!$A$5:$A$200,0)),1)*IFERROR(INDEX(Factors_ROT!$F$5:$F$200,MATCH("SEAL_CAT|"&amp;Q17,Factors_ROT!$A$5:$A$200,0)),1)*IFERROR(INDEX(Factors_ROT!$F$5:$F$200,MATCH("SEAL_PLAN|"&amp;R17,Factors_ROT!$A$5:$A$200,0)),1)</f>
        <v>1</v>
      </c>
      <c r="AV17" s="36">
        <f>IFERROR(INDEX(Factors_ROT!$F$5:$F$200,MATCH("DRV|"&amp;S17,Factors_ROT!$A$5:$A$200,0)),1)*IFERROR(INDEX(Factors_ROT!$F$5:$F$200,MATCH("NACE|"&amp;O17,Factors_ROT!$A$5:$A$200,0)),1)</f>
        <v>1</v>
      </c>
      <c r="AW17" s="36">
        <f>IFERROR(INDEX(Factors_ROT!$F$5:$F$200,MATCH("SC_DRV|"&amp;AL17,Factors_ROT!$A$5:$A$200,0)),1)*IFERROR(INDEX(Factors_ROT!$F$5:$F$200,MATCH("SC_BSP|"&amp;AM17,Factors_ROT!$A$5:$A$200,0)),1)*IFERROR(INDEX(Factors_ROT!$F$5:$F$200,MATCH("SC_SEAL|"&amp;AN17,Factors_ROT!$A$5:$A$200,0)),1)*IFERROR(INDEX(Factors_ROT!$F$5:$F$200,MATCH("SC_COMM|"&amp;AO17,Factors_ROT!$A$5:$A$200,0)),1)*IFERROR(INDEX(Factors_ROT!$F$5:$F$200,MATCH("SC_2Y|"&amp;AP17,Factors_ROT!$A$5:$A$200,0)),1)*IFERROR(INDEX(Factors_ROT!$F$5:$F$200,MATCH("SC_TPI|"&amp;AQ17,Factors_ROT!$A$5:$A$200,0)),1)*IFERROR(INDEX(Factors_ROT!$F$5:$F$200,MATCH("SC_FAT|"&amp;AR17,Factors_ROT!$A$5:$A$200,0)),1)</f>
        <v>1</v>
      </c>
      <c r="AX17" s="36">
        <f t="shared" si="2"/>
        <v>1</v>
      </c>
      <c r="AY17" s="35" t="str">
        <f t="shared" si="3"/>
        <v/>
      </c>
      <c r="AZ17" s="37" t="str">
        <f>IFERROR(IF(N(INDEX(Escalation_Index!$B$5:$B$25,MATCH(Y17,Escalation_Index!$A$5:$A$25,0)))&gt;0,INDEX(Escalation_Index!$B$5:$B$25,MATCH(Y17,Escalation_Index!$A$5:$A$25,0)),""),"")</f>
        <v/>
      </c>
      <c r="BA17" s="37">
        <f>IF(ISNUMBER('Assumptions &amp; FX Reference'!$I$12),'Assumptions &amp; FX Reference'!$I$12,"")</f>
        <v>123.416</v>
      </c>
      <c r="BB17" s="33" t="str">
        <f t="shared" si="4"/>
        <v>N</v>
      </c>
      <c r="BC17" s="35" t="str">
        <f t="shared" si="5"/>
        <v/>
      </c>
      <c r="BD17" s="35" t="str">
        <f>IF(AND(ISNUMBER(BC17),ISNUMBER(K17)),IF(K17&gt;0,BC17/K17^'Assumptions &amp; FX Reference'!$I$16,""),"")</f>
        <v/>
      </c>
      <c r="BE17" s="30" t="s">
        <v>347</v>
      </c>
      <c r="BF17" s="30" t="s">
        <v>348</v>
      </c>
      <c r="BG17" s="30" t="s">
        <v>305</v>
      </c>
    </row>
    <row r="18" spans="1:59" ht="24" customHeight="1">
      <c r="A18" s="30">
        <v>14</v>
      </c>
      <c r="B18" s="30" t="s">
        <v>349</v>
      </c>
      <c r="C18" s="30" t="s">
        <v>294</v>
      </c>
      <c r="D18" s="30" t="s">
        <v>295</v>
      </c>
      <c r="E18" s="30" t="s">
        <v>50</v>
      </c>
      <c r="F18" s="30" t="s">
        <v>119</v>
      </c>
      <c r="G18" s="30" t="s">
        <v>119</v>
      </c>
      <c r="H18" s="31"/>
      <c r="I18" s="31">
        <v>18</v>
      </c>
      <c r="J18" s="31">
        <v>2</v>
      </c>
      <c r="K18" s="32">
        <f>IF(ISNUMBER(J18),J18,IF(AND(ISNUMBER(H18),ISNUMBER(I18)),H18*I18/(367*'Assumptions &amp; FX Reference'!$I$17),""))</f>
        <v>2</v>
      </c>
      <c r="L18" s="33" t="str">
        <f t="shared" si="0"/>
        <v>Not stated</v>
      </c>
      <c r="M18" s="30" t="s">
        <v>119</v>
      </c>
      <c r="N18" s="30" t="s">
        <v>296</v>
      </c>
      <c r="O18" s="30" t="s">
        <v>119</v>
      </c>
      <c r="P18" s="30" t="s">
        <v>119</v>
      </c>
      <c r="Q18" s="30" t="s">
        <v>119</v>
      </c>
      <c r="R18" s="30" t="s">
        <v>119</v>
      </c>
      <c r="S18" s="30" t="s">
        <v>297</v>
      </c>
      <c r="T18" s="30" t="s">
        <v>334</v>
      </c>
      <c r="U18" s="30">
        <v>1</v>
      </c>
      <c r="V18" s="30" t="s">
        <v>299</v>
      </c>
      <c r="W18" s="31"/>
      <c r="X18" s="30" t="s">
        <v>119</v>
      </c>
      <c r="Y18" s="30" t="s">
        <v>300</v>
      </c>
      <c r="Z18" s="30" t="s">
        <v>301</v>
      </c>
      <c r="AA18" s="34">
        <v>40000</v>
      </c>
      <c r="AB18" s="35" t="str">
        <f>IF(NOT(ISNUMBER(AA18)),"(Not stated)",IF(NOT(ISNUMBER(Y18)),"(Cost year not stated)",IFERROR(IF(Z18="EUR",AA18,IF(Z18="IRR",AA18/INDEX('Assumptions &amp; FX Reference'!$C$5:$C$25,MATCH(Y18,'Assumptions &amp; FX Reference'!$A$5:$A$25,0)),IF(Z18="USD",AA18*INDEX('Assumptions &amp; FX Reference'!$B$5:$B$25,MATCH(Y18,'Assumptions &amp; FX Reference'!$A$5:$A$25,0))/INDEX('Assumptions &amp; FX Reference'!$C$5:$C$25,MATCH(Y18,'Assumptions &amp; FX Reference'!$A$5:$A$25,0)),"(Currency?)"))),"(FX rate missing)")))</f>
        <v>(Cost year not stated)</v>
      </c>
      <c r="AC18" s="35" t="str">
        <f>IF(NOT(ISNUMBER(AA18)),"(Not stated)",IF(NOT(ISNUMBER(Y18)),"(Cost year not stated)",IFERROR(IF(Z18="USD",AA18,IF(Z18="IRR",AA18/INDEX('Assumptions &amp; FX Reference'!$B$5:$B$25,MATCH(Y18,'Assumptions &amp; FX Reference'!$A$5:$A$25,0)),IF(Z18="EUR",AA18*INDEX('Assumptions &amp; FX Reference'!$C$5:$C$25,MATCH(Y18,'Assumptions &amp; FX Reference'!$A$5:$A$25,0))/INDEX('Assumptions &amp; FX Reference'!$B$5:$B$25,MATCH(Y18,'Assumptions &amp; FX Reference'!$A$5:$A$25,0)),"(Currency?)"))),"(FX rate missing)")))</f>
        <v>(Cost year not stated)</v>
      </c>
      <c r="AD18" s="35" t="str">
        <f>IF(NOT(ISNUMBER(AA18)),"(Not stated)",IF(NOT(ISNUMBER(Y18)),"(Cost year not stated)",IFERROR(IF(Z18="IRR",AA18,IF(Z18="USD",AA18*INDEX('Assumptions &amp; FX Reference'!$B$5:$B$25,MATCH(Y18,'Assumptions &amp; FX Reference'!$A$5:$A$25,0)),IF(Z18="EUR",AA18*INDEX('Assumptions &amp; FX Reference'!$C$5:$C$25,MATCH(Y18,'Assumptions &amp; FX Reference'!$A$5:$A$25,0)),"(Currency?)"))),"(FX rate missing)")))</f>
        <v>(Cost year not stated)</v>
      </c>
      <c r="AE18" s="30" t="s">
        <v>302</v>
      </c>
      <c r="AF18" s="30" t="s">
        <v>119</v>
      </c>
      <c r="AG18" s="35" t="str">
        <f>IF(AND(Z18="EUR",N(AA18)&gt;5000000),"(Check currency – excluded)",IF(AND(ISNUMBER(AB18),ISNUMBER(AZ18),ISNUMBER(BA18)),IF(AND(BB18="Y",ISNUMBER('Assumptions &amp; FX Reference'!$I$15)),MAX(AB18*BA18/AZ18,'Assumptions &amp; FX Reference'!$I$13*BA18/'Assumptions &amp; FX Reference'!$I$15),AB18*BA18/AZ18),"(PPI/FX missing)"))</f>
        <v>(PPI/FX missing)</v>
      </c>
      <c r="AH18" s="35" t="str">
        <f>IF(AND(ISNUMBER(AG18),ISNUMBER('Assumptions &amp; FX Reference'!$I$8),ISNUMBER('Assumptions &amp; FX Reference'!$I$11)),AG18*'Assumptions &amp; FX Reference'!$I$8/'Assumptions &amp; FX Reference'!$I$11,"")</f>
        <v/>
      </c>
      <c r="AI18" s="35" t="str">
        <f>IF(AND(ISNUMBER(AG18),ISNUMBER('Assumptions &amp; FX Reference'!$I$8)),AG18*'Assumptions &amp; FX Reference'!$I$8,"")</f>
        <v/>
      </c>
      <c r="AJ18" s="30" t="s">
        <v>295</v>
      </c>
      <c r="AK18" s="30" t="s">
        <v>119</v>
      </c>
      <c r="AL18" s="30" t="s">
        <v>119</v>
      </c>
      <c r="AM18" s="30" t="s">
        <v>119</v>
      </c>
      <c r="AN18" s="30" t="s">
        <v>119</v>
      </c>
      <c r="AO18" s="30" t="s">
        <v>119</v>
      </c>
      <c r="AP18" s="30" t="s">
        <v>119</v>
      </c>
      <c r="AQ18" s="30" t="s">
        <v>119</v>
      </c>
      <c r="AR18" s="30" t="s">
        <v>119</v>
      </c>
      <c r="AS18" s="33" t="str">
        <f t="shared" si="1"/>
        <v xml:space="preserve">Material missing; Seal missing; Base-year PPI missing; </v>
      </c>
      <c r="AT18" s="36">
        <f>IFERROR(INDEX(Factors_ROT!$F$5:$F$200,MATCH("MAT|"&amp;G18,Factors_ROT!$A$5:$A$200,0)),1)</f>
        <v>1</v>
      </c>
      <c r="AU18" s="36">
        <f>IFERROR(INDEX(Factors_ROT!$F$5:$F$200,MATCH("SEAL_ARR|"&amp;P18,Factors_ROT!$A$5:$A$200,0)),1)*IFERROR(INDEX(Factors_ROT!$F$5:$F$200,MATCH("SEAL_CAT|"&amp;Q18,Factors_ROT!$A$5:$A$200,0)),1)*IFERROR(INDEX(Factors_ROT!$F$5:$F$200,MATCH("SEAL_PLAN|"&amp;R18,Factors_ROT!$A$5:$A$200,0)),1)</f>
        <v>1</v>
      </c>
      <c r="AV18" s="36">
        <f>IFERROR(INDEX(Factors_ROT!$F$5:$F$200,MATCH("DRV|"&amp;S18,Factors_ROT!$A$5:$A$200,0)),1)*IFERROR(INDEX(Factors_ROT!$F$5:$F$200,MATCH("NACE|"&amp;O18,Factors_ROT!$A$5:$A$200,0)),1)</f>
        <v>1</v>
      </c>
      <c r="AW18" s="36">
        <f>IFERROR(INDEX(Factors_ROT!$F$5:$F$200,MATCH("SC_DRV|"&amp;AL18,Factors_ROT!$A$5:$A$200,0)),1)*IFERROR(INDEX(Factors_ROT!$F$5:$F$200,MATCH("SC_BSP|"&amp;AM18,Factors_ROT!$A$5:$A$200,0)),1)*IFERROR(INDEX(Factors_ROT!$F$5:$F$200,MATCH("SC_SEAL|"&amp;AN18,Factors_ROT!$A$5:$A$200,0)),1)*IFERROR(INDEX(Factors_ROT!$F$5:$F$200,MATCH("SC_COMM|"&amp;AO18,Factors_ROT!$A$5:$A$200,0)),1)*IFERROR(INDEX(Factors_ROT!$F$5:$F$200,MATCH("SC_2Y|"&amp;AP18,Factors_ROT!$A$5:$A$200,0)),1)*IFERROR(INDEX(Factors_ROT!$F$5:$F$200,MATCH("SC_TPI|"&amp;AQ18,Factors_ROT!$A$5:$A$200,0)),1)*IFERROR(INDEX(Factors_ROT!$F$5:$F$200,MATCH("SC_FAT|"&amp;AR18,Factors_ROT!$A$5:$A$200,0)),1)</f>
        <v>1</v>
      </c>
      <c r="AX18" s="36">
        <f t="shared" si="2"/>
        <v>1</v>
      </c>
      <c r="AY18" s="35" t="str">
        <f t="shared" si="3"/>
        <v/>
      </c>
      <c r="AZ18" s="37" t="str">
        <f>IFERROR(IF(N(INDEX(Escalation_Index!$B$5:$B$25,MATCH(Y18,Escalation_Index!$A$5:$A$25,0)))&gt;0,INDEX(Escalation_Index!$B$5:$B$25,MATCH(Y18,Escalation_Index!$A$5:$A$25,0)),""),"")</f>
        <v/>
      </c>
      <c r="BA18" s="37">
        <f>IF(ISNUMBER('Assumptions &amp; FX Reference'!$I$12),'Assumptions &amp; FX Reference'!$I$12,"")</f>
        <v>123.416</v>
      </c>
      <c r="BB18" s="33" t="str">
        <f t="shared" si="4"/>
        <v>N</v>
      </c>
      <c r="BC18" s="35" t="str">
        <f t="shared" si="5"/>
        <v/>
      </c>
      <c r="BD18" s="35" t="str">
        <f>IF(AND(ISNUMBER(BC18),ISNUMBER(K18)),IF(K18&gt;0,BC18/K18^'Assumptions &amp; FX Reference'!$I$16,""),"")</f>
        <v/>
      </c>
      <c r="BE18" s="30" t="s">
        <v>350</v>
      </c>
      <c r="BF18" s="30" t="s">
        <v>351</v>
      </c>
      <c r="BG18" s="30" t="s">
        <v>305</v>
      </c>
    </row>
    <row r="19" spans="1:59" ht="24" customHeight="1">
      <c r="A19" s="30">
        <v>15</v>
      </c>
      <c r="B19" s="30" t="s">
        <v>352</v>
      </c>
      <c r="C19" s="30" t="s">
        <v>353</v>
      </c>
      <c r="D19" s="30" t="s">
        <v>354</v>
      </c>
      <c r="E19" s="30" t="s">
        <v>41</v>
      </c>
      <c r="F19" s="30" t="s">
        <v>119</v>
      </c>
      <c r="G19" s="30" t="s">
        <v>119</v>
      </c>
      <c r="H19" s="31">
        <v>500</v>
      </c>
      <c r="I19" s="31"/>
      <c r="J19" s="31">
        <v>216.3</v>
      </c>
      <c r="K19" s="32">
        <f>IF(ISNUMBER(J19),J19,IF(AND(ISNUMBER(H19),ISNUMBER(I19)),H19*I19/(367*'Assumptions &amp; FX Reference'!$I$17),""))</f>
        <v>216.3</v>
      </c>
      <c r="L19" s="33" t="str">
        <f t="shared" si="0"/>
        <v>Not stated</v>
      </c>
      <c r="M19" s="30" t="s">
        <v>119</v>
      </c>
      <c r="N19" s="30" t="s">
        <v>296</v>
      </c>
      <c r="O19" s="30" t="s">
        <v>119</v>
      </c>
      <c r="P19" s="30" t="s">
        <v>119</v>
      </c>
      <c r="Q19" s="30" t="s">
        <v>119</v>
      </c>
      <c r="R19" s="30" t="s">
        <v>119</v>
      </c>
      <c r="S19" s="38" t="s">
        <v>297</v>
      </c>
      <c r="T19" s="30" t="s">
        <v>298</v>
      </c>
      <c r="U19" s="30">
        <v>2</v>
      </c>
      <c r="V19" s="38" t="s">
        <v>299</v>
      </c>
      <c r="W19" s="31">
        <v>15.2</v>
      </c>
      <c r="X19" s="30" t="s">
        <v>119</v>
      </c>
      <c r="Y19" s="38">
        <v>1402</v>
      </c>
      <c r="Z19" s="30" t="s">
        <v>355</v>
      </c>
      <c r="AA19" s="34">
        <v>385000</v>
      </c>
      <c r="AB19" s="35">
        <f>IF(NOT(ISNUMBER(AA19)),"(Not stated)",IF(NOT(ISNUMBER(Y19)),"(Cost year not stated)",IFERROR(IF(Z19="EUR",AA19,IF(Z19="IRR",AA19/INDEX('Assumptions &amp; FX Reference'!$C$5:$C$25,MATCH(Y19,'Assumptions &amp; FX Reference'!$A$5:$A$25,0)),IF(Z19="USD",AA19*INDEX('Assumptions &amp; FX Reference'!$B$5:$B$25,MATCH(Y19,'Assumptions &amp; FX Reference'!$A$5:$A$25,0))/INDEX('Assumptions &amp; FX Reference'!$C$5:$C$25,MATCH(Y19,'Assumptions &amp; FX Reference'!$A$5:$A$25,0)),"(Currency?)"))),"(FX rate missing)")))</f>
        <v>385000</v>
      </c>
      <c r="AC19" s="35">
        <f>IF(NOT(ISNUMBER(AA19)),"(Not stated)",IF(NOT(ISNUMBER(Y19)),"(Cost year not stated)",IFERROR(IF(Z19="USD",AA19,IF(Z19="IRR",AA19/INDEX('Assumptions &amp; FX Reference'!$B$5:$B$25,MATCH(Y19,'Assumptions &amp; FX Reference'!$A$5:$A$25,0)),IF(Z19="EUR",AA19*INDEX('Assumptions &amp; FX Reference'!$C$5:$C$25,MATCH(Y19,'Assumptions &amp; FX Reference'!$A$5:$A$25,0))/INDEX('Assumptions &amp; FX Reference'!$B$5:$B$25,MATCH(Y19,'Assumptions &amp; FX Reference'!$A$5:$A$25,0)),"(Currency?)"))),"(FX rate missing)")))</f>
        <v>485375</v>
      </c>
      <c r="AD19" s="39">
        <f>IF(NOT(ISNUMBER(AA19)),"(Not stated)",IF(NOT(ISNUMBER(Y19)),"(Cost year not stated)",IFERROR(IF(Z19="IRR",AA19,IF(Z19="USD",AA19*INDEX('Assumptions &amp; FX Reference'!$B$5:$B$25,MATCH(Y19,'Assumptions &amp; FX Reference'!$A$5:$A$25,0)),IF(Z19="EUR",AA19*INDEX('Assumptions &amp; FX Reference'!$C$5:$C$25,MATCH(Y19,'Assumptions &amp; FX Reference'!$A$5:$A$25,0)),"(Currency?)"))),"(FX rate missing)")))</f>
        <v>203857500000</v>
      </c>
      <c r="AE19" s="30" t="s">
        <v>356</v>
      </c>
      <c r="AF19" s="38" t="s">
        <v>197</v>
      </c>
      <c r="AG19" s="35">
        <f>IF(AND(Z19="EUR",N(AA19)&gt;5000000),"(Check currency – excluded)",IF(AND(ISNUMBER(AB19),ISNUMBER(AZ19),ISNUMBER(BA19)),IF(AND(BB19="Y",ISNUMBER('Assumptions &amp; FX Reference'!$I$15)),MAX(AB19*BA19/AZ19,'Assumptions &amp; FX Reference'!$I$13*BA19/'Assumptions &amp; FX Reference'!$I$15),AB19*BA19/AZ19),"(PPI/FX missing)"))</f>
        <v>398446.63776404387</v>
      </c>
      <c r="AH19" s="35">
        <f>IF(AND(ISNUMBER(AG19),ISNUMBER('Assumptions &amp; FX Reference'!$I$8),ISNUMBER('Assumptions &amp; FX Reference'!$I$11)),AG19*'Assumptions &amp; FX Reference'!$I$8/'Assumptions &amp; FX Reference'!$I$11,"")</f>
        <v>420673.21902612515</v>
      </c>
      <c r="AI19" s="35">
        <f>IF(AND(ISNUMBER(AG19),ISNUMBER('Assumptions &amp; FX Reference'!$I$8)),AG19*'Assumptions &amp; FX Reference'!$I$8,"")</f>
        <v>277027196944.93127</v>
      </c>
      <c r="AJ19" s="30" t="s">
        <v>357</v>
      </c>
      <c r="AK19" s="30" t="s">
        <v>358</v>
      </c>
      <c r="AL19" s="30" t="s">
        <v>119</v>
      </c>
      <c r="AM19" s="30" t="s">
        <v>119</v>
      </c>
      <c r="AN19" s="30" t="s">
        <v>119</v>
      </c>
      <c r="AO19" s="38" t="s">
        <v>305</v>
      </c>
      <c r="AP19" s="38" t="s">
        <v>305</v>
      </c>
      <c r="AQ19" s="38" t="s">
        <v>305</v>
      </c>
      <c r="AR19" s="30" t="s">
        <v>119</v>
      </c>
      <c r="AS19" s="33" t="str">
        <f t="shared" si="1"/>
        <v xml:space="preserve">Material missing; Seal missing; </v>
      </c>
      <c r="AT19" s="36">
        <f>IFERROR(INDEX(Factors_ROT!$F$5:$F$200,MATCH("MAT|"&amp;G19,Factors_ROT!$A$5:$A$200,0)),1)</f>
        <v>1</v>
      </c>
      <c r="AU19" s="36">
        <f>IFERROR(INDEX(Factors_ROT!$F$5:$F$200,MATCH("SEAL_ARR|"&amp;P19,Factors_ROT!$A$5:$A$200,0)),1)*IFERROR(INDEX(Factors_ROT!$F$5:$F$200,MATCH("SEAL_CAT|"&amp;Q19,Factors_ROT!$A$5:$A$200,0)),1)*IFERROR(INDEX(Factors_ROT!$F$5:$F$200,MATCH("SEAL_PLAN|"&amp;R19,Factors_ROT!$A$5:$A$200,0)),1)</f>
        <v>1</v>
      </c>
      <c r="AV19" s="36">
        <f>IFERROR(INDEX(Factors_ROT!$F$5:$F$200,MATCH("DRV|"&amp;S19,Factors_ROT!$A$5:$A$200,0)),1)*IFERROR(INDEX(Factors_ROT!$F$5:$F$200,MATCH("NACE|"&amp;O19,Factors_ROT!$A$5:$A$200,0)),1)</f>
        <v>1</v>
      </c>
      <c r="AW19" s="36">
        <f>IFERROR(INDEX(Factors_ROT!$F$5:$F$200,MATCH("SC_DRV|"&amp;AL19,Factors_ROT!$A$5:$A$200,0)),1)*IFERROR(INDEX(Factors_ROT!$F$5:$F$200,MATCH("SC_BSP|"&amp;AM19,Factors_ROT!$A$5:$A$200,0)),1)*IFERROR(INDEX(Factors_ROT!$F$5:$F$200,MATCH("SC_SEAL|"&amp;AN19,Factors_ROT!$A$5:$A$200,0)),1)*IFERROR(INDEX(Factors_ROT!$F$5:$F$200,MATCH("SC_COMM|"&amp;AO19,Factors_ROT!$A$5:$A$200,0)),1)*IFERROR(INDEX(Factors_ROT!$F$5:$F$200,MATCH("SC_2Y|"&amp;AP19,Factors_ROT!$A$5:$A$200,0)),1)*IFERROR(INDEX(Factors_ROT!$F$5:$F$200,MATCH("SC_TPI|"&amp;AQ19,Factors_ROT!$A$5:$A$200,0)),1)*IFERROR(INDEX(Factors_ROT!$F$5:$F$200,MATCH("SC_FAT|"&amp;AR19,Factors_ROT!$A$5:$A$200,0)),1)</f>
        <v>0.98</v>
      </c>
      <c r="AX19" s="36">
        <f t="shared" si="2"/>
        <v>0.98</v>
      </c>
      <c r="AY19" s="35">
        <f t="shared" si="3"/>
        <v>392857.14285714284</v>
      </c>
      <c r="AZ19" s="37">
        <f>IFERROR(IF(N(INDEX(Escalation_Index!$B$5:$B$25,MATCH(Y19,Escalation_Index!$A$5:$A$25,0)))&gt;0,INDEX(Escalation_Index!$B$5:$B$25,MATCH(Y19,Escalation_Index!$A$5:$A$25,0)),""),"")</f>
        <v>119.251</v>
      </c>
      <c r="BA19" s="37">
        <f>IF(ISNUMBER('Assumptions &amp; FX Reference'!$I$12),'Assumptions &amp; FX Reference'!$I$12,"")</f>
        <v>123.416</v>
      </c>
      <c r="BB19" s="33" t="str">
        <f t="shared" si="4"/>
        <v>N</v>
      </c>
      <c r="BC19" s="35">
        <f t="shared" si="5"/>
        <v>406578.2018000448</v>
      </c>
      <c r="BD19" s="35">
        <f>IF(AND(ISNUMBER(BC19),ISNUMBER(K19)),IF(K19&gt;0,BC19/K19^'Assumptions &amp; FX Reference'!$I$16,""),"")</f>
        <v>16147.681662617435</v>
      </c>
      <c r="BE19" s="30" t="s">
        <v>359</v>
      </c>
      <c r="BF19" s="30" t="s">
        <v>360</v>
      </c>
      <c r="BG19" s="30" t="s">
        <v>361</v>
      </c>
    </row>
    <row r="20" spans="1:59" ht="24" customHeight="1">
      <c r="A20" s="30">
        <v>16</v>
      </c>
      <c r="B20" s="30" t="s">
        <v>362</v>
      </c>
      <c r="C20" s="30" t="s">
        <v>353</v>
      </c>
      <c r="D20" s="30" t="s">
        <v>363</v>
      </c>
      <c r="E20" s="30" t="s">
        <v>41</v>
      </c>
      <c r="F20" s="30" t="s">
        <v>119</v>
      </c>
      <c r="G20" s="30" t="s">
        <v>119</v>
      </c>
      <c r="H20" s="31">
        <v>250</v>
      </c>
      <c r="I20" s="31"/>
      <c r="J20" s="31">
        <v>108.1</v>
      </c>
      <c r="K20" s="32">
        <f>IF(ISNUMBER(J20),J20,IF(AND(ISNUMBER(H20),ISNUMBER(I20)),H20*I20/(367*'Assumptions &amp; FX Reference'!$I$17),""))</f>
        <v>108.1</v>
      </c>
      <c r="L20" s="33" t="str">
        <f t="shared" si="0"/>
        <v>Not stated</v>
      </c>
      <c r="M20" s="30" t="s">
        <v>119</v>
      </c>
      <c r="N20" s="30" t="s">
        <v>296</v>
      </c>
      <c r="O20" s="30" t="s">
        <v>119</v>
      </c>
      <c r="P20" s="30" t="s">
        <v>119</v>
      </c>
      <c r="Q20" s="30" t="s">
        <v>119</v>
      </c>
      <c r="R20" s="30" t="s">
        <v>119</v>
      </c>
      <c r="S20" s="38" t="s">
        <v>297</v>
      </c>
      <c r="T20" s="30" t="s">
        <v>298</v>
      </c>
      <c r="U20" s="30">
        <v>2</v>
      </c>
      <c r="V20" s="38" t="s">
        <v>299</v>
      </c>
      <c r="W20" s="31">
        <v>15.2</v>
      </c>
      <c r="X20" s="30" t="s">
        <v>119</v>
      </c>
      <c r="Y20" s="38">
        <v>1402</v>
      </c>
      <c r="Z20" s="30" t="s">
        <v>355</v>
      </c>
      <c r="AA20" s="34">
        <v>135000</v>
      </c>
      <c r="AB20" s="35">
        <f>IF(NOT(ISNUMBER(AA20)),"(Not stated)",IF(NOT(ISNUMBER(Y20)),"(Cost year not stated)",IFERROR(IF(Z20="EUR",AA20,IF(Z20="IRR",AA20/INDEX('Assumptions &amp; FX Reference'!$C$5:$C$25,MATCH(Y20,'Assumptions &amp; FX Reference'!$A$5:$A$25,0)),IF(Z20="USD",AA20*INDEX('Assumptions &amp; FX Reference'!$B$5:$B$25,MATCH(Y20,'Assumptions &amp; FX Reference'!$A$5:$A$25,0))/INDEX('Assumptions &amp; FX Reference'!$C$5:$C$25,MATCH(Y20,'Assumptions &amp; FX Reference'!$A$5:$A$25,0)),"(Currency?)"))),"(FX rate missing)")))</f>
        <v>135000</v>
      </c>
      <c r="AC20" s="35">
        <f>IF(NOT(ISNUMBER(AA20)),"(Not stated)",IF(NOT(ISNUMBER(Y20)),"(Cost year not stated)",IFERROR(IF(Z20="USD",AA20,IF(Z20="IRR",AA20/INDEX('Assumptions &amp; FX Reference'!$B$5:$B$25,MATCH(Y20,'Assumptions &amp; FX Reference'!$A$5:$A$25,0)),IF(Z20="EUR",AA20*INDEX('Assumptions &amp; FX Reference'!$C$5:$C$25,MATCH(Y20,'Assumptions &amp; FX Reference'!$A$5:$A$25,0))/INDEX('Assumptions &amp; FX Reference'!$B$5:$B$25,MATCH(Y20,'Assumptions &amp; FX Reference'!$A$5:$A$25,0)),"(Currency?)"))),"(FX rate missing)")))</f>
        <v>170196.42857142858</v>
      </c>
      <c r="AD20" s="39">
        <f>IF(NOT(ISNUMBER(AA20)),"(Not stated)",IF(NOT(ISNUMBER(Y20)),"(Cost year not stated)",IFERROR(IF(Z20="IRR",AA20,IF(Z20="USD",AA20*INDEX('Assumptions &amp; FX Reference'!$B$5:$B$25,MATCH(Y20,'Assumptions &amp; FX Reference'!$A$5:$A$25,0)),IF(Z20="EUR",AA20*INDEX('Assumptions &amp; FX Reference'!$C$5:$C$25,MATCH(Y20,'Assumptions &amp; FX Reference'!$A$5:$A$25,0)),"(Currency?)"))),"(FX rate missing)")))</f>
        <v>71482500000</v>
      </c>
      <c r="AE20" s="30" t="s">
        <v>356</v>
      </c>
      <c r="AF20" s="38" t="s">
        <v>197</v>
      </c>
      <c r="AG20" s="35">
        <f>IF(AND(Z20="EUR",N(AA20)&gt;5000000),"(Check currency – excluded)",IF(AND(ISNUMBER(AB20),ISNUMBER(AZ20),ISNUMBER(BA20)),IF(AND(BB20="Y",ISNUMBER('Assumptions &amp; FX Reference'!$I$15)),MAX(AB20*BA20/AZ20,'Assumptions &amp; FX Reference'!$I$13*BA20/'Assumptions &amp; FX Reference'!$I$15),AB20*BA20/AZ20),"(PPI/FX missing)"))</f>
        <v>139715.05480037903</v>
      </c>
      <c r="AH20" s="35">
        <f>IF(AND(ISNUMBER(AG20),ISNUMBER('Assumptions &amp; FX Reference'!$I$8),ISNUMBER('Assumptions &amp; FX Reference'!$I$11)),AG20*'Assumptions &amp; FX Reference'!$I$8/'Assumptions &amp; FX Reference'!$I$11,"")</f>
        <v>147508.79108708285</v>
      </c>
      <c r="AI20" s="35">
        <f>IF(AND(ISNUMBER(AG20),ISNUMBER('Assumptions &amp; FX Reference'!$I$8)),AG20*'Assumptions &amp; FX Reference'!$I$8,"")</f>
        <v>97139406720.949936</v>
      </c>
      <c r="AJ20" s="30" t="s">
        <v>357</v>
      </c>
      <c r="AK20" s="30" t="s">
        <v>358</v>
      </c>
      <c r="AL20" s="30" t="s">
        <v>119</v>
      </c>
      <c r="AM20" s="30" t="s">
        <v>119</v>
      </c>
      <c r="AN20" s="30" t="s">
        <v>119</v>
      </c>
      <c r="AO20" s="38" t="s">
        <v>305</v>
      </c>
      <c r="AP20" s="38" t="s">
        <v>305</v>
      </c>
      <c r="AQ20" s="38" t="s">
        <v>305</v>
      </c>
      <c r="AR20" s="30" t="s">
        <v>119</v>
      </c>
      <c r="AS20" s="33" t="str">
        <f t="shared" si="1"/>
        <v xml:space="preserve">Material missing; Seal missing; </v>
      </c>
      <c r="AT20" s="36">
        <f>IFERROR(INDEX(Factors_ROT!$F$5:$F$200,MATCH("MAT|"&amp;G20,Factors_ROT!$A$5:$A$200,0)),1)</f>
        <v>1</v>
      </c>
      <c r="AU20" s="36">
        <f>IFERROR(INDEX(Factors_ROT!$F$5:$F$200,MATCH("SEAL_ARR|"&amp;P20,Factors_ROT!$A$5:$A$200,0)),1)*IFERROR(INDEX(Factors_ROT!$F$5:$F$200,MATCH("SEAL_CAT|"&amp;Q20,Factors_ROT!$A$5:$A$200,0)),1)*IFERROR(INDEX(Factors_ROT!$F$5:$F$200,MATCH("SEAL_PLAN|"&amp;R20,Factors_ROT!$A$5:$A$200,0)),1)</f>
        <v>1</v>
      </c>
      <c r="AV20" s="36">
        <f>IFERROR(INDEX(Factors_ROT!$F$5:$F$200,MATCH("DRV|"&amp;S20,Factors_ROT!$A$5:$A$200,0)),1)*IFERROR(INDEX(Factors_ROT!$F$5:$F$200,MATCH("NACE|"&amp;O20,Factors_ROT!$A$5:$A$200,0)),1)</f>
        <v>1</v>
      </c>
      <c r="AW20" s="36">
        <f>IFERROR(INDEX(Factors_ROT!$F$5:$F$200,MATCH("SC_DRV|"&amp;AL20,Factors_ROT!$A$5:$A$200,0)),1)*IFERROR(INDEX(Factors_ROT!$F$5:$F$200,MATCH("SC_BSP|"&amp;AM20,Factors_ROT!$A$5:$A$200,0)),1)*IFERROR(INDEX(Factors_ROT!$F$5:$F$200,MATCH("SC_SEAL|"&amp;AN20,Factors_ROT!$A$5:$A$200,0)),1)*IFERROR(INDEX(Factors_ROT!$F$5:$F$200,MATCH("SC_COMM|"&amp;AO20,Factors_ROT!$A$5:$A$200,0)),1)*IFERROR(INDEX(Factors_ROT!$F$5:$F$200,MATCH("SC_2Y|"&amp;AP20,Factors_ROT!$A$5:$A$200,0)),1)*IFERROR(INDEX(Factors_ROT!$F$5:$F$200,MATCH("SC_TPI|"&amp;AQ20,Factors_ROT!$A$5:$A$200,0)),1)*IFERROR(INDEX(Factors_ROT!$F$5:$F$200,MATCH("SC_FAT|"&amp;AR20,Factors_ROT!$A$5:$A$200,0)),1)</f>
        <v>0.98</v>
      </c>
      <c r="AX20" s="36">
        <f t="shared" si="2"/>
        <v>0.98</v>
      </c>
      <c r="AY20" s="35">
        <f t="shared" si="3"/>
        <v>137755.10204081633</v>
      </c>
      <c r="AZ20" s="37">
        <f>IFERROR(IF(N(INDEX(Escalation_Index!$B$5:$B$25,MATCH(Y20,Escalation_Index!$A$5:$A$25,0)))&gt;0,INDEX(Escalation_Index!$B$5:$B$25,MATCH(Y20,Escalation_Index!$A$5:$A$25,0)),""),"")</f>
        <v>119.251</v>
      </c>
      <c r="BA20" s="37">
        <f>IF(ISNUMBER('Assumptions &amp; FX Reference'!$I$12),'Assumptions &amp; FX Reference'!$I$12,"")</f>
        <v>123.416</v>
      </c>
      <c r="BB20" s="33" t="str">
        <f t="shared" si="4"/>
        <v>N</v>
      </c>
      <c r="BC20" s="35">
        <f t="shared" si="5"/>
        <v>142566.38244936636</v>
      </c>
      <c r="BD20" s="35">
        <f>IF(AND(ISNUMBER(BC20),ISNUMBER(K20)),IF(K20&gt;0,BC20/K20^'Assumptions &amp; FX Reference'!$I$16,""),"")</f>
        <v>8584.6326029269967</v>
      </c>
      <c r="BE20" s="30" t="s">
        <v>364</v>
      </c>
      <c r="BF20" s="30" t="s">
        <v>365</v>
      </c>
      <c r="BG20" s="30" t="s">
        <v>361</v>
      </c>
    </row>
    <row r="21" spans="1:59" ht="24" customHeight="1">
      <c r="A21" s="30">
        <v>17</v>
      </c>
      <c r="B21" s="30" t="s">
        <v>366</v>
      </c>
      <c r="C21" s="30" t="s">
        <v>353</v>
      </c>
      <c r="D21" s="30" t="s">
        <v>367</v>
      </c>
      <c r="E21" s="30" t="s">
        <v>41</v>
      </c>
      <c r="F21" s="30" t="s">
        <v>119</v>
      </c>
      <c r="G21" s="30" t="s">
        <v>119</v>
      </c>
      <c r="H21" s="31">
        <v>100</v>
      </c>
      <c r="I21" s="31"/>
      <c r="J21" s="31">
        <v>44.2</v>
      </c>
      <c r="K21" s="32">
        <f>IF(ISNUMBER(J21),J21,IF(AND(ISNUMBER(H21),ISNUMBER(I21)),H21*I21/(367*'Assumptions &amp; FX Reference'!$I$17),""))</f>
        <v>44.2</v>
      </c>
      <c r="L21" s="33" t="str">
        <f t="shared" si="0"/>
        <v>Not stated</v>
      </c>
      <c r="M21" s="30" t="s">
        <v>119</v>
      </c>
      <c r="N21" s="30" t="s">
        <v>296</v>
      </c>
      <c r="O21" s="30" t="s">
        <v>119</v>
      </c>
      <c r="P21" s="30" t="s">
        <v>119</v>
      </c>
      <c r="Q21" s="30" t="s">
        <v>119</v>
      </c>
      <c r="R21" s="30" t="s">
        <v>119</v>
      </c>
      <c r="S21" s="38" t="s">
        <v>297</v>
      </c>
      <c r="T21" s="30" t="s">
        <v>298</v>
      </c>
      <c r="U21" s="30">
        <v>2</v>
      </c>
      <c r="V21" s="38" t="s">
        <v>299</v>
      </c>
      <c r="W21" s="31">
        <v>15.5</v>
      </c>
      <c r="X21" s="30" t="s">
        <v>119</v>
      </c>
      <c r="Y21" s="38">
        <v>1402</v>
      </c>
      <c r="Z21" s="30" t="s">
        <v>355</v>
      </c>
      <c r="AA21" s="34">
        <v>140000</v>
      </c>
      <c r="AB21" s="35">
        <f>IF(NOT(ISNUMBER(AA21)),"(Not stated)",IF(NOT(ISNUMBER(Y21)),"(Cost year not stated)",IFERROR(IF(Z21="EUR",AA21,IF(Z21="IRR",AA21/INDEX('Assumptions &amp; FX Reference'!$C$5:$C$25,MATCH(Y21,'Assumptions &amp; FX Reference'!$A$5:$A$25,0)),IF(Z21="USD",AA21*INDEX('Assumptions &amp; FX Reference'!$B$5:$B$25,MATCH(Y21,'Assumptions &amp; FX Reference'!$A$5:$A$25,0))/INDEX('Assumptions &amp; FX Reference'!$C$5:$C$25,MATCH(Y21,'Assumptions &amp; FX Reference'!$A$5:$A$25,0)),"(Currency?)"))),"(FX rate missing)")))</f>
        <v>140000</v>
      </c>
      <c r="AC21" s="35">
        <f>IF(NOT(ISNUMBER(AA21)),"(Not stated)",IF(NOT(ISNUMBER(Y21)),"(Cost year not stated)",IFERROR(IF(Z21="USD",AA21,IF(Z21="IRR",AA21/INDEX('Assumptions &amp; FX Reference'!$B$5:$B$25,MATCH(Y21,'Assumptions &amp; FX Reference'!$A$5:$A$25,0)),IF(Z21="EUR",AA21*INDEX('Assumptions &amp; FX Reference'!$C$5:$C$25,MATCH(Y21,'Assumptions &amp; FX Reference'!$A$5:$A$25,0))/INDEX('Assumptions &amp; FX Reference'!$B$5:$B$25,MATCH(Y21,'Assumptions &amp; FX Reference'!$A$5:$A$25,0)),"(Currency?)"))),"(FX rate missing)")))</f>
        <v>176500</v>
      </c>
      <c r="AD21" s="39">
        <f>IF(NOT(ISNUMBER(AA21)),"(Not stated)",IF(NOT(ISNUMBER(Y21)),"(Cost year not stated)",IFERROR(IF(Z21="IRR",AA21,IF(Z21="USD",AA21*INDEX('Assumptions &amp; FX Reference'!$B$5:$B$25,MATCH(Y21,'Assumptions &amp; FX Reference'!$A$5:$A$25,0)),IF(Z21="EUR",AA21*INDEX('Assumptions &amp; FX Reference'!$C$5:$C$25,MATCH(Y21,'Assumptions &amp; FX Reference'!$A$5:$A$25,0)),"(Currency?)"))),"(FX rate missing)")))</f>
        <v>74130000000</v>
      </c>
      <c r="AE21" s="30" t="s">
        <v>356</v>
      </c>
      <c r="AF21" s="38" t="s">
        <v>197</v>
      </c>
      <c r="AG21" s="35">
        <f>IF(AND(Z21="EUR",N(AA21)&gt;5000000),"(Check currency – excluded)",IF(AND(ISNUMBER(AB21),ISNUMBER(AZ21),ISNUMBER(BA21)),IF(AND(BB21="Y",ISNUMBER('Assumptions &amp; FX Reference'!$I$15)),MAX(AB21*BA21/AZ21,'Assumptions &amp; FX Reference'!$I$13*BA21/'Assumptions &amp; FX Reference'!$I$15),AB21*BA21/AZ21),"(PPI/FX missing)"))</f>
        <v>144889.68645965232</v>
      </c>
      <c r="AH21" s="35">
        <f>IF(AND(ISNUMBER(AG21),ISNUMBER('Assumptions &amp; FX Reference'!$I$8),ISNUMBER('Assumptions &amp; FX Reference'!$I$11)),AG21*'Assumptions &amp; FX Reference'!$I$8/'Assumptions &amp; FX Reference'!$I$11,"")</f>
        <v>152972.07964586368</v>
      </c>
      <c r="AI21" s="35">
        <f>IF(AND(ISNUMBER(AG21),ISNUMBER('Assumptions &amp; FX Reference'!$I$8)),AG21*'Assumptions &amp; FX Reference'!$I$8,"")</f>
        <v>100737162525.42955</v>
      </c>
      <c r="AJ21" s="30" t="s">
        <v>357</v>
      </c>
      <c r="AK21" s="30" t="s">
        <v>358</v>
      </c>
      <c r="AL21" s="30" t="s">
        <v>119</v>
      </c>
      <c r="AM21" s="30" t="s">
        <v>119</v>
      </c>
      <c r="AN21" s="30" t="s">
        <v>119</v>
      </c>
      <c r="AO21" s="38" t="s">
        <v>305</v>
      </c>
      <c r="AP21" s="38" t="s">
        <v>305</v>
      </c>
      <c r="AQ21" s="38" t="s">
        <v>305</v>
      </c>
      <c r="AR21" s="30" t="s">
        <v>119</v>
      </c>
      <c r="AS21" s="33" t="str">
        <f t="shared" si="1"/>
        <v xml:space="preserve">Material missing; Seal missing; </v>
      </c>
      <c r="AT21" s="36">
        <f>IFERROR(INDEX(Factors_ROT!$F$5:$F$200,MATCH("MAT|"&amp;G21,Factors_ROT!$A$5:$A$200,0)),1)</f>
        <v>1</v>
      </c>
      <c r="AU21" s="36">
        <f>IFERROR(INDEX(Factors_ROT!$F$5:$F$200,MATCH("SEAL_ARR|"&amp;P21,Factors_ROT!$A$5:$A$200,0)),1)*IFERROR(INDEX(Factors_ROT!$F$5:$F$200,MATCH("SEAL_CAT|"&amp;Q21,Factors_ROT!$A$5:$A$200,0)),1)*IFERROR(INDEX(Factors_ROT!$F$5:$F$200,MATCH("SEAL_PLAN|"&amp;R21,Factors_ROT!$A$5:$A$200,0)),1)</f>
        <v>1</v>
      </c>
      <c r="AV21" s="36">
        <f>IFERROR(INDEX(Factors_ROT!$F$5:$F$200,MATCH("DRV|"&amp;S21,Factors_ROT!$A$5:$A$200,0)),1)*IFERROR(INDEX(Factors_ROT!$F$5:$F$200,MATCH("NACE|"&amp;O21,Factors_ROT!$A$5:$A$200,0)),1)</f>
        <v>1</v>
      </c>
      <c r="AW21" s="36">
        <f>IFERROR(INDEX(Factors_ROT!$F$5:$F$200,MATCH("SC_DRV|"&amp;AL21,Factors_ROT!$A$5:$A$200,0)),1)*IFERROR(INDEX(Factors_ROT!$F$5:$F$200,MATCH("SC_BSP|"&amp;AM21,Factors_ROT!$A$5:$A$200,0)),1)*IFERROR(INDEX(Factors_ROT!$F$5:$F$200,MATCH("SC_SEAL|"&amp;AN21,Factors_ROT!$A$5:$A$200,0)),1)*IFERROR(INDEX(Factors_ROT!$F$5:$F$200,MATCH("SC_COMM|"&amp;AO21,Factors_ROT!$A$5:$A$200,0)),1)*IFERROR(INDEX(Factors_ROT!$F$5:$F$200,MATCH("SC_2Y|"&amp;AP21,Factors_ROT!$A$5:$A$200,0)),1)*IFERROR(INDEX(Factors_ROT!$F$5:$F$200,MATCH("SC_TPI|"&amp;AQ21,Factors_ROT!$A$5:$A$200,0)),1)*IFERROR(INDEX(Factors_ROT!$F$5:$F$200,MATCH("SC_FAT|"&amp;AR21,Factors_ROT!$A$5:$A$200,0)),1)</f>
        <v>0.98</v>
      </c>
      <c r="AX21" s="36">
        <f t="shared" si="2"/>
        <v>0.98</v>
      </c>
      <c r="AY21" s="35">
        <f t="shared" si="3"/>
        <v>142857.14285714287</v>
      </c>
      <c r="AZ21" s="37">
        <f>IFERROR(IF(N(INDEX(Escalation_Index!$B$5:$B$25,MATCH(Y21,Escalation_Index!$A$5:$A$25,0)))&gt;0,INDEX(Escalation_Index!$B$5:$B$25,MATCH(Y21,Escalation_Index!$A$5:$A$25,0)),""),"")</f>
        <v>119.251</v>
      </c>
      <c r="BA21" s="37">
        <f>IF(ISNUMBER('Assumptions &amp; FX Reference'!$I$12),'Assumptions &amp; FX Reference'!$I$12,"")</f>
        <v>123.416</v>
      </c>
      <c r="BB21" s="33" t="str">
        <f t="shared" si="4"/>
        <v>N</v>
      </c>
      <c r="BC21" s="35">
        <f t="shared" si="5"/>
        <v>147846.61883637993</v>
      </c>
      <c r="BD21" s="35">
        <f>IF(AND(ISNUMBER(BC21),ISNUMBER(K21)),IF(K21&gt;0,BC21/K21^'Assumptions &amp; FX Reference'!$I$16,""),"")</f>
        <v>15225.025731988895</v>
      </c>
      <c r="BE21" s="30" t="s">
        <v>368</v>
      </c>
      <c r="BF21" s="30" t="s">
        <v>369</v>
      </c>
      <c r="BG21" s="30" t="s">
        <v>361</v>
      </c>
    </row>
    <row r="22" spans="1:59" ht="24" customHeight="1">
      <c r="A22" s="30">
        <v>18</v>
      </c>
      <c r="B22" s="30" t="s">
        <v>370</v>
      </c>
      <c r="C22" s="30" t="s">
        <v>353</v>
      </c>
      <c r="D22" s="30" t="s">
        <v>371</v>
      </c>
      <c r="E22" s="30" t="s">
        <v>44</v>
      </c>
      <c r="F22" s="30" t="s">
        <v>119</v>
      </c>
      <c r="G22" s="30" t="s">
        <v>119</v>
      </c>
      <c r="H22" s="31">
        <v>30</v>
      </c>
      <c r="I22" s="31"/>
      <c r="J22" s="31">
        <v>2.7</v>
      </c>
      <c r="K22" s="32">
        <f>IF(ISNUMBER(J22),J22,IF(AND(ISNUMBER(H22),ISNUMBER(I22)),H22*I22/(367*'Assumptions &amp; FX Reference'!$I$17),""))</f>
        <v>2.7</v>
      </c>
      <c r="L22" s="33" t="str">
        <f t="shared" si="0"/>
        <v>Not stated</v>
      </c>
      <c r="M22" s="30" t="s">
        <v>119</v>
      </c>
      <c r="N22" s="30" t="s">
        <v>296</v>
      </c>
      <c r="O22" s="30" t="s">
        <v>119</v>
      </c>
      <c r="P22" s="30" t="s">
        <v>119</v>
      </c>
      <c r="Q22" s="30" t="s">
        <v>119</v>
      </c>
      <c r="R22" s="30" t="s">
        <v>119</v>
      </c>
      <c r="S22" s="38" t="s">
        <v>297</v>
      </c>
      <c r="T22" s="30" t="s">
        <v>319</v>
      </c>
      <c r="U22" s="30">
        <v>2</v>
      </c>
      <c r="V22" s="38" t="s">
        <v>299</v>
      </c>
      <c r="W22" s="31">
        <v>3</v>
      </c>
      <c r="X22" s="30" t="s">
        <v>119</v>
      </c>
      <c r="Y22" s="38">
        <v>1402</v>
      </c>
      <c r="Z22" s="30" t="s">
        <v>355</v>
      </c>
      <c r="AA22" s="34">
        <v>34000</v>
      </c>
      <c r="AB22" s="35">
        <f>IF(NOT(ISNUMBER(AA22)),"(Not stated)",IF(NOT(ISNUMBER(Y22)),"(Cost year not stated)",IFERROR(IF(Z22="EUR",AA22,IF(Z22="IRR",AA22/INDEX('Assumptions &amp; FX Reference'!$C$5:$C$25,MATCH(Y22,'Assumptions &amp; FX Reference'!$A$5:$A$25,0)),IF(Z22="USD",AA22*INDEX('Assumptions &amp; FX Reference'!$B$5:$B$25,MATCH(Y22,'Assumptions &amp; FX Reference'!$A$5:$A$25,0))/INDEX('Assumptions &amp; FX Reference'!$C$5:$C$25,MATCH(Y22,'Assumptions &amp; FX Reference'!$A$5:$A$25,0)),"(Currency?)"))),"(FX rate missing)")))</f>
        <v>34000</v>
      </c>
      <c r="AC22" s="35">
        <f>IF(NOT(ISNUMBER(AA22)),"(Not stated)",IF(NOT(ISNUMBER(Y22)),"(Cost year not stated)",IFERROR(IF(Z22="USD",AA22,IF(Z22="IRR",AA22/INDEX('Assumptions &amp; FX Reference'!$B$5:$B$25,MATCH(Y22,'Assumptions &amp; FX Reference'!$A$5:$A$25,0)),IF(Z22="EUR",AA22*INDEX('Assumptions &amp; FX Reference'!$C$5:$C$25,MATCH(Y22,'Assumptions &amp; FX Reference'!$A$5:$A$25,0))/INDEX('Assumptions &amp; FX Reference'!$B$5:$B$25,MATCH(Y22,'Assumptions &amp; FX Reference'!$A$5:$A$25,0)),"(Currency?)"))),"(FX rate missing)")))</f>
        <v>42864.285714285717</v>
      </c>
      <c r="AD22" s="39">
        <f>IF(NOT(ISNUMBER(AA22)),"(Not stated)",IF(NOT(ISNUMBER(Y22)),"(Cost year not stated)",IFERROR(IF(Z22="IRR",AA22,IF(Z22="USD",AA22*INDEX('Assumptions &amp; FX Reference'!$B$5:$B$25,MATCH(Y22,'Assumptions &amp; FX Reference'!$A$5:$A$25,0)),IF(Z22="EUR",AA22*INDEX('Assumptions &amp; FX Reference'!$C$5:$C$25,MATCH(Y22,'Assumptions &amp; FX Reference'!$A$5:$A$25,0)),"(Currency?)"))),"(FX rate missing)")))</f>
        <v>18003000000</v>
      </c>
      <c r="AE22" s="30" t="s">
        <v>356</v>
      </c>
      <c r="AF22" s="38" t="s">
        <v>197</v>
      </c>
      <c r="AG22" s="35">
        <f>IF(AND(Z22="EUR",N(AA22)&gt;5000000),"(Check currency – excluded)",IF(AND(ISNUMBER(AB22),ISNUMBER(AZ22),ISNUMBER(BA22)),IF(AND(BB22="Y",ISNUMBER('Assumptions &amp; FX Reference'!$I$15)),MAX(AB22*BA22/AZ22,'Assumptions &amp; FX Reference'!$I$13*BA22/'Assumptions &amp; FX Reference'!$I$15),AB22*BA22/AZ22),"(PPI/FX missing)"))</f>
        <v>35187.495283058423</v>
      </c>
      <c r="AH22" s="35">
        <f>IF(AND(ISNUMBER(AG22),ISNUMBER('Assumptions &amp; FX Reference'!$I$8),ISNUMBER('Assumptions &amp; FX Reference'!$I$11)),AG22*'Assumptions &amp; FX Reference'!$I$8/'Assumptions &amp; FX Reference'!$I$11,"")</f>
        <v>37150.362199709758</v>
      </c>
      <c r="AI22" s="35">
        <f>IF(AND(ISNUMBER(AG22),ISNUMBER('Assumptions &amp; FX Reference'!$I$8)),AG22*'Assumptions &amp; FX Reference'!$I$8,"")</f>
        <v>24464739470.461464</v>
      </c>
      <c r="AJ22" s="30" t="s">
        <v>357</v>
      </c>
      <c r="AK22" s="30" t="s">
        <v>358</v>
      </c>
      <c r="AL22" s="30" t="s">
        <v>119</v>
      </c>
      <c r="AM22" s="30" t="s">
        <v>119</v>
      </c>
      <c r="AN22" s="30" t="s">
        <v>119</v>
      </c>
      <c r="AO22" s="38" t="s">
        <v>305</v>
      </c>
      <c r="AP22" s="38" t="s">
        <v>305</v>
      </c>
      <c r="AQ22" s="38" t="s">
        <v>305</v>
      </c>
      <c r="AR22" s="30" t="s">
        <v>119</v>
      </c>
      <c r="AS22" s="33" t="str">
        <f t="shared" si="1"/>
        <v xml:space="preserve">Material missing; Seal missing; </v>
      </c>
      <c r="AT22" s="36">
        <f>IFERROR(INDEX(Factors_ROT!$F$5:$F$200,MATCH("MAT|"&amp;G22,Factors_ROT!$A$5:$A$200,0)),1)</f>
        <v>1</v>
      </c>
      <c r="AU22" s="36">
        <f>IFERROR(INDEX(Factors_ROT!$F$5:$F$200,MATCH("SEAL_ARR|"&amp;P22,Factors_ROT!$A$5:$A$200,0)),1)*IFERROR(INDEX(Factors_ROT!$F$5:$F$200,MATCH("SEAL_CAT|"&amp;Q22,Factors_ROT!$A$5:$A$200,0)),1)*IFERROR(INDEX(Factors_ROT!$F$5:$F$200,MATCH("SEAL_PLAN|"&amp;R22,Factors_ROT!$A$5:$A$200,0)),1)</f>
        <v>1</v>
      </c>
      <c r="AV22" s="36">
        <f>IFERROR(INDEX(Factors_ROT!$F$5:$F$200,MATCH("DRV|"&amp;S22,Factors_ROT!$A$5:$A$200,0)),1)*IFERROR(INDEX(Factors_ROT!$F$5:$F$200,MATCH("NACE|"&amp;O22,Factors_ROT!$A$5:$A$200,0)),1)</f>
        <v>1</v>
      </c>
      <c r="AW22" s="36">
        <f>IFERROR(INDEX(Factors_ROT!$F$5:$F$200,MATCH("SC_DRV|"&amp;AL22,Factors_ROT!$A$5:$A$200,0)),1)*IFERROR(INDEX(Factors_ROT!$F$5:$F$200,MATCH("SC_BSP|"&amp;AM22,Factors_ROT!$A$5:$A$200,0)),1)*IFERROR(INDEX(Factors_ROT!$F$5:$F$200,MATCH("SC_SEAL|"&amp;AN22,Factors_ROT!$A$5:$A$200,0)),1)*IFERROR(INDEX(Factors_ROT!$F$5:$F$200,MATCH("SC_COMM|"&amp;AO22,Factors_ROT!$A$5:$A$200,0)),1)*IFERROR(INDEX(Factors_ROT!$F$5:$F$200,MATCH("SC_2Y|"&amp;AP22,Factors_ROT!$A$5:$A$200,0)),1)*IFERROR(INDEX(Factors_ROT!$F$5:$F$200,MATCH("SC_TPI|"&amp;AQ22,Factors_ROT!$A$5:$A$200,0)),1)*IFERROR(INDEX(Factors_ROT!$F$5:$F$200,MATCH("SC_FAT|"&amp;AR22,Factors_ROT!$A$5:$A$200,0)),1)</f>
        <v>0.98</v>
      </c>
      <c r="AX22" s="36">
        <f t="shared" si="2"/>
        <v>0.98</v>
      </c>
      <c r="AY22" s="35">
        <f t="shared" si="3"/>
        <v>34693.877551020407</v>
      </c>
      <c r="AZ22" s="37">
        <f>IFERROR(IF(N(INDEX(Escalation_Index!$B$5:$B$25,MATCH(Y22,Escalation_Index!$A$5:$A$25,0)))&gt;0,INDEX(Escalation_Index!$B$5:$B$25,MATCH(Y22,Escalation_Index!$A$5:$A$25,0)),""),"")</f>
        <v>119.251</v>
      </c>
      <c r="BA22" s="37">
        <f>IF(ISNUMBER('Assumptions &amp; FX Reference'!$I$12),'Assumptions &amp; FX Reference'!$I$12,"")</f>
        <v>123.416</v>
      </c>
      <c r="BB22" s="33" t="str">
        <f t="shared" si="4"/>
        <v>N</v>
      </c>
      <c r="BC22" s="35">
        <f t="shared" si="5"/>
        <v>35905.607431692268</v>
      </c>
      <c r="BD22" s="35">
        <f>IF(AND(ISNUMBER(BC22),ISNUMBER(K22)),IF(K22&gt;0,BC22/K22^'Assumptions &amp; FX Reference'!$I$16,""),"")</f>
        <v>19785.362870560053</v>
      </c>
      <c r="BE22" s="30" t="s">
        <v>372</v>
      </c>
      <c r="BF22" s="30" t="s">
        <v>373</v>
      </c>
      <c r="BG22" s="30" t="s">
        <v>361</v>
      </c>
    </row>
    <row r="23" spans="1:59" ht="24" customHeight="1">
      <c r="A23" s="30">
        <v>19</v>
      </c>
      <c r="B23" s="30" t="s">
        <v>374</v>
      </c>
      <c r="C23" s="30" t="s">
        <v>353</v>
      </c>
      <c r="D23" s="30" t="s">
        <v>375</v>
      </c>
      <c r="E23" s="30" t="s">
        <v>44</v>
      </c>
      <c r="F23" s="30" t="s">
        <v>119</v>
      </c>
      <c r="G23" s="30" t="s">
        <v>119</v>
      </c>
      <c r="H23" s="31">
        <v>40</v>
      </c>
      <c r="I23" s="31"/>
      <c r="J23" s="31">
        <v>12</v>
      </c>
      <c r="K23" s="32">
        <f>IF(ISNUMBER(J23),J23,IF(AND(ISNUMBER(H23),ISNUMBER(I23)),H23*I23/(367*'Assumptions &amp; FX Reference'!$I$17),""))</f>
        <v>12</v>
      </c>
      <c r="L23" s="33" t="str">
        <f t="shared" si="0"/>
        <v>Not stated</v>
      </c>
      <c r="M23" s="30" t="s">
        <v>119</v>
      </c>
      <c r="N23" s="30" t="s">
        <v>296</v>
      </c>
      <c r="O23" s="30" t="s">
        <v>119</v>
      </c>
      <c r="P23" s="30" t="s">
        <v>119</v>
      </c>
      <c r="Q23" s="30" t="s">
        <v>119</v>
      </c>
      <c r="R23" s="30" t="s">
        <v>119</v>
      </c>
      <c r="S23" s="38" t="s">
        <v>297</v>
      </c>
      <c r="T23" s="30" t="s">
        <v>319</v>
      </c>
      <c r="U23" s="30">
        <v>1</v>
      </c>
      <c r="V23" s="38" t="s">
        <v>299</v>
      </c>
      <c r="W23" s="31">
        <v>10.4</v>
      </c>
      <c r="X23" s="30" t="s">
        <v>119</v>
      </c>
      <c r="Y23" s="38">
        <v>1402</v>
      </c>
      <c r="Z23" s="30" t="s">
        <v>355</v>
      </c>
      <c r="AA23" s="34">
        <v>29000</v>
      </c>
      <c r="AB23" s="35">
        <f>IF(NOT(ISNUMBER(AA23)),"(Not stated)",IF(NOT(ISNUMBER(Y23)),"(Cost year not stated)",IFERROR(IF(Z23="EUR",AA23,IF(Z23="IRR",AA23/INDEX('Assumptions &amp; FX Reference'!$C$5:$C$25,MATCH(Y23,'Assumptions &amp; FX Reference'!$A$5:$A$25,0)),IF(Z23="USD",AA23*INDEX('Assumptions &amp; FX Reference'!$B$5:$B$25,MATCH(Y23,'Assumptions &amp; FX Reference'!$A$5:$A$25,0))/INDEX('Assumptions &amp; FX Reference'!$C$5:$C$25,MATCH(Y23,'Assumptions &amp; FX Reference'!$A$5:$A$25,0)),"(Currency?)"))),"(FX rate missing)")))</f>
        <v>29000</v>
      </c>
      <c r="AC23" s="35">
        <f>IF(NOT(ISNUMBER(AA23)),"(Not stated)",IF(NOT(ISNUMBER(Y23)),"(Cost year not stated)",IFERROR(IF(Z23="USD",AA23,IF(Z23="IRR",AA23/INDEX('Assumptions &amp; FX Reference'!$B$5:$B$25,MATCH(Y23,'Assumptions &amp; FX Reference'!$A$5:$A$25,0)),IF(Z23="EUR",AA23*INDEX('Assumptions &amp; FX Reference'!$C$5:$C$25,MATCH(Y23,'Assumptions &amp; FX Reference'!$A$5:$A$25,0))/INDEX('Assumptions &amp; FX Reference'!$B$5:$B$25,MATCH(Y23,'Assumptions &amp; FX Reference'!$A$5:$A$25,0)),"(Currency?)"))),"(FX rate missing)")))</f>
        <v>36560.714285714283</v>
      </c>
      <c r="AD23" s="39">
        <f>IF(NOT(ISNUMBER(AA23)),"(Not stated)",IF(NOT(ISNUMBER(Y23)),"(Cost year not stated)",IFERROR(IF(Z23="IRR",AA23,IF(Z23="USD",AA23*INDEX('Assumptions &amp; FX Reference'!$B$5:$B$25,MATCH(Y23,'Assumptions &amp; FX Reference'!$A$5:$A$25,0)),IF(Z23="EUR",AA23*INDEX('Assumptions &amp; FX Reference'!$C$5:$C$25,MATCH(Y23,'Assumptions &amp; FX Reference'!$A$5:$A$25,0)),"(Currency?)"))),"(FX rate missing)")))</f>
        <v>15355500000</v>
      </c>
      <c r="AE23" s="30" t="s">
        <v>356</v>
      </c>
      <c r="AF23" s="38" t="s">
        <v>197</v>
      </c>
      <c r="AG23" s="35">
        <f>IF(AND(Z23="EUR",N(AA23)&gt;5000000),"(Check currency – excluded)",IF(AND(ISNUMBER(AB23),ISNUMBER(AZ23),ISNUMBER(BA23)),IF(AND(BB23="Y",ISNUMBER('Assumptions &amp; FX Reference'!$I$15)),MAX(AB23*BA23/AZ23,'Assumptions &amp; FX Reference'!$I$13*BA23/'Assumptions &amp; FX Reference'!$I$15),AB23*BA23/AZ23),"(PPI/FX missing)"))</f>
        <v>30012.863623785124</v>
      </c>
      <c r="AH23" s="35">
        <f>IF(AND(ISNUMBER(AG23),ISNUMBER('Assumptions &amp; FX Reference'!$I$8),ISNUMBER('Assumptions &amp; FX Reference'!$I$11)),AG23*'Assumptions &amp; FX Reference'!$I$8/'Assumptions &amp; FX Reference'!$I$11,"")</f>
        <v>31687.073640928906</v>
      </c>
      <c r="AI23" s="35">
        <f>IF(AND(ISNUMBER(AG23),ISNUMBER('Assumptions &amp; FX Reference'!$I$8)),AG23*'Assumptions &amp; FX Reference'!$I$8,"")</f>
        <v>20866983665.981834</v>
      </c>
      <c r="AJ23" s="30" t="s">
        <v>357</v>
      </c>
      <c r="AK23" s="30" t="s">
        <v>358</v>
      </c>
      <c r="AL23" s="30" t="s">
        <v>119</v>
      </c>
      <c r="AM23" s="30" t="s">
        <v>119</v>
      </c>
      <c r="AN23" s="30" t="s">
        <v>119</v>
      </c>
      <c r="AO23" s="38" t="s">
        <v>305</v>
      </c>
      <c r="AP23" s="38" t="s">
        <v>305</v>
      </c>
      <c r="AQ23" s="38" t="s">
        <v>305</v>
      </c>
      <c r="AR23" s="30" t="s">
        <v>119</v>
      </c>
      <c r="AS23" s="33" t="str">
        <f t="shared" si="1"/>
        <v xml:space="preserve">Material missing; Seal missing; </v>
      </c>
      <c r="AT23" s="36">
        <f>IFERROR(INDEX(Factors_ROT!$F$5:$F$200,MATCH("MAT|"&amp;G23,Factors_ROT!$A$5:$A$200,0)),1)</f>
        <v>1</v>
      </c>
      <c r="AU23" s="36">
        <f>IFERROR(INDEX(Factors_ROT!$F$5:$F$200,MATCH("SEAL_ARR|"&amp;P23,Factors_ROT!$A$5:$A$200,0)),1)*IFERROR(INDEX(Factors_ROT!$F$5:$F$200,MATCH("SEAL_CAT|"&amp;Q23,Factors_ROT!$A$5:$A$200,0)),1)*IFERROR(INDEX(Factors_ROT!$F$5:$F$200,MATCH("SEAL_PLAN|"&amp;R23,Factors_ROT!$A$5:$A$200,0)),1)</f>
        <v>1</v>
      </c>
      <c r="AV23" s="36">
        <f>IFERROR(INDEX(Factors_ROT!$F$5:$F$200,MATCH("DRV|"&amp;S23,Factors_ROT!$A$5:$A$200,0)),1)*IFERROR(INDEX(Factors_ROT!$F$5:$F$200,MATCH("NACE|"&amp;O23,Factors_ROT!$A$5:$A$200,0)),1)</f>
        <v>1</v>
      </c>
      <c r="AW23" s="36">
        <f>IFERROR(INDEX(Factors_ROT!$F$5:$F$200,MATCH("SC_DRV|"&amp;AL23,Factors_ROT!$A$5:$A$200,0)),1)*IFERROR(INDEX(Factors_ROT!$F$5:$F$200,MATCH("SC_BSP|"&amp;AM23,Factors_ROT!$A$5:$A$200,0)),1)*IFERROR(INDEX(Factors_ROT!$F$5:$F$200,MATCH("SC_SEAL|"&amp;AN23,Factors_ROT!$A$5:$A$200,0)),1)*IFERROR(INDEX(Factors_ROT!$F$5:$F$200,MATCH("SC_COMM|"&amp;AO23,Factors_ROT!$A$5:$A$200,0)),1)*IFERROR(INDEX(Factors_ROT!$F$5:$F$200,MATCH("SC_2Y|"&amp;AP23,Factors_ROT!$A$5:$A$200,0)),1)*IFERROR(INDEX(Factors_ROT!$F$5:$F$200,MATCH("SC_TPI|"&amp;AQ23,Factors_ROT!$A$5:$A$200,0)),1)*IFERROR(INDEX(Factors_ROT!$F$5:$F$200,MATCH("SC_FAT|"&amp;AR23,Factors_ROT!$A$5:$A$200,0)),1)</f>
        <v>0.98</v>
      </c>
      <c r="AX23" s="36">
        <f t="shared" si="2"/>
        <v>0.98</v>
      </c>
      <c r="AY23" s="35">
        <f t="shared" si="3"/>
        <v>29591.836734693879</v>
      </c>
      <c r="AZ23" s="37">
        <f>IFERROR(IF(N(INDEX(Escalation_Index!$B$5:$B$25,MATCH(Y23,Escalation_Index!$A$5:$A$25,0)))&gt;0,INDEX(Escalation_Index!$B$5:$B$25,MATCH(Y23,Escalation_Index!$A$5:$A$25,0)),""),"")</f>
        <v>119.251</v>
      </c>
      <c r="BA23" s="37">
        <f>IF(ISNUMBER('Assumptions &amp; FX Reference'!$I$12),'Assumptions &amp; FX Reference'!$I$12,"")</f>
        <v>123.416</v>
      </c>
      <c r="BB23" s="33" t="str">
        <f t="shared" si="4"/>
        <v>N</v>
      </c>
      <c r="BC23" s="35">
        <f t="shared" si="5"/>
        <v>30625.371044678697</v>
      </c>
      <c r="BD23" s="35">
        <f>IF(AND(ISNUMBER(BC23),ISNUMBER(K23)),IF(K23&gt;0,BC23/K23^'Assumptions &amp; FX Reference'!$I$16,""),"")</f>
        <v>6895.6087410378686</v>
      </c>
      <c r="BE23" s="30" t="s">
        <v>376</v>
      </c>
      <c r="BF23" s="30" t="s">
        <v>377</v>
      </c>
      <c r="BG23" s="30" t="s">
        <v>361</v>
      </c>
    </row>
    <row r="24" spans="1:59" ht="24" customHeight="1">
      <c r="A24" s="30">
        <v>20</v>
      </c>
      <c r="B24" s="30" t="s">
        <v>374</v>
      </c>
      <c r="C24" s="30" t="s">
        <v>353</v>
      </c>
      <c r="D24" s="30" t="s">
        <v>378</v>
      </c>
      <c r="E24" s="30" t="s">
        <v>44</v>
      </c>
      <c r="F24" s="30" t="s">
        <v>119</v>
      </c>
      <c r="G24" s="30" t="s">
        <v>119</v>
      </c>
      <c r="H24" s="31">
        <v>20</v>
      </c>
      <c r="I24" s="31"/>
      <c r="J24" s="31">
        <v>6</v>
      </c>
      <c r="K24" s="32">
        <f>IF(ISNUMBER(J24),J24,IF(AND(ISNUMBER(H24),ISNUMBER(I24)),H24*I24/(367*'Assumptions &amp; FX Reference'!$I$17),""))</f>
        <v>6</v>
      </c>
      <c r="L24" s="33" t="str">
        <f t="shared" si="0"/>
        <v>Not stated</v>
      </c>
      <c r="M24" s="30" t="s">
        <v>119</v>
      </c>
      <c r="N24" s="30" t="s">
        <v>296</v>
      </c>
      <c r="O24" s="30" t="s">
        <v>119</v>
      </c>
      <c r="P24" s="30" t="s">
        <v>119</v>
      </c>
      <c r="Q24" s="30" t="s">
        <v>119</v>
      </c>
      <c r="R24" s="30" t="s">
        <v>119</v>
      </c>
      <c r="S24" s="38" t="s">
        <v>297</v>
      </c>
      <c r="T24" s="30" t="s">
        <v>319</v>
      </c>
      <c r="U24" s="30">
        <v>2</v>
      </c>
      <c r="V24" s="38" t="s">
        <v>299</v>
      </c>
      <c r="W24" s="31">
        <v>10.4</v>
      </c>
      <c r="X24" s="30" t="s">
        <v>119</v>
      </c>
      <c r="Y24" s="38">
        <v>1402</v>
      </c>
      <c r="Z24" s="30" t="s">
        <v>355</v>
      </c>
      <c r="AA24" s="34">
        <v>27500</v>
      </c>
      <c r="AB24" s="35">
        <f>IF(NOT(ISNUMBER(AA24)),"(Not stated)",IF(NOT(ISNUMBER(Y24)),"(Cost year not stated)",IFERROR(IF(Z24="EUR",AA24,IF(Z24="IRR",AA24/INDEX('Assumptions &amp; FX Reference'!$C$5:$C$25,MATCH(Y24,'Assumptions &amp; FX Reference'!$A$5:$A$25,0)),IF(Z24="USD",AA24*INDEX('Assumptions &amp; FX Reference'!$B$5:$B$25,MATCH(Y24,'Assumptions &amp; FX Reference'!$A$5:$A$25,0))/INDEX('Assumptions &amp; FX Reference'!$C$5:$C$25,MATCH(Y24,'Assumptions &amp; FX Reference'!$A$5:$A$25,0)),"(Currency?)"))),"(FX rate missing)")))</f>
        <v>27500</v>
      </c>
      <c r="AC24" s="35">
        <f>IF(NOT(ISNUMBER(AA24)),"(Not stated)",IF(NOT(ISNUMBER(Y24)),"(Cost year not stated)",IFERROR(IF(Z24="USD",AA24,IF(Z24="IRR",AA24/INDEX('Assumptions &amp; FX Reference'!$B$5:$B$25,MATCH(Y24,'Assumptions &amp; FX Reference'!$A$5:$A$25,0)),IF(Z24="EUR",AA24*INDEX('Assumptions &amp; FX Reference'!$C$5:$C$25,MATCH(Y24,'Assumptions &amp; FX Reference'!$A$5:$A$25,0))/INDEX('Assumptions &amp; FX Reference'!$B$5:$B$25,MATCH(Y24,'Assumptions &amp; FX Reference'!$A$5:$A$25,0)),"(Currency?)"))),"(FX rate missing)")))</f>
        <v>34669.642857142855</v>
      </c>
      <c r="AD24" s="39">
        <f>IF(NOT(ISNUMBER(AA24)),"(Not stated)",IF(NOT(ISNUMBER(Y24)),"(Cost year not stated)",IFERROR(IF(Z24="IRR",AA24,IF(Z24="USD",AA24*INDEX('Assumptions &amp; FX Reference'!$B$5:$B$25,MATCH(Y24,'Assumptions &amp; FX Reference'!$A$5:$A$25,0)),IF(Z24="EUR",AA24*INDEX('Assumptions &amp; FX Reference'!$C$5:$C$25,MATCH(Y24,'Assumptions &amp; FX Reference'!$A$5:$A$25,0)),"(Currency?)"))),"(FX rate missing)")))</f>
        <v>14561250000</v>
      </c>
      <c r="AE24" s="30" t="s">
        <v>356</v>
      </c>
      <c r="AF24" s="38" t="s">
        <v>197</v>
      </c>
      <c r="AG24" s="35">
        <f>IF(AND(Z24="EUR",N(AA24)&gt;5000000),"(Check currency – excluded)",IF(AND(ISNUMBER(AB24),ISNUMBER(AZ24),ISNUMBER(BA24)),IF(AND(BB24="Y",ISNUMBER('Assumptions &amp; FX Reference'!$I$15)),MAX(AB24*BA24/AZ24,'Assumptions &amp; FX Reference'!$I$13*BA24/'Assumptions &amp; FX Reference'!$I$15),AB24*BA24/AZ24),"(PPI/FX missing)"))</f>
        <v>28460.474126003137</v>
      </c>
      <c r="AH24" s="35">
        <f>IF(AND(ISNUMBER(AG24),ISNUMBER('Assumptions &amp; FX Reference'!$I$8),ISNUMBER('Assumptions &amp; FX Reference'!$I$11)),AG24*'Assumptions &amp; FX Reference'!$I$8/'Assumptions &amp; FX Reference'!$I$11,"")</f>
        <v>30048.087073294657</v>
      </c>
      <c r="AI24" s="35">
        <f>IF(AND(ISNUMBER(AG24),ISNUMBER('Assumptions &amp; FX Reference'!$I$8)),AG24*'Assumptions &amp; FX Reference'!$I$8,"")</f>
        <v>19787656924.637951</v>
      </c>
      <c r="AJ24" s="30" t="s">
        <v>357</v>
      </c>
      <c r="AK24" s="30" t="s">
        <v>358</v>
      </c>
      <c r="AL24" s="30" t="s">
        <v>119</v>
      </c>
      <c r="AM24" s="30" t="s">
        <v>119</v>
      </c>
      <c r="AN24" s="30" t="s">
        <v>119</v>
      </c>
      <c r="AO24" s="38" t="s">
        <v>305</v>
      </c>
      <c r="AP24" s="38" t="s">
        <v>305</v>
      </c>
      <c r="AQ24" s="38" t="s">
        <v>305</v>
      </c>
      <c r="AR24" s="30" t="s">
        <v>119</v>
      </c>
      <c r="AS24" s="33" t="str">
        <f t="shared" si="1"/>
        <v xml:space="preserve">Material missing; Seal missing; </v>
      </c>
      <c r="AT24" s="36">
        <f>IFERROR(INDEX(Factors_ROT!$F$5:$F$200,MATCH("MAT|"&amp;G24,Factors_ROT!$A$5:$A$200,0)),1)</f>
        <v>1</v>
      </c>
      <c r="AU24" s="36">
        <f>IFERROR(INDEX(Factors_ROT!$F$5:$F$200,MATCH("SEAL_ARR|"&amp;P24,Factors_ROT!$A$5:$A$200,0)),1)*IFERROR(INDEX(Factors_ROT!$F$5:$F$200,MATCH("SEAL_CAT|"&amp;Q24,Factors_ROT!$A$5:$A$200,0)),1)*IFERROR(INDEX(Factors_ROT!$F$5:$F$200,MATCH("SEAL_PLAN|"&amp;R24,Factors_ROT!$A$5:$A$200,0)),1)</f>
        <v>1</v>
      </c>
      <c r="AV24" s="36">
        <f>IFERROR(INDEX(Factors_ROT!$F$5:$F$200,MATCH("DRV|"&amp;S24,Factors_ROT!$A$5:$A$200,0)),1)*IFERROR(INDEX(Factors_ROT!$F$5:$F$200,MATCH("NACE|"&amp;O24,Factors_ROT!$A$5:$A$200,0)),1)</f>
        <v>1</v>
      </c>
      <c r="AW24" s="36">
        <f>IFERROR(INDEX(Factors_ROT!$F$5:$F$200,MATCH("SC_DRV|"&amp;AL24,Factors_ROT!$A$5:$A$200,0)),1)*IFERROR(INDEX(Factors_ROT!$F$5:$F$200,MATCH("SC_BSP|"&amp;AM24,Factors_ROT!$A$5:$A$200,0)),1)*IFERROR(INDEX(Factors_ROT!$F$5:$F$200,MATCH("SC_SEAL|"&amp;AN24,Factors_ROT!$A$5:$A$200,0)),1)*IFERROR(INDEX(Factors_ROT!$F$5:$F$200,MATCH("SC_COMM|"&amp;AO24,Factors_ROT!$A$5:$A$200,0)),1)*IFERROR(INDEX(Factors_ROT!$F$5:$F$200,MATCH("SC_2Y|"&amp;AP24,Factors_ROT!$A$5:$A$200,0)),1)*IFERROR(INDEX(Factors_ROT!$F$5:$F$200,MATCH("SC_TPI|"&amp;AQ24,Factors_ROT!$A$5:$A$200,0)),1)*IFERROR(INDEX(Factors_ROT!$F$5:$F$200,MATCH("SC_FAT|"&amp;AR24,Factors_ROT!$A$5:$A$200,0)),1)</f>
        <v>0.98</v>
      </c>
      <c r="AX24" s="36">
        <f t="shared" si="2"/>
        <v>0.98</v>
      </c>
      <c r="AY24" s="35">
        <f t="shared" si="3"/>
        <v>28061.224489795917</v>
      </c>
      <c r="AZ24" s="37">
        <f>IFERROR(IF(N(INDEX(Escalation_Index!$B$5:$B$25,MATCH(Y24,Escalation_Index!$A$5:$A$25,0)))&gt;0,INDEX(Escalation_Index!$B$5:$B$25,MATCH(Y24,Escalation_Index!$A$5:$A$25,0)),""),"")</f>
        <v>119.251</v>
      </c>
      <c r="BA24" s="37">
        <f>IF(ISNUMBER('Assumptions &amp; FX Reference'!$I$12),'Assumptions &amp; FX Reference'!$I$12,"")</f>
        <v>123.416</v>
      </c>
      <c r="BB24" s="33" t="str">
        <f t="shared" si="4"/>
        <v>N</v>
      </c>
      <c r="BC24" s="35">
        <f t="shared" si="5"/>
        <v>29041.300128574629</v>
      </c>
      <c r="BD24" s="35">
        <f>IF(AND(ISNUMBER(BC24),ISNUMBER(K24)),IF(K24&gt;0,BC24/K24^'Assumptions &amp; FX Reference'!$I$16,""),"")</f>
        <v>9911.178659880612</v>
      </c>
      <c r="BE24" s="30" t="s">
        <v>379</v>
      </c>
      <c r="BF24" s="30" t="s">
        <v>380</v>
      </c>
      <c r="BG24" s="30" t="s">
        <v>361</v>
      </c>
    </row>
    <row r="25" spans="1:59" ht="24" customHeight="1">
      <c r="A25" s="30">
        <v>21</v>
      </c>
      <c r="B25" s="30" t="s">
        <v>381</v>
      </c>
      <c r="C25" s="30" t="s">
        <v>353</v>
      </c>
      <c r="D25" s="30" t="s">
        <v>382</v>
      </c>
      <c r="E25" s="30" t="s">
        <v>44</v>
      </c>
      <c r="F25" s="30" t="s">
        <v>119</v>
      </c>
      <c r="G25" s="30" t="s">
        <v>119</v>
      </c>
      <c r="H25" s="31">
        <v>20</v>
      </c>
      <c r="I25" s="31"/>
      <c r="J25" s="31">
        <v>1.35</v>
      </c>
      <c r="K25" s="32">
        <f>IF(ISNUMBER(J25),J25,IF(AND(ISNUMBER(H25),ISNUMBER(I25)),H25*I25/(367*'Assumptions &amp; FX Reference'!$I$17),""))</f>
        <v>1.35</v>
      </c>
      <c r="L25" s="33" t="str">
        <f t="shared" si="0"/>
        <v>Not stated</v>
      </c>
      <c r="M25" s="30" t="s">
        <v>119</v>
      </c>
      <c r="N25" s="30" t="s">
        <v>296</v>
      </c>
      <c r="O25" s="30" t="s">
        <v>119</v>
      </c>
      <c r="P25" s="30" t="s">
        <v>119</v>
      </c>
      <c r="Q25" s="30" t="s">
        <v>119</v>
      </c>
      <c r="R25" s="30" t="s">
        <v>119</v>
      </c>
      <c r="S25" s="38" t="s">
        <v>297</v>
      </c>
      <c r="T25" s="30" t="s">
        <v>383</v>
      </c>
      <c r="U25" s="30">
        <v>2</v>
      </c>
      <c r="V25" s="38" t="s">
        <v>299</v>
      </c>
      <c r="W25" s="31">
        <v>2.4</v>
      </c>
      <c r="X25" s="30" t="s">
        <v>119</v>
      </c>
      <c r="Y25" s="38">
        <v>1402</v>
      </c>
      <c r="Z25" s="30" t="s">
        <v>355</v>
      </c>
      <c r="AA25" s="34">
        <v>15000</v>
      </c>
      <c r="AB25" s="35">
        <f>IF(NOT(ISNUMBER(AA25)),"(Not stated)",IF(NOT(ISNUMBER(Y25)),"(Cost year not stated)",IFERROR(IF(Z25="EUR",AA25,IF(Z25="IRR",AA25/INDEX('Assumptions &amp; FX Reference'!$C$5:$C$25,MATCH(Y25,'Assumptions &amp; FX Reference'!$A$5:$A$25,0)),IF(Z25="USD",AA25*INDEX('Assumptions &amp; FX Reference'!$B$5:$B$25,MATCH(Y25,'Assumptions &amp; FX Reference'!$A$5:$A$25,0))/INDEX('Assumptions &amp; FX Reference'!$C$5:$C$25,MATCH(Y25,'Assumptions &amp; FX Reference'!$A$5:$A$25,0)),"(Currency?)"))),"(FX rate missing)")))</f>
        <v>15000</v>
      </c>
      <c r="AC25" s="35">
        <f>IF(NOT(ISNUMBER(AA25)),"(Not stated)",IF(NOT(ISNUMBER(Y25)),"(Cost year not stated)",IFERROR(IF(Z25="USD",AA25,IF(Z25="IRR",AA25/INDEX('Assumptions &amp; FX Reference'!$B$5:$B$25,MATCH(Y25,'Assumptions &amp; FX Reference'!$A$5:$A$25,0)),IF(Z25="EUR",AA25*INDEX('Assumptions &amp; FX Reference'!$C$5:$C$25,MATCH(Y25,'Assumptions &amp; FX Reference'!$A$5:$A$25,0))/INDEX('Assumptions &amp; FX Reference'!$B$5:$B$25,MATCH(Y25,'Assumptions &amp; FX Reference'!$A$5:$A$25,0)),"(Currency?)"))),"(FX rate missing)")))</f>
        <v>18910.714285714286</v>
      </c>
      <c r="AD25" s="39">
        <f>IF(NOT(ISNUMBER(AA25)),"(Not stated)",IF(NOT(ISNUMBER(Y25)),"(Cost year not stated)",IFERROR(IF(Z25="IRR",AA25,IF(Z25="USD",AA25*INDEX('Assumptions &amp; FX Reference'!$B$5:$B$25,MATCH(Y25,'Assumptions &amp; FX Reference'!$A$5:$A$25,0)),IF(Z25="EUR",AA25*INDEX('Assumptions &amp; FX Reference'!$C$5:$C$25,MATCH(Y25,'Assumptions &amp; FX Reference'!$A$5:$A$25,0)),"(Currency?)"))),"(FX rate missing)")))</f>
        <v>7942500000</v>
      </c>
      <c r="AE25" s="30" t="s">
        <v>356</v>
      </c>
      <c r="AF25" s="38" t="s">
        <v>197</v>
      </c>
      <c r="AG25" s="35">
        <f>IF(AND(Z25="EUR",N(AA25)&gt;5000000),"(Check currency – excluded)",IF(AND(ISNUMBER(AB25),ISNUMBER(AZ25),ISNUMBER(BA25)),IF(AND(BB25="Y",ISNUMBER('Assumptions &amp; FX Reference'!$I$15)),MAX(AB25*BA25/AZ25,'Assumptions &amp; FX Reference'!$I$13*BA25/'Assumptions &amp; FX Reference'!$I$15),AB25*BA25/AZ25),"(PPI/FX missing)"))</f>
        <v>15523.894977819891</v>
      </c>
      <c r="AH25" s="35">
        <f>IF(AND(ISNUMBER(AG25),ISNUMBER('Assumptions &amp; FX Reference'!$I$8),ISNUMBER('Assumptions &amp; FX Reference'!$I$11)),AG25*'Assumptions &amp; FX Reference'!$I$8/'Assumptions &amp; FX Reference'!$I$11,"")</f>
        <v>16389.865676342539</v>
      </c>
      <c r="AI25" s="35">
        <f>IF(AND(ISNUMBER(AG25),ISNUMBER('Assumptions &amp; FX Reference'!$I$8)),AG25*'Assumptions &amp; FX Reference'!$I$8,"")</f>
        <v>10793267413.438881</v>
      </c>
      <c r="AJ25" s="30" t="s">
        <v>357</v>
      </c>
      <c r="AK25" s="30" t="s">
        <v>358</v>
      </c>
      <c r="AL25" s="30" t="s">
        <v>119</v>
      </c>
      <c r="AM25" s="30" t="s">
        <v>119</v>
      </c>
      <c r="AN25" s="30" t="s">
        <v>119</v>
      </c>
      <c r="AO25" s="38" t="s">
        <v>305</v>
      </c>
      <c r="AP25" s="38" t="s">
        <v>305</v>
      </c>
      <c r="AQ25" s="38" t="s">
        <v>305</v>
      </c>
      <c r="AR25" s="30" t="s">
        <v>119</v>
      </c>
      <c r="AS25" s="33" t="str">
        <f t="shared" si="1"/>
        <v xml:space="preserve">Material missing; Seal missing; </v>
      </c>
      <c r="AT25" s="36">
        <f>IFERROR(INDEX(Factors_ROT!$F$5:$F$200,MATCH("MAT|"&amp;G25,Factors_ROT!$A$5:$A$200,0)),1)</f>
        <v>1</v>
      </c>
      <c r="AU25" s="36">
        <f>IFERROR(INDEX(Factors_ROT!$F$5:$F$200,MATCH("SEAL_ARR|"&amp;P25,Factors_ROT!$A$5:$A$200,0)),1)*IFERROR(INDEX(Factors_ROT!$F$5:$F$200,MATCH("SEAL_CAT|"&amp;Q25,Factors_ROT!$A$5:$A$200,0)),1)*IFERROR(INDEX(Factors_ROT!$F$5:$F$200,MATCH("SEAL_PLAN|"&amp;R25,Factors_ROT!$A$5:$A$200,0)),1)</f>
        <v>1</v>
      </c>
      <c r="AV25" s="36">
        <f>IFERROR(INDEX(Factors_ROT!$F$5:$F$200,MATCH("DRV|"&amp;S25,Factors_ROT!$A$5:$A$200,0)),1)*IFERROR(INDEX(Factors_ROT!$F$5:$F$200,MATCH("NACE|"&amp;O25,Factors_ROT!$A$5:$A$200,0)),1)</f>
        <v>1</v>
      </c>
      <c r="AW25" s="36">
        <f>IFERROR(INDEX(Factors_ROT!$F$5:$F$200,MATCH("SC_DRV|"&amp;AL25,Factors_ROT!$A$5:$A$200,0)),1)*IFERROR(INDEX(Factors_ROT!$F$5:$F$200,MATCH("SC_BSP|"&amp;AM25,Factors_ROT!$A$5:$A$200,0)),1)*IFERROR(INDEX(Factors_ROT!$F$5:$F$200,MATCH("SC_SEAL|"&amp;AN25,Factors_ROT!$A$5:$A$200,0)),1)*IFERROR(INDEX(Factors_ROT!$F$5:$F$200,MATCH("SC_COMM|"&amp;AO25,Factors_ROT!$A$5:$A$200,0)),1)*IFERROR(INDEX(Factors_ROT!$F$5:$F$200,MATCH("SC_2Y|"&amp;AP25,Factors_ROT!$A$5:$A$200,0)),1)*IFERROR(INDEX(Factors_ROT!$F$5:$F$200,MATCH("SC_TPI|"&amp;AQ25,Factors_ROT!$A$5:$A$200,0)),1)*IFERROR(INDEX(Factors_ROT!$F$5:$F$200,MATCH("SC_FAT|"&amp;AR25,Factors_ROT!$A$5:$A$200,0)),1)</f>
        <v>0.98</v>
      </c>
      <c r="AX25" s="36">
        <f t="shared" si="2"/>
        <v>0.98</v>
      </c>
      <c r="AY25" s="35">
        <f t="shared" si="3"/>
        <v>15306.122448979591</v>
      </c>
      <c r="AZ25" s="37">
        <f>IFERROR(IF(N(INDEX(Escalation_Index!$B$5:$B$25,MATCH(Y25,Escalation_Index!$A$5:$A$25,0)))&gt;0,INDEX(Escalation_Index!$B$5:$B$25,MATCH(Y25,Escalation_Index!$A$5:$A$25,0)),""),"")</f>
        <v>119.251</v>
      </c>
      <c r="BA25" s="37">
        <f>IF(ISNUMBER('Assumptions &amp; FX Reference'!$I$12),'Assumptions &amp; FX Reference'!$I$12,"")</f>
        <v>123.416</v>
      </c>
      <c r="BB25" s="33" t="str">
        <f t="shared" si="4"/>
        <v>N</v>
      </c>
      <c r="BC25" s="35">
        <f t="shared" si="5"/>
        <v>15840.709161040706</v>
      </c>
      <c r="BD25" s="35">
        <f>IF(AND(ISNUMBER(BC25),ISNUMBER(K25)),IF(K25&gt;0,BC25/K25^'Assumptions &amp; FX Reference'!$I$16,""),"")</f>
        <v>13230.442181173939</v>
      </c>
      <c r="BE25" s="30" t="s">
        <v>384</v>
      </c>
      <c r="BF25" s="30" t="s">
        <v>385</v>
      </c>
      <c r="BG25" s="30" t="s">
        <v>361</v>
      </c>
    </row>
    <row r="26" spans="1:59" ht="24" customHeight="1">
      <c r="A26" s="30">
        <v>22</v>
      </c>
      <c r="B26" s="30" t="s">
        <v>381</v>
      </c>
      <c r="C26" s="30" t="s">
        <v>353</v>
      </c>
      <c r="D26" s="30" t="s">
        <v>386</v>
      </c>
      <c r="E26" s="30" t="s">
        <v>44</v>
      </c>
      <c r="F26" s="30" t="s">
        <v>119</v>
      </c>
      <c r="G26" s="30" t="s">
        <v>119</v>
      </c>
      <c r="H26" s="31">
        <v>40</v>
      </c>
      <c r="I26" s="31"/>
      <c r="J26" s="31">
        <v>2.7</v>
      </c>
      <c r="K26" s="32">
        <f>IF(ISNUMBER(J26),J26,IF(AND(ISNUMBER(H26),ISNUMBER(I26)),H26*I26/(367*'Assumptions &amp; FX Reference'!$I$17),""))</f>
        <v>2.7</v>
      </c>
      <c r="L26" s="33" t="str">
        <f t="shared" si="0"/>
        <v>Not stated</v>
      </c>
      <c r="M26" s="30" t="s">
        <v>119</v>
      </c>
      <c r="N26" s="30" t="s">
        <v>296</v>
      </c>
      <c r="O26" s="30" t="s">
        <v>119</v>
      </c>
      <c r="P26" s="30" t="s">
        <v>119</v>
      </c>
      <c r="Q26" s="30" t="s">
        <v>119</v>
      </c>
      <c r="R26" s="30" t="s">
        <v>119</v>
      </c>
      <c r="S26" s="38" t="s">
        <v>297</v>
      </c>
      <c r="T26" s="30" t="s">
        <v>383</v>
      </c>
      <c r="U26" s="30">
        <v>1</v>
      </c>
      <c r="V26" s="38" t="s">
        <v>299</v>
      </c>
      <c r="W26" s="31">
        <v>2.4</v>
      </c>
      <c r="X26" s="30" t="s">
        <v>119</v>
      </c>
      <c r="Y26" s="38">
        <v>1402</v>
      </c>
      <c r="Z26" s="30" t="s">
        <v>355</v>
      </c>
      <c r="AA26" s="34">
        <v>17000</v>
      </c>
      <c r="AB26" s="35">
        <f>IF(NOT(ISNUMBER(AA26)),"(Not stated)",IF(NOT(ISNUMBER(Y26)),"(Cost year not stated)",IFERROR(IF(Z26="EUR",AA26,IF(Z26="IRR",AA26/INDEX('Assumptions &amp; FX Reference'!$C$5:$C$25,MATCH(Y26,'Assumptions &amp; FX Reference'!$A$5:$A$25,0)),IF(Z26="USD",AA26*INDEX('Assumptions &amp; FX Reference'!$B$5:$B$25,MATCH(Y26,'Assumptions &amp; FX Reference'!$A$5:$A$25,0))/INDEX('Assumptions &amp; FX Reference'!$C$5:$C$25,MATCH(Y26,'Assumptions &amp; FX Reference'!$A$5:$A$25,0)),"(Currency?)"))),"(FX rate missing)")))</f>
        <v>17000</v>
      </c>
      <c r="AC26" s="35">
        <f>IF(NOT(ISNUMBER(AA26)),"(Not stated)",IF(NOT(ISNUMBER(Y26)),"(Cost year not stated)",IFERROR(IF(Z26="USD",AA26,IF(Z26="IRR",AA26/INDEX('Assumptions &amp; FX Reference'!$B$5:$B$25,MATCH(Y26,'Assumptions &amp; FX Reference'!$A$5:$A$25,0)),IF(Z26="EUR",AA26*INDEX('Assumptions &amp; FX Reference'!$C$5:$C$25,MATCH(Y26,'Assumptions &amp; FX Reference'!$A$5:$A$25,0))/INDEX('Assumptions &amp; FX Reference'!$B$5:$B$25,MATCH(Y26,'Assumptions &amp; FX Reference'!$A$5:$A$25,0)),"(Currency?)"))),"(FX rate missing)")))</f>
        <v>21432.142857142859</v>
      </c>
      <c r="AD26" s="39">
        <f>IF(NOT(ISNUMBER(AA26)),"(Not stated)",IF(NOT(ISNUMBER(Y26)),"(Cost year not stated)",IFERROR(IF(Z26="IRR",AA26,IF(Z26="USD",AA26*INDEX('Assumptions &amp; FX Reference'!$B$5:$B$25,MATCH(Y26,'Assumptions &amp; FX Reference'!$A$5:$A$25,0)),IF(Z26="EUR",AA26*INDEX('Assumptions &amp; FX Reference'!$C$5:$C$25,MATCH(Y26,'Assumptions &amp; FX Reference'!$A$5:$A$25,0)),"(Currency?)"))),"(FX rate missing)")))</f>
        <v>9001500000</v>
      </c>
      <c r="AE26" s="30" t="s">
        <v>356</v>
      </c>
      <c r="AF26" s="38" t="s">
        <v>197</v>
      </c>
      <c r="AG26" s="35">
        <f>IF(AND(Z26="EUR",N(AA26)&gt;5000000),"(Check currency – excluded)",IF(AND(ISNUMBER(AB26),ISNUMBER(AZ26),ISNUMBER(BA26)),IF(AND(BB26="Y",ISNUMBER('Assumptions &amp; FX Reference'!$I$15)),MAX(AB26*BA26/AZ26,'Assumptions &amp; FX Reference'!$I$13*BA26/'Assumptions &amp; FX Reference'!$I$15),AB26*BA26/AZ26),"(PPI/FX missing)"))</f>
        <v>17593.747641529211</v>
      </c>
      <c r="AH26" s="35">
        <f>IF(AND(ISNUMBER(AG26),ISNUMBER('Assumptions &amp; FX Reference'!$I$8),ISNUMBER('Assumptions &amp; FX Reference'!$I$11)),AG26*'Assumptions &amp; FX Reference'!$I$8/'Assumptions &amp; FX Reference'!$I$11,"")</f>
        <v>18575.181099854879</v>
      </c>
      <c r="AI26" s="35">
        <f>IF(AND(ISNUMBER(AG26),ISNUMBER('Assumptions &amp; FX Reference'!$I$8)),AG26*'Assumptions &amp; FX Reference'!$I$8,"")</f>
        <v>12232369735.230732</v>
      </c>
      <c r="AJ26" s="30" t="s">
        <v>357</v>
      </c>
      <c r="AK26" s="30" t="s">
        <v>358</v>
      </c>
      <c r="AL26" s="30" t="s">
        <v>119</v>
      </c>
      <c r="AM26" s="30" t="s">
        <v>119</v>
      </c>
      <c r="AN26" s="30" t="s">
        <v>119</v>
      </c>
      <c r="AO26" s="38" t="s">
        <v>305</v>
      </c>
      <c r="AP26" s="38" t="s">
        <v>305</v>
      </c>
      <c r="AQ26" s="38" t="s">
        <v>305</v>
      </c>
      <c r="AR26" s="30" t="s">
        <v>119</v>
      </c>
      <c r="AS26" s="33" t="str">
        <f t="shared" si="1"/>
        <v xml:space="preserve">Material missing; Seal missing; </v>
      </c>
      <c r="AT26" s="36">
        <f>IFERROR(INDEX(Factors_ROT!$F$5:$F$200,MATCH("MAT|"&amp;G26,Factors_ROT!$A$5:$A$200,0)),1)</f>
        <v>1</v>
      </c>
      <c r="AU26" s="36">
        <f>IFERROR(INDEX(Factors_ROT!$F$5:$F$200,MATCH("SEAL_ARR|"&amp;P26,Factors_ROT!$A$5:$A$200,0)),1)*IFERROR(INDEX(Factors_ROT!$F$5:$F$200,MATCH("SEAL_CAT|"&amp;Q26,Factors_ROT!$A$5:$A$200,0)),1)*IFERROR(INDEX(Factors_ROT!$F$5:$F$200,MATCH("SEAL_PLAN|"&amp;R26,Factors_ROT!$A$5:$A$200,0)),1)</f>
        <v>1</v>
      </c>
      <c r="AV26" s="36">
        <f>IFERROR(INDEX(Factors_ROT!$F$5:$F$200,MATCH("DRV|"&amp;S26,Factors_ROT!$A$5:$A$200,0)),1)*IFERROR(INDEX(Factors_ROT!$F$5:$F$200,MATCH("NACE|"&amp;O26,Factors_ROT!$A$5:$A$200,0)),1)</f>
        <v>1</v>
      </c>
      <c r="AW26" s="36">
        <f>IFERROR(INDEX(Factors_ROT!$F$5:$F$200,MATCH("SC_DRV|"&amp;AL26,Factors_ROT!$A$5:$A$200,0)),1)*IFERROR(INDEX(Factors_ROT!$F$5:$F$200,MATCH("SC_BSP|"&amp;AM26,Factors_ROT!$A$5:$A$200,0)),1)*IFERROR(INDEX(Factors_ROT!$F$5:$F$200,MATCH("SC_SEAL|"&amp;AN26,Factors_ROT!$A$5:$A$200,0)),1)*IFERROR(INDEX(Factors_ROT!$F$5:$F$200,MATCH("SC_COMM|"&amp;AO26,Factors_ROT!$A$5:$A$200,0)),1)*IFERROR(INDEX(Factors_ROT!$F$5:$F$200,MATCH("SC_2Y|"&amp;AP26,Factors_ROT!$A$5:$A$200,0)),1)*IFERROR(INDEX(Factors_ROT!$F$5:$F$200,MATCH("SC_TPI|"&amp;AQ26,Factors_ROT!$A$5:$A$200,0)),1)*IFERROR(INDEX(Factors_ROT!$F$5:$F$200,MATCH("SC_FAT|"&amp;AR26,Factors_ROT!$A$5:$A$200,0)),1)</f>
        <v>0.98</v>
      </c>
      <c r="AX26" s="36">
        <f t="shared" si="2"/>
        <v>0.98</v>
      </c>
      <c r="AY26" s="35">
        <f t="shared" si="3"/>
        <v>17346.938775510203</v>
      </c>
      <c r="AZ26" s="37">
        <f>IFERROR(IF(N(INDEX(Escalation_Index!$B$5:$B$25,MATCH(Y26,Escalation_Index!$A$5:$A$25,0)))&gt;0,INDEX(Escalation_Index!$B$5:$B$25,MATCH(Y26,Escalation_Index!$A$5:$A$25,0)),""),"")</f>
        <v>119.251</v>
      </c>
      <c r="BA26" s="37">
        <f>IF(ISNUMBER('Assumptions &amp; FX Reference'!$I$12),'Assumptions &amp; FX Reference'!$I$12,"")</f>
        <v>123.416</v>
      </c>
      <c r="BB26" s="33" t="str">
        <f t="shared" si="4"/>
        <v>N</v>
      </c>
      <c r="BC26" s="35">
        <f t="shared" si="5"/>
        <v>17952.803715846134</v>
      </c>
      <c r="BD26" s="35">
        <f>IF(AND(ISNUMBER(BC26),ISNUMBER(K26)),IF(K26&gt;0,BC26/K26^'Assumptions &amp; FX Reference'!$I$16,""),"")</f>
        <v>9892.6814352800266</v>
      </c>
      <c r="BE26" s="30" t="s">
        <v>387</v>
      </c>
      <c r="BF26" s="30" t="s">
        <v>388</v>
      </c>
      <c r="BG26" s="30" t="s">
        <v>361</v>
      </c>
    </row>
    <row r="27" spans="1:59" ht="24" customHeight="1">
      <c r="A27" s="30">
        <v>23</v>
      </c>
      <c r="B27" s="30" t="s">
        <v>389</v>
      </c>
      <c r="C27" s="30" t="s">
        <v>353</v>
      </c>
      <c r="D27" s="30" t="s">
        <v>390</v>
      </c>
      <c r="E27" s="30" t="s">
        <v>44</v>
      </c>
      <c r="F27" s="30" t="s">
        <v>119</v>
      </c>
      <c r="G27" s="30" t="s">
        <v>119</v>
      </c>
      <c r="H27" s="31">
        <v>20</v>
      </c>
      <c r="I27" s="31"/>
      <c r="J27" s="31">
        <v>1.4</v>
      </c>
      <c r="K27" s="32">
        <f>IF(ISNUMBER(J27),J27,IF(AND(ISNUMBER(H27),ISNUMBER(I27)),H27*I27/(367*'Assumptions &amp; FX Reference'!$I$17),""))</f>
        <v>1.4</v>
      </c>
      <c r="L27" s="33" t="str">
        <f t="shared" si="0"/>
        <v>Not stated</v>
      </c>
      <c r="M27" s="30" t="s">
        <v>119</v>
      </c>
      <c r="N27" s="30" t="s">
        <v>296</v>
      </c>
      <c r="O27" s="30" t="s">
        <v>119</v>
      </c>
      <c r="P27" s="30" t="s">
        <v>119</v>
      </c>
      <c r="Q27" s="30" t="s">
        <v>119</v>
      </c>
      <c r="R27" s="30" t="s">
        <v>119</v>
      </c>
      <c r="S27" s="38" t="s">
        <v>297</v>
      </c>
      <c r="T27" s="30" t="s">
        <v>330</v>
      </c>
      <c r="U27" s="30">
        <v>1</v>
      </c>
      <c r="V27" s="38" t="s">
        <v>299</v>
      </c>
      <c r="W27" s="31">
        <v>2.5</v>
      </c>
      <c r="X27" s="30" t="s">
        <v>119</v>
      </c>
      <c r="Y27" s="38">
        <v>1402</v>
      </c>
      <c r="Z27" s="30" t="s">
        <v>355</v>
      </c>
      <c r="AA27" s="34">
        <v>11000</v>
      </c>
      <c r="AB27" s="35">
        <f>IF(NOT(ISNUMBER(AA27)),"(Not stated)",IF(NOT(ISNUMBER(Y27)),"(Cost year not stated)",IFERROR(IF(Z27="EUR",AA27,IF(Z27="IRR",AA27/INDEX('Assumptions &amp; FX Reference'!$C$5:$C$25,MATCH(Y27,'Assumptions &amp; FX Reference'!$A$5:$A$25,0)),IF(Z27="USD",AA27*INDEX('Assumptions &amp; FX Reference'!$B$5:$B$25,MATCH(Y27,'Assumptions &amp; FX Reference'!$A$5:$A$25,0))/INDEX('Assumptions &amp; FX Reference'!$C$5:$C$25,MATCH(Y27,'Assumptions &amp; FX Reference'!$A$5:$A$25,0)),"(Currency?)"))),"(FX rate missing)")))</f>
        <v>11000</v>
      </c>
      <c r="AC27" s="35">
        <f>IF(NOT(ISNUMBER(AA27)),"(Not stated)",IF(NOT(ISNUMBER(Y27)),"(Cost year not stated)",IFERROR(IF(Z27="USD",AA27,IF(Z27="IRR",AA27/INDEX('Assumptions &amp; FX Reference'!$B$5:$B$25,MATCH(Y27,'Assumptions &amp; FX Reference'!$A$5:$A$25,0)),IF(Z27="EUR",AA27*INDEX('Assumptions &amp; FX Reference'!$C$5:$C$25,MATCH(Y27,'Assumptions &amp; FX Reference'!$A$5:$A$25,0))/INDEX('Assumptions &amp; FX Reference'!$B$5:$B$25,MATCH(Y27,'Assumptions &amp; FX Reference'!$A$5:$A$25,0)),"(Currency?)"))),"(FX rate missing)")))</f>
        <v>13867.857142857143</v>
      </c>
      <c r="AD27" s="39">
        <f>IF(NOT(ISNUMBER(AA27)),"(Not stated)",IF(NOT(ISNUMBER(Y27)),"(Cost year not stated)",IFERROR(IF(Z27="IRR",AA27,IF(Z27="USD",AA27*INDEX('Assumptions &amp; FX Reference'!$B$5:$B$25,MATCH(Y27,'Assumptions &amp; FX Reference'!$A$5:$A$25,0)),IF(Z27="EUR",AA27*INDEX('Assumptions &amp; FX Reference'!$C$5:$C$25,MATCH(Y27,'Assumptions &amp; FX Reference'!$A$5:$A$25,0)),"(Currency?)"))),"(FX rate missing)")))</f>
        <v>5824500000</v>
      </c>
      <c r="AE27" s="30" t="s">
        <v>356</v>
      </c>
      <c r="AF27" s="38" t="s">
        <v>197</v>
      </c>
      <c r="AG27" s="35">
        <f>IF(AND(Z27="EUR",N(AA27)&gt;5000000),"(Check currency – excluded)",IF(AND(ISNUMBER(AB27),ISNUMBER(AZ27),ISNUMBER(BA27)),IF(AND(BB27="Y",ISNUMBER('Assumptions &amp; FX Reference'!$I$15)),MAX(AB27*BA27/AZ27,'Assumptions &amp; FX Reference'!$I$13*BA27/'Assumptions &amp; FX Reference'!$I$15),AB27*BA27/AZ27),"(PPI/FX missing)"))</f>
        <v>11384.189650401255</v>
      </c>
      <c r="AH27" s="35">
        <f>IF(AND(ISNUMBER(AG27),ISNUMBER('Assumptions &amp; FX Reference'!$I$8),ISNUMBER('Assumptions &amp; FX Reference'!$I$11)),AG27*'Assumptions &amp; FX Reference'!$I$8/'Assumptions &amp; FX Reference'!$I$11,"")</f>
        <v>12019.234829317862</v>
      </c>
      <c r="AI27" s="35">
        <f>IF(AND(ISNUMBER(AG27),ISNUMBER('Assumptions &amp; FX Reference'!$I$8)),AG27*'Assumptions &amp; FX Reference'!$I$8,"")</f>
        <v>7915062769.8551798</v>
      </c>
      <c r="AJ27" s="30" t="s">
        <v>357</v>
      </c>
      <c r="AK27" s="30" t="s">
        <v>358</v>
      </c>
      <c r="AL27" s="30" t="s">
        <v>119</v>
      </c>
      <c r="AM27" s="30" t="s">
        <v>119</v>
      </c>
      <c r="AN27" s="30" t="s">
        <v>119</v>
      </c>
      <c r="AO27" s="38" t="s">
        <v>305</v>
      </c>
      <c r="AP27" s="38" t="s">
        <v>305</v>
      </c>
      <c r="AQ27" s="38" t="s">
        <v>305</v>
      </c>
      <c r="AR27" s="30" t="s">
        <v>119</v>
      </c>
      <c r="AS27" s="33" t="str">
        <f t="shared" si="1"/>
        <v xml:space="preserve">Material missing; Seal missing; </v>
      </c>
      <c r="AT27" s="36">
        <f>IFERROR(INDEX(Factors_ROT!$F$5:$F$200,MATCH("MAT|"&amp;G27,Factors_ROT!$A$5:$A$200,0)),1)</f>
        <v>1</v>
      </c>
      <c r="AU27" s="36">
        <f>IFERROR(INDEX(Factors_ROT!$F$5:$F$200,MATCH("SEAL_ARR|"&amp;P27,Factors_ROT!$A$5:$A$200,0)),1)*IFERROR(INDEX(Factors_ROT!$F$5:$F$200,MATCH("SEAL_CAT|"&amp;Q27,Factors_ROT!$A$5:$A$200,0)),1)*IFERROR(INDEX(Factors_ROT!$F$5:$F$200,MATCH("SEAL_PLAN|"&amp;R27,Factors_ROT!$A$5:$A$200,0)),1)</f>
        <v>1</v>
      </c>
      <c r="AV27" s="36">
        <f>IFERROR(INDEX(Factors_ROT!$F$5:$F$200,MATCH("DRV|"&amp;S27,Factors_ROT!$A$5:$A$200,0)),1)*IFERROR(INDEX(Factors_ROT!$F$5:$F$200,MATCH("NACE|"&amp;O27,Factors_ROT!$A$5:$A$200,0)),1)</f>
        <v>1</v>
      </c>
      <c r="AW27" s="36">
        <f>IFERROR(INDEX(Factors_ROT!$F$5:$F$200,MATCH("SC_DRV|"&amp;AL27,Factors_ROT!$A$5:$A$200,0)),1)*IFERROR(INDEX(Factors_ROT!$F$5:$F$200,MATCH("SC_BSP|"&amp;AM27,Factors_ROT!$A$5:$A$200,0)),1)*IFERROR(INDEX(Factors_ROT!$F$5:$F$200,MATCH("SC_SEAL|"&amp;AN27,Factors_ROT!$A$5:$A$200,0)),1)*IFERROR(INDEX(Factors_ROT!$F$5:$F$200,MATCH("SC_COMM|"&amp;AO27,Factors_ROT!$A$5:$A$200,0)),1)*IFERROR(INDEX(Factors_ROT!$F$5:$F$200,MATCH("SC_2Y|"&amp;AP27,Factors_ROT!$A$5:$A$200,0)),1)*IFERROR(INDEX(Factors_ROT!$F$5:$F$200,MATCH("SC_TPI|"&amp;AQ27,Factors_ROT!$A$5:$A$200,0)),1)*IFERROR(INDEX(Factors_ROT!$F$5:$F$200,MATCH("SC_FAT|"&amp;AR27,Factors_ROT!$A$5:$A$200,0)),1)</f>
        <v>0.98</v>
      </c>
      <c r="AX27" s="36">
        <f t="shared" si="2"/>
        <v>0.98</v>
      </c>
      <c r="AY27" s="35">
        <f t="shared" si="3"/>
        <v>11224.489795918367</v>
      </c>
      <c r="AZ27" s="37">
        <f>IFERROR(IF(N(INDEX(Escalation_Index!$B$5:$B$25,MATCH(Y27,Escalation_Index!$A$5:$A$25,0)))&gt;0,INDEX(Escalation_Index!$B$5:$B$25,MATCH(Y27,Escalation_Index!$A$5:$A$25,0)),""),"")</f>
        <v>119.251</v>
      </c>
      <c r="BA27" s="37">
        <f>IF(ISNUMBER('Assumptions &amp; FX Reference'!$I$12),'Assumptions &amp; FX Reference'!$I$12,"")</f>
        <v>123.416</v>
      </c>
      <c r="BB27" s="33" t="str">
        <f t="shared" si="4"/>
        <v>N</v>
      </c>
      <c r="BC27" s="35">
        <f t="shared" si="5"/>
        <v>11616.520051429852</v>
      </c>
      <c r="BD27" s="35">
        <f>IF(AND(ISNUMBER(BC27),ISNUMBER(K27)),IF(K27&gt;0,BC27/K27^'Assumptions &amp; FX Reference'!$I$16,""),"")</f>
        <v>9492.9069735708126</v>
      </c>
      <c r="BE27" s="30" t="s">
        <v>391</v>
      </c>
      <c r="BF27" s="30" t="s">
        <v>392</v>
      </c>
      <c r="BG27" s="30" t="s">
        <v>361</v>
      </c>
    </row>
    <row r="28" spans="1:59" ht="24" customHeight="1">
      <c r="A28" s="30">
        <v>24</v>
      </c>
      <c r="B28" s="30" t="s">
        <v>393</v>
      </c>
      <c r="C28" s="30" t="s">
        <v>353</v>
      </c>
      <c r="D28" s="30" t="s">
        <v>394</v>
      </c>
      <c r="E28" s="30" t="s">
        <v>47</v>
      </c>
      <c r="F28" s="30" t="s">
        <v>119</v>
      </c>
      <c r="G28" s="30" t="s">
        <v>119</v>
      </c>
      <c r="H28" s="31">
        <v>73</v>
      </c>
      <c r="I28" s="31"/>
      <c r="J28" s="31">
        <v>73.599999999999994</v>
      </c>
      <c r="K28" s="32">
        <f>IF(ISNUMBER(J28),J28,IF(AND(ISNUMBER(H28),ISNUMBER(I28)),H28*I28/(367*'Assumptions &amp; FX Reference'!$I$17),""))</f>
        <v>73.599999999999994</v>
      </c>
      <c r="L28" s="33" t="str">
        <f t="shared" si="0"/>
        <v>Not stated</v>
      </c>
      <c r="M28" s="30" t="s">
        <v>119</v>
      </c>
      <c r="N28" s="30" t="s">
        <v>296</v>
      </c>
      <c r="O28" s="30" t="s">
        <v>119</v>
      </c>
      <c r="P28" s="30" t="s">
        <v>119</v>
      </c>
      <c r="Q28" s="30" t="s">
        <v>119</v>
      </c>
      <c r="R28" s="30" t="s">
        <v>119</v>
      </c>
      <c r="S28" s="38" t="s">
        <v>297</v>
      </c>
      <c r="T28" s="30" t="s">
        <v>326</v>
      </c>
      <c r="U28" s="30">
        <v>3</v>
      </c>
      <c r="V28" s="38" t="s">
        <v>299</v>
      </c>
      <c r="W28" s="31">
        <v>36.299999999999997</v>
      </c>
      <c r="X28" s="30" t="s">
        <v>119</v>
      </c>
      <c r="Y28" s="38">
        <v>1402</v>
      </c>
      <c r="Z28" s="30" t="s">
        <v>355</v>
      </c>
      <c r="AA28" s="34">
        <v>430000</v>
      </c>
      <c r="AB28" s="35">
        <f>IF(NOT(ISNUMBER(AA28)),"(Not stated)",IF(NOT(ISNUMBER(Y28)),"(Cost year not stated)",IFERROR(IF(Z28="EUR",AA28,IF(Z28="IRR",AA28/INDEX('Assumptions &amp; FX Reference'!$C$5:$C$25,MATCH(Y28,'Assumptions &amp; FX Reference'!$A$5:$A$25,0)),IF(Z28="USD",AA28*INDEX('Assumptions &amp; FX Reference'!$B$5:$B$25,MATCH(Y28,'Assumptions &amp; FX Reference'!$A$5:$A$25,0))/INDEX('Assumptions &amp; FX Reference'!$C$5:$C$25,MATCH(Y28,'Assumptions &amp; FX Reference'!$A$5:$A$25,0)),"(Currency?)"))),"(FX rate missing)")))</f>
        <v>430000</v>
      </c>
      <c r="AC28" s="35">
        <f>IF(NOT(ISNUMBER(AA28)),"(Not stated)",IF(NOT(ISNUMBER(Y28)),"(Cost year not stated)",IFERROR(IF(Z28="USD",AA28,IF(Z28="IRR",AA28/INDEX('Assumptions &amp; FX Reference'!$B$5:$B$25,MATCH(Y28,'Assumptions &amp; FX Reference'!$A$5:$A$25,0)),IF(Z28="EUR",AA28*INDEX('Assumptions &amp; FX Reference'!$C$5:$C$25,MATCH(Y28,'Assumptions &amp; FX Reference'!$A$5:$A$25,0))/INDEX('Assumptions &amp; FX Reference'!$B$5:$B$25,MATCH(Y28,'Assumptions &amp; FX Reference'!$A$5:$A$25,0)),"(Currency?)"))),"(FX rate missing)")))</f>
        <v>542107.14285714284</v>
      </c>
      <c r="AD28" s="39">
        <f>IF(NOT(ISNUMBER(AA28)),"(Not stated)",IF(NOT(ISNUMBER(Y28)),"(Cost year not stated)",IFERROR(IF(Z28="IRR",AA28,IF(Z28="USD",AA28*INDEX('Assumptions &amp; FX Reference'!$B$5:$B$25,MATCH(Y28,'Assumptions &amp; FX Reference'!$A$5:$A$25,0)),IF(Z28="EUR",AA28*INDEX('Assumptions &amp; FX Reference'!$C$5:$C$25,MATCH(Y28,'Assumptions &amp; FX Reference'!$A$5:$A$25,0)),"(Currency?)"))),"(FX rate missing)")))</f>
        <v>227685000000</v>
      </c>
      <c r="AE28" s="30" t="s">
        <v>356</v>
      </c>
      <c r="AF28" s="38" t="s">
        <v>197</v>
      </c>
      <c r="AG28" s="35">
        <f>IF(AND(Z28="EUR",N(AA28)&gt;5000000),"(Check currency – excluded)",IF(AND(ISNUMBER(AB28),ISNUMBER(AZ28),ISNUMBER(BA28)),IF(AND(BB28="Y",ISNUMBER('Assumptions &amp; FX Reference'!$I$15)),MAX(AB28*BA28/AZ28,'Assumptions &amp; FX Reference'!$I$13*BA28/'Assumptions &amp; FX Reference'!$I$15),AB28*BA28/AZ28),"(PPI/FX missing)"))</f>
        <v>445018.32269750355</v>
      </c>
      <c r="AH28" s="35">
        <f>IF(AND(ISNUMBER(AG28),ISNUMBER('Assumptions &amp; FX Reference'!$I$8),ISNUMBER('Assumptions &amp; FX Reference'!$I$11)),AG28*'Assumptions &amp; FX Reference'!$I$8/'Assumptions &amp; FX Reference'!$I$11,"")</f>
        <v>469842.8160551528</v>
      </c>
      <c r="AI28" s="35">
        <f>IF(AND(ISNUMBER(AG28),ISNUMBER('Assumptions &amp; FX Reference'!$I$8)),AG28*'Assumptions &amp; FX Reference'!$I$8,"")</f>
        <v>309406999185.24792</v>
      </c>
      <c r="AJ28" s="30" t="s">
        <v>357</v>
      </c>
      <c r="AK28" s="30" t="s">
        <v>358</v>
      </c>
      <c r="AL28" s="30" t="s">
        <v>119</v>
      </c>
      <c r="AM28" s="30" t="s">
        <v>119</v>
      </c>
      <c r="AN28" s="30" t="s">
        <v>119</v>
      </c>
      <c r="AO28" s="38" t="s">
        <v>305</v>
      </c>
      <c r="AP28" s="38" t="s">
        <v>305</v>
      </c>
      <c r="AQ28" s="38" t="s">
        <v>305</v>
      </c>
      <c r="AR28" s="30" t="s">
        <v>119</v>
      </c>
      <c r="AS28" s="33" t="str">
        <f t="shared" si="1"/>
        <v xml:space="preserve">Material missing; Seal missing; </v>
      </c>
      <c r="AT28" s="36">
        <f>IFERROR(INDEX(Factors_ROT!$F$5:$F$200,MATCH("MAT|"&amp;G28,Factors_ROT!$A$5:$A$200,0)),1)</f>
        <v>1</v>
      </c>
      <c r="AU28" s="36">
        <f>IFERROR(INDEX(Factors_ROT!$F$5:$F$200,MATCH("SEAL_ARR|"&amp;P28,Factors_ROT!$A$5:$A$200,0)),1)*IFERROR(INDEX(Factors_ROT!$F$5:$F$200,MATCH("SEAL_CAT|"&amp;Q28,Factors_ROT!$A$5:$A$200,0)),1)*IFERROR(INDEX(Factors_ROT!$F$5:$F$200,MATCH("SEAL_PLAN|"&amp;R28,Factors_ROT!$A$5:$A$200,0)),1)</f>
        <v>1</v>
      </c>
      <c r="AV28" s="36">
        <f>IFERROR(INDEX(Factors_ROT!$F$5:$F$200,MATCH("DRV|"&amp;S28,Factors_ROT!$A$5:$A$200,0)),1)*IFERROR(INDEX(Factors_ROT!$F$5:$F$200,MATCH("NACE|"&amp;O28,Factors_ROT!$A$5:$A$200,0)),1)</f>
        <v>1</v>
      </c>
      <c r="AW28" s="36">
        <f>IFERROR(INDEX(Factors_ROT!$F$5:$F$200,MATCH("SC_DRV|"&amp;AL28,Factors_ROT!$A$5:$A$200,0)),1)*IFERROR(INDEX(Factors_ROT!$F$5:$F$200,MATCH("SC_BSP|"&amp;AM28,Factors_ROT!$A$5:$A$200,0)),1)*IFERROR(INDEX(Factors_ROT!$F$5:$F$200,MATCH("SC_SEAL|"&amp;AN28,Factors_ROT!$A$5:$A$200,0)),1)*IFERROR(INDEX(Factors_ROT!$F$5:$F$200,MATCH("SC_COMM|"&amp;AO28,Factors_ROT!$A$5:$A$200,0)),1)*IFERROR(INDEX(Factors_ROT!$F$5:$F$200,MATCH("SC_2Y|"&amp;AP28,Factors_ROT!$A$5:$A$200,0)),1)*IFERROR(INDEX(Factors_ROT!$F$5:$F$200,MATCH("SC_TPI|"&amp;AQ28,Factors_ROT!$A$5:$A$200,0)),1)*IFERROR(INDEX(Factors_ROT!$F$5:$F$200,MATCH("SC_FAT|"&amp;AR28,Factors_ROT!$A$5:$A$200,0)),1)</f>
        <v>0.98</v>
      </c>
      <c r="AX28" s="36">
        <f t="shared" si="2"/>
        <v>0.98</v>
      </c>
      <c r="AY28" s="35">
        <f t="shared" si="3"/>
        <v>438775.51020408166</v>
      </c>
      <c r="AZ28" s="37">
        <f>IFERROR(IF(N(INDEX(Escalation_Index!$B$5:$B$25,MATCH(Y28,Escalation_Index!$A$5:$A$25,0)))&gt;0,INDEX(Escalation_Index!$B$5:$B$25,MATCH(Y28,Escalation_Index!$A$5:$A$25,0)),""),"")</f>
        <v>119.251</v>
      </c>
      <c r="BA28" s="37">
        <f>IF(ISNUMBER('Assumptions &amp; FX Reference'!$I$12),'Assumptions &amp; FX Reference'!$I$12,"")</f>
        <v>123.416</v>
      </c>
      <c r="BB28" s="33" t="str">
        <f t="shared" si="4"/>
        <v>N</v>
      </c>
      <c r="BC28" s="35">
        <f t="shared" si="5"/>
        <v>454100.32928316691</v>
      </c>
      <c r="BD28" s="35">
        <f>IF(AND(ISNUMBER(BC28),ISNUMBER(K28)),IF(K28&gt;0,BC28/K28^'Assumptions &amp; FX Reference'!$I$16,""),"")</f>
        <v>34436.985538008325</v>
      </c>
      <c r="BE28" s="30" t="s">
        <v>395</v>
      </c>
      <c r="BF28" s="30" t="s">
        <v>396</v>
      </c>
      <c r="BG28" s="30" t="s">
        <v>361</v>
      </c>
    </row>
    <row r="29" spans="1:59" ht="24" customHeight="1">
      <c r="A29" s="30">
        <v>25</v>
      </c>
      <c r="B29" s="30" t="s">
        <v>397</v>
      </c>
      <c r="C29" s="30" t="s">
        <v>353</v>
      </c>
      <c r="D29" s="30" t="s">
        <v>398</v>
      </c>
      <c r="E29" s="30" t="s">
        <v>47</v>
      </c>
      <c r="F29" s="30" t="s">
        <v>119</v>
      </c>
      <c r="G29" s="30" t="s">
        <v>119</v>
      </c>
      <c r="H29" s="31">
        <v>36.5</v>
      </c>
      <c r="I29" s="31"/>
      <c r="J29" s="31">
        <v>36.5</v>
      </c>
      <c r="K29" s="32">
        <f>IF(ISNUMBER(J29),J29,IF(AND(ISNUMBER(H29),ISNUMBER(I29)),H29*I29/(367*'Assumptions &amp; FX Reference'!$I$17),""))</f>
        <v>36.5</v>
      </c>
      <c r="L29" s="33" t="str">
        <f t="shared" si="0"/>
        <v>Not stated</v>
      </c>
      <c r="M29" s="30" t="s">
        <v>119</v>
      </c>
      <c r="N29" s="30" t="s">
        <v>296</v>
      </c>
      <c r="O29" s="30" t="s">
        <v>119</v>
      </c>
      <c r="P29" s="30" t="s">
        <v>119</v>
      </c>
      <c r="Q29" s="30" t="s">
        <v>119</v>
      </c>
      <c r="R29" s="30" t="s">
        <v>119</v>
      </c>
      <c r="S29" s="38" t="s">
        <v>297</v>
      </c>
      <c r="T29" s="30" t="s">
        <v>326</v>
      </c>
      <c r="U29" s="30">
        <v>3</v>
      </c>
      <c r="V29" s="38" t="s">
        <v>299</v>
      </c>
      <c r="W29" s="31">
        <v>36.299999999999997</v>
      </c>
      <c r="X29" s="30" t="s">
        <v>119</v>
      </c>
      <c r="Y29" s="38">
        <v>1402</v>
      </c>
      <c r="Z29" s="30" t="s">
        <v>355</v>
      </c>
      <c r="AA29" s="34">
        <v>285000</v>
      </c>
      <c r="AB29" s="35">
        <f>IF(NOT(ISNUMBER(AA29)),"(Not stated)",IF(NOT(ISNUMBER(Y29)),"(Cost year not stated)",IFERROR(IF(Z29="EUR",AA29,IF(Z29="IRR",AA29/INDEX('Assumptions &amp; FX Reference'!$C$5:$C$25,MATCH(Y29,'Assumptions &amp; FX Reference'!$A$5:$A$25,0)),IF(Z29="USD",AA29*INDEX('Assumptions &amp; FX Reference'!$B$5:$B$25,MATCH(Y29,'Assumptions &amp; FX Reference'!$A$5:$A$25,0))/INDEX('Assumptions &amp; FX Reference'!$C$5:$C$25,MATCH(Y29,'Assumptions &amp; FX Reference'!$A$5:$A$25,0)),"(Currency?)"))),"(FX rate missing)")))</f>
        <v>285000</v>
      </c>
      <c r="AC29" s="35">
        <f>IF(NOT(ISNUMBER(AA29)),"(Not stated)",IF(NOT(ISNUMBER(Y29)),"(Cost year not stated)",IFERROR(IF(Z29="USD",AA29,IF(Z29="IRR",AA29/INDEX('Assumptions &amp; FX Reference'!$B$5:$B$25,MATCH(Y29,'Assumptions &amp; FX Reference'!$A$5:$A$25,0)),IF(Z29="EUR",AA29*INDEX('Assumptions &amp; FX Reference'!$C$5:$C$25,MATCH(Y29,'Assumptions &amp; FX Reference'!$A$5:$A$25,0))/INDEX('Assumptions &amp; FX Reference'!$B$5:$B$25,MATCH(Y29,'Assumptions &amp; FX Reference'!$A$5:$A$25,0)),"(Currency?)"))),"(FX rate missing)")))</f>
        <v>359303.57142857142</v>
      </c>
      <c r="AD29" s="39">
        <f>IF(NOT(ISNUMBER(AA29)),"(Not stated)",IF(NOT(ISNUMBER(Y29)),"(Cost year not stated)",IFERROR(IF(Z29="IRR",AA29,IF(Z29="USD",AA29*INDEX('Assumptions &amp; FX Reference'!$B$5:$B$25,MATCH(Y29,'Assumptions &amp; FX Reference'!$A$5:$A$25,0)),IF(Z29="EUR",AA29*INDEX('Assumptions &amp; FX Reference'!$C$5:$C$25,MATCH(Y29,'Assumptions &amp; FX Reference'!$A$5:$A$25,0)),"(Currency?)"))),"(FX rate missing)")))</f>
        <v>150907500000</v>
      </c>
      <c r="AE29" s="30" t="s">
        <v>356</v>
      </c>
      <c r="AF29" s="38" t="s">
        <v>197</v>
      </c>
      <c r="AG29" s="35">
        <f>IF(AND(Z29="EUR",N(AA29)&gt;5000000),"(Check currency – excluded)",IF(AND(ISNUMBER(AB29),ISNUMBER(AZ29),ISNUMBER(BA29)),IF(AND(BB29="Y",ISNUMBER('Assumptions &amp; FX Reference'!$I$15)),MAX(AB29*BA29/AZ29,'Assumptions &amp; FX Reference'!$I$13*BA29/'Assumptions &amp; FX Reference'!$I$15),AB29*BA29/AZ29),"(PPI/FX missing)"))</f>
        <v>294954.00457857794</v>
      </c>
      <c r="AH29" s="35">
        <f>IF(AND(ISNUMBER(AG29),ISNUMBER('Assumptions &amp; FX Reference'!$I$8),ISNUMBER('Assumptions &amp; FX Reference'!$I$11)),AG29*'Assumptions &amp; FX Reference'!$I$8/'Assumptions &amp; FX Reference'!$I$11,"")</f>
        <v>311407.44785050821</v>
      </c>
      <c r="AI29" s="35">
        <f>IF(AND(ISNUMBER(AG29),ISNUMBER('Assumptions &amp; FX Reference'!$I$8)),AG29*'Assumptions &amp; FX Reference'!$I$8,"")</f>
        <v>205072080855.33871</v>
      </c>
      <c r="AJ29" s="30" t="s">
        <v>357</v>
      </c>
      <c r="AK29" s="30" t="s">
        <v>358</v>
      </c>
      <c r="AL29" s="30" t="s">
        <v>119</v>
      </c>
      <c r="AM29" s="30" t="s">
        <v>119</v>
      </c>
      <c r="AN29" s="30" t="s">
        <v>119</v>
      </c>
      <c r="AO29" s="38" t="s">
        <v>305</v>
      </c>
      <c r="AP29" s="38" t="s">
        <v>305</v>
      </c>
      <c r="AQ29" s="38" t="s">
        <v>305</v>
      </c>
      <c r="AR29" s="30" t="s">
        <v>119</v>
      </c>
      <c r="AS29" s="33" t="str">
        <f t="shared" si="1"/>
        <v xml:space="preserve">Material missing; Seal missing; </v>
      </c>
      <c r="AT29" s="36">
        <f>IFERROR(INDEX(Factors_ROT!$F$5:$F$200,MATCH("MAT|"&amp;G29,Factors_ROT!$A$5:$A$200,0)),1)</f>
        <v>1</v>
      </c>
      <c r="AU29" s="36">
        <f>IFERROR(INDEX(Factors_ROT!$F$5:$F$200,MATCH("SEAL_ARR|"&amp;P29,Factors_ROT!$A$5:$A$200,0)),1)*IFERROR(INDEX(Factors_ROT!$F$5:$F$200,MATCH("SEAL_CAT|"&amp;Q29,Factors_ROT!$A$5:$A$200,0)),1)*IFERROR(INDEX(Factors_ROT!$F$5:$F$200,MATCH("SEAL_PLAN|"&amp;R29,Factors_ROT!$A$5:$A$200,0)),1)</f>
        <v>1</v>
      </c>
      <c r="AV29" s="36">
        <f>IFERROR(INDEX(Factors_ROT!$F$5:$F$200,MATCH("DRV|"&amp;S29,Factors_ROT!$A$5:$A$200,0)),1)*IFERROR(INDEX(Factors_ROT!$F$5:$F$200,MATCH("NACE|"&amp;O29,Factors_ROT!$A$5:$A$200,0)),1)</f>
        <v>1</v>
      </c>
      <c r="AW29" s="36">
        <f>IFERROR(INDEX(Factors_ROT!$F$5:$F$200,MATCH("SC_DRV|"&amp;AL29,Factors_ROT!$A$5:$A$200,0)),1)*IFERROR(INDEX(Factors_ROT!$F$5:$F$200,MATCH("SC_BSP|"&amp;AM29,Factors_ROT!$A$5:$A$200,0)),1)*IFERROR(INDEX(Factors_ROT!$F$5:$F$200,MATCH("SC_SEAL|"&amp;AN29,Factors_ROT!$A$5:$A$200,0)),1)*IFERROR(INDEX(Factors_ROT!$F$5:$F$200,MATCH("SC_COMM|"&amp;AO29,Factors_ROT!$A$5:$A$200,0)),1)*IFERROR(INDEX(Factors_ROT!$F$5:$F$200,MATCH("SC_2Y|"&amp;AP29,Factors_ROT!$A$5:$A$200,0)),1)*IFERROR(INDEX(Factors_ROT!$F$5:$F$200,MATCH("SC_TPI|"&amp;AQ29,Factors_ROT!$A$5:$A$200,0)),1)*IFERROR(INDEX(Factors_ROT!$F$5:$F$200,MATCH("SC_FAT|"&amp;AR29,Factors_ROT!$A$5:$A$200,0)),1)</f>
        <v>0.98</v>
      </c>
      <c r="AX29" s="36">
        <f t="shared" si="2"/>
        <v>0.98</v>
      </c>
      <c r="AY29" s="35">
        <f t="shared" si="3"/>
        <v>290816.32653061225</v>
      </c>
      <c r="AZ29" s="37">
        <f>IFERROR(IF(N(INDEX(Escalation_Index!$B$5:$B$25,MATCH(Y29,Escalation_Index!$A$5:$A$25,0)))&gt;0,INDEX(Escalation_Index!$B$5:$B$25,MATCH(Y29,Escalation_Index!$A$5:$A$25,0)),""),"")</f>
        <v>119.251</v>
      </c>
      <c r="BA29" s="37">
        <f>IF(ISNUMBER('Assumptions &amp; FX Reference'!$I$12),'Assumptions &amp; FX Reference'!$I$12,"")</f>
        <v>123.416</v>
      </c>
      <c r="BB29" s="33" t="str">
        <f t="shared" si="4"/>
        <v>N</v>
      </c>
      <c r="BC29" s="35">
        <f t="shared" si="5"/>
        <v>300973.47405977343</v>
      </c>
      <c r="BD29" s="35">
        <f>IF(AND(ISNUMBER(BC29),ISNUMBER(K29)),IF(K29&gt;0,BC29/K29^'Assumptions &amp; FX Reference'!$I$16,""),"")</f>
        <v>34765.822025161688</v>
      </c>
      <c r="BE29" s="30" t="s">
        <v>399</v>
      </c>
      <c r="BF29" s="30" t="s">
        <v>400</v>
      </c>
      <c r="BG29" s="30" t="s">
        <v>361</v>
      </c>
    </row>
    <row r="30" spans="1:59" ht="24" customHeight="1">
      <c r="A30" s="30">
        <v>26</v>
      </c>
      <c r="B30" s="30" t="s">
        <v>401</v>
      </c>
      <c r="C30" s="30" t="s">
        <v>353</v>
      </c>
      <c r="D30" s="30" t="s">
        <v>402</v>
      </c>
      <c r="E30" s="30" t="s">
        <v>53</v>
      </c>
      <c r="F30" s="30" t="s">
        <v>119</v>
      </c>
      <c r="G30" s="30" t="s">
        <v>119</v>
      </c>
      <c r="H30" s="31"/>
      <c r="I30" s="31"/>
      <c r="J30" s="31">
        <v>0.45</v>
      </c>
      <c r="K30" s="32">
        <f>IF(ISNUMBER(J30),J30,IF(AND(ISNUMBER(H30),ISNUMBER(I30)),H30*I30/(367*'Assumptions &amp; FX Reference'!$I$17),""))</f>
        <v>0.45</v>
      </c>
      <c r="L30" s="33" t="str">
        <f t="shared" si="0"/>
        <v>Not stated</v>
      </c>
      <c r="M30" s="30" t="s">
        <v>119</v>
      </c>
      <c r="N30" s="30" t="s">
        <v>296</v>
      </c>
      <c r="O30" s="30" t="s">
        <v>119</v>
      </c>
      <c r="P30" s="30" t="s">
        <v>119</v>
      </c>
      <c r="Q30" s="30" t="s">
        <v>119</v>
      </c>
      <c r="R30" s="30" t="s">
        <v>119</v>
      </c>
      <c r="S30" s="38" t="s">
        <v>297</v>
      </c>
      <c r="T30" s="30" t="s">
        <v>403</v>
      </c>
      <c r="U30" s="30">
        <v>3</v>
      </c>
      <c r="V30" s="38" t="s">
        <v>299</v>
      </c>
      <c r="W30" s="31">
        <v>2</v>
      </c>
      <c r="X30" s="30" t="s">
        <v>119</v>
      </c>
      <c r="Y30" s="38">
        <v>1402</v>
      </c>
      <c r="Z30" s="30" t="s">
        <v>355</v>
      </c>
      <c r="AA30" s="34">
        <v>9000</v>
      </c>
      <c r="AB30" s="35">
        <f>IF(NOT(ISNUMBER(AA30)),"(Not stated)",IF(NOT(ISNUMBER(Y30)),"(Cost year not stated)",IFERROR(IF(Z30="EUR",AA30,IF(Z30="IRR",AA30/INDEX('Assumptions &amp; FX Reference'!$C$5:$C$25,MATCH(Y30,'Assumptions &amp; FX Reference'!$A$5:$A$25,0)),IF(Z30="USD",AA30*INDEX('Assumptions &amp; FX Reference'!$B$5:$B$25,MATCH(Y30,'Assumptions &amp; FX Reference'!$A$5:$A$25,0))/INDEX('Assumptions &amp; FX Reference'!$C$5:$C$25,MATCH(Y30,'Assumptions &amp; FX Reference'!$A$5:$A$25,0)),"(Currency?)"))),"(FX rate missing)")))</f>
        <v>9000</v>
      </c>
      <c r="AC30" s="35">
        <f>IF(NOT(ISNUMBER(AA30)),"(Not stated)",IF(NOT(ISNUMBER(Y30)),"(Cost year not stated)",IFERROR(IF(Z30="USD",AA30,IF(Z30="IRR",AA30/INDEX('Assumptions &amp; FX Reference'!$B$5:$B$25,MATCH(Y30,'Assumptions &amp; FX Reference'!$A$5:$A$25,0)),IF(Z30="EUR",AA30*INDEX('Assumptions &amp; FX Reference'!$C$5:$C$25,MATCH(Y30,'Assumptions &amp; FX Reference'!$A$5:$A$25,0))/INDEX('Assumptions &amp; FX Reference'!$B$5:$B$25,MATCH(Y30,'Assumptions &amp; FX Reference'!$A$5:$A$25,0)),"(Currency?)"))),"(FX rate missing)")))</f>
        <v>11346.428571428571</v>
      </c>
      <c r="AD30" s="39">
        <f>IF(NOT(ISNUMBER(AA30)),"(Not stated)",IF(NOT(ISNUMBER(Y30)),"(Cost year not stated)",IFERROR(IF(Z30="IRR",AA30,IF(Z30="USD",AA30*INDEX('Assumptions &amp; FX Reference'!$B$5:$B$25,MATCH(Y30,'Assumptions &amp; FX Reference'!$A$5:$A$25,0)),IF(Z30="EUR",AA30*INDEX('Assumptions &amp; FX Reference'!$C$5:$C$25,MATCH(Y30,'Assumptions &amp; FX Reference'!$A$5:$A$25,0)),"(Currency?)"))),"(FX rate missing)")))</f>
        <v>4765500000</v>
      </c>
      <c r="AE30" s="30" t="s">
        <v>356</v>
      </c>
      <c r="AF30" s="38" t="s">
        <v>197</v>
      </c>
      <c r="AG30" s="35">
        <f>IF(AND(Z30="EUR",N(AA30)&gt;5000000),"(Check currency – excluded)",IF(AND(ISNUMBER(AB30),ISNUMBER(AZ30),ISNUMBER(BA30)),IF(AND(BB30="Y",ISNUMBER('Assumptions &amp; FX Reference'!$I$15)),MAX(AB30*BA30/AZ30,'Assumptions &amp; FX Reference'!$I$13*BA30/'Assumptions &amp; FX Reference'!$I$15),AB30*BA30/AZ30),"(PPI/FX missing)"))</f>
        <v>9314.3369866919347</v>
      </c>
      <c r="AH30" s="35">
        <f>IF(AND(ISNUMBER(AG30),ISNUMBER('Assumptions &amp; FX Reference'!$I$8),ISNUMBER('Assumptions &amp; FX Reference'!$I$11)),AG30*'Assumptions &amp; FX Reference'!$I$8/'Assumptions &amp; FX Reference'!$I$11,"")</f>
        <v>9833.9194058055218</v>
      </c>
      <c r="AI30" s="35">
        <f>IF(AND(ISNUMBER(AG30),ISNUMBER('Assumptions &amp; FX Reference'!$I$8)),AG30*'Assumptions &amp; FX Reference'!$I$8,"")</f>
        <v>6475960448.0633278</v>
      </c>
      <c r="AJ30" s="30" t="s">
        <v>357</v>
      </c>
      <c r="AK30" s="30" t="s">
        <v>358</v>
      </c>
      <c r="AL30" s="30" t="s">
        <v>119</v>
      </c>
      <c r="AM30" s="30" t="s">
        <v>119</v>
      </c>
      <c r="AN30" s="30" t="s">
        <v>119</v>
      </c>
      <c r="AO30" s="38" t="s">
        <v>305</v>
      </c>
      <c r="AP30" s="38" t="s">
        <v>305</v>
      </c>
      <c r="AQ30" s="38" t="s">
        <v>305</v>
      </c>
      <c r="AR30" s="30" t="s">
        <v>119</v>
      </c>
      <c r="AS30" s="33" t="str">
        <f t="shared" si="1"/>
        <v xml:space="preserve">Material missing; Seal missing; </v>
      </c>
      <c r="AT30" s="36">
        <f>IFERROR(INDEX(Factors_ROT!$F$5:$F$200,MATCH("MAT|"&amp;G30,Factors_ROT!$A$5:$A$200,0)),1)</f>
        <v>1</v>
      </c>
      <c r="AU30" s="36">
        <f>IFERROR(INDEX(Factors_ROT!$F$5:$F$200,MATCH("SEAL_ARR|"&amp;P30,Factors_ROT!$A$5:$A$200,0)),1)*IFERROR(INDEX(Factors_ROT!$F$5:$F$200,MATCH("SEAL_CAT|"&amp;Q30,Factors_ROT!$A$5:$A$200,0)),1)*IFERROR(INDEX(Factors_ROT!$F$5:$F$200,MATCH("SEAL_PLAN|"&amp;R30,Factors_ROT!$A$5:$A$200,0)),1)</f>
        <v>1</v>
      </c>
      <c r="AV30" s="36">
        <f>IFERROR(INDEX(Factors_ROT!$F$5:$F$200,MATCH("DRV|"&amp;S30,Factors_ROT!$A$5:$A$200,0)),1)*IFERROR(INDEX(Factors_ROT!$F$5:$F$200,MATCH("NACE|"&amp;O30,Factors_ROT!$A$5:$A$200,0)),1)</f>
        <v>1</v>
      </c>
      <c r="AW30" s="36">
        <f>IFERROR(INDEX(Factors_ROT!$F$5:$F$200,MATCH("SC_DRV|"&amp;AL30,Factors_ROT!$A$5:$A$200,0)),1)*IFERROR(INDEX(Factors_ROT!$F$5:$F$200,MATCH("SC_BSP|"&amp;AM30,Factors_ROT!$A$5:$A$200,0)),1)*IFERROR(INDEX(Factors_ROT!$F$5:$F$200,MATCH("SC_SEAL|"&amp;AN30,Factors_ROT!$A$5:$A$200,0)),1)*IFERROR(INDEX(Factors_ROT!$F$5:$F$200,MATCH("SC_COMM|"&amp;AO30,Factors_ROT!$A$5:$A$200,0)),1)*IFERROR(INDEX(Factors_ROT!$F$5:$F$200,MATCH("SC_2Y|"&amp;AP30,Factors_ROT!$A$5:$A$200,0)),1)*IFERROR(INDEX(Factors_ROT!$F$5:$F$200,MATCH("SC_TPI|"&amp;AQ30,Factors_ROT!$A$5:$A$200,0)),1)*IFERROR(INDEX(Factors_ROT!$F$5:$F$200,MATCH("SC_FAT|"&amp;AR30,Factors_ROT!$A$5:$A$200,0)),1)</f>
        <v>0.98</v>
      </c>
      <c r="AX30" s="36">
        <f t="shared" si="2"/>
        <v>0.98</v>
      </c>
      <c r="AY30" s="35">
        <f t="shared" si="3"/>
        <v>9183.6734693877552</v>
      </c>
      <c r="AZ30" s="37">
        <f>IFERROR(IF(N(INDEX(Escalation_Index!$B$5:$B$25,MATCH(Y30,Escalation_Index!$A$5:$A$25,0)))&gt;0,INDEX(Escalation_Index!$B$5:$B$25,MATCH(Y30,Escalation_Index!$A$5:$A$25,0)),""),"")</f>
        <v>119.251</v>
      </c>
      <c r="BA30" s="37">
        <f>IF(ISNUMBER('Assumptions &amp; FX Reference'!$I$12),'Assumptions &amp; FX Reference'!$I$12,"")</f>
        <v>123.416</v>
      </c>
      <c r="BB30" s="33" t="str">
        <f t="shared" si="4"/>
        <v>N</v>
      </c>
      <c r="BC30" s="35">
        <f t="shared" si="5"/>
        <v>9504.4254966244225</v>
      </c>
      <c r="BD30" s="35">
        <f>IF(AND(ISNUMBER(BC30),ISNUMBER(K30)),IF(K30&gt;0,BC30/K30^'Assumptions &amp; FX Reference'!$I$16,""),"")</f>
        <v>15346.111962691972</v>
      </c>
      <c r="BE30" s="30" t="s">
        <v>404</v>
      </c>
      <c r="BF30" s="30" t="s">
        <v>405</v>
      </c>
      <c r="BG30" s="30" t="s">
        <v>361</v>
      </c>
    </row>
    <row r="31" spans="1:59" ht="24" customHeight="1">
      <c r="A31" s="30">
        <v>27</v>
      </c>
      <c r="B31" s="30" t="s">
        <v>406</v>
      </c>
      <c r="C31" s="30" t="s">
        <v>353</v>
      </c>
      <c r="D31" s="30" t="s">
        <v>407</v>
      </c>
      <c r="E31" s="30" t="s">
        <v>50</v>
      </c>
      <c r="F31" s="30" t="s">
        <v>119</v>
      </c>
      <c r="G31" s="30" t="s">
        <v>119</v>
      </c>
      <c r="H31" s="31">
        <v>15</v>
      </c>
      <c r="I31" s="31"/>
      <c r="J31" s="31">
        <v>0.33</v>
      </c>
      <c r="K31" s="32">
        <f>IF(ISNUMBER(J31),J31,IF(AND(ISNUMBER(H31),ISNUMBER(I31)),H31*I31/(367*'Assumptions &amp; FX Reference'!$I$17),""))</f>
        <v>0.33</v>
      </c>
      <c r="L31" s="33" t="str">
        <f t="shared" si="0"/>
        <v>Not stated</v>
      </c>
      <c r="M31" s="30" t="s">
        <v>119</v>
      </c>
      <c r="N31" s="30" t="s">
        <v>296</v>
      </c>
      <c r="O31" s="30" t="s">
        <v>119</v>
      </c>
      <c r="P31" s="30" t="s">
        <v>119</v>
      </c>
      <c r="Q31" s="30" t="s">
        <v>119</v>
      </c>
      <c r="R31" s="30" t="s">
        <v>119</v>
      </c>
      <c r="S31" s="38" t="s">
        <v>297</v>
      </c>
      <c r="T31" s="30" t="s">
        <v>334</v>
      </c>
      <c r="U31" s="30">
        <v>2</v>
      </c>
      <c r="V31" s="38" t="s">
        <v>299</v>
      </c>
      <c r="W31" s="31">
        <v>0.8</v>
      </c>
      <c r="X31" s="30" t="s">
        <v>119</v>
      </c>
      <c r="Y31" s="38">
        <v>1402</v>
      </c>
      <c r="Z31" s="30" t="s">
        <v>355</v>
      </c>
      <c r="AA31" s="34">
        <v>28000</v>
      </c>
      <c r="AB31" s="35">
        <f>IF(NOT(ISNUMBER(AA31)),"(Not stated)",IF(NOT(ISNUMBER(Y31)),"(Cost year not stated)",IFERROR(IF(Z31="EUR",AA31,IF(Z31="IRR",AA31/INDEX('Assumptions &amp; FX Reference'!$C$5:$C$25,MATCH(Y31,'Assumptions &amp; FX Reference'!$A$5:$A$25,0)),IF(Z31="USD",AA31*INDEX('Assumptions &amp; FX Reference'!$B$5:$B$25,MATCH(Y31,'Assumptions &amp; FX Reference'!$A$5:$A$25,0))/INDEX('Assumptions &amp; FX Reference'!$C$5:$C$25,MATCH(Y31,'Assumptions &amp; FX Reference'!$A$5:$A$25,0)),"(Currency?)"))),"(FX rate missing)")))</f>
        <v>28000</v>
      </c>
      <c r="AC31" s="35">
        <f>IF(NOT(ISNUMBER(AA31)),"(Not stated)",IF(NOT(ISNUMBER(Y31)),"(Cost year not stated)",IFERROR(IF(Z31="USD",AA31,IF(Z31="IRR",AA31/INDEX('Assumptions &amp; FX Reference'!$B$5:$B$25,MATCH(Y31,'Assumptions &amp; FX Reference'!$A$5:$A$25,0)),IF(Z31="EUR",AA31*INDEX('Assumptions &amp; FX Reference'!$C$5:$C$25,MATCH(Y31,'Assumptions &amp; FX Reference'!$A$5:$A$25,0))/INDEX('Assumptions &amp; FX Reference'!$B$5:$B$25,MATCH(Y31,'Assumptions &amp; FX Reference'!$A$5:$A$25,0)),"(Currency?)"))),"(FX rate missing)")))</f>
        <v>35300</v>
      </c>
      <c r="AD31" s="39">
        <f>IF(NOT(ISNUMBER(AA31)),"(Not stated)",IF(NOT(ISNUMBER(Y31)),"(Cost year not stated)",IFERROR(IF(Z31="IRR",AA31,IF(Z31="USD",AA31*INDEX('Assumptions &amp; FX Reference'!$B$5:$B$25,MATCH(Y31,'Assumptions &amp; FX Reference'!$A$5:$A$25,0)),IF(Z31="EUR",AA31*INDEX('Assumptions &amp; FX Reference'!$C$5:$C$25,MATCH(Y31,'Assumptions &amp; FX Reference'!$A$5:$A$25,0)),"(Currency?)"))),"(FX rate missing)")))</f>
        <v>14826000000</v>
      </c>
      <c r="AE31" s="30" t="s">
        <v>356</v>
      </c>
      <c r="AF31" s="38" t="s">
        <v>197</v>
      </c>
      <c r="AG31" s="35">
        <f>IF(AND(Z31="EUR",N(AA31)&gt;5000000),"(Check currency – excluded)",IF(AND(ISNUMBER(AB31),ISNUMBER(AZ31),ISNUMBER(BA31)),IF(AND(BB31="Y",ISNUMBER('Assumptions &amp; FX Reference'!$I$15)),MAX(AB31*BA31/AZ31,'Assumptions &amp; FX Reference'!$I$13*BA31/'Assumptions &amp; FX Reference'!$I$15),AB31*BA31/AZ31),"(PPI/FX missing)"))</f>
        <v>28977.937291930466</v>
      </c>
      <c r="AH31" s="35">
        <f>IF(AND(ISNUMBER(AG31),ISNUMBER('Assumptions &amp; FX Reference'!$I$8),ISNUMBER('Assumptions &amp; FX Reference'!$I$11)),AG31*'Assumptions &amp; FX Reference'!$I$8/'Assumptions &amp; FX Reference'!$I$11,"")</f>
        <v>30594.415929172737</v>
      </c>
      <c r="AI31" s="35">
        <f>IF(AND(ISNUMBER(AG31),ISNUMBER('Assumptions &amp; FX Reference'!$I$8)),AG31*'Assumptions &amp; FX Reference'!$I$8,"")</f>
        <v>20147432505.085911</v>
      </c>
      <c r="AJ31" s="30" t="s">
        <v>357</v>
      </c>
      <c r="AK31" s="30" t="s">
        <v>358</v>
      </c>
      <c r="AL31" s="30" t="s">
        <v>119</v>
      </c>
      <c r="AM31" s="30" t="s">
        <v>119</v>
      </c>
      <c r="AN31" s="30" t="s">
        <v>119</v>
      </c>
      <c r="AO31" s="38" t="s">
        <v>305</v>
      </c>
      <c r="AP31" s="38" t="s">
        <v>305</v>
      </c>
      <c r="AQ31" s="38" t="s">
        <v>305</v>
      </c>
      <c r="AR31" s="30" t="s">
        <v>119</v>
      </c>
      <c r="AS31" s="33" t="str">
        <f t="shared" si="1"/>
        <v xml:space="preserve">Material missing; Seal missing; </v>
      </c>
      <c r="AT31" s="36">
        <f>IFERROR(INDEX(Factors_ROT!$F$5:$F$200,MATCH("MAT|"&amp;G31,Factors_ROT!$A$5:$A$200,0)),1)</f>
        <v>1</v>
      </c>
      <c r="AU31" s="36">
        <f>IFERROR(INDEX(Factors_ROT!$F$5:$F$200,MATCH("SEAL_ARR|"&amp;P31,Factors_ROT!$A$5:$A$200,0)),1)*IFERROR(INDEX(Factors_ROT!$F$5:$F$200,MATCH("SEAL_CAT|"&amp;Q31,Factors_ROT!$A$5:$A$200,0)),1)*IFERROR(INDEX(Factors_ROT!$F$5:$F$200,MATCH("SEAL_PLAN|"&amp;R31,Factors_ROT!$A$5:$A$200,0)),1)</f>
        <v>1</v>
      </c>
      <c r="AV31" s="36">
        <f>IFERROR(INDEX(Factors_ROT!$F$5:$F$200,MATCH("DRV|"&amp;S31,Factors_ROT!$A$5:$A$200,0)),1)*IFERROR(INDEX(Factors_ROT!$F$5:$F$200,MATCH("NACE|"&amp;O31,Factors_ROT!$A$5:$A$200,0)),1)</f>
        <v>1</v>
      </c>
      <c r="AW31" s="36">
        <f>IFERROR(INDEX(Factors_ROT!$F$5:$F$200,MATCH("SC_DRV|"&amp;AL31,Factors_ROT!$A$5:$A$200,0)),1)*IFERROR(INDEX(Factors_ROT!$F$5:$F$200,MATCH("SC_BSP|"&amp;AM31,Factors_ROT!$A$5:$A$200,0)),1)*IFERROR(INDEX(Factors_ROT!$F$5:$F$200,MATCH("SC_SEAL|"&amp;AN31,Factors_ROT!$A$5:$A$200,0)),1)*IFERROR(INDEX(Factors_ROT!$F$5:$F$200,MATCH("SC_COMM|"&amp;AO31,Factors_ROT!$A$5:$A$200,0)),1)*IFERROR(INDEX(Factors_ROT!$F$5:$F$200,MATCH("SC_2Y|"&amp;AP31,Factors_ROT!$A$5:$A$200,0)),1)*IFERROR(INDEX(Factors_ROT!$F$5:$F$200,MATCH("SC_TPI|"&amp;AQ31,Factors_ROT!$A$5:$A$200,0)),1)*IFERROR(INDEX(Factors_ROT!$F$5:$F$200,MATCH("SC_FAT|"&amp;AR31,Factors_ROT!$A$5:$A$200,0)),1)</f>
        <v>0.98</v>
      </c>
      <c r="AX31" s="36">
        <f t="shared" si="2"/>
        <v>0.98</v>
      </c>
      <c r="AY31" s="35">
        <f t="shared" si="3"/>
        <v>28571.428571428572</v>
      </c>
      <c r="AZ31" s="37">
        <f>IFERROR(IF(N(INDEX(Escalation_Index!$B$5:$B$25,MATCH(Y31,Escalation_Index!$A$5:$A$25,0)))&gt;0,INDEX(Escalation_Index!$B$5:$B$25,MATCH(Y31,Escalation_Index!$A$5:$A$25,0)),""),"")</f>
        <v>119.251</v>
      </c>
      <c r="BA31" s="37">
        <f>IF(ISNUMBER('Assumptions &amp; FX Reference'!$I$12),'Assumptions &amp; FX Reference'!$I$12,"")</f>
        <v>123.416</v>
      </c>
      <c r="BB31" s="33" t="str">
        <f t="shared" si="4"/>
        <v>N</v>
      </c>
      <c r="BC31" s="35">
        <f t="shared" si="5"/>
        <v>29569.323767275986</v>
      </c>
      <c r="BD31" s="35">
        <f>IF(AND(ISNUMBER(BC31),ISNUMBER(K31)),IF(K31&gt;0,BC31/K31^'Assumptions &amp; FX Reference'!$I$16,""),"")</f>
        <v>57508.630916681657</v>
      </c>
      <c r="BE31" s="30" t="s">
        <v>408</v>
      </c>
      <c r="BF31" s="30" t="s">
        <v>409</v>
      </c>
      <c r="BG31" s="30" t="s">
        <v>361</v>
      </c>
    </row>
    <row r="32" spans="1:59" ht="24" customHeight="1">
      <c r="A32" s="30">
        <v>28</v>
      </c>
      <c r="B32" s="30" t="s">
        <v>410</v>
      </c>
      <c r="C32" s="30" t="s">
        <v>353</v>
      </c>
      <c r="D32" s="30" t="s">
        <v>411</v>
      </c>
      <c r="E32" s="30" t="s">
        <v>50</v>
      </c>
      <c r="F32" s="30" t="s">
        <v>119</v>
      </c>
      <c r="G32" s="30" t="s">
        <v>119</v>
      </c>
      <c r="H32" s="31">
        <v>27.5</v>
      </c>
      <c r="I32" s="31"/>
      <c r="J32" s="31">
        <v>3.3</v>
      </c>
      <c r="K32" s="32">
        <f>IF(ISNUMBER(J32),J32,IF(AND(ISNUMBER(H32),ISNUMBER(I32)),H32*I32/(367*'Assumptions &amp; FX Reference'!$I$17),""))</f>
        <v>3.3</v>
      </c>
      <c r="L32" s="33" t="str">
        <f t="shared" si="0"/>
        <v>Not stated</v>
      </c>
      <c r="M32" s="30" t="s">
        <v>119</v>
      </c>
      <c r="N32" s="30" t="s">
        <v>296</v>
      </c>
      <c r="O32" s="30" t="s">
        <v>119</v>
      </c>
      <c r="P32" s="30" t="s">
        <v>119</v>
      </c>
      <c r="Q32" s="30" t="s">
        <v>119</v>
      </c>
      <c r="R32" s="30" t="s">
        <v>119</v>
      </c>
      <c r="S32" s="38" t="s">
        <v>297</v>
      </c>
      <c r="T32" s="30" t="s">
        <v>334</v>
      </c>
      <c r="U32" s="30">
        <v>2</v>
      </c>
      <c r="V32" s="38" t="s">
        <v>299</v>
      </c>
      <c r="W32" s="31">
        <v>4.3</v>
      </c>
      <c r="X32" s="30" t="s">
        <v>119</v>
      </c>
      <c r="Y32" s="38">
        <v>1402</v>
      </c>
      <c r="Z32" s="30" t="s">
        <v>355</v>
      </c>
      <c r="AA32" s="34">
        <v>53000</v>
      </c>
      <c r="AB32" s="35">
        <f>IF(NOT(ISNUMBER(AA32)),"(Not stated)",IF(NOT(ISNUMBER(Y32)),"(Cost year not stated)",IFERROR(IF(Z32="EUR",AA32,IF(Z32="IRR",AA32/INDEX('Assumptions &amp; FX Reference'!$C$5:$C$25,MATCH(Y32,'Assumptions &amp; FX Reference'!$A$5:$A$25,0)),IF(Z32="USD",AA32*INDEX('Assumptions &amp; FX Reference'!$B$5:$B$25,MATCH(Y32,'Assumptions &amp; FX Reference'!$A$5:$A$25,0))/INDEX('Assumptions &amp; FX Reference'!$C$5:$C$25,MATCH(Y32,'Assumptions &amp; FX Reference'!$A$5:$A$25,0)),"(Currency?)"))),"(FX rate missing)")))</f>
        <v>53000</v>
      </c>
      <c r="AC32" s="35">
        <f>IF(NOT(ISNUMBER(AA32)),"(Not stated)",IF(NOT(ISNUMBER(Y32)),"(Cost year not stated)",IFERROR(IF(Z32="USD",AA32,IF(Z32="IRR",AA32/INDEX('Assumptions &amp; FX Reference'!$B$5:$B$25,MATCH(Y32,'Assumptions &amp; FX Reference'!$A$5:$A$25,0)),IF(Z32="EUR",AA32*INDEX('Assumptions &amp; FX Reference'!$C$5:$C$25,MATCH(Y32,'Assumptions &amp; FX Reference'!$A$5:$A$25,0))/INDEX('Assumptions &amp; FX Reference'!$B$5:$B$25,MATCH(Y32,'Assumptions &amp; FX Reference'!$A$5:$A$25,0)),"(Currency?)"))),"(FX rate missing)")))</f>
        <v>66817.857142857145</v>
      </c>
      <c r="AD32" s="39">
        <f>IF(NOT(ISNUMBER(AA32)),"(Not stated)",IF(NOT(ISNUMBER(Y32)),"(Cost year not stated)",IFERROR(IF(Z32="IRR",AA32,IF(Z32="USD",AA32*INDEX('Assumptions &amp; FX Reference'!$B$5:$B$25,MATCH(Y32,'Assumptions &amp; FX Reference'!$A$5:$A$25,0)),IF(Z32="EUR",AA32*INDEX('Assumptions &amp; FX Reference'!$C$5:$C$25,MATCH(Y32,'Assumptions &amp; FX Reference'!$A$5:$A$25,0)),"(Currency?)"))),"(FX rate missing)")))</f>
        <v>28063500000</v>
      </c>
      <c r="AE32" s="30" t="s">
        <v>356</v>
      </c>
      <c r="AF32" s="38" t="s">
        <v>197</v>
      </c>
      <c r="AG32" s="35">
        <f>IF(AND(Z32="EUR",N(AA32)&gt;5000000),"(Check currency – excluded)",IF(AND(ISNUMBER(AB32),ISNUMBER(AZ32),ISNUMBER(BA32)),IF(AND(BB32="Y",ISNUMBER('Assumptions &amp; FX Reference'!$I$15)),MAX(AB32*BA32/AZ32,'Assumptions &amp; FX Reference'!$I$13*BA32/'Assumptions &amp; FX Reference'!$I$15),AB32*BA32/AZ32),"(PPI/FX missing)"))</f>
        <v>54851.09558829695</v>
      </c>
      <c r="AH32" s="35">
        <f>IF(AND(ISNUMBER(AG32),ISNUMBER('Assumptions &amp; FX Reference'!$I$8),ISNUMBER('Assumptions &amp; FX Reference'!$I$11)),AG32*'Assumptions &amp; FX Reference'!$I$8/'Assumptions &amp; FX Reference'!$I$11,"")</f>
        <v>57910.85872307697</v>
      </c>
      <c r="AI32" s="35">
        <f>IF(AND(ISNUMBER(AG32),ISNUMBER('Assumptions &amp; FX Reference'!$I$8)),AG32*'Assumptions &amp; FX Reference'!$I$8,"")</f>
        <v>38136211527.484047</v>
      </c>
      <c r="AJ32" s="30" t="s">
        <v>357</v>
      </c>
      <c r="AK32" s="30" t="s">
        <v>358</v>
      </c>
      <c r="AL32" s="30" t="s">
        <v>119</v>
      </c>
      <c r="AM32" s="30" t="s">
        <v>119</v>
      </c>
      <c r="AN32" s="30" t="s">
        <v>119</v>
      </c>
      <c r="AO32" s="38" t="s">
        <v>305</v>
      </c>
      <c r="AP32" s="38" t="s">
        <v>305</v>
      </c>
      <c r="AQ32" s="38" t="s">
        <v>305</v>
      </c>
      <c r="AR32" s="30" t="s">
        <v>119</v>
      </c>
      <c r="AS32" s="33" t="str">
        <f t="shared" si="1"/>
        <v xml:space="preserve">Material missing; Seal missing; </v>
      </c>
      <c r="AT32" s="36">
        <f>IFERROR(INDEX(Factors_ROT!$F$5:$F$200,MATCH("MAT|"&amp;G32,Factors_ROT!$A$5:$A$200,0)),1)</f>
        <v>1</v>
      </c>
      <c r="AU32" s="36">
        <f>IFERROR(INDEX(Factors_ROT!$F$5:$F$200,MATCH("SEAL_ARR|"&amp;P32,Factors_ROT!$A$5:$A$200,0)),1)*IFERROR(INDEX(Factors_ROT!$F$5:$F$200,MATCH("SEAL_CAT|"&amp;Q32,Factors_ROT!$A$5:$A$200,0)),1)*IFERROR(INDEX(Factors_ROT!$F$5:$F$200,MATCH("SEAL_PLAN|"&amp;R32,Factors_ROT!$A$5:$A$200,0)),1)</f>
        <v>1</v>
      </c>
      <c r="AV32" s="36">
        <f>IFERROR(INDEX(Factors_ROT!$F$5:$F$200,MATCH("DRV|"&amp;S32,Factors_ROT!$A$5:$A$200,0)),1)*IFERROR(INDEX(Factors_ROT!$F$5:$F$200,MATCH("NACE|"&amp;O32,Factors_ROT!$A$5:$A$200,0)),1)</f>
        <v>1</v>
      </c>
      <c r="AW32" s="36">
        <f>IFERROR(INDEX(Factors_ROT!$F$5:$F$200,MATCH("SC_DRV|"&amp;AL32,Factors_ROT!$A$5:$A$200,0)),1)*IFERROR(INDEX(Factors_ROT!$F$5:$F$200,MATCH("SC_BSP|"&amp;AM32,Factors_ROT!$A$5:$A$200,0)),1)*IFERROR(INDEX(Factors_ROT!$F$5:$F$200,MATCH("SC_SEAL|"&amp;AN32,Factors_ROT!$A$5:$A$200,0)),1)*IFERROR(INDEX(Factors_ROT!$F$5:$F$200,MATCH("SC_COMM|"&amp;AO32,Factors_ROT!$A$5:$A$200,0)),1)*IFERROR(INDEX(Factors_ROT!$F$5:$F$200,MATCH("SC_2Y|"&amp;AP32,Factors_ROT!$A$5:$A$200,0)),1)*IFERROR(INDEX(Factors_ROT!$F$5:$F$200,MATCH("SC_TPI|"&amp;AQ32,Factors_ROT!$A$5:$A$200,0)),1)*IFERROR(INDEX(Factors_ROT!$F$5:$F$200,MATCH("SC_FAT|"&amp;AR32,Factors_ROT!$A$5:$A$200,0)),1)</f>
        <v>0.98</v>
      </c>
      <c r="AX32" s="36">
        <f t="shared" si="2"/>
        <v>0.98</v>
      </c>
      <c r="AY32" s="35">
        <f t="shared" si="3"/>
        <v>54081.632653061228</v>
      </c>
      <c r="AZ32" s="37">
        <f>IFERROR(IF(N(INDEX(Escalation_Index!$B$5:$B$25,MATCH(Y32,Escalation_Index!$A$5:$A$25,0)))&gt;0,INDEX(Escalation_Index!$B$5:$B$25,MATCH(Y32,Escalation_Index!$A$5:$A$25,0)),""),"")</f>
        <v>119.251</v>
      </c>
      <c r="BA32" s="37">
        <f>IF(ISNUMBER('Assumptions &amp; FX Reference'!$I$12),'Assumptions &amp; FX Reference'!$I$12,"")</f>
        <v>123.416</v>
      </c>
      <c r="BB32" s="33" t="str">
        <f t="shared" si="4"/>
        <v>N</v>
      </c>
      <c r="BC32" s="35">
        <f t="shared" si="5"/>
        <v>55970.505702343828</v>
      </c>
      <c r="BD32" s="35">
        <f>IF(AND(ISNUMBER(BC32),ISNUMBER(K32)),IF(K32&gt;0,BC32/K32^'Assumptions &amp; FX Reference'!$I$16,""),"")</f>
        <v>27343.296192136298</v>
      </c>
      <c r="BE32" s="30" t="s">
        <v>412</v>
      </c>
      <c r="BF32" s="30" t="s">
        <v>413</v>
      </c>
      <c r="BG32" s="30" t="s">
        <v>361</v>
      </c>
    </row>
    <row r="33" spans="1:59" ht="24" customHeight="1">
      <c r="A33" s="30">
        <v>29</v>
      </c>
      <c r="B33" s="30" t="s">
        <v>414</v>
      </c>
      <c r="C33" s="30" t="s">
        <v>353</v>
      </c>
      <c r="D33" s="30" t="s">
        <v>415</v>
      </c>
      <c r="E33" s="30" t="s">
        <v>50</v>
      </c>
      <c r="F33" s="30" t="s">
        <v>119</v>
      </c>
      <c r="G33" s="30" t="s">
        <v>119</v>
      </c>
      <c r="H33" s="31">
        <v>5.5</v>
      </c>
      <c r="I33" s="31"/>
      <c r="J33" s="31">
        <v>0.11</v>
      </c>
      <c r="K33" s="32">
        <f>IF(ISNUMBER(J33),J33,IF(AND(ISNUMBER(H33),ISNUMBER(I33)),H33*I33/(367*'Assumptions &amp; FX Reference'!$I$17),""))</f>
        <v>0.11</v>
      </c>
      <c r="L33" s="33" t="str">
        <f t="shared" si="0"/>
        <v>Not stated</v>
      </c>
      <c r="M33" s="30" t="s">
        <v>119</v>
      </c>
      <c r="N33" s="30" t="s">
        <v>296</v>
      </c>
      <c r="O33" s="30" t="s">
        <v>119</v>
      </c>
      <c r="P33" s="30" t="s">
        <v>119</v>
      </c>
      <c r="Q33" s="30" t="s">
        <v>119</v>
      </c>
      <c r="R33" s="30" t="s">
        <v>119</v>
      </c>
      <c r="S33" s="38" t="s">
        <v>297</v>
      </c>
      <c r="T33" s="30" t="s">
        <v>334</v>
      </c>
      <c r="U33" s="30">
        <v>2</v>
      </c>
      <c r="V33" s="38" t="s">
        <v>299</v>
      </c>
      <c r="W33" s="31">
        <v>7</v>
      </c>
      <c r="X33" s="30" t="s">
        <v>119</v>
      </c>
      <c r="Y33" s="38">
        <v>1402</v>
      </c>
      <c r="Z33" s="30" t="s">
        <v>355</v>
      </c>
      <c r="AA33" s="34">
        <v>53000</v>
      </c>
      <c r="AB33" s="35">
        <f>IF(NOT(ISNUMBER(AA33)),"(Not stated)",IF(NOT(ISNUMBER(Y33)),"(Cost year not stated)",IFERROR(IF(Z33="EUR",AA33,IF(Z33="IRR",AA33/INDEX('Assumptions &amp; FX Reference'!$C$5:$C$25,MATCH(Y33,'Assumptions &amp; FX Reference'!$A$5:$A$25,0)),IF(Z33="USD",AA33*INDEX('Assumptions &amp; FX Reference'!$B$5:$B$25,MATCH(Y33,'Assumptions &amp; FX Reference'!$A$5:$A$25,0))/INDEX('Assumptions &amp; FX Reference'!$C$5:$C$25,MATCH(Y33,'Assumptions &amp; FX Reference'!$A$5:$A$25,0)),"(Currency?)"))),"(FX rate missing)")))</f>
        <v>53000</v>
      </c>
      <c r="AC33" s="35">
        <f>IF(NOT(ISNUMBER(AA33)),"(Not stated)",IF(NOT(ISNUMBER(Y33)),"(Cost year not stated)",IFERROR(IF(Z33="USD",AA33,IF(Z33="IRR",AA33/INDEX('Assumptions &amp; FX Reference'!$B$5:$B$25,MATCH(Y33,'Assumptions &amp; FX Reference'!$A$5:$A$25,0)),IF(Z33="EUR",AA33*INDEX('Assumptions &amp; FX Reference'!$C$5:$C$25,MATCH(Y33,'Assumptions &amp; FX Reference'!$A$5:$A$25,0))/INDEX('Assumptions &amp; FX Reference'!$B$5:$B$25,MATCH(Y33,'Assumptions &amp; FX Reference'!$A$5:$A$25,0)),"(Currency?)"))),"(FX rate missing)")))</f>
        <v>66817.857142857145</v>
      </c>
      <c r="AD33" s="39">
        <f>IF(NOT(ISNUMBER(AA33)),"(Not stated)",IF(NOT(ISNUMBER(Y33)),"(Cost year not stated)",IFERROR(IF(Z33="IRR",AA33,IF(Z33="USD",AA33*INDEX('Assumptions &amp; FX Reference'!$B$5:$B$25,MATCH(Y33,'Assumptions &amp; FX Reference'!$A$5:$A$25,0)),IF(Z33="EUR",AA33*INDEX('Assumptions &amp; FX Reference'!$C$5:$C$25,MATCH(Y33,'Assumptions &amp; FX Reference'!$A$5:$A$25,0)),"(Currency?)"))),"(FX rate missing)")))</f>
        <v>28063500000</v>
      </c>
      <c r="AE33" s="30" t="s">
        <v>356</v>
      </c>
      <c r="AF33" s="38" t="s">
        <v>197</v>
      </c>
      <c r="AG33" s="35">
        <f>IF(AND(Z33="EUR",N(AA33)&gt;5000000),"(Check currency – excluded)",IF(AND(ISNUMBER(AB33),ISNUMBER(AZ33),ISNUMBER(BA33)),IF(AND(BB33="Y",ISNUMBER('Assumptions &amp; FX Reference'!$I$15)),MAX(AB33*BA33/AZ33,'Assumptions &amp; FX Reference'!$I$13*BA33/'Assumptions &amp; FX Reference'!$I$15),AB33*BA33/AZ33),"(PPI/FX missing)"))</f>
        <v>54851.09558829695</v>
      </c>
      <c r="AH33" s="35">
        <f>IF(AND(ISNUMBER(AG33),ISNUMBER('Assumptions &amp; FX Reference'!$I$8),ISNUMBER('Assumptions &amp; FX Reference'!$I$11)),AG33*'Assumptions &amp; FX Reference'!$I$8/'Assumptions &amp; FX Reference'!$I$11,"")</f>
        <v>57910.85872307697</v>
      </c>
      <c r="AI33" s="35">
        <f>IF(AND(ISNUMBER(AG33),ISNUMBER('Assumptions &amp; FX Reference'!$I$8)),AG33*'Assumptions &amp; FX Reference'!$I$8,"")</f>
        <v>38136211527.484047</v>
      </c>
      <c r="AJ33" s="30" t="s">
        <v>357</v>
      </c>
      <c r="AK33" s="30" t="s">
        <v>358</v>
      </c>
      <c r="AL33" s="30" t="s">
        <v>119</v>
      </c>
      <c r="AM33" s="30" t="s">
        <v>119</v>
      </c>
      <c r="AN33" s="30" t="s">
        <v>119</v>
      </c>
      <c r="AO33" s="38" t="s">
        <v>305</v>
      </c>
      <c r="AP33" s="38" t="s">
        <v>305</v>
      </c>
      <c r="AQ33" s="38" t="s">
        <v>305</v>
      </c>
      <c r="AR33" s="30" t="s">
        <v>119</v>
      </c>
      <c r="AS33" s="33" t="str">
        <f t="shared" si="1"/>
        <v xml:space="preserve">Material missing; Seal missing; </v>
      </c>
      <c r="AT33" s="36">
        <f>IFERROR(INDEX(Factors_ROT!$F$5:$F$200,MATCH("MAT|"&amp;G33,Factors_ROT!$A$5:$A$200,0)),1)</f>
        <v>1</v>
      </c>
      <c r="AU33" s="36">
        <f>IFERROR(INDEX(Factors_ROT!$F$5:$F$200,MATCH("SEAL_ARR|"&amp;P33,Factors_ROT!$A$5:$A$200,0)),1)*IFERROR(INDEX(Factors_ROT!$F$5:$F$200,MATCH("SEAL_CAT|"&amp;Q33,Factors_ROT!$A$5:$A$200,0)),1)*IFERROR(INDEX(Factors_ROT!$F$5:$F$200,MATCH("SEAL_PLAN|"&amp;R33,Factors_ROT!$A$5:$A$200,0)),1)</f>
        <v>1</v>
      </c>
      <c r="AV33" s="36">
        <f>IFERROR(INDEX(Factors_ROT!$F$5:$F$200,MATCH("DRV|"&amp;S33,Factors_ROT!$A$5:$A$200,0)),1)*IFERROR(INDEX(Factors_ROT!$F$5:$F$200,MATCH("NACE|"&amp;O33,Factors_ROT!$A$5:$A$200,0)),1)</f>
        <v>1</v>
      </c>
      <c r="AW33" s="36">
        <f>IFERROR(INDEX(Factors_ROT!$F$5:$F$200,MATCH("SC_DRV|"&amp;AL33,Factors_ROT!$A$5:$A$200,0)),1)*IFERROR(INDEX(Factors_ROT!$F$5:$F$200,MATCH("SC_BSP|"&amp;AM33,Factors_ROT!$A$5:$A$200,0)),1)*IFERROR(INDEX(Factors_ROT!$F$5:$F$200,MATCH("SC_SEAL|"&amp;AN33,Factors_ROT!$A$5:$A$200,0)),1)*IFERROR(INDEX(Factors_ROT!$F$5:$F$200,MATCH("SC_COMM|"&amp;AO33,Factors_ROT!$A$5:$A$200,0)),1)*IFERROR(INDEX(Factors_ROT!$F$5:$F$200,MATCH("SC_2Y|"&amp;AP33,Factors_ROT!$A$5:$A$200,0)),1)*IFERROR(INDEX(Factors_ROT!$F$5:$F$200,MATCH("SC_TPI|"&amp;AQ33,Factors_ROT!$A$5:$A$200,0)),1)*IFERROR(INDEX(Factors_ROT!$F$5:$F$200,MATCH("SC_FAT|"&amp;AR33,Factors_ROT!$A$5:$A$200,0)),1)</f>
        <v>0.98</v>
      </c>
      <c r="AX33" s="36">
        <f t="shared" si="2"/>
        <v>0.98</v>
      </c>
      <c r="AY33" s="35">
        <f t="shared" si="3"/>
        <v>54081.632653061228</v>
      </c>
      <c r="AZ33" s="37">
        <f>IFERROR(IF(N(INDEX(Escalation_Index!$B$5:$B$25,MATCH(Y33,Escalation_Index!$A$5:$A$25,0)))&gt;0,INDEX(Escalation_Index!$B$5:$B$25,MATCH(Y33,Escalation_Index!$A$5:$A$25,0)),""),"")</f>
        <v>119.251</v>
      </c>
      <c r="BA33" s="37">
        <f>IF(ISNUMBER('Assumptions &amp; FX Reference'!$I$12),'Assumptions &amp; FX Reference'!$I$12,"")</f>
        <v>123.416</v>
      </c>
      <c r="BB33" s="33" t="str">
        <f t="shared" si="4"/>
        <v>N</v>
      </c>
      <c r="BC33" s="35">
        <f t="shared" si="5"/>
        <v>55970.505702343828</v>
      </c>
      <c r="BD33" s="35">
        <f>IF(AND(ISNUMBER(BC33),ISNUMBER(K33)),IF(K33&gt;0,BC33/K33^'Assumptions &amp; FX Reference'!$I$16,""),"")</f>
        <v>210437.73549953717</v>
      </c>
      <c r="BE33" s="30" t="s">
        <v>416</v>
      </c>
      <c r="BF33" s="30" t="s">
        <v>417</v>
      </c>
      <c r="BG33" s="30" t="s">
        <v>361</v>
      </c>
    </row>
    <row r="34" spans="1:59" ht="24" customHeight="1">
      <c r="A34" s="30">
        <v>30</v>
      </c>
      <c r="B34" s="30" t="s">
        <v>418</v>
      </c>
      <c r="C34" s="30" t="s">
        <v>353</v>
      </c>
      <c r="D34" s="30" t="s">
        <v>419</v>
      </c>
      <c r="E34" s="30" t="s">
        <v>44</v>
      </c>
      <c r="F34" s="30" t="s">
        <v>119</v>
      </c>
      <c r="G34" s="30" t="s">
        <v>119</v>
      </c>
      <c r="H34" s="31">
        <v>11</v>
      </c>
      <c r="I34" s="31"/>
      <c r="J34" s="31">
        <v>0.54</v>
      </c>
      <c r="K34" s="32">
        <f>IF(ISNUMBER(J34),J34,IF(AND(ISNUMBER(H34),ISNUMBER(I34)),H34*I34/(367*'Assumptions &amp; FX Reference'!$I$17),""))</f>
        <v>0.54</v>
      </c>
      <c r="L34" s="33" t="str">
        <f t="shared" si="0"/>
        <v>Not stated</v>
      </c>
      <c r="M34" s="30" t="s">
        <v>119</v>
      </c>
      <c r="N34" s="30" t="s">
        <v>296</v>
      </c>
      <c r="O34" s="30" t="s">
        <v>119</v>
      </c>
      <c r="P34" s="30" t="s">
        <v>119</v>
      </c>
      <c r="Q34" s="30" t="s">
        <v>119</v>
      </c>
      <c r="R34" s="30" t="s">
        <v>119</v>
      </c>
      <c r="S34" s="38" t="s">
        <v>297</v>
      </c>
      <c r="T34" s="30" t="s">
        <v>319</v>
      </c>
      <c r="U34" s="30">
        <v>2</v>
      </c>
      <c r="V34" s="38" t="s">
        <v>299</v>
      </c>
      <c r="W34" s="31">
        <v>1.8</v>
      </c>
      <c r="X34" s="30" t="s">
        <v>119</v>
      </c>
      <c r="Y34" s="38">
        <v>1402</v>
      </c>
      <c r="Z34" s="30" t="s">
        <v>355</v>
      </c>
      <c r="AA34" s="34">
        <v>29000</v>
      </c>
      <c r="AB34" s="35">
        <f>IF(NOT(ISNUMBER(AA34)),"(Not stated)",IF(NOT(ISNUMBER(Y34)),"(Cost year not stated)",IFERROR(IF(Z34="EUR",AA34,IF(Z34="IRR",AA34/INDEX('Assumptions &amp; FX Reference'!$C$5:$C$25,MATCH(Y34,'Assumptions &amp; FX Reference'!$A$5:$A$25,0)),IF(Z34="USD",AA34*INDEX('Assumptions &amp; FX Reference'!$B$5:$B$25,MATCH(Y34,'Assumptions &amp; FX Reference'!$A$5:$A$25,0))/INDEX('Assumptions &amp; FX Reference'!$C$5:$C$25,MATCH(Y34,'Assumptions &amp; FX Reference'!$A$5:$A$25,0)),"(Currency?)"))),"(FX rate missing)")))</f>
        <v>29000</v>
      </c>
      <c r="AC34" s="35">
        <f>IF(NOT(ISNUMBER(AA34)),"(Not stated)",IF(NOT(ISNUMBER(Y34)),"(Cost year not stated)",IFERROR(IF(Z34="USD",AA34,IF(Z34="IRR",AA34/INDEX('Assumptions &amp; FX Reference'!$B$5:$B$25,MATCH(Y34,'Assumptions &amp; FX Reference'!$A$5:$A$25,0)),IF(Z34="EUR",AA34*INDEX('Assumptions &amp; FX Reference'!$C$5:$C$25,MATCH(Y34,'Assumptions &amp; FX Reference'!$A$5:$A$25,0))/INDEX('Assumptions &amp; FX Reference'!$B$5:$B$25,MATCH(Y34,'Assumptions &amp; FX Reference'!$A$5:$A$25,0)),"(Currency?)"))),"(FX rate missing)")))</f>
        <v>36560.714285714283</v>
      </c>
      <c r="AD34" s="39">
        <f>IF(NOT(ISNUMBER(AA34)),"(Not stated)",IF(NOT(ISNUMBER(Y34)),"(Cost year not stated)",IFERROR(IF(Z34="IRR",AA34,IF(Z34="USD",AA34*INDEX('Assumptions &amp; FX Reference'!$B$5:$B$25,MATCH(Y34,'Assumptions &amp; FX Reference'!$A$5:$A$25,0)),IF(Z34="EUR",AA34*INDEX('Assumptions &amp; FX Reference'!$C$5:$C$25,MATCH(Y34,'Assumptions &amp; FX Reference'!$A$5:$A$25,0)),"(Currency?)"))),"(FX rate missing)")))</f>
        <v>15355500000</v>
      </c>
      <c r="AE34" s="30" t="s">
        <v>356</v>
      </c>
      <c r="AF34" s="38" t="s">
        <v>197</v>
      </c>
      <c r="AG34" s="35">
        <f>IF(AND(Z34="EUR",N(AA34)&gt;5000000),"(Check currency – excluded)",IF(AND(ISNUMBER(AB34),ISNUMBER(AZ34),ISNUMBER(BA34)),IF(AND(BB34="Y",ISNUMBER('Assumptions &amp; FX Reference'!$I$15)),MAX(AB34*BA34/AZ34,'Assumptions &amp; FX Reference'!$I$13*BA34/'Assumptions &amp; FX Reference'!$I$15),AB34*BA34/AZ34),"(PPI/FX missing)"))</f>
        <v>30012.863623785124</v>
      </c>
      <c r="AH34" s="35">
        <f>IF(AND(ISNUMBER(AG34),ISNUMBER('Assumptions &amp; FX Reference'!$I$8),ISNUMBER('Assumptions &amp; FX Reference'!$I$11)),AG34*'Assumptions &amp; FX Reference'!$I$8/'Assumptions &amp; FX Reference'!$I$11,"")</f>
        <v>31687.073640928906</v>
      </c>
      <c r="AI34" s="35">
        <f>IF(AND(ISNUMBER(AG34),ISNUMBER('Assumptions &amp; FX Reference'!$I$8)),AG34*'Assumptions &amp; FX Reference'!$I$8,"")</f>
        <v>20866983665.981834</v>
      </c>
      <c r="AJ34" s="30" t="s">
        <v>357</v>
      </c>
      <c r="AK34" s="30" t="s">
        <v>358</v>
      </c>
      <c r="AL34" s="30" t="s">
        <v>119</v>
      </c>
      <c r="AM34" s="30" t="s">
        <v>119</v>
      </c>
      <c r="AN34" s="30" t="s">
        <v>119</v>
      </c>
      <c r="AO34" s="38" t="s">
        <v>305</v>
      </c>
      <c r="AP34" s="38" t="s">
        <v>305</v>
      </c>
      <c r="AQ34" s="38" t="s">
        <v>305</v>
      </c>
      <c r="AR34" s="30" t="s">
        <v>119</v>
      </c>
      <c r="AS34" s="33" t="str">
        <f t="shared" si="1"/>
        <v xml:space="preserve">Material missing; Seal missing; </v>
      </c>
      <c r="AT34" s="36">
        <f>IFERROR(INDEX(Factors_ROT!$F$5:$F$200,MATCH("MAT|"&amp;G34,Factors_ROT!$A$5:$A$200,0)),1)</f>
        <v>1</v>
      </c>
      <c r="AU34" s="36">
        <f>IFERROR(INDEX(Factors_ROT!$F$5:$F$200,MATCH("SEAL_ARR|"&amp;P34,Factors_ROT!$A$5:$A$200,0)),1)*IFERROR(INDEX(Factors_ROT!$F$5:$F$200,MATCH("SEAL_CAT|"&amp;Q34,Factors_ROT!$A$5:$A$200,0)),1)*IFERROR(INDEX(Factors_ROT!$F$5:$F$200,MATCH("SEAL_PLAN|"&amp;R34,Factors_ROT!$A$5:$A$200,0)),1)</f>
        <v>1</v>
      </c>
      <c r="AV34" s="36">
        <f>IFERROR(INDEX(Factors_ROT!$F$5:$F$200,MATCH("DRV|"&amp;S34,Factors_ROT!$A$5:$A$200,0)),1)*IFERROR(INDEX(Factors_ROT!$F$5:$F$200,MATCH("NACE|"&amp;O34,Factors_ROT!$A$5:$A$200,0)),1)</f>
        <v>1</v>
      </c>
      <c r="AW34" s="36">
        <f>IFERROR(INDEX(Factors_ROT!$F$5:$F$200,MATCH("SC_DRV|"&amp;AL34,Factors_ROT!$A$5:$A$200,0)),1)*IFERROR(INDEX(Factors_ROT!$F$5:$F$200,MATCH("SC_BSP|"&amp;AM34,Factors_ROT!$A$5:$A$200,0)),1)*IFERROR(INDEX(Factors_ROT!$F$5:$F$200,MATCH("SC_SEAL|"&amp;AN34,Factors_ROT!$A$5:$A$200,0)),1)*IFERROR(INDEX(Factors_ROT!$F$5:$F$200,MATCH("SC_COMM|"&amp;AO34,Factors_ROT!$A$5:$A$200,0)),1)*IFERROR(INDEX(Factors_ROT!$F$5:$F$200,MATCH("SC_2Y|"&amp;AP34,Factors_ROT!$A$5:$A$200,0)),1)*IFERROR(INDEX(Factors_ROT!$F$5:$F$200,MATCH("SC_TPI|"&amp;AQ34,Factors_ROT!$A$5:$A$200,0)),1)*IFERROR(INDEX(Factors_ROT!$F$5:$F$200,MATCH("SC_FAT|"&amp;AR34,Factors_ROT!$A$5:$A$200,0)),1)</f>
        <v>0.98</v>
      </c>
      <c r="AX34" s="36">
        <f t="shared" si="2"/>
        <v>0.98</v>
      </c>
      <c r="AY34" s="35">
        <f t="shared" si="3"/>
        <v>29591.836734693879</v>
      </c>
      <c r="AZ34" s="37">
        <f>IFERROR(IF(N(INDEX(Escalation_Index!$B$5:$B$25,MATCH(Y34,Escalation_Index!$A$5:$A$25,0)))&gt;0,INDEX(Escalation_Index!$B$5:$B$25,MATCH(Y34,Escalation_Index!$A$5:$A$25,0)),""),"")</f>
        <v>119.251</v>
      </c>
      <c r="BA34" s="37">
        <f>IF(ISNUMBER('Assumptions &amp; FX Reference'!$I$12),'Assumptions &amp; FX Reference'!$I$12,"")</f>
        <v>123.416</v>
      </c>
      <c r="BB34" s="33" t="str">
        <f t="shared" si="4"/>
        <v>N</v>
      </c>
      <c r="BC34" s="35">
        <f t="shared" si="5"/>
        <v>30625.371044678697</v>
      </c>
      <c r="BD34" s="35">
        <f>IF(AND(ISNUMBER(BC34),ISNUMBER(K34)),IF(K34&gt;0,BC34/K34^'Assumptions &amp; FX Reference'!$I$16,""),"")</f>
        <v>44324.628390958038</v>
      </c>
      <c r="BE34" s="30" t="s">
        <v>420</v>
      </c>
      <c r="BF34" s="30" t="s">
        <v>421</v>
      </c>
      <c r="BG34" s="30" t="s">
        <v>361</v>
      </c>
    </row>
    <row r="35" spans="1:59" ht="24" customHeight="1">
      <c r="A35" s="30">
        <v>31</v>
      </c>
      <c r="B35" s="30" t="s">
        <v>422</v>
      </c>
      <c r="C35" s="30" t="s">
        <v>353</v>
      </c>
      <c r="D35" s="30" t="s">
        <v>423</v>
      </c>
      <c r="E35" s="30" t="s">
        <v>50</v>
      </c>
      <c r="F35" s="30" t="s">
        <v>119</v>
      </c>
      <c r="G35" s="30" t="s">
        <v>119</v>
      </c>
      <c r="H35" s="31">
        <v>11</v>
      </c>
      <c r="I35" s="31"/>
      <c r="J35" s="31">
        <v>0.8</v>
      </c>
      <c r="K35" s="32">
        <f>IF(ISNUMBER(J35),J35,IF(AND(ISNUMBER(H35),ISNUMBER(I35)),H35*I35/(367*'Assumptions &amp; FX Reference'!$I$17),""))</f>
        <v>0.8</v>
      </c>
      <c r="L35" s="33" t="str">
        <f t="shared" si="0"/>
        <v>Not stated</v>
      </c>
      <c r="M35" s="30" t="s">
        <v>119</v>
      </c>
      <c r="N35" s="30" t="s">
        <v>296</v>
      </c>
      <c r="O35" s="30" t="s">
        <v>119</v>
      </c>
      <c r="P35" s="30" t="s">
        <v>119</v>
      </c>
      <c r="Q35" s="30" t="s">
        <v>119</v>
      </c>
      <c r="R35" s="30" t="s">
        <v>119</v>
      </c>
      <c r="S35" s="38" t="s">
        <v>297</v>
      </c>
      <c r="T35" s="30" t="s">
        <v>424</v>
      </c>
      <c r="U35" s="30">
        <v>2</v>
      </c>
      <c r="V35" s="38" t="s">
        <v>299</v>
      </c>
      <c r="W35" s="31">
        <v>2.7</v>
      </c>
      <c r="X35" s="30" t="s">
        <v>119</v>
      </c>
      <c r="Y35" s="38">
        <v>1402</v>
      </c>
      <c r="Z35" s="30" t="s">
        <v>355</v>
      </c>
      <c r="AA35" s="34">
        <v>35000</v>
      </c>
      <c r="AB35" s="35">
        <f>IF(NOT(ISNUMBER(AA35)),"(Not stated)",IF(NOT(ISNUMBER(Y35)),"(Cost year not stated)",IFERROR(IF(Z35="EUR",AA35,IF(Z35="IRR",AA35/INDEX('Assumptions &amp; FX Reference'!$C$5:$C$25,MATCH(Y35,'Assumptions &amp; FX Reference'!$A$5:$A$25,0)),IF(Z35="USD",AA35*INDEX('Assumptions &amp; FX Reference'!$B$5:$B$25,MATCH(Y35,'Assumptions &amp; FX Reference'!$A$5:$A$25,0))/INDEX('Assumptions &amp; FX Reference'!$C$5:$C$25,MATCH(Y35,'Assumptions &amp; FX Reference'!$A$5:$A$25,0)),"(Currency?)"))),"(FX rate missing)")))</f>
        <v>35000</v>
      </c>
      <c r="AC35" s="35">
        <f>IF(NOT(ISNUMBER(AA35)),"(Not stated)",IF(NOT(ISNUMBER(Y35)),"(Cost year not stated)",IFERROR(IF(Z35="USD",AA35,IF(Z35="IRR",AA35/INDEX('Assumptions &amp; FX Reference'!$B$5:$B$25,MATCH(Y35,'Assumptions &amp; FX Reference'!$A$5:$A$25,0)),IF(Z35="EUR",AA35*INDEX('Assumptions &amp; FX Reference'!$C$5:$C$25,MATCH(Y35,'Assumptions &amp; FX Reference'!$A$5:$A$25,0))/INDEX('Assumptions &amp; FX Reference'!$B$5:$B$25,MATCH(Y35,'Assumptions &amp; FX Reference'!$A$5:$A$25,0)),"(Currency?)"))),"(FX rate missing)")))</f>
        <v>44125</v>
      </c>
      <c r="AD35" s="39">
        <f>IF(NOT(ISNUMBER(AA35)),"(Not stated)",IF(NOT(ISNUMBER(Y35)),"(Cost year not stated)",IFERROR(IF(Z35="IRR",AA35,IF(Z35="USD",AA35*INDEX('Assumptions &amp; FX Reference'!$B$5:$B$25,MATCH(Y35,'Assumptions &amp; FX Reference'!$A$5:$A$25,0)),IF(Z35="EUR",AA35*INDEX('Assumptions &amp; FX Reference'!$C$5:$C$25,MATCH(Y35,'Assumptions &amp; FX Reference'!$A$5:$A$25,0)),"(Currency?)"))),"(FX rate missing)")))</f>
        <v>18532500000</v>
      </c>
      <c r="AE35" s="30" t="s">
        <v>356</v>
      </c>
      <c r="AF35" s="38" t="s">
        <v>197</v>
      </c>
      <c r="AG35" s="35">
        <f>IF(AND(Z35="EUR",N(AA35)&gt;5000000),"(Check currency – excluded)",IF(AND(ISNUMBER(AB35),ISNUMBER(AZ35),ISNUMBER(BA35)),IF(AND(BB35="Y",ISNUMBER('Assumptions &amp; FX Reference'!$I$15)),MAX(AB35*BA35/AZ35,'Assumptions &amp; FX Reference'!$I$13*BA35/'Assumptions &amp; FX Reference'!$I$15),AB35*BA35/AZ35),"(PPI/FX missing)"))</f>
        <v>36222.421614913081</v>
      </c>
      <c r="AH35" s="35">
        <f>IF(AND(ISNUMBER(AG35),ISNUMBER('Assumptions &amp; FX Reference'!$I$8),ISNUMBER('Assumptions &amp; FX Reference'!$I$11)),AG35*'Assumptions &amp; FX Reference'!$I$8/'Assumptions &amp; FX Reference'!$I$11,"")</f>
        <v>38243.019911465919</v>
      </c>
      <c r="AI35" s="35">
        <f>IF(AND(ISNUMBER(AG35),ISNUMBER('Assumptions &amp; FX Reference'!$I$8)),AG35*'Assumptions &amp; FX Reference'!$I$8,"")</f>
        <v>25184290631.357388</v>
      </c>
      <c r="AJ35" s="30" t="s">
        <v>357</v>
      </c>
      <c r="AK35" s="30" t="s">
        <v>358</v>
      </c>
      <c r="AL35" s="30" t="s">
        <v>119</v>
      </c>
      <c r="AM35" s="30" t="s">
        <v>119</v>
      </c>
      <c r="AN35" s="30" t="s">
        <v>119</v>
      </c>
      <c r="AO35" s="38" t="s">
        <v>305</v>
      </c>
      <c r="AP35" s="38" t="s">
        <v>305</v>
      </c>
      <c r="AQ35" s="38" t="s">
        <v>305</v>
      </c>
      <c r="AR35" s="30" t="s">
        <v>119</v>
      </c>
      <c r="AS35" s="33" t="str">
        <f t="shared" si="1"/>
        <v xml:space="preserve">Material missing; Seal missing; </v>
      </c>
      <c r="AT35" s="36">
        <f>IFERROR(INDEX(Factors_ROT!$F$5:$F$200,MATCH("MAT|"&amp;G35,Factors_ROT!$A$5:$A$200,0)),1)</f>
        <v>1</v>
      </c>
      <c r="AU35" s="36">
        <f>IFERROR(INDEX(Factors_ROT!$F$5:$F$200,MATCH("SEAL_ARR|"&amp;P35,Factors_ROT!$A$5:$A$200,0)),1)*IFERROR(INDEX(Factors_ROT!$F$5:$F$200,MATCH("SEAL_CAT|"&amp;Q35,Factors_ROT!$A$5:$A$200,0)),1)*IFERROR(INDEX(Factors_ROT!$F$5:$F$200,MATCH("SEAL_PLAN|"&amp;R35,Factors_ROT!$A$5:$A$200,0)),1)</f>
        <v>1</v>
      </c>
      <c r="AV35" s="36">
        <f>IFERROR(INDEX(Factors_ROT!$F$5:$F$200,MATCH("DRV|"&amp;S35,Factors_ROT!$A$5:$A$200,0)),1)*IFERROR(INDEX(Factors_ROT!$F$5:$F$200,MATCH("NACE|"&amp;O35,Factors_ROT!$A$5:$A$200,0)),1)</f>
        <v>1</v>
      </c>
      <c r="AW35" s="36">
        <f>IFERROR(INDEX(Factors_ROT!$F$5:$F$200,MATCH("SC_DRV|"&amp;AL35,Factors_ROT!$A$5:$A$200,0)),1)*IFERROR(INDEX(Factors_ROT!$F$5:$F$200,MATCH("SC_BSP|"&amp;AM35,Factors_ROT!$A$5:$A$200,0)),1)*IFERROR(INDEX(Factors_ROT!$F$5:$F$200,MATCH("SC_SEAL|"&amp;AN35,Factors_ROT!$A$5:$A$200,0)),1)*IFERROR(INDEX(Factors_ROT!$F$5:$F$200,MATCH("SC_COMM|"&amp;AO35,Factors_ROT!$A$5:$A$200,0)),1)*IFERROR(INDEX(Factors_ROT!$F$5:$F$200,MATCH("SC_2Y|"&amp;AP35,Factors_ROT!$A$5:$A$200,0)),1)*IFERROR(INDEX(Factors_ROT!$F$5:$F$200,MATCH("SC_TPI|"&amp;AQ35,Factors_ROT!$A$5:$A$200,0)),1)*IFERROR(INDEX(Factors_ROT!$F$5:$F$200,MATCH("SC_FAT|"&amp;AR35,Factors_ROT!$A$5:$A$200,0)),1)</f>
        <v>0.98</v>
      </c>
      <c r="AX35" s="36">
        <f t="shared" si="2"/>
        <v>0.98</v>
      </c>
      <c r="AY35" s="35">
        <f t="shared" si="3"/>
        <v>35714.285714285717</v>
      </c>
      <c r="AZ35" s="37">
        <f>IFERROR(IF(N(INDEX(Escalation_Index!$B$5:$B$25,MATCH(Y35,Escalation_Index!$A$5:$A$25,0)))&gt;0,INDEX(Escalation_Index!$B$5:$B$25,MATCH(Y35,Escalation_Index!$A$5:$A$25,0)),""),"")</f>
        <v>119.251</v>
      </c>
      <c r="BA35" s="37">
        <f>IF(ISNUMBER('Assumptions &amp; FX Reference'!$I$12),'Assumptions &amp; FX Reference'!$I$12,"")</f>
        <v>123.416</v>
      </c>
      <c r="BB35" s="33" t="str">
        <f t="shared" si="4"/>
        <v>N</v>
      </c>
      <c r="BC35" s="35">
        <f t="shared" si="5"/>
        <v>36961.654709094983</v>
      </c>
      <c r="BD35" s="35">
        <f>IF(AND(ISNUMBER(BC35),ISNUMBER(K35)),IF(K35&gt;0,BC35/K35^'Assumptions &amp; FX Reference'!$I$16,""),"")</f>
        <v>42256.878565156469</v>
      </c>
      <c r="BE35" s="30" t="s">
        <v>425</v>
      </c>
      <c r="BF35" s="30" t="s">
        <v>426</v>
      </c>
      <c r="BG35" s="30" t="s">
        <v>361</v>
      </c>
    </row>
    <row r="36" spans="1:59" ht="24" customHeight="1">
      <c r="A36" s="30">
        <v>32</v>
      </c>
      <c r="B36" s="30" t="s">
        <v>427</v>
      </c>
      <c r="C36" s="30" t="s">
        <v>353</v>
      </c>
      <c r="D36" s="30" t="s">
        <v>428</v>
      </c>
      <c r="E36" s="30" t="s">
        <v>50</v>
      </c>
      <c r="F36" s="30" t="s">
        <v>119</v>
      </c>
      <c r="G36" s="30" t="s">
        <v>119</v>
      </c>
      <c r="H36" s="31">
        <v>1</v>
      </c>
      <c r="I36" s="31"/>
      <c r="J36" s="31">
        <v>0.02</v>
      </c>
      <c r="K36" s="32">
        <f>IF(ISNUMBER(J36),J36,IF(AND(ISNUMBER(H36),ISNUMBER(I36)),H36*I36/(367*'Assumptions &amp; FX Reference'!$I$17),""))</f>
        <v>0.02</v>
      </c>
      <c r="L36" s="33" t="str">
        <f t="shared" si="0"/>
        <v>Not stated</v>
      </c>
      <c r="M36" s="30" t="s">
        <v>119</v>
      </c>
      <c r="N36" s="30" t="s">
        <v>296</v>
      </c>
      <c r="O36" s="30" t="s">
        <v>119</v>
      </c>
      <c r="P36" s="30" t="s">
        <v>119</v>
      </c>
      <c r="Q36" s="30" t="s">
        <v>119</v>
      </c>
      <c r="R36" s="30" t="s">
        <v>119</v>
      </c>
      <c r="S36" s="38" t="s">
        <v>297</v>
      </c>
      <c r="T36" s="30" t="s">
        <v>334</v>
      </c>
      <c r="U36" s="30">
        <v>1</v>
      </c>
      <c r="V36" s="38" t="s">
        <v>299</v>
      </c>
      <c r="W36" s="31">
        <v>0.84</v>
      </c>
      <c r="X36" s="30" t="s">
        <v>119</v>
      </c>
      <c r="Y36" s="38">
        <v>1402</v>
      </c>
      <c r="Z36" s="30" t="s">
        <v>355</v>
      </c>
      <c r="AA36" s="34">
        <v>13350</v>
      </c>
      <c r="AB36" s="35">
        <f>IF(NOT(ISNUMBER(AA36)),"(Not stated)",IF(NOT(ISNUMBER(Y36)),"(Cost year not stated)",IFERROR(IF(Z36="EUR",AA36,IF(Z36="IRR",AA36/INDEX('Assumptions &amp; FX Reference'!$C$5:$C$25,MATCH(Y36,'Assumptions &amp; FX Reference'!$A$5:$A$25,0)),IF(Z36="USD",AA36*INDEX('Assumptions &amp; FX Reference'!$B$5:$B$25,MATCH(Y36,'Assumptions &amp; FX Reference'!$A$5:$A$25,0))/INDEX('Assumptions &amp; FX Reference'!$C$5:$C$25,MATCH(Y36,'Assumptions &amp; FX Reference'!$A$5:$A$25,0)),"(Currency?)"))),"(FX rate missing)")))</f>
        <v>13350</v>
      </c>
      <c r="AC36" s="35">
        <f>IF(NOT(ISNUMBER(AA36)),"(Not stated)",IF(NOT(ISNUMBER(Y36)),"(Cost year not stated)",IFERROR(IF(Z36="USD",AA36,IF(Z36="IRR",AA36/INDEX('Assumptions &amp; FX Reference'!$B$5:$B$25,MATCH(Y36,'Assumptions &amp; FX Reference'!$A$5:$A$25,0)),IF(Z36="EUR",AA36*INDEX('Assumptions &amp; FX Reference'!$C$5:$C$25,MATCH(Y36,'Assumptions &amp; FX Reference'!$A$5:$A$25,0))/INDEX('Assumptions &amp; FX Reference'!$B$5:$B$25,MATCH(Y36,'Assumptions &amp; FX Reference'!$A$5:$A$25,0)),"(Currency?)"))),"(FX rate missing)")))</f>
        <v>16830.535714285714</v>
      </c>
      <c r="AD36" s="39">
        <f>IF(NOT(ISNUMBER(AA36)),"(Not stated)",IF(NOT(ISNUMBER(Y36)),"(Cost year not stated)",IFERROR(IF(Z36="IRR",AA36,IF(Z36="USD",AA36*INDEX('Assumptions &amp; FX Reference'!$B$5:$B$25,MATCH(Y36,'Assumptions &amp; FX Reference'!$A$5:$A$25,0)),IF(Z36="EUR",AA36*INDEX('Assumptions &amp; FX Reference'!$C$5:$C$25,MATCH(Y36,'Assumptions &amp; FX Reference'!$A$5:$A$25,0)),"(Currency?)"))),"(FX rate missing)")))</f>
        <v>7068825000</v>
      </c>
      <c r="AE36" s="30" t="s">
        <v>356</v>
      </c>
      <c r="AF36" s="38" t="s">
        <v>197</v>
      </c>
      <c r="AG36" s="35">
        <f>IF(AND(Z36="EUR",N(AA36)&gt;5000000),"(Check currency – excluded)",IF(AND(ISNUMBER(AB36),ISNUMBER(AZ36),ISNUMBER(BA36)),IF(AND(BB36="Y",ISNUMBER('Assumptions &amp; FX Reference'!$I$15)),MAX(AB36*BA36/AZ36,'Assumptions &amp; FX Reference'!$I$13*BA36/'Assumptions &amp; FX Reference'!$I$15),AB36*BA36/AZ36),"(PPI/FX missing)"))</f>
        <v>13816.266530259703</v>
      </c>
      <c r="AH36" s="35">
        <f>IF(AND(ISNUMBER(AG36),ISNUMBER('Assumptions &amp; FX Reference'!$I$8),ISNUMBER('Assumptions &amp; FX Reference'!$I$11)),AG36*'Assumptions &amp; FX Reference'!$I$8/'Assumptions &amp; FX Reference'!$I$11,"")</f>
        <v>14586.980451944859</v>
      </c>
      <c r="AI36" s="35">
        <f>IF(AND(ISNUMBER(AG36),ISNUMBER('Assumptions &amp; FX Reference'!$I$8)),AG36*'Assumptions &amp; FX Reference'!$I$8,"")</f>
        <v>9606007997.9606037</v>
      </c>
      <c r="AJ36" s="30" t="s">
        <v>357</v>
      </c>
      <c r="AK36" s="30" t="s">
        <v>358</v>
      </c>
      <c r="AL36" s="30" t="s">
        <v>119</v>
      </c>
      <c r="AM36" s="30" t="s">
        <v>119</v>
      </c>
      <c r="AN36" s="30" t="s">
        <v>119</v>
      </c>
      <c r="AO36" s="38" t="s">
        <v>305</v>
      </c>
      <c r="AP36" s="38" t="s">
        <v>305</v>
      </c>
      <c r="AQ36" s="38" t="s">
        <v>305</v>
      </c>
      <c r="AR36" s="30" t="s">
        <v>119</v>
      </c>
      <c r="AS36" s="33" t="str">
        <f t="shared" si="1"/>
        <v xml:space="preserve">Material missing; Seal missing; </v>
      </c>
      <c r="AT36" s="36">
        <f>IFERROR(INDEX(Factors_ROT!$F$5:$F$200,MATCH("MAT|"&amp;G36,Factors_ROT!$A$5:$A$200,0)),1)</f>
        <v>1</v>
      </c>
      <c r="AU36" s="36">
        <f>IFERROR(INDEX(Factors_ROT!$F$5:$F$200,MATCH("SEAL_ARR|"&amp;P36,Factors_ROT!$A$5:$A$200,0)),1)*IFERROR(INDEX(Factors_ROT!$F$5:$F$200,MATCH("SEAL_CAT|"&amp;Q36,Factors_ROT!$A$5:$A$200,0)),1)*IFERROR(INDEX(Factors_ROT!$F$5:$F$200,MATCH("SEAL_PLAN|"&amp;R36,Factors_ROT!$A$5:$A$200,0)),1)</f>
        <v>1</v>
      </c>
      <c r="AV36" s="36">
        <f>IFERROR(INDEX(Factors_ROT!$F$5:$F$200,MATCH("DRV|"&amp;S36,Factors_ROT!$A$5:$A$200,0)),1)*IFERROR(INDEX(Factors_ROT!$F$5:$F$200,MATCH("NACE|"&amp;O36,Factors_ROT!$A$5:$A$200,0)),1)</f>
        <v>1</v>
      </c>
      <c r="AW36" s="36">
        <f>IFERROR(INDEX(Factors_ROT!$F$5:$F$200,MATCH("SC_DRV|"&amp;AL36,Factors_ROT!$A$5:$A$200,0)),1)*IFERROR(INDEX(Factors_ROT!$F$5:$F$200,MATCH("SC_BSP|"&amp;AM36,Factors_ROT!$A$5:$A$200,0)),1)*IFERROR(INDEX(Factors_ROT!$F$5:$F$200,MATCH("SC_SEAL|"&amp;AN36,Factors_ROT!$A$5:$A$200,0)),1)*IFERROR(INDEX(Factors_ROT!$F$5:$F$200,MATCH("SC_COMM|"&amp;AO36,Factors_ROT!$A$5:$A$200,0)),1)*IFERROR(INDEX(Factors_ROT!$F$5:$F$200,MATCH("SC_2Y|"&amp;AP36,Factors_ROT!$A$5:$A$200,0)),1)*IFERROR(INDEX(Factors_ROT!$F$5:$F$200,MATCH("SC_TPI|"&amp;AQ36,Factors_ROT!$A$5:$A$200,0)),1)*IFERROR(INDEX(Factors_ROT!$F$5:$F$200,MATCH("SC_FAT|"&amp;AR36,Factors_ROT!$A$5:$A$200,0)),1)</f>
        <v>0.98</v>
      </c>
      <c r="AX36" s="36">
        <f t="shared" si="2"/>
        <v>0.98</v>
      </c>
      <c r="AY36" s="35">
        <f t="shared" si="3"/>
        <v>13622.448979591836</v>
      </c>
      <c r="AZ36" s="37">
        <f>IFERROR(IF(N(INDEX(Escalation_Index!$B$5:$B$25,MATCH(Y36,Escalation_Index!$A$5:$A$25,0)))&gt;0,INDEX(Escalation_Index!$B$5:$B$25,MATCH(Y36,Escalation_Index!$A$5:$A$25,0)),""),"")</f>
        <v>119.251</v>
      </c>
      <c r="BA36" s="37">
        <f>IF(ISNUMBER('Assumptions &amp; FX Reference'!$I$12),'Assumptions &amp; FX Reference'!$I$12,"")</f>
        <v>123.416</v>
      </c>
      <c r="BB36" s="33" t="str">
        <f t="shared" si="4"/>
        <v>N</v>
      </c>
      <c r="BC36" s="35">
        <f t="shared" si="5"/>
        <v>14098.231153326227</v>
      </c>
      <c r="BD36" s="35">
        <f>IF(AND(ISNUMBER(BC36),ISNUMBER(K36)),IF(K36&gt;0,BC36/K36^'Assumptions &amp; FX Reference'!$I$16,""),"")</f>
        <v>147416.68115492389</v>
      </c>
      <c r="BE36" s="30" t="s">
        <v>429</v>
      </c>
      <c r="BF36" s="30" t="s">
        <v>430</v>
      </c>
      <c r="BG36" s="30" t="s">
        <v>361</v>
      </c>
    </row>
    <row r="37" spans="1:59" ht="24" customHeight="1">
      <c r="A37" s="30">
        <v>33</v>
      </c>
      <c r="B37" s="30" t="s">
        <v>431</v>
      </c>
      <c r="C37" s="30" t="s">
        <v>353</v>
      </c>
      <c r="D37" s="30" t="s">
        <v>432</v>
      </c>
      <c r="E37" s="30" t="s">
        <v>50</v>
      </c>
      <c r="F37" s="30" t="s">
        <v>119</v>
      </c>
      <c r="G37" s="30" t="s">
        <v>119</v>
      </c>
      <c r="H37" s="31">
        <v>5</v>
      </c>
      <c r="I37" s="31"/>
      <c r="J37" s="31">
        <v>0.3</v>
      </c>
      <c r="K37" s="32">
        <f>IF(ISNUMBER(J37),J37,IF(AND(ISNUMBER(H37),ISNUMBER(I37)),H37*I37/(367*'Assumptions &amp; FX Reference'!$I$17),""))</f>
        <v>0.3</v>
      </c>
      <c r="L37" s="33" t="str">
        <f t="shared" ref="L37:L68" si="6">IF(IF(OR(M37="Not stated",M37=""),""," + "&amp;M37)&amp;IF(OR(N37="None",N37=""),""," + "&amp;N37)&amp;IF(O37="Y"," + NACE MR0175","")="","Not stated",MID(IF(OR(M37="Not stated",M37=""),""," + "&amp;M37)&amp;IF(OR(N37="None",N37=""),""," + "&amp;N37)&amp;IF(O37="Y"," + NACE MR0175",""),4,300))</f>
        <v>Not stated</v>
      </c>
      <c r="M37" s="30" t="s">
        <v>119</v>
      </c>
      <c r="N37" s="30" t="s">
        <v>296</v>
      </c>
      <c r="O37" s="30" t="s">
        <v>119</v>
      </c>
      <c r="P37" s="30" t="s">
        <v>119</v>
      </c>
      <c r="Q37" s="30" t="s">
        <v>119</v>
      </c>
      <c r="R37" s="30" t="s">
        <v>119</v>
      </c>
      <c r="S37" s="38" t="s">
        <v>297</v>
      </c>
      <c r="T37" s="30" t="s">
        <v>424</v>
      </c>
      <c r="U37" s="30">
        <v>2</v>
      </c>
      <c r="V37" s="38" t="s">
        <v>299</v>
      </c>
      <c r="W37" s="31">
        <v>2</v>
      </c>
      <c r="X37" s="30" t="s">
        <v>119</v>
      </c>
      <c r="Y37" s="38">
        <v>1402</v>
      </c>
      <c r="Z37" s="30" t="s">
        <v>355</v>
      </c>
      <c r="AA37" s="34">
        <v>31000</v>
      </c>
      <c r="AB37" s="35">
        <f>IF(NOT(ISNUMBER(AA37)),"(Not stated)",IF(NOT(ISNUMBER(Y37)),"(Cost year not stated)",IFERROR(IF(Z37="EUR",AA37,IF(Z37="IRR",AA37/INDEX('Assumptions &amp; FX Reference'!$C$5:$C$25,MATCH(Y37,'Assumptions &amp; FX Reference'!$A$5:$A$25,0)),IF(Z37="USD",AA37*INDEX('Assumptions &amp; FX Reference'!$B$5:$B$25,MATCH(Y37,'Assumptions &amp; FX Reference'!$A$5:$A$25,0))/INDEX('Assumptions &amp; FX Reference'!$C$5:$C$25,MATCH(Y37,'Assumptions &amp; FX Reference'!$A$5:$A$25,0)),"(Currency?)"))),"(FX rate missing)")))</f>
        <v>31000</v>
      </c>
      <c r="AC37" s="35">
        <f>IF(NOT(ISNUMBER(AA37)),"(Not stated)",IF(NOT(ISNUMBER(Y37)),"(Cost year not stated)",IFERROR(IF(Z37="USD",AA37,IF(Z37="IRR",AA37/INDEX('Assumptions &amp; FX Reference'!$B$5:$B$25,MATCH(Y37,'Assumptions &amp; FX Reference'!$A$5:$A$25,0)),IF(Z37="EUR",AA37*INDEX('Assumptions &amp; FX Reference'!$C$5:$C$25,MATCH(Y37,'Assumptions &amp; FX Reference'!$A$5:$A$25,0))/INDEX('Assumptions &amp; FX Reference'!$B$5:$B$25,MATCH(Y37,'Assumptions &amp; FX Reference'!$A$5:$A$25,0)),"(Currency?)"))),"(FX rate missing)")))</f>
        <v>39082.142857142855</v>
      </c>
      <c r="AD37" s="39">
        <f>IF(NOT(ISNUMBER(AA37)),"(Not stated)",IF(NOT(ISNUMBER(Y37)),"(Cost year not stated)",IFERROR(IF(Z37="IRR",AA37,IF(Z37="USD",AA37*INDEX('Assumptions &amp; FX Reference'!$B$5:$B$25,MATCH(Y37,'Assumptions &amp; FX Reference'!$A$5:$A$25,0)),IF(Z37="EUR",AA37*INDEX('Assumptions &amp; FX Reference'!$C$5:$C$25,MATCH(Y37,'Assumptions &amp; FX Reference'!$A$5:$A$25,0)),"(Currency?)"))),"(FX rate missing)")))</f>
        <v>16414500000</v>
      </c>
      <c r="AE37" s="30" t="s">
        <v>356</v>
      </c>
      <c r="AF37" s="38" t="s">
        <v>197</v>
      </c>
      <c r="AG37" s="35">
        <f>IF(AND(Z37="EUR",N(AA37)&gt;5000000),"(Check currency – excluded)",IF(AND(ISNUMBER(AB37),ISNUMBER(AZ37),ISNUMBER(BA37)),IF(AND(BB37="Y",ISNUMBER('Assumptions &amp; FX Reference'!$I$15)),MAX(AB37*BA37/AZ37,'Assumptions &amp; FX Reference'!$I$13*BA37/'Assumptions &amp; FX Reference'!$I$15),AB37*BA37/AZ37),"(PPI/FX missing)"))</f>
        <v>32082.716287494444</v>
      </c>
      <c r="AH37" s="35">
        <f>IF(AND(ISNUMBER(AG37),ISNUMBER('Assumptions &amp; FX Reference'!$I$8),ISNUMBER('Assumptions &amp; FX Reference'!$I$11)),AG37*'Assumptions &amp; FX Reference'!$I$8/'Assumptions &amp; FX Reference'!$I$11,"")</f>
        <v>33872.389064441246</v>
      </c>
      <c r="AI37" s="35">
        <f>IF(AND(ISNUMBER(AG37),ISNUMBER('Assumptions &amp; FX Reference'!$I$8)),AG37*'Assumptions &amp; FX Reference'!$I$8,"")</f>
        <v>22306085987.773685</v>
      </c>
      <c r="AJ37" s="30" t="s">
        <v>357</v>
      </c>
      <c r="AK37" s="30" t="s">
        <v>358</v>
      </c>
      <c r="AL37" s="30" t="s">
        <v>119</v>
      </c>
      <c r="AM37" s="30" t="s">
        <v>119</v>
      </c>
      <c r="AN37" s="30" t="s">
        <v>119</v>
      </c>
      <c r="AO37" s="38" t="s">
        <v>305</v>
      </c>
      <c r="AP37" s="38" t="s">
        <v>305</v>
      </c>
      <c r="AQ37" s="38" t="s">
        <v>305</v>
      </c>
      <c r="AR37" s="30" t="s">
        <v>119</v>
      </c>
      <c r="AS37" s="33" t="str">
        <f t="shared" ref="AS37:AS68" si="7">IF(AND(Z37="EUR",N(AA37)&gt;5000000),"Check currency (EUR&gt;5M); ","")&amp;IF(NOT(ISNUMBER(AA37)),"No price; ","")&amp;IF(G37="Not stated","Material missing; ","")&amp;IF(P37="Not stated","Seal missing; ","")&amp;IF(K37="","Size driver missing; ","")&amp;IF(NOT(ISNUMBER(AZ37)),"Base-year PPI missing; ","")</f>
        <v xml:space="preserve">Material missing; Seal missing; </v>
      </c>
      <c r="AT37" s="36">
        <f>IFERROR(INDEX(Factors_ROT!$F$5:$F$200,MATCH("MAT|"&amp;G37,Factors_ROT!$A$5:$A$200,0)),1)</f>
        <v>1</v>
      </c>
      <c r="AU37" s="36">
        <f>IFERROR(INDEX(Factors_ROT!$F$5:$F$200,MATCH("SEAL_ARR|"&amp;P37,Factors_ROT!$A$5:$A$200,0)),1)*IFERROR(INDEX(Factors_ROT!$F$5:$F$200,MATCH("SEAL_CAT|"&amp;Q37,Factors_ROT!$A$5:$A$200,0)),1)*IFERROR(INDEX(Factors_ROT!$F$5:$F$200,MATCH("SEAL_PLAN|"&amp;R37,Factors_ROT!$A$5:$A$200,0)),1)</f>
        <v>1</v>
      </c>
      <c r="AV37" s="36">
        <f>IFERROR(INDEX(Factors_ROT!$F$5:$F$200,MATCH("DRV|"&amp;S37,Factors_ROT!$A$5:$A$200,0)),1)*IFERROR(INDEX(Factors_ROT!$F$5:$F$200,MATCH("NACE|"&amp;O37,Factors_ROT!$A$5:$A$200,0)),1)</f>
        <v>1</v>
      </c>
      <c r="AW37" s="36">
        <f>IFERROR(INDEX(Factors_ROT!$F$5:$F$200,MATCH("SC_DRV|"&amp;AL37,Factors_ROT!$A$5:$A$200,0)),1)*IFERROR(INDEX(Factors_ROT!$F$5:$F$200,MATCH("SC_BSP|"&amp;AM37,Factors_ROT!$A$5:$A$200,0)),1)*IFERROR(INDEX(Factors_ROT!$F$5:$F$200,MATCH("SC_SEAL|"&amp;AN37,Factors_ROT!$A$5:$A$200,0)),1)*IFERROR(INDEX(Factors_ROT!$F$5:$F$200,MATCH("SC_COMM|"&amp;AO37,Factors_ROT!$A$5:$A$200,0)),1)*IFERROR(INDEX(Factors_ROT!$F$5:$F$200,MATCH("SC_2Y|"&amp;AP37,Factors_ROT!$A$5:$A$200,0)),1)*IFERROR(INDEX(Factors_ROT!$F$5:$F$200,MATCH("SC_TPI|"&amp;AQ37,Factors_ROT!$A$5:$A$200,0)),1)*IFERROR(INDEX(Factors_ROT!$F$5:$F$200,MATCH("SC_FAT|"&amp;AR37,Factors_ROT!$A$5:$A$200,0)),1)</f>
        <v>0.98</v>
      </c>
      <c r="AX37" s="36">
        <f t="shared" ref="AX37:AX68" si="8">AT37*AU37*AV37*AW37</f>
        <v>0.98</v>
      </c>
      <c r="AY37" s="35">
        <f t="shared" ref="AY37:AY68" si="9">IF(ISNUMBER(AB37),AB37/AX37,"")</f>
        <v>31632.65306122449</v>
      </c>
      <c r="AZ37" s="37">
        <f>IFERROR(IF(N(INDEX(Escalation_Index!$B$5:$B$25,MATCH(Y37,Escalation_Index!$A$5:$A$25,0)))&gt;0,INDEX(Escalation_Index!$B$5:$B$25,MATCH(Y37,Escalation_Index!$A$5:$A$25,0)),""),"")</f>
        <v>119.251</v>
      </c>
      <c r="BA37" s="37">
        <f>IF(ISNUMBER('Assumptions &amp; FX Reference'!$I$12),'Assumptions &amp; FX Reference'!$I$12,"")</f>
        <v>123.416</v>
      </c>
      <c r="BB37" s="33" t="str">
        <f t="shared" ref="BB37:BB68" si="10">IF(AND(M37="API 610",LEFT(V37,11)="Centrifugal",OR(LEFT(G37,2)="S-",LEFT(G37,2)="D-")),"Y","N")</f>
        <v>N</v>
      </c>
      <c r="BC37" s="35">
        <f t="shared" ref="BC37:BC68" si="11">IF(ISNUMBER(AG37),AG37/AX37,"")</f>
        <v>32737.465599484127</v>
      </c>
      <c r="BD37" s="35">
        <f>IF(AND(ISNUMBER(BC37),ISNUMBER(K37)),IF(K37&gt;0,BC37/K37^'Assumptions &amp; FX Reference'!$I$16,""),"")</f>
        <v>67417.446975942279</v>
      </c>
      <c r="BE37" s="30" t="s">
        <v>433</v>
      </c>
      <c r="BF37" s="30" t="s">
        <v>434</v>
      </c>
      <c r="BG37" s="30" t="s">
        <v>361</v>
      </c>
    </row>
    <row r="38" spans="1:59" ht="24" customHeight="1">
      <c r="A38" s="30">
        <v>34</v>
      </c>
      <c r="B38" s="30" t="s">
        <v>435</v>
      </c>
      <c r="C38" s="30" t="s">
        <v>353</v>
      </c>
      <c r="D38" s="30" t="s">
        <v>436</v>
      </c>
      <c r="E38" s="30" t="s">
        <v>47</v>
      </c>
      <c r="F38" s="30" t="s">
        <v>119</v>
      </c>
      <c r="G38" s="30" t="s">
        <v>119</v>
      </c>
      <c r="H38" s="31">
        <v>33</v>
      </c>
      <c r="I38" s="31"/>
      <c r="J38" s="31">
        <v>1.35</v>
      </c>
      <c r="K38" s="32">
        <f>IF(ISNUMBER(J38),J38,IF(AND(ISNUMBER(H38),ISNUMBER(I38)),H38*I38/(367*'Assumptions &amp; FX Reference'!$I$17),""))</f>
        <v>1.35</v>
      </c>
      <c r="L38" s="33" t="str">
        <f t="shared" si="6"/>
        <v>Not stated</v>
      </c>
      <c r="M38" s="30" t="s">
        <v>119</v>
      </c>
      <c r="N38" s="30" t="s">
        <v>296</v>
      </c>
      <c r="O38" s="30" t="s">
        <v>119</v>
      </c>
      <c r="P38" s="30" t="s">
        <v>119</v>
      </c>
      <c r="Q38" s="30" t="s">
        <v>119</v>
      </c>
      <c r="R38" s="30" t="s">
        <v>119</v>
      </c>
      <c r="S38" s="38" t="s">
        <v>297</v>
      </c>
      <c r="T38" s="30" t="s">
        <v>326</v>
      </c>
      <c r="U38" s="30">
        <v>2</v>
      </c>
      <c r="V38" s="38" t="s">
        <v>299</v>
      </c>
      <c r="W38" s="31">
        <v>1.5</v>
      </c>
      <c r="X38" s="30" t="s">
        <v>119</v>
      </c>
      <c r="Y38" s="38">
        <v>1402</v>
      </c>
      <c r="Z38" s="30" t="s">
        <v>355</v>
      </c>
      <c r="AA38" s="34">
        <v>28000</v>
      </c>
      <c r="AB38" s="35">
        <f>IF(NOT(ISNUMBER(AA38)),"(Not stated)",IF(NOT(ISNUMBER(Y38)),"(Cost year not stated)",IFERROR(IF(Z38="EUR",AA38,IF(Z38="IRR",AA38/INDEX('Assumptions &amp; FX Reference'!$C$5:$C$25,MATCH(Y38,'Assumptions &amp; FX Reference'!$A$5:$A$25,0)),IF(Z38="USD",AA38*INDEX('Assumptions &amp; FX Reference'!$B$5:$B$25,MATCH(Y38,'Assumptions &amp; FX Reference'!$A$5:$A$25,0))/INDEX('Assumptions &amp; FX Reference'!$C$5:$C$25,MATCH(Y38,'Assumptions &amp; FX Reference'!$A$5:$A$25,0)),"(Currency?)"))),"(FX rate missing)")))</f>
        <v>28000</v>
      </c>
      <c r="AC38" s="35">
        <f>IF(NOT(ISNUMBER(AA38)),"(Not stated)",IF(NOT(ISNUMBER(Y38)),"(Cost year not stated)",IFERROR(IF(Z38="USD",AA38,IF(Z38="IRR",AA38/INDEX('Assumptions &amp; FX Reference'!$B$5:$B$25,MATCH(Y38,'Assumptions &amp; FX Reference'!$A$5:$A$25,0)),IF(Z38="EUR",AA38*INDEX('Assumptions &amp; FX Reference'!$C$5:$C$25,MATCH(Y38,'Assumptions &amp; FX Reference'!$A$5:$A$25,0))/INDEX('Assumptions &amp; FX Reference'!$B$5:$B$25,MATCH(Y38,'Assumptions &amp; FX Reference'!$A$5:$A$25,0)),"(Currency?)"))),"(FX rate missing)")))</f>
        <v>35300</v>
      </c>
      <c r="AD38" s="39">
        <f>IF(NOT(ISNUMBER(AA38)),"(Not stated)",IF(NOT(ISNUMBER(Y38)),"(Cost year not stated)",IFERROR(IF(Z38="IRR",AA38,IF(Z38="USD",AA38*INDEX('Assumptions &amp; FX Reference'!$B$5:$B$25,MATCH(Y38,'Assumptions &amp; FX Reference'!$A$5:$A$25,0)),IF(Z38="EUR",AA38*INDEX('Assumptions &amp; FX Reference'!$C$5:$C$25,MATCH(Y38,'Assumptions &amp; FX Reference'!$A$5:$A$25,0)),"(Currency?)"))),"(FX rate missing)")))</f>
        <v>14826000000</v>
      </c>
      <c r="AE38" s="30" t="s">
        <v>356</v>
      </c>
      <c r="AF38" s="38" t="s">
        <v>197</v>
      </c>
      <c r="AG38" s="35">
        <f>IF(AND(Z38="EUR",N(AA38)&gt;5000000),"(Check currency – excluded)",IF(AND(ISNUMBER(AB38),ISNUMBER(AZ38),ISNUMBER(BA38)),IF(AND(BB38="Y",ISNUMBER('Assumptions &amp; FX Reference'!$I$15)),MAX(AB38*BA38/AZ38,'Assumptions &amp; FX Reference'!$I$13*BA38/'Assumptions &amp; FX Reference'!$I$15),AB38*BA38/AZ38),"(PPI/FX missing)"))</f>
        <v>28977.937291930466</v>
      </c>
      <c r="AH38" s="35">
        <f>IF(AND(ISNUMBER(AG38),ISNUMBER('Assumptions &amp; FX Reference'!$I$8),ISNUMBER('Assumptions &amp; FX Reference'!$I$11)),AG38*'Assumptions &amp; FX Reference'!$I$8/'Assumptions &amp; FX Reference'!$I$11,"")</f>
        <v>30594.415929172737</v>
      </c>
      <c r="AI38" s="35">
        <f>IF(AND(ISNUMBER(AG38),ISNUMBER('Assumptions &amp; FX Reference'!$I$8)),AG38*'Assumptions &amp; FX Reference'!$I$8,"")</f>
        <v>20147432505.085911</v>
      </c>
      <c r="AJ38" s="30" t="s">
        <v>357</v>
      </c>
      <c r="AK38" s="30" t="s">
        <v>358</v>
      </c>
      <c r="AL38" s="30" t="s">
        <v>119</v>
      </c>
      <c r="AM38" s="30" t="s">
        <v>119</v>
      </c>
      <c r="AN38" s="30" t="s">
        <v>119</v>
      </c>
      <c r="AO38" s="38" t="s">
        <v>305</v>
      </c>
      <c r="AP38" s="38" t="s">
        <v>305</v>
      </c>
      <c r="AQ38" s="38" t="s">
        <v>305</v>
      </c>
      <c r="AR38" s="30" t="s">
        <v>119</v>
      </c>
      <c r="AS38" s="33" t="str">
        <f t="shared" si="7"/>
        <v xml:space="preserve">Material missing; Seal missing; </v>
      </c>
      <c r="AT38" s="36">
        <f>IFERROR(INDEX(Factors_ROT!$F$5:$F$200,MATCH("MAT|"&amp;G38,Factors_ROT!$A$5:$A$200,0)),1)</f>
        <v>1</v>
      </c>
      <c r="AU38" s="36">
        <f>IFERROR(INDEX(Factors_ROT!$F$5:$F$200,MATCH("SEAL_ARR|"&amp;P38,Factors_ROT!$A$5:$A$200,0)),1)*IFERROR(INDEX(Factors_ROT!$F$5:$F$200,MATCH("SEAL_CAT|"&amp;Q38,Factors_ROT!$A$5:$A$200,0)),1)*IFERROR(INDEX(Factors_ROT!$F$5:$F$200,MATCH("SEAL_PLAN|"&amp;R38,Factors_ROT!$A$5:$A$200,0)),1)</f>
        <v>1</v>
      </c>
      <c r="AV38" s="36">
        <f>IFERROR(INDEX(Factors_ROT!$F$5:$F$200,MATCH("DRV|"&amp;S38,Factors_ROT!$A$5:$A$200,0)),1)*IFERROR(INDEX(Factors_ROT!$F$5:$F$200,MATCH("NACE|"&amp;O38,Factors_ROT!$A$5:$A$200,0)),1)</f>
        <v>1</v>
      </c>
      <c r="AW38" s="36">
        <f>IFERROR(INDEX(Factors_ROT!$F$5:$F$200,MATCH("SC_DRV|"&amp;AL38,Factors_ROT!$A$5:$A$200,0)),1)*IFERROR(INDEX(Factors_ROT!$F$5:$F$200,MATCH("SC_BSP|"&amp;AM38,Factors_ROT!$A$5:$A$200,0)),1)*IFERROR(INDEX(Factors_ROT!$F$5:$F$200,MATCH("SC_SEAL|"&amp;AN38,Factors_ROT!$A$5:$A$200,0)),1)*IFERROR(INDEX(Factors_ROT!$F$5:$F$200,MATCH("SC_COMM|"&amp;AO38,Factors_ROT!$A$5:$A$200,0)),1)*IFERROR(INDEX(Factors_ROT!$F$5:$F$200,MATCH("SC_2Y|"&amp;AP38,Factors_ROT!$A$5:$A$200,0)),1)*IFERROR(INDEX(Factors_ROT!$F$5:$F$200,MATCH("SC_TPI|"&amp;AQ38,Factors_ROT!$A$5:$A$200,0)),1)*IFERROR(INDEX(Factors_ROT!$F$5:$F$200,MATCH("SC_FAT|"&amp;AR38,Factors_ROT!$A$5:$A$200,0)),1)</f>
        <v>0.98</v>
      </c>
      <c r="AX38" s="36">
        <f t="shared" si="8"/>
        <v>0.98</v>
      </c>
      <c r="AY38" s="35">
        <f t="shared" si="9"/>
        <v>28571.428571428572</v>
      </c>
      <c r="AZ38" s="37">
        <f>IFERROR(IF(N(INDEX(Escalation_Index!$B$5:$B$25,MATCH(Y38,Escalation_Index!$A$5:$A$25,0)))&gt;0,INDEX(Escalation_Index!$B$5:$B$25,MATCH(Y38,Escalation_Index!$A$5:$A$25,0)),""),"")</f>
        <v>119.251</v>
      </c>
      <c r="BA38" s="37">
        <f>IF(ISNUMBER('Assumptions &amp; FX Reference'!$I$12),'Assumptions &amp; FX Reference'!$I$12,"")</f>
        <v>123.416</v>
      </c>
      <c r="BB38" s="33" t="str">
        <f t="shared" si="10"/>
        <v>N</v>
      </c>
      <c r="BC38" s="35">
        <f t="shared" si="11"/>
        <v>29569.323767275986</v>
      </c>
      <c r="BD38" s="35">
        <f>IF(AND(ISNUMBER(BC38),ISNUMBER(K38)),IF(K38&gt;0,BC38/K38^'Assumptions &amp; FX Reference'!$I$16,""),"")</f>
        <v>24696.82540485802</v>
      </c>
      <c r="BE38" s="30" t="s">
        <v>437</v>
      </c>
      <c r="BF38" s="30" t="s">
        <v>438</v>
      </c>
      <c r="BG38" s="30" t="s">
        <v>361</v>
      </c>
    </row>
    <row r="39" spans="1:59" ht="24" customHeight="1">
      <c r="A39" s="30">
        <v>35</v>
      </c>
      <c r="B39" s="30" t="s">
        <v>439</v>
      </c>
      <c r="C39" s="30" t="s">
        <v>353</v>
      </c>
      <c r="D39" s="30" t="s">
        <v>440</v>
      </c>
      <c r="E39" s="30" t="s">
        <v>53</v>
      </c>
      <c r="F39" s="30" t="s">
        <v>119</v>
      </c>
      <c r="G39" s="30" t="s">
        <v>119</v>
      </c>
      <c r="H39" s="31">
        <v>10</v>
      </c>
      <c r="I39" s="31"/>
      <c r="J39" s="31">
        <v>0.16</v>
      </c>
      <c r="K39" s="32">
        <f>IF(ISNUMBER(J39),J39,IF(AND(ISNUMBER(H39),ISNUMBER(I39)),H39*I39/(367*'Assumptions &amp; FX Reference'!$I$17),""))</f>
        <v>0.16</v>
      </c>
      <c r="L39" s="33" t="str">
        <f t="shared" si="6"/>
        <v>Not stated</v>
      </c>
      <c r="M39" s="30" t="s">
        <v>119</v>
      </c>
      <c r="N39" s="30" t="s">
        <v>296</v>
      </c>
      <c r="O39" s="30" t="s">
        <v>119</v>
      </c>
      <c r="P39" s="30" t="s">
        <v>119</v>
      </c>
      <c r="Q39" s="30" t="s">
        <v>119</v>
      </c>
      <c r="R39" s="30" t="s">
        <v>119</v>
      </c>
      <c r="S39" s="38" t="s">
        <v>297</v>
      </c>
      <c r="T39" s="30" t="s">
        <v>338</v>
      </c>
      <c r="U39" s="30">
        <v>1</v>
      </c>
      <c r="V39" s="38" t="s">
        <v>299</v>
      </c>
      <c r="W39" s="31">
        <v>0.6</v>
      </c>
      <c r="X39" s="30" t="s">
        <v>119</v>
      </c>
      <c r="Y39" s="38">
        <v>1402</v>
      </c>
      <c r="Z39" s="30" t="s">
        <v>355</v>
      </c>
      <c r="AA39" s="34">
        <v>13500</v>
      </c>
      <c r="AB39" s="35">
        <f>IF(NOT(ISNUMBER(AA39)),"(Not stated)",IF(NOT(ISNUMBER(Y39)),"(Cost year not stated)",IFERROR(IF(Z39="EUR",AA39,IF(Z39="IRR",AA39/INDEX('Assumptions &amp; FX Reference'!$C$5:$C$25,MATCH(Y39,'Assumptions &amp; FX Reference'!$A$5:$A$25,0)),IF(Z39="USD",AA39*INDEX('Assumptions &amp; FX Reference'!$B$5:$B$25,MATCH(Y39,'Assumptions &amp; FX Reference'!$A$5:$A$25,0))/INDEX('Assumptions &amp; FX Reference'!$C$5:$C$25,MATCH(Y39,'Assumptions &amp; FX Reference'!$A$5:$A$25,0)),"(Currency?)"))),"(FX rate missing)")))</f>
        <v>13500</v>
      </c>
      <c r="AC39" s="35">
        <f>IF(NOT(ISNUMBER(AA39)),"(Not stated)",IF(NOT(ISNUMBER(Y39)),"(Cost year not stated)",IFERROR(IF(Z39="USD",AA39,IF(Z39="IRR",AA39/INDEX('Assumptions &amp; FX Reference'!$B$5:$B$25,MATCH(Y39,'Assumptions &amp; FX Reference'!$A$5:$A$25,0)),IF(Z39="EUR",AA39*INDEX('Assumptions &amp; FX Reference'!$C$5:$C$25,MATCH(Y39,'Assumptions &amp; FX Reference'!$A$5:$A$25,0))/INDEX('Assumptions &amp; FX Reference'!$B$5:$B$25,MATCH(Y39,'Assumptions &amp; FX Reference'!$A$5:$A$25,0)),"(Currency?)"))),"(FX rate missing)")))</f>
        <v>17019.642857142859</v>
      </c>
      <c r="AD39" s="39">
        <f>IF(NOT(ISNUMBER(AA39)),"(Not stated)",IF(NOT(ISNUMBER(Y39)),"(Cost year not stated)",IFERROR(IF(Z39="IRR",AA39,IF(Z39="USD",AA39*INDEX('Assumptions &amp; FX Reference'!$B$5:$B$25,MATCH(Y39,'Assumptions &amp; FX Reference'!$A$5:$A$25,0)),IF(Z39="EUR",AA39*INDEX('Assumptions &amp; FX Reference'!$C$5:$C$25,MATCH(Y39,'Assumptions &amp; FX Reference'!$A$5:$A$25,0)),"(Currency?)"))),"(FX rate missing)")))</f>
        <v>7148250000</v>
      </c>
      <c r="AE39" s="30" t="s">
        <v>356</v>
      </c>
      <c r="AF39" s="38" t="s">
        <v>197</v>
      </c>
      <c r="AG39" s="35">
        <f>IF(AND(Z39="EUR",N(AA39)&gt;5000000),"(Check currency – excluded)",IF(AND(ISNUMBER(AB39),ISNUMBER(AZ39),ISNUMBER(BA39)),IF(AND(BB39="Y",ISNUMBER('Assumptions &amp; FX Reference'!$I$15)),MAX(AB39*BA39/AZ39,'Assumptions &amp; FX Reference'!$I$13*BA39/'Assumptions &amp; FX Reference'!$I$15),AB39*BA39/AZ39),"(PPI/FX missing)"))</f>
        <v>13971.505480037902</v>
      </c>
      <c r="AH39" s="35">
        <f>IF(AND(ISNUMBER(AG39),ISNUMBER('Assumptions &amp; FX Reference'!$I$8),ISNUMBER('Assumptions &amp; FX Reference'!$I$11)),AG39*'Assumptions &amp; FX Reference'!$I$8/'Assumptions &amp; FX Reference'!$I$11,"")</f>
        <v>14750.879108708283</v>
      </c>
      <c r="AI39" s="35">
        <f>IF(AND(ISNUMBER(AG39),ISNUMBER('Assumptions &amp; FX Reference'!$I$8)),AG39*'Assumptions &amp; FX Reference'!$I$8,"")</f>
        <v>9713940672.0949917</v>
      </c>
      <c r="AJ39" s="30" t="s">
        <v>357</v>
      </c>
      <c r="AK39" s="30" t="s">
        <v>358</v>
      </c>
      <c r="AL39" s="30" t="s">
        <v>119</v>
      </c>
      <c r="AM39" s="30" t="s">
        <v>119</v>
      </c>
      <c r="AN39" s="30" t="s">
        <v>119</v>
      </c>
      <c r="AO39" s="38" t="s">
        <v>305</v>
      </c>
      <c r="AP39" s="38" t="s">
        <v>305</v>
      </c>
      <c r="AQ39" s="38" t="s">
        <v>305</v>
      </c>
      <c r="AR39" s="30" t="s">
        <v>119</v>
      </c>
      <c r="AS39" s="33" t="str">
        <f t="shared" si="7"/>
        <v xml:space="preserve">Material missing; Seal missing; </v>
      </c>
      <c r="AT39" s="36">
        <f>IFERROR(INDEX(Factors_ROT!$F$5:$F$200,MATCH("MAT|"&amp;G39,Factors_ROT!$A$5:$A$200,0)),1)</f>
        <v>1</v>
      </c>
      <c r="AU39" s="36">
        <f>IFERROR(INDEX(Factors_ROT!$F$5:$F$200,MATCH("SEAL_ARR|"&amp;P39,Factors_ROT!$A$5:$A$200,0)),1)*IFERROR(INDEX(Factors_ROT!$F$5:$F$200,MATCH("SEAL_CAT|"&amp;Q39,Factors_ROT!$A$5:$A$200,0)),1)*IFERROR(INDEX(Factors_ROT!$F$5:$F$200,MATCH("SEAL_PLAN|"&amp;R39,Factors_ROT!$A$5:$A$200,0)),1)</f>
        <v>1</v>
      </c>
      <c r="AV39" s="36">
        <f>IFERROR(INDEX(Factors_ROT!$F$5:$F$200,MATCH("DRV|"&amp;S39,Factors_ROT!$A$5:$A$200,0)),1)*IFERROR(INDEX(Factors_ROT!$F$5:$F$200,MATCH("NACE|"&amp;O39,Factors_ROT!$A$5:$A$200,0)),1)</f>
        <v>1</v>
      </c>
      <c r="AW39" s="36">
        <f>IFERROR(INDEX(Factors_ROT!$F$5:$F$200,MATCH("SC_DRV|"&amp;AL39,Factors_ROT!$A$5:$A$200,0)),1)*IFERROR(INDEX(Factors_ROT!$F$5:$F$200,MATCH("SC_BSP|"&amp;AM39,Factors_ROT!$A$5:$A$200,0)),1)*IFERROR(INDEX(Factors_ROT!$F$5:$F$200,MATCH("SC_SEAL|"&amp;AN39,Factors_ROT!$A$5:$A$200,0)),1)*IFERROR(INDEX(Factors_ROT!$F$5:$F$200,MATCH("SC_COMM|"&amp;AO39,Factors_ROT!$A$5:$A$200,0)),1)*IFERROR(INDEX(Factors_ROT!$F$5:$F$200,MATCH("SC_2Y|"&amp;AP39,Factors_ROT!$A$5:$A$200,0)),1)*IFERROR(INDEX(Factors_ROT!$F$5:$F$200,MATCH("SC_TPI|"&amp;AQ39,Factors_ROT!$A$5:$A$200,0)),1)*IFERROR(INDEX(Factors_ROT!$F$5:$F$200,MATCH("SC_FAT|"&amp;AR39,Factors_ROT!$A$5:$A$200,0)),1)</f>
        <v>0.98</v>
      </c>
      <c r="AX39" s="36">
        <f t="shared" si="8"/>
        <v>0.98</v>
      </c>
      <c r="AY39" s="35">
        <f t="shared" si="9"/>
        <v>13775.510204081633</v>
      </c>
      <c r="AZ39" s="37">
        <f>IFERROR(IF(N(INDEX(Escalation_Index!$B$5:$B$25,MATCH(Y39,Escalation_Index!$A$5:$A$25,0)))&gt;0,INDEX(Escalation_Index!$B$5:$B$25,MATCH(Y39,Escalation_Index!$A$5:$A$25,0)),""),"")</f>
        <v>119.251</v>
      </c>
      <c r="BA39" s="37">
        <f>IF(ISNUMBER('Assumptions &amp; FX Reference'!$I$12),'Assumptions &amp; FX Reference'!$I$12,"")</f>
        <v>123.416</v>
      </c>
      <c r="BB39" s="33" t="str">
        <f t="shared" si="10"/>
        <v>N</v>
      </c>
      <c r="BC39" s="35">
        <f t="shared" si="11"/>
        <v>14256.638244936636</v>
      </c>
      <c r="BD39" s="35">
        <f>IF(AND(ISNUMBER(BC39),ISNUMBER(K39)),IF(K39&gt;0,BC39/K39^'Assumptions &amp; FX Reference'!$I$16,""),"")</f>
        <v>42809.991356068858</v>
      </c>
      <c r="BE39" s="30" t="s">
        <v>441</v>
      </c>
      <c r="BF39" s="30" t="s">
        <v>442</v>
      </c>
      <c r="BG39" s="30" t="s">
        <v>361</v>
      </c>
    </row>
    <row r="40" spans="1:59" ht="24" customHeight="1">
      <c r="A40" s="30">
        <v>36</v>
      </c>
      <c r="B40" s="30" t="s">
        <v>443</v>
      </c>
      <c r="C40" s="30" t="s">
        <v>353</v>
      </c>
      <c r="D40" s="30" t="s">
        <v>444</v>
      </c>
      <c r="E40" s="30" t="s">
        <v>56</v>
      </c>
      <c r="F40" s="30" t="s">
        <v>119</v>
      </c>
      <c r="G40" s="30" t="s">
        <v>119</v>
      </c>
      <c r="H40" s="31">
        <v>480</v>
      </c>
      <c r="I40" s="31"/>
      <c r="J40" s="31">
        <v>133</v>
      </c>
      <c r="K40" s="32">
        <f>IF(ISNUMBER(J40),J40,IF(AND(ISNUMBER(H40),ISNUMBER(I40)),H40*I40/(367*'Assumptions &amp; FX Reference'!$I$17),""))</f>
        <v>133</v>
      </c>
      <c r="L40" s="33" t="str">
        <f t="shared" si="6"/>
        <v>Not stated</v>
      </c>
      <c r="M40" s="30" t="s">
        <v>119</v>
      </c>
      <c r="N40" s="30" t="s">
        <v>296</v>
      </c>
      <c r="O40" s="30" t="s">
        <v>119</v>
      </c>
      <c r="P40" s="30" t="s">
        <v>119</v>
      </c>
      <c r="Q40" s="30" t="s">
        <v>119</v>
      </c>
      <c r="R40" s="30" t="s">
        <v>119</v>
      </c>
      <c r="S40" s="30" t="s">
        <v>297</v>
      </c>
      <c r="T40" s="30" t="s">
        <v>445</v>
      </c>
      <c r="U40" s="30">
        <v>2</v>
      </c>
      <c r="V40" s="38" t="s">
        <v>299</v>
      </c>
      <c r="W40" s="31">
        <v>10</v>
      </c>
      <c r="X40" s="30" t="s">
        <v>119</v>
      </c>
      <c r="Y40" s="38">
        <v>1402</v>
      </c>
      <c r="Z40" s="30" t="s">
        <v>446</v>
      </c>
      <c r="AA40" s="34">
        <v>37500000000</v>
      </c>
      <c r="AB40" s="35">
        <f>IF(NOT(ISNUMBER(AA40)),"(Not stated)",IF(NOT(ISNUMBER(Y40)),"(Cost year not stated)",IFERROR(IF(Z40="EUR",AA40,IF(Z40="IRR",AA40/INDEX('Assumptions &amp; FX Reference'!$C$5:$C$25,MATCH(Y40,'Assumptions &amp; FX Reference'!$A$5:$A$25,0)),IF(Z40="USD",AA40*INDEX('Assumptions &amp; FX Reference'!$B$5:$B$25,MATCH(Y40,'Assumptions &amp; FX Reference'!$A$5:$A$25,0))/INDEX('Assumptions &amp; FX Reference'!$C$5:$C$25,MATCH(Y40,'Assumptions &amp; FX Reference'!$A$5:$A$25,0)),"(Currency?)"))),"(FX rate missing)")))</f>
        <v>70821.529745042499</v>
      </c>
      <c r="AC40" s="35">
        <f>IF(NOT(ISNUMBER(AA40)),"(Not stated)",IF(NOT(ISNUMBER(Y40)),"(Cost year not stated)",IFERROR(IF(Z40="USD",AA40,IF(Z40="IRR",AA40/INDEX('Assumptions &amp; FX Reference'!$B$5:$B$25,MATCH(Y40,'Assumptions &amp; FX Reference'!$A$5:$A$25,0)),IF(Z40="EUR",AA40*INDEX('Assumptions &amp; FX Reference'!$C$5:$C$25,MATCH(Y40,'Assumptions &amp; FX Reference'!$A$5:$A$25,0))/INDEX('Assumptions &amp; FX Reference'!$B$5:$B$25,MATCH(Y40,'Assumptions &amp; FX Reference'!$A$5:$A$25,0)),"(Currency?)"))),"(FX rate missing)")))</f>
        <v>89285.71428571429</v>
      </c>
      <c r="AD40" s="35">
        <f>IF(NOT(ISNUMBER(AA40)),"(Not stated)",IF(NOT(ISNUMBER(Y40)),"(Cost year not stated)",IFERROR(IF(Z40="IRR",AA40,IF(Z40="USD",AA40*INDEX('Assumptions &amp; FX Reference'!$B$5:$B$25,MATCH(Y40,'Assumptions &amp; FX Reference'!$A$5:$A$25,0)),IF(Z40="EUR",AA40*INDEX('Assumptions &amp; FX Reference'!$C$5:$C$25,MATCH(Y40,'Assumptions &amp; FX Reference'!$A$5:$A$25,0)),"(Currency?)"))),"(FX rate missing)")))</f>
        <v>37500000000</v>
      </c>
      <c r="AE40" s="30" t="s">
        <v>447</v>
      </c>
      <c r="AF40" s="38" t="s">
        <v>197</v>
      </c>
      <c r="AG40" s="35">
        <f>IF(AND(Z40="EUR",N(AA40)&gt;5000000),"(Check currency – excluded)",IF(AND(ISNUMBER(AB40),ISNUMBER(AZ40),ISNUMBER(BA40)),IF(AND(BB40="Y",ISNUMBER('Assumptions &amp; FX Reference'!$I$15)),MAX(AB40*BA40/AZ40,'Assumptions &amp; FX Reference'!$I$13*BA40/'Assumptions &amp; FX Reference'!$I$15),AB40*BA40/AZ40),"(PPI/FX missing)"))</f>
        <v>73295.065995372483</v>
      </c>
      <c r="AH40" s="35">
        <f>IF(AND(ISNUMBER(AG40),ISNUMBER('Assumptions &amp; FX Reference'!$I$8),ISNUMBER('Assumptions &amp; FX Reference'!$I$11)),AG40*'Assumptions &amp; FX Reference'!$I$8/'Assumptions &amp; FX Reference'!$I$11,"")</f>
        <v>77383.690634289596</v>
      </c>
      <c r="AI40" s="35">
        <f>IF(AND(ISNUMBER(AG40),ISNUMBER('Assumptions &amp; FX Reference'!$I$8)),AG40*'Assumptions &amp; FX Reference'!$I$8,"")</f>
        <v>50959713944.470634</v>
      </c>
      <c r="AJ40" s="30" t="s">
        <v>357</v>
      </c>
      <c r="AK40" s="30" t="s">
        <v>358</v>
      </c>
      <c r="AL40" s="30" t="s">
        <v>119</v>
      </c>
      <c r="AM40" s="30" t="s">
        <v>119</v>
      </c>
      <c r="AN40" s="30" t="s">
        <v>119</v>
      </c>
      <c r="AO40" s="38" t="s">
        <v>305</v>
      </c>
      <c r="AP40" s="38" t="s">
        <v>305</v>
      </c>
      <c r="AQ40" s="38" t="s">
        <v>305</v>
      </c>
      <c r="AR40" s="30" t="s">
        <v>119</v>
      </c>
      <c r="AS40" s="33" t="str">
        <f t="shared" si="7"/>
        <v xml:space="preserve">Material missing; Seal missing; </v>
      </c>
      <c r="AT40" s="36">
        <f>IFERROR(INDEX(Factors_ROT!$F$5:$F$200,MATCH("MAT|"&amp;G40,Factors_ROT!$A$5:$A$200,0)),1)</f>
        <v>1</v>
      </c>
      <c r="AU40" s="36">
        <f>IFERROR(INDEX(Factors_ROT!$F$5:$F$200,MATCH("SEAL_ARR|"&amp;P40,Factors_ROT!$A$5:$A$200,0)),1)*IFERROR(INDEX(Factors_ROT!$F$5:$F$200,MATCH("SEAL_CAT|"&amp;Q40,Factors_ROT!$A$5:$A$200,0)),1)*IFERROR(INDEX(Factors_ROT!$F$5:$F$200,MATCH("SEAL_PLAN|"&amp;R40,Factors_ROT!$A$5:$A$200,0)),1)</f>
        <v>1</v>
      </c>
      <c r="AV40" s="36">
        <f>IFERROR(INDEX(Factors_ROT!$F$5:$F$200,MATCH("DRV|"&amp;S40,Factors_ROT!$A$5:$A$200,0)),1)*IFERROR(INDEX(Factors_ROT!$F$5:$F$200,MATCH("NACE|"&amp;O40,Factors_ROT!$A$5:$A$200,0)),1)</f>
        <v>1</v>
      </c>
      <c r="AW40" s="36">
        <f>IFERROR(INDEX(Factors_ROT!$F$5:$F$200,MATCH("SC_DRV|"&amp;AL40,Factors_ROT!$A$5:$A$200,0)),1)*IFERROR(INDEX(Factors_ROT!$F$5:$F$200,MATCH("SC_BSP|"&amp;AM40,Factors_ROT!$A$5:$A$200,0)),1)*IFERROR(INDEX(Factors_ROT!$F$5:$F$200,MATCH("SC_SEAL|"&amp;AN40,Factors_ROT!$A$5:$A$200,0)),1)*IFERROR(INDEX(Factors_ROT!$F$5:$F$200,MATCH("SC_COMM|"&amp;AO40,Factors_ROT!$A$5:$A$200,0)),1)*IFERROR(INDEX(Factors_ROT!$F$5:$F$200,MATCH("SC_2Y|"&amp;AP40,Factors_ROT!$A$5:$A$200,0)),1)*IFERROR(INDEX(Factors_ROT!$F$5:$F$200,MATCH("SC_TPI|"&amp;AQ40,Factors_ROT!$A$5:$A$200,0)),1)*IFERROR(INDEX(Factors_ROT!$F$5:$F$200,MATCH("SC_FAT|"&amp;AR40,Factors_ROT!$A$5:$A$200,0)),1)</f>
        <v>0.98</v>
      </c>
      <c r="AX40" s="36">
        <f t="shared" si="8"/>
        <v>0.98</v>
      </c>
      <c r="AY40" s="35">
        <f t="shared" si="9"/>
        <v>72266.86708677806</v>
      </c>
      <c r="AZ40" s="37">
        <f>IFERROR(IF(N(INDEX(Escalation_Index!$B$5:$B$25,MATCH(Y40,Escalation_Index!$A$5:$A$25,0)))&gt;0,INDEX(Escalation_Index!$B$5:$B$25,MATCH(Y40,Escalation_Index!$A$5:$A$25,0)),""),"")</f>
        <v>119.251</v>
      </c>
      <c r="BA40" s="37">
        <f>IF(ISNUMBER('Assumptions &amp; FX Reference'!$I$12),'Assumptions &amp; FX Reference'!$I$12,"")</f>
        <v>123.416</v>
      </c>
      <c r="BB40" s="33" t="str">
        <f t="shared" si="10"/>
        <v>N</v>
      </c>
      <c r="BC40" s="35">
        <f t="shared" si="11"/>
        <v>74790.88366874744</v>
      </c>
      <c r="BD40" s="35">
        <f>IF(AND(ISNUMBER(BC40),ISNUMBER(K40)),IF(K40&gt;0,BC40/K40^'Assumptions &amp; FX Reference'!$I$16,""),"")</f>
        <v>3976.8359851733335</v>
      </c>
      <c r="BE40" s="30" t="s">
        <v>448</v>
      </c>
      <c r="BF40" s="30" t="s">
        <v>449</v>
      </c>
      <c r="BG40" s="30" t="s">
        <v>361</v>
      </c>
    </row>
    <row r="41" spans="1:59" ht="24" customHeight="1">
      <c r="A41" s="30">
        <v>37</v>
      </c>
      <c r="B41" s="30" t="s">
        <v>450</v>
      </c>
      <c r="C41" s="30" t="s">
        <v>353</v>
      </c>
      <c r="D41" s="30" t="s">
        <v>451</v>
      </c>
      <c r="E41" s="30" t="s">
        <v>56</v>
      </c>
      <c r="F41" s="30" t="s">
        <v>119</v>
      </c>
      <c r="G41" s="30" t="s">
        <v>119</v>
      </c>
      <c r="H41" s="31">
        <v>480</v>
      </c>
      <c r="I41" s="31"/>
      <c r="J41" s="31">
        <v>133</v>
      </c>
      <c r="K41" s="32">
        <f>IF(ISNUMBER(J41),J41,IF(AND(ISNUMBER(H41),ISNUMBER(I41)),H41*I41/(367*'Assumptions &amp; FX Reference'!$I$17),""))</f>
        <v>133</v>
      </c>
      <c r="L41" s="33" t="str">
        <f t="shared" si="6"/>
        <v>Not stated</v>
      </c>
      <c r="M41" s="30" t="s">
        <v>119</v>
      </c>
      <c r="N41" s="30" t="s">
        <v>296</v>
      </c>
      <c r="O41" s="30" t="s">
        <v>119</v>
      </c>
      <c r="P41" s="30" t="s">
        <v>119</v>
      </c>
      <c r="Q41" s="30" t="s">
        <v>119</v>
      </c>
      <c r="R41" s="30" t="s">
        <v>119</v>
      </c>
      <c r="S41" s="30" t="s">
        <v>452</v>
      </c>
      <c r="T41" s="30" t="s">
        <v>445</v>
      </c>
      <c r="U41" s="30">
        <v>1</v>
      </c>
      <c r="V41" s="38" t="s">
        <v>299</v>
      </c>
      <c r="W41" s="31">
        <v>10</v>
      </c>
      <c r="X41" s="30" t="s">
        <v>119</v>
      </c>
      <c r="Y41" s="38">
        <v>1402</v>
      </c>
      <c r="Z41" s="30" t="s">
        <v>446</v>
      </c>
      <c r="AA41" s="34">
        <v>45000000000</v>
      </c>
      <c r="AB41" s="35">
        <f>IF(NOT(ISNUMBER(AA41)),"(Not stated)",IF(NOT(ISNUMBER(Y41)),"(Cost year not stated)",IFERROR(IF(Z41="EUR",AA41,IF(Z41="IRR",AA41/INDEX('Assumptions &amp; FX Reference'!$C$5:$C$25,MATCH(Y41,'Assumptions &amp; FX Reference'!$A$5:$A$25,0)),IF(Z41="USD",AA41*INDEX('Assumptions &amp; FX Reference'!$B$5:$B$25,MATCH(Y41,'Assumptions &amp; FX Reference'!$A$5:$A$25,0))/INDEX('Assumptions &amp; FX Reference'!$C$5:$C$25,MATCH(Y41,'Assumptions &amp; FX Reference'!$A$5:$A$25,0)),"(Currency?)"))),"(FX rate missing)")))</f>
        <v>84985.835694050998</v>
      </c>
      <c r="AC41" s="35">
        <f>IF(NOT(ISNUMBER(AA41)),"(Not stated)",IF(NOT(ISNUMBER(Y41)),"(Cost year not stated)",IFERROR(IF(Z41="USD",AA41,IF(Z41="IRR",AA41/INDEX('Assumptions &amp; FX Reference'!$B$5:$B$25,MATCH(Y41,'Assumptions &amp; FX Reference'!$A$5:$A$25,0)),IF(Z41="EUR",AA41*INDEX('Assumptions &amp; FX Reference'!$C$5:$C$25,MATCH(Y41,'Assumptions &amp; FX Reference'!$A$5:$A$25,0))/INDEX('Assumptions &amp; FX Reference'!$B$5:$B$25,MATCH(Y41,'Assumptions &amp; FX Reference'!$A$5:$A$25,0)),"(Currency?)"))),"(FX rate missing)")))</f>
        <v>107142.85714285714</v>
      </c>
      <c r="AD41" s="35">
        <f>IF(NOT(ISNUMBER(AA41)),"(Not stated)",IF(NOT(ISNUMBER(Y41)),"(Cost year not stated)",IFERROR(IF(Z41="IRR",AA41,IF(Z41="USD",AA41*INDEX('Assumptions &amp; FX Reference'!$B$5:$B$25,MATCH(Y41,'Assumptions &amp; FX Reference'!$A$5:$A$25,0)),IF(Z41="EUR",AA41*INDEX('Assumptions &amp; FX Reference'!$C$5:$C$25,MATCH(Y41,'Assumptions &amp; FX Reference'!$A$5:$A$25,0)),"(Currency?)"))),"(FX rate missing)")))</f>
        <v>45000000000</v>
      </c>
      <c r="AE41" s="30" t="s">
        <v>447</v>
      </c>
      <c r="AF41" s="38" t="s">
        <v>197</v>
      </c>
      <c r="AG41" s="35">
        <f>IF(AND(Z41="EUR",N(AA41)&gt;5000000),"(Check currency – excluded)",IF(AND(ISNUMBER(AB41),ISNUMBER(AZ41),ISNUMBER(BA41)),IF(AND(BB41="Y",ISNUMBER('Assumptions &amp; FX Reference'!$I$15)),MAX(AB41*BA41/AZ41,'Assumptions &amp; FX Reference'!$I$13*BA41/'Assumptions &amp; FX Reference'!$I$15),AB41*BA41/AZ41),"(PPI/FX missing)"))</f>
        <v>87954.079194446997</v>
      </c>
      <c r="AH41" s="35">
        <f>IF(AND(ISNUMBER(AG41),ISNUMBER('Assumptions &amp; FX Reference'!$I$8),ISNUMBER('Assumptions &amp; FX Reference'!$I$11)),AG41*'Assumptions &amp; FX Reference'!$I$8/'Assumptions &amp; FX Reference'!$I$11,"")</f>
        <v>92860.428761147545</v>
      </c>
      <c r="AI41" s="35">
        <f>IF(AND(ISNUMBER(AG41),ISNUMBER('Assumptions &amp; FX Reference'!$I$8)),AG41*'Assumptions &amp; FX Reference'!$I$8,"")</f>
        <v>61151656733.364777</v>
      </c>
      <c r="AJ41" s="30" t="s">
        <v>357</v>
      </c>
      <c r="AK41" s="30" t="s">
        <v>358</v>
      </c>
      <c r="AL41" s="30" t="s">
        <v>119</v>
      </c>
      <c r="AM41" s="30" t="s">
        <v>119</v>
      </c>
      <c r="AN41" s="30" t="s">
        <v>119</v>
      </c>
      <c r="AO41" s="38" t="s">
        <v>305</v>
      </c>
      <c r="AP41" s="38" t="s">
        <v>305</v>
      </c>
      <c r="AQ41" s="38" t="s">
        <v>305</v>
      </c>
      <c r="AR41" s="30" t="s">
        <v>119</v>
      </c>
      <c r="AS41" s="33" t="str">
        <f t="shared" si="7"/>
        <v xml:space="preserve">Material missing; Seal missing; </v>
      </c>
      <c r="AT41" s="36">
        <f>IFERROR(INDEX(Factors_ROT!$F$5:$F$200,MATCH("MAT|"&amp;G41,Factors_ROT!$A$5:$A$200,0)),1)</f>
        <v>1</v>
      </c>
      <c r="AU41" s="36">
        <f>IFERROR(INDEX(Factors_ROT!$F$5:$F$200,MATCH("SEAL_ARR|"&amp;P41,Factors_ROT!$A$5:$A$200,0)),1)*IFERROR(INDEX(Factors_ROT!$F$5:$F$200,MATCH("SEAL_CAT|"&amp;Q41,Factors_ROT!$A$5:$A$200,0)),1)*IFERROR(INDEX(Factors_ROT!$F$5:$F$200,MATCH("SEAL_PLAN|"&amp;R41,Factors_ROT!$A$5:$A$200,0)),1)</f>
        <v>1</v>
      </c>
      <c r="AV41" s="36">
        <f>IFERROR(INDEX(Factors_ROT!$F$5:$F$200,MATCH("DRV|"&amp;S41,Factors_ROT!$A$5:$A$200,0)),1)*IFERROR(INDEX(Factors_ROT!$F$5:$F$200,MATCH("NACE|"&amp;O41,Factors_ROT!$A$5:$A$200,0)),1)</f>
        <v>1.35</v>
      </c>
      <c r="AW41" s="36">
        <f>IFERROR(INDEX(Factors_ROT!$F$5:$F$200,MATCH("SC_DRV|"&amp;AL41,Factors_ROT!$A$5:$A$200,0)),1)*IFERROR(INDEX(Factors_ROT!$F$5:$F$200,MATCH("SC_BSP|"&amp;AM41,Factors_ROT!$A$5:$A$200,0)),1)*IFERROR(INDEX(Factors_ROT!$F$5:$F$200,MATCH("SC_SEAL|"&amp;AN41,Factors_ROT!$A$5:$A$200,0)),1)*IFERROR(INDEX(Factors_ROT!$F$5:$F$200,MATCH("SC_COMM|"&amp;AO41,Factors_ROT!$A$5:$A$200,0)),1)*IFERROR(INDEX(Factors_ROT!$F$5:$F$200,MATCH("SC_2Y|"&amp;AP41,Factors_ROT!$A$5:$A$200,0)),1)*IFERROR(INDEX(Factors_ROT!$F$5:$F$200,MATCH("SC_TPI|"&amp;AQ41,Factors_ROT!$A$5:$A$200,0)),1)*IFERROR(INDEX(Factors_ROT!$F$5:$F$200,MATCH("SC_FAT|"&amp;AR41,Factors_ROT!$A$5:$A$200,0)),1)</f>
        <v>0.98</v>
      </c>
      <c r="AX41" s="36">
        <f t="shared" si="8"/>
        <v>1.323</v>
      </c>
      <c r="AY41" s="35">
        <f t="shared" si="9"/>
        <v>64237.215188247166</v>
      </c>
      <c r="AZ41" s="37">
        <f>IFERROR(IF(N(INDEX(Escalation_Index!$B$5:$B$25,MATCH(Y41,Escalation_Index!$A$5:$A$25,0)))&gt;0,INDEX(Escalation_Index!$B$5:$B$25,MATCH(Y41,Escalation_Index!$A$5:$A$25,0)),""),"")</f>
        <v>119.251</v>
      </c>
      <c r="BA41" s="37">
        <f>IF(ISNUMBER('Assumptions &amp; FX Reference'!$I$12),'Assumptions &amp; FX Reference'!$I$12,"")</f>
        <v>123.416</v>
      </c>
      <c r="BB41" s="33" t="str">
        <f t="shared" si="10"/>
        <v>N</v>
      </c>
      <c r="BC41" s="35">
        <f t="shared" si="11"/>
        <v>66480.78548333107</v>
      </c>
      <c r="BD41" s="35">
        <f>IF(AND(ISNUMBER(BC41),ISNUMBER(K41)),IF(K41&gt;0,BC41/K41^'Assumptions &amp; FX Reference'!$I$16,""),"")</f>
        <v>3534.965320154075</v>
      </c>
      <c r="BE41" s="30" t="s">
        <v>453</v>
      </c>
      <c r="BF41" s="30" t="s">
        <v>454</v>
      </c>
      <c r="BG41" s="30" t="s">
        <v>361</v>
      </c>
    </row>
    <row r="42" spans="1:59" ht="24" customHeight="1">
      <c r="A42" s="30">
        <v>38</v>
      </c>
      <c r="B42" s="30" t="s">
        <v>455</v>
      </c>
      <c r="C42" s="30" t="s">
        <v>353</v>
      </c>
      <c r="D42" s="30" t="s">
        <v>456</v>
      </c>
      <c r="E42" s="30" t="s">
        <v>56</v>
      </c>
      <c r="F42" s="30" t="s">
        <v>119</v>
      </c>
      <c r="G42" s="30" t="s">
        <v>119</v>
      </c>
      <c r="H42" s="31">
        <v>15</v>
      </c>
      <c r="I42" s="31"/>
      <c r="J42" s="31">
        <v>2.5</v>
      </c>
      <c r="K42" s="32">
        <f>IF(ISNUMBER(J42),J42,IF(AND(ISNUMBER(H42),ISNUMBER(I42)),H42*I42/(367*'Assumptions &amp; FX Reference'!$I$17),""))</f>
        <v>2.5</v>
      </c>
      <c r="L42" s="33" t="str">
        <f t="shared" si="6"/>
        <v>Not stated</v>
      </c>
      <c r="M42" s="30" t="s">
        <v>119</v>
      </c>
      <c r="N42" s="30" t="s">
        <v>296</v>
      </c>
      <c r="O42" s="30" t="s">
        <v>119</v>
      </c>
      <c r="P42" s="30" t="s">
        <v>119</v>
      </c>
      <c r="Q42" s="30" t="s">
        <v>119</v>
      </c>
      <c r="R42" s="30" t="s">
        <v>119</v>
      </c>
      <c r="S42" s="38" t="s">
        <v>297</v>
      </c>
      <c r="T42" s="30" t="s">
        <v>445</v>
      </c>
      <c r="U42" s="30">
        <v>2</v>
      </c>
      <c r="V42" s="38" t="s">
        <v>299</v>
      </c>
      <c r="W42" s="31">
        <v>6</v>
      </c>
      <c r="X42" s="30" t="s">
        <v>119</v>
      </c>
      <c r="Y42" s="38">
        <v>1402</v>
      </c>
      <c r="Z42" s="30" t="s">
        <v>446</v>
      </c>
      <c r="AA42" s="34">
        <v>2000000000</v>
      </c>
      <c r="AB42" s="35">
        <f>IF(NOT(ISNUMBER(AA42)),"(Not stated)",IF(NOT(ISNUMBER(Y42)),"(Cost year not stated)",IFERROR(IF(Z42="EUR",AA42,IF(Z42="IRR",AA42/INDEX('Assumptions &amp; FX Reference'!$C$5:$C$25,MATCH(Y42,'Assumptions &amp; FX Reference'!$A$5:$A$25,0)),IF(Z42="USD",AA42*INDEX('Assumptions &amp; FX Reference'!$B$5:$B$25,MATCH(Y42,'Assumptions &amp; FX Reference'!$A$5:$A$25,0))/INDEX('Assumptions &amp; FX Reference'!$C$5:$C$25,MATCH(Y42,'Assumptions &amp; FX Reference'!$A$5:$A$25,0)),"(Currency?)"))),"(FX rate missing)")))</f>
        <v>3777.1482530689332</v>
      </c>
      <c r="AC42" s="35">
        <f>IF(NOT(ISNUMBER(AA42)),"(Not stated)",IF(NOT(ISNUMBER(Y42)),"(Cost year not stated)",IFERROR(IF(Z42="USD",AA42,IF(Z42="IRR",AA42/INDEX('Assumptions &amp; FX Reference'!$B$5:$B$25,MATCH(Y42,'Assumptions &amp; FX Reference'!$A$5:$A$25,0)),IF(Z42="EUR",AA42*INDEX('Assumptions &amp; FX Reference'!$C$5:$C$25,MATCH(Y42,'Assumptions &amp; FX Reference'!$A$5:$A$25,0))/INDEX('Assumptions &amp; FX Reference'!$B$5:$B$25,MATCH(Y42,'Assumptions &amp; FX Reference'!$A$5:$A$25,0)),"(Currency?)"))),"(FX rate missing)")))</f>
        <v>4761.9047619047615</v>
      </c>
      <c r="AD42" s="35">
        <f>IF(NOT(ISNUMBER(AA42)),"(Not stated)",IF(NOT(ISNUMBER(Y42)),"(Cost year not stated)",IFERROR(IF(Z42="IRR",AA42,IF(Z42="USD",AA42*INDEX('Assumptions &amp; FX Reference'!$B$5:$B$25,MATCH(Y42,'Assumptions &amp; FX Reference'!$A$5:$A$25,0)),IF(Z42="EUR",AA42*INDEX('Assumptions &amp; FX Reference'!$C$5:$C$25,MATCH(Y42,'Assumptions &amp; FX Reference'!$A$5:$A$25,0)),"(Currency?)"))),"(FX rate missing)")))</f>
        <v>2000000000</v>
      </c>
      <c r="AE42" s="30" t="s">
        <v>447</v>
      </c>
      <c r="AF42" s="38" t="s">
        <v>197</v>
      </c>
      <c r="AG42" s="35">
        <f>IF(AND(Z42="EUR",N(AA42)&gt;5000000),"(Check currency – excluded)",IF(AND(ISNUMBER(AB42),ISNUMBER(AZ42),ISNUMBER(BA42)),IF(AND(BB42="Y",ISNUMBER('Assumptions &amp; FX Reference'!$I$15)),MAX(AB42*BA42/AZ42,'Assumptions &amp; FX Reference'!$I$13*BA42/'Assumptions &amp; FX Reference'!$I$15),AB42*BA42/AZ42),"(PPI/FX missing)"))</f>
        <v>3909.0701864198659</v>
      </c>
      <c r="AH42" s="35">
        <f>IF(AND(ISNUMBER(AG42),ISNUMBER('Assumptions &amp; FX Reference'!$I$8),ISNUMBER('Assumptions &amp; FX Reference'!$I$11)),AG42*'Assumptions &amp; FX Reference'!$I$8/'Assumptions &amp; FX Reference'!$I$11,"")</f>
        <v>4127.1301671621122</v>
      </c>
      <c r="AI42" s="35">
        <f>IF(AND(ISNUMBER(AG42),ISNUMBER('Assumptions &amp; FX Reference'!$I$8)),AG42*'Assumptions &amp; FX Reference'!$I$8,"")</f>
        <v>2717851410.3717675</v>
      </c>
      <c r="AJ42" s="30" t="s">
        <v>357</v>
      </c>
      <c r="AK42" s="30" t="s">
        <v>358</v>
      </c>
      <c r="AL42" s="30" t="s">
        <v>119</v>
      </c>
      <c r="AM42" s="30" t="s">
        <v>119</v>
      </c>
      <c r="AN42" s="30" t="s">
        <v>119</v>
      </c>
      <c r="AO42" s="38" t="s">
        <v>305</v>
      </c>
      <c r="AP42" s="38" t="s">
        <v>305</v>
      </c>
      <c r="AQ42" s="38" t="s">
        <v>305</v>
      </c>
      <c r="AR42" s="30" t="s">
        <v>119</v>
      </c>
      <c r="AS42" s="33" t="str">
        <f t="shared" si="7"/>
        <v xml:space="preserve">Material missing; Seal missing; </v>
      </c>
      <c r="AT42" s="36">
        <f>IFERROR(INDEX(Factors_ROT!$F$5:$F$200,MATCH("MAT|"&amp;G42,Factors_ROT!$A$5:$A$200,0)),1)</f>
        <v>1</v>
      </c>
      <c r="AU42" s="36">
        <f>IFERROR(INDEX(Factors_ROT!$F$5:$F$200,MATCH("SEAL_ARR|"&amp;P42,Factors_ROT!$A$5:$A$200,0)),1)*IFERROR(INDEX(Factors_ROT!$F$5:$F$200,MATCH("SEAL_CAT|"&amp;Q42,Factors_ROT!$A$5:$A$200,0)),1)*IFERROR(INDEX(Factors_ROT!$F$5:$F$200,MATCH("SEAL_PLAN|"&amp;R42,Factors_ROT!$A$5:$A$200,0)),1)</f>
        <v>1</v>
      </c>
      <c r="AV42" s="36">
        <f>IFERROR(INDEX(Factors_ROT!$F$5:$F$200,MATCH("DRV|"&amp;S42,Factors_ROT!$A$5:$A$200,0)),1)*IFERROR(INDEX(Factors_ROT!$F$5:$F$200,MATCH("NACE|"&amp;O42,Factors_ROT!$A$5:$A$200,0)),1)</f>
        <v>1</v>
      </c>
      <c r="AW42" s="36">
        <f>IFERROR(INDEX(Factors_ROT!$F$5:$F$200,MATCH("SC_DRV|"&amp;AL42,Factors_ROT!$A$5:$A$200,0)),1)*IFERROR(INDEX(Factors_ROT!$F$5:$F$200,MATCH("SC_BSP|"&amp;AM42,Factors_ROT!$A$5:$A$200,0)),1)*IFERROR(INDEX(Factors_ROT!$F$5:$F$200,MATCH("SC_SEAL|"&amp;AN42,Factors_ROT!$A$5:$A$200,0)),1)*IFERROR(INDEX(Factors_ROT!$F$5:$F$200,MATCH("SC_COMM|"&amp;AO42,Factors_ROT!$A$5:$A$200,0)),1)*IFERROR(INDEX(Factors_ROT!$F$5:$F$200,MATCH("SC_2Y|"&amp;AP42,Factors_ROT!$A$5:$A$200,0)),1)*IFERROR(INDEX(Factors_ROT!$F$5:$F$200,MATCH("SC_TPI|"&amp;AQ42,Factors_ROT!$A$5:$A$200,0)),1)*IFERROR(INDEX(Factors_ROT!$F$5:$F$200,MATCH("SC_FAT|"&amp;AR42,Factors_ROT!$A$5:$A$200,0)),1)</f>
        <v>0.98</v>
      </c>
      <c r="AX42" s="36">
        <f t="shared" si="8"/>
        <v>0.98</v>
      </c>
      <c r="AY42" s="35">
        <f t="shared" si="9"/>
        <v>3854.23291129483</v>
      </c>
      <c r="AZ42" s="37">
        <f>IFERROR(IF(N(INDEX(Escalation_Index!$B$5:$B$25,MATCH(Y42,Escalation_Index!$A$5:$A$25,0)))&gt;0,INDEX(Escalation_Index!$B$5:$B$25,MATCH(Y42,Escalation_Index!$A$5:$A$25,0)),""),"")</f>
        <v>119.251</v>
      </c>
      <c r="BA42" s="37">
        <f>IF(ISNUMBER('Assumptions &amp; FX Reference'!$I$12),'Assumptions &amp; FX Reference'!$I$12,"")</f>
        <v>123.416</v>
      </c>
      <c r="BB42" s="33" t="str">
        <f t="shared" si="10"/>
        <v>N</v>
      </c>
      <c r="BC42" s="35">
        <f t="shared" si="11"/>
        <v>3988.8471289998633</v>
      </c>
      <c r="BD42" s="35">
        <f>IF(AND(ISNUMBER(BC42),ISNUMBER(K42)),IF(K42&gt;0,BC42/K42^'Assumptions &amp; FX Reference'!$I$16,""),"")</f>
        <v>2301.8837510745448</v>
      </c>
      <c r="BE42" s="30" t="s">
        <v>457</v>
      </c>
      <c r="BF42" s="30" t="s">
        <v>458</v>
      </c>
      <c r="BG42" s="30" t="s">
        <v>361</v>
      </c>
    </row>
    <row r="43" spans="1:59" ht="24" customHeight="1">
      <c r="A43" s="30">
        <v>39</v>
      </c>
      <c r="B43" s="30" t="s">
        <v>459</v>
      </c>
      <c r="C43" s="30" t="s">
        <v>353</v>
      </c>
      <c r="D43" s="30" t="s">
        <v>460</v>
      </c>
      <c r="E43" s="30" t="s">
        <v>44</v>
      </c>
      <c r="F43" s="30" t="s">
        <v>119</v>
      </c>
      <c r="G43" s="30" t="s">
        <v>119</v>
      </c>
      <c r="H43" s="31">
        <v>15</v>
      </c>
      <c r="I43" s="31"/>
      <c r="J43" s="31">
        <v>2.5</v>
      </c>
      <c r="K43" s="32">
        <f>IF(ISNUMBER(J43),J43,IF(AND(ISNUMBER(H43),ISNUMBER(I43)),H43*I43/(367*'Assumptions &amp; FX Reference'!$I$17),""))</f>
        <v>2.5</v>
      </c>
      <c r="L43" s="33" t="str">
        <f t="shared" si="6"/>
        <v>Not stated</v>
      </c>
      <c r="M43" s="30" t="s">
        <v>119</v>
      </c>
      <c r="N43" s="30" t="s">
        <v>296</v>
      </c>
      <c r="O43" s="30" t="s">
        <v>119</v>
      </c>
      <c r="P43" s="30" t="s">
        <v>119</v>
      </c>
      <c r="Q43" s="30" t="s">
        <v>119</v>
      </c>
      <c r="R43" s="30" t="s">
        <v>119</v>
      </c>
      <c r="S43" s="38" t="s">
        <v>297</v>
      </c>
      <c r="T43" s="30" t="s">
        <v>330</v>
      </c>
      <c r="U43" s="30">
        <v>2</v>
      </c>
      <c r="V43" s="38" t="s">
        <v>299</v>
      </c>
      <c r="W43" s="31">
        <v>6</v>
      </c>
      <c r="X43" s="30" t="s">
        <v>119</v>
      </c>
      <c r="Y43" s="38">
        <v>1402</v>
      </c>
      <c r="Z43" s="30" t="s">
        <v>355</v>
      </c>
      <c r="AA43" s="34">
        <v>17500</v>
      </c>
      <c r="AB43" s="35">
        <f>IF(NOT(ISNUMBER(AA43)),"(Not stated)",IF(NOT(ISNUMBER(Y43)),"(Cost year not stated)",IFERROR(IF(Z43="EUR",AA43,IF(Z43="IRR",AA43/INDEX('Assumptions &amp; FX Reference'!$C$5:$C$25,MATCH(Y43,'Assumptions &amp; FX Reference'!$A$5:$A$25,0)),IF(Z43="USD",AA43*INDEX('Assumptions &amp; FX Reference'!$B$5:$B$25,MATCH(Y43,'Assumptions &amp; FX Reference'!$A$5:$A$25,0))/INDEX('Assumptions &amp; FX Reference'!$C$5:$C$25,MATCH(Y43,'Assumptions &amp; FX Reference'!$A$5:$A$25,0)),"(Currency?)"))),"(FX rate missing)")))</f>
        <v>17500</v>
      </c>
      <c r="AC43" s="35">
        <f>IF(NOT(ISNUMBER(AA43)),"(Not stated)",IF(NOT(ISNUMBER(Y43)),"(Cost year not stated)",IFERROR(IF(Z43="USD",AA43,IF(Z43="IRR",AA43/INDEX('Assumptions &amp; FX Reference'!$B$5:$B$25,MATCH(Y43,'Assumptions &amp; FX Reference'!$A$5:$A$25,0)),IF(Z43="EUR",AA43*INDEX('Assumptions &amp; FX Reference'!$C$5:$C$25,MATCH(Y43,'Assumptions &amp; FX Reference'!$A$5:$A$25,0))/INDEX('Assumptions &amp; FX Reference'!$B$5:$B$25,MATCH(Y43,'Assumptions &amp; FX Reference'!$A$5:$A$25,0)),"(Currency?)"))),"(FX rate missing)")))</f>
        <v>22062.5</v>
      </c>
      <c r="AD43" s="39">
        <f>IF(NOT(ISNUMBER(AA43)),"(Not stated)",IF(NOT(ISNUMBER(Y43)),"(Cost year not stated)",IFERROR(IF(Z43="IRR",AA43,IF(Z43="USD",AA43*INDEX('Assumptions &amp; FX Reference'!$B$5:$B$25,MATCH(Y43,'Assumptions &amp; FX Reference'!$A$5:$A$25,0)),IF(Z43="EUR",AA43*INDEX('Assumptions &amp; FX Reference'!$C$5:$C$25,MATCH(Y43,'Assumptions &amp; FX Reference'!$A$5:$A$25,0)),"(Currency?)"))),"(FX rate missing)")))</f>
        <v>9266250000</v>
      </c>
      <c r="AE43" s="30" t="s">
        <v>356</v>
      </c>
      <c r="AF43" s="38" t="s">
        <v>197</v>
      </c>
      <c r="AG43" s="35">
        <f>IF(AND(Z43="EUR",N(AA43)&gt;5000000),"(Check currency – excluded)",IF(AND(ISNUMBER(AB43),ISNUMBER(AZ43),ISNUMBER(BA43)),IF(AND(BB43="Y",ISNUMBER('Assumptions &amp; FX Reference'!$I$15)),MAX(AB43*BA43/AZ43,'Assumptions &amp; FX Reference'!$I$13*BA43/'Assumptions &amp; FX Reference'!$I$15),AB43*BA43/AZ43),"(PPI/FX missing)"))</f>
        <v>18111.21080745654</v>
      </c>
      <c r="AH43" s="35">
        <f>IF(AND(ISNUMBER(AG43),ISNUMBER('Assumptions &amp; FX Reference'!$I$8),ISNUMBER('Assumptions &amp; FX Reference'!$I$11)),AG43*'Assumptions &amp; FX Reference'!$I$8/'Assumptions &amp; FX Reference'!$I$11,"")</f>
        <v>19121.509955732959</v>
      </c>
      <c r="AI43" s="35">
        <f>IF(AND(ISNUMBER(AG43),ISNUMBER('Assumptions &amp; FX Reference'!$I$8)),AG43*'Assumptions &amp; FX Reference'!$I$8,"")</f>
        <v>12592145315.678694</v>
      </c>
      <c r="AJ43" s="30" t="s">
        <v>357</v>
      </c>
      <c r="AK43" s="30" t="s">
        <v>358</v>
      </c>
      <c r="AL43" s="30" t="s">
        <v>119</v>
      </c>
      <c r="AM43" s="30" t="s">
        <v>119</v>
      </c>
      <c r="AN43" s="30" t="s">
        <v>119</v>
      </c>
      <c r="AO43" s="38" t="s">
        <v>305</v>
      </c>
      <c r="AP43" s="38" t="s">
        <v>305</v>
      </c>
      <c r="AQ43" s="38" t="s">
        <v>305</v>
      </c>
      <c r="AR43" s="30" t="s">
        <v>119</v>
      </c>
      <c r="AS43" s="33" t="str">
        <f t="shared" si="7"/>
        <v xml:space="preserve">Material missing; Seal missing; </v>
      </c>
      <c r="AT43" s="36">
        <f>IFERROR(INDEX(Factors_ROT!$F$5:$F$200,MATCH("MAT|"&amp;G43,Factors_ROT!$A$5:$A$200,0)),1)</f>
        <v>1</v>
      </c>
      <c r="AU43" s="36">
        <f>IFERROR(INDEX(Factors_ROT!$F$5:$F$200,MATCH("SEAL_ARR|"&amp;P43,Factors_ROT!$A$5:$A$200,0)),1)*IFERROR(INDEX(Factors_ROT!$F$5:$F$200,MATCH("SEAL_CAT|"&amp;Q43,Factors_ROT!$A$5:$A$200,0)),1)*IFERROR(INDEX(Factors_ROT!$F$5:$F$200,MATCH("SEAL_PLAN|"&amp;R43,Factors_ROT!$A$5:$A$200,0)),1)</f>
        <v>1</v>
      </c>
      <c r="AV43" s="36">
        <f>IFERROR(INDEX(Factors_ROT!$F$5:$F$200,MATCH("DRV|"&amp;S43,Factors_ROT!$A$5:$A$200,0)),1)*IFERROR(INDEX(Factors_ROT!$F$5:$F$200,MATCH("NACE|"&amp;O43,Factors_ROT!$A$5:$A$200,0)),1)</f>
        <v>1</v>
      </c>
      <c r="AW43" s="36">
        <f>IFERROR(INDEX(Factors_ROT!$F$5:$F$200,MATCH("SC_DRV|"&amp;AL43,Factors_ROT!$A$5:$A$200,0)),1)*IFERROR(INDEX(Factors_ROT!$F$5:$F$200,MATCH("SC_BSP|"&amp;AM43,Factors_ROT!$A$5:$A$200,0)),1)*IFERROR(INDEX(Factors_ROT!$F$5:$F$200,MATCH("SC_SEAL|"&amp;AN43,Factors_ROT!$A$5:$A$200,0)),1)*IFERROR(INDEX(Factors_ROT!$F$5:$F$200,MATCH("SC_COMM|"&amp;AO43,Factors_ROT!$A$5:$A$200,0)),1)*IFERROR(INDEX(Factors_ROT!$F$5:$F$200,MATCH("SC_2Y|"&amp;AP43,Factors_ROT!$A$5:$A$200,0)),1)*IFERROR(INDEX(Factors_ROT!$F$5:$F$200,MATCH("SC_TPI|"&amp;AQ43,Factors_ROT!$A$5:$A$200,0)),1)*IFERROR(INDEX(Factors_ROT!$F$5:$F$200,MATCH("SC_FAT|"&amp;AR43,Factors_ROT!$A$5:$A$200,0)),1)</f>
        <v>0.98</v>
      </c>
      <c r="AX43" s="36">
        <f t="shared" si="8"/>
        <v>0.98</v>
      </c>
      <c r="AY43" s="35">
        <f t="shared" si="9"/>
        <v>17857.142857142859</v>
      </c>
      <c r="AZ43" s="37">
        <f>IFERROR(IF(N(INDEX(Escalation_Index!$B$5:$B$25,MATCH(Y43,Escalation_Index!$A$5:$A$25,0)))&gt;0,INDEX(Escalation_Index!$B$5:$B$25,MATCH(Y43,Escalation_Index!$A$5:$A$25,0)),""),"")</f>
        <v>119.251</v>
      </c>
      <c r="BA43" s="37">
        <f>IF(ISNUMBER('Assumptions &amp; FX Reference'!$I$12),'Assumptions &amp; FX Reference'!$I$12,"")</f>
        <v>123.416</v>
      </c>
      <c r="BB43" s="33" t="str">
        <f t="shared" si="10"/>
        <v>N</v>
      </c>
      <c r="BC43" s="35">
        <f t="shared" si="11"/>
        <v>18480.827354547491</v>
      </c>
      <c r="BD43" s="35">
        <f>IF(AND(ISNUMBER(BC43),ISNUMBER(K43)),IF(K43&gt;0,BC43/K43^'Assumptions &amp; FX Reference'!$I$16,""),"")</f>
        <v>10664.91515419725</v>
      </c>
      <c r="BE43" s="30" t="s">
        <v>461</v>
      </c>
      <c r="BF43" s="30" t="s">
        <v>462</v>
      </c>
      <c r="BG43" s="30" t="s">
        <v>361</v>
      </c>
    </row>
    <row r="44" spans="1:59" ht="24" customHeight="1">
      <c r="A44" s="30">
        <v>40</v>
      </c>
      <c r="B44" s="30" t="s">
        <v>463</v>
      </c>
      <c r="C44" s="30" t="s">
        <v>353</v>
      </c>
      <c r="D44" s="30" t="s">
        <v>464</v>
      </c>
      <c r="E44" s="30" t="s">
        <v>56</v>
      </c>
      <c r="F44" s="30" t="s">
        <v>119</v>
      </c>
      <c r="G44" s="30" t="s">
        <v>119</v>
      </c>
      <c r="H44" s="31">
        <v>30</v>
      </c>
      <c r="I44" s="31"/>
      <c r="J44" s="31">
        <v>2.5</v>
      </c>
      <c r="K44" s="32">
        <f>IF(ISNUMBER(J44),J44,IF(AND(ISNUMBER(H44),ISNUMBER(I44)),H44*I44/(367*'Assumptions &amp; FX Reference'!$I$17),""))</f>
        <v>2.5</v>
      </c>
      <c r="L44" s="33" t="str">
        <f t="shared" si="6"/>
        <v>Not stated</v>
      </c>
      <c r="M44" s="30" t="s">
        <v>119</v>
      </c>
      <c r="N44" s="30" t="s">
        <v>296</v>
      </c>
      <c r="O44" s="30" t="s">
        <v>119</v>
      </c>
      <c r="P44" s="30" t="s">
        <v>119</v>
      </c>
      <c r="Q44" s="30" t="s">
        <v>119</v>
      </c>
      <c r="R44" s="30" t="s">
        <v>119</v>
      </c>
      <c r="S44" s="38" t="s">
        <v>297</v>
      </c>
      <c r="T44" s="30" t="s">
        <v>445</v>
      </c>
      <c r="U44" s="30">
        <v>1</v>
      </c>
      <c r="V44" s="38" t="s">
        <v>299</v>
      </c>
      <c r="W44" s="31">
        <v>3</v>
      </c>
      <c r="X44" s="30" t="s">
        <v>119</v>
      </c>
      <c r="Y44" s="38">
        <v>1402</v>
      </c>
      <c r="Z44" s="30" t="s">
        <v>355</v>
      </c>
      <c r="AA44" s="34">
        <v>19500</v>
      </c>
      <c r="AB44" s="35">
        <f>IF(NOT(ISNUMBER(AA44)),"(Not stated)",IF(NOT(ISNUMBER(Y44)),"(Cost year not stated)",IFERROR(IF(Z44="EUR",AA44,IF(Z44="IRR",AA44/INDEX('Assumptions &amp; FX Reference'!$C$5:$C$25,MATCH(Y44,'Assumptions &amp; FX Reference'!$A$5:$A$25,0)),IF(Z44="USD",AA44*INDEX('Assumptions &amp; FX Reference'!$B$5:$B$25,MATCH(Y44,'Assumptions &amp; FX Reference'!$A$5:$A$25,0))/INDEX('Assumptions &amp; FX Reference'!$C$5:$C$25,MATCH(Y44,'Assumptions &amp; FX Reference'!$A$5:$A$25,0)),"(Currency?)"))),"(FX rate missing)")))</f>
        <v>19500</v>
      </c>
      <c r="AC44" s="35">
        <f>IF(NOT(ISNUMBER(AA44)),"(Not stated)",IF(NOT(ISNUMBER(Y44)),"(Cost year not stated)",IFERROR(IF(Z44="USD",AA44,IF(Z44="IRR",AA44/INDEX('Assumptions &amp; FX Reference'!$B$5:$B$25,MATCH(Y44,'Assumptions &amp; FX Reference'!$A$5:$A$25,0)),IF(Z44="EUR",AA44*INDEX('Assumptions &amp; FX Reference'!$C$5:$C$25,MATCH(Y44,'Assumptions &amp; FX Reference'!$A$5:$A$25,0))/INDEX('Assumptions &amp; FX Reference'!$B$5:$B$25,MATCH(Y44,'Assumptions &amp; FX Reference'!$A$5:$A$25,0)),"(Currency?)"))),"(FX rate missing)")))</f>
        <v>24583.928571428572</v>
      </c>
      <c r="AD44" s="39">
        <f>IF(NOT(ISNUMBER(AA44)),"(Not stated)",IF(NOT(ISNUMBER(Y44)),"(Cost year not stated)",IFERROR(IF(Z44="IRR",AA44,IF(Z44="USD",AA44*INDEX('Assumptions &amp; FX Reference'!$B$5:$B$25,MATCH(Y44,'Assumptions &amp; FX Reference'!$A$5:$A$25,0)),IF(Z44="EUR",AA44*INDEX('Assumptions &amp; FX Reference'!$C$5:$C$25,MATCH(Y44,'Assumptions &amp; FX Reference'!$A$5:$A$25,0)),"(Currency?)"))),"(FX rate missing)")))</f>
        <v>10325250000</v>
      </c>
      <c r="AE44" s="30" t="s">
        <v>356</v>
      </c>
      <c r="AF44" s="38" t="s">
        <v>197</v>
      </c>
      <c r="AG44" s="35">
        <f>IF(AND(Z44="EUR",N(AA44)&gt;5000000),"(Check currency – excluded)",IF(AND(ISNUMBER(AB44),ISNUMBER(AZ44),ISNUMBER(BA44)),IF(AND(BB44="Y",ISNUMBER('Assumptions &amp; FX Reference'!$I$15)),MAX(AB44*BA44/AZ44,'Assumptions &amp; FX Reference'!$I$13*BA44/'Assumptions &amp; FX Reference'!$I$15),AB44*BA44/AZ44),"(PPI/FX missing)"))</f>
        <v>20181.06347116586</v>
      </c>
      <c r="AH44" s="35">
        <f>IF(AND(ISNUMBER(AG44),ISNUMBER('Assumptions &amp; FX Reference'!$I$8),ISNUMBER('Assumptions &amp; FX Reference'!$I$11)),AG44*'Assumptions &amp; FX Reference'!$I$8/'Assumptions &amp; FX Reference'!$I$11,"")</f>
        <v>21306.8253792453</v>
      </c>
      <c r="AI44" s="35">
        <f>IF(AND(ISNUMBER(AG44),ISNUMBER('Assumptions &amp; FX Reference'!$I$8)),AG44*'Assumptions &amp; FX Reference'!$I$8,"")</f>
        <v>14031247637.470545</v>
      </c>
      <c r="AJ44" s="30" t="s">
        <v>357</v>
      </c>
      <c r="AK44" s="30" t="s">
        <v>358</v>
      </c>
      <c r="AL44" s="30" t="s">
        <v>119</v>
      </c>
      <c r="AM44" s="30" t="s">
        <v>119</v>
      </c>
      <c r="AN44" s="30" t="s">
        <v>119</v>
      </c>
      <c r="AO44" s="38" t="s">
        <v>305</v>
      </c>
      <c r="AP44" s="38" t="s">
        <v>305</v>
      </c>
      <c r="AQ44" s="38" t="s">
        <v>305</v>
      </c>
      <c r="AR44" s="30" t="s">
        <v>119</v>
      </c>
      <c r="AS44" s="33" t="str">
        <f t="shared" si="7"/>
        <v xml:space="preserve">Material missing; Seal missing; </v>
      </c>
      <c r="AT44" s="36">
        <f>IFERROR(INDEX(Factors_ROT!$F$5:$F$200,MATCH("MAT|"&amp;G44,Factors_ROT!$A$5:$A$200,0)),1)</f>
        <v>1</v>
      </c>
      <c r="AU44" s="36">
        <f>IFERROR(INDEX(Factors_ROT!$F$5:$F$200,MATCH("SEAL_ARR|"&amp;P44,Factors_ROT!$A$5:$A$200,0)),1)*IFERROR(INDEX(Factors_ROT!$F$5:$F$200,MATCH("SEAL_CAT|"&amp;Q44,Factors_ROT!$A$5:$A$200,0)),1)*IFERROR(INDEX(Factors_ROT!$F$5:$F$200,MATCH("SEAL_PLAN|"&amp;R44,Factors_ROT!$A$5:$A$200,0)),1)</f>
        <v>1</v>
      </c>
      <c r="AV44" s="36">
        <f>IFERROR(INDEX(Factors_ROT!$F$5:$F$200,MATCH("DRV|"&amp;S44,Factors_ROT!$A$5:$A$200,0)),1)*IFERROR(INDEX(Factors_ROT!$F$5:$F$200,MATCH("NACE|"&amp;O44,Factors_ROT!$A$5:$A$200,0)),1)</f>
        <v>1</v>
      </c>
      <c r="AW44" s="36">
        <f>IFERROR(INDEX(Factors_ROT!$F$5:$F$200,MATCH("SC_DRV|"&amp;AL44,Factors_ROT!$A$5:$A$200,0)),1)*IFERROR(INDEX(Factors_ROT!$F$5:$F$200,MATCH("SC_BSP|"&amp;AM44,Factors_ROT!$A$5:$A$200,0)),1)*IFERROR(INDEX(Factors_ROT!$F$5:$F$200,MATCH("SC_SEAL|"&amp;AN44,Factors_ROT!$A$5:$A$200,0)),1)*IFERROR(INDEX(Factors_ROT!$F$5:$F$200,MATCH("SC_COMM|"&amp;AO44,Factors_ROT!$A$5:$A$200,0)),1)*IFERROR(INDEX(Factors_ROT!$F$5:$F$200,MATCH("SC_2Y|"&amp;AP44,Factors_ROT!$A$5:$A$200,0)),1)*IFERROR(INDEX(Factors_ROT!$F$5:$F$200,MATCH("SC_TPI|"&amp;AQ44,Factors_ROT!$A$5:$A$200,0)),1)*IFERROR(INDEX(Factors_ROT!$F$5:$F$200,MATCH("SC_FAT|"&amp;AR44,Factors_ROT!$A$5:$A$200,0)),1)</f>
        <v>0.98</v>
      </c>
      <c r="AX44" s="36">
        <f t="shared" si="8"/>
        <v>0.98</v>
      </c>
      <c r="AY44" s="35">
        <f t="shared" si="9"/>
        <v>19897.959183673469</v>
      </c>
      <c r="AZ44" s="37">
        <f>IFERROR(IF(N(INDEX(Escalation_Index!$B$5:$B$25,MATCH(Y44,Escalation_Index!$A$5:$A$25,0)))&gt;0,INDEX(Escalation_Index!$B$5:$B$25,MATCH(Y44,Escalation_Index!$A$5:$A$25,0)),""),"")</f>
        <v>119.251</v>
      </c>
      <c r="BA44" s="37">
        <f>IF(ISNUMBER('Assumptions &amp; FX Reference'!$I$12),'Assumptions &amp; FX Reference'!$I$12,"")</f>
        <v>123.416</v>
      </c>
      <c r="BB44" s="33" t="str">
        <f t="shared" si="10"/>
        <v>N</v>
      </c>
      <c r="BC44" s="35">
        <f t="shared" si="11"/>
        <v>20592.921909352921</v>
      </c>
      <c r="BD44" s="35">
        <f>IF(AND(ISNUMBER(BC44),ISNUMBER(K44)),IF(K44&gt;0,BC44/K44^'Assumptions &amp; FX Reference'!$I$16,""),"")</f>
        <v>11883.762600391221</v>
      </c>
      <c r="BE44" s="30" t="s">
        <v>465</v>
      </c>
      <c r="BF44" s="30" t="s">
        <v>466</v>
      </c>
      <c r="BG44" s="30" t="s">
        <v>361</v>
      </c>
    </row>
    <row r="45" spans="1:59" ht="24" customHeight="1">
      <c r="A45" s="30">
        <v>41</v>
      </c>
      <c r="B45" s="30" t="s">
        <v>467</v>
      </c>
      <c r="C45" s="30" t="s">
        <v>468</v>
      </c>
      <c r="D45" s="30" t="s">
        <v>469</v>
      </c>
      <c r="E45" s="30" t="s">
        <v>41</v>
      </c>
      <c r="F45" s="30" t="s">
        <v>128</v>
      </c>
      <c r="G45" s="30" t="s">
        <v>107</v>
      </c>
      <c r="H45" s="31">
        <v>354</v>
      </c>
      <c r="I45" s="31">
        <v>31.2</v>
      </c>
      <c r="J45" s="31"/>
      <c r="K45" s="32">
        <f>IF(ISNUMBER(J45),J45,IF(AND(ISNUMBER(H45),ISNUMBER(I45)),H45*I45/(367*'Assumptions &amp; FX Reference'!$I$17),""))</f>
        <v>50.158038147138967</v>
      </c>
      <c r="L45" s="33" t="str">
        <f t="shared" si="6"/>
        <v>API 610 + IPS-G-PM-105</v>
      </c>
      <c r="M45" s="30" t="s">
        <v>470</v>
      </c>
      <c r="N45" s="30" t="s">
        <v>471</v>
      </c>
      <c r="O45" s="38" t="s">
        <v>305</v>
      </c>
      <c r="P45" s="30" t="s">
        <v>119</v>
      </c>
      <c r="Q45" s="30" t="s">
        <v>119</v>
      </c>
      <c r="R45" s="30" t="s">
        <v>119</v>
      </c>
      <c r="S45" s="38" t="s">
        <v>297</v>
      </c>
      <c r="T45" s="30" t="s">
        <v>298</v>
      </c>
      <c r="U45" s="30">
        <v>3</v>
      </c>
      <c r="V45" s="30" t="s">
        <v>299</v>
      </c>
      <c r="W45" s="31">
        <v>4</v>
      </c>
      <c r="X45" s="30" t="s">
        <v>119</v>
      </c>
      <c r="Y45" s="38">
        <v>1393</v>
      </c>
      <c r="Z45" s="30" t="s">
        <v>355</v>
      </c>
      <c r="AA45" s="34">
        <v>55000</v>
      </c>
      <c r="AB45" s="35">
        <f>IF(NOT(ISNUMBER(AA45)),"(Not stated)",IF(NOT(ISNUMBER(Y45)),"(Cost year not stated)",IFERROR(IF(Z45="EUR",AA45,IF(Z45="IRR",AA45/INDEX('Assumptions &amp; FX Reference'!$C$5:$C$25,MATCH(Y45,'Assumptions &amp; FX Reference'!$A$5:$A$25,0)),IF(Z45="USD",AA45*INDEX('Assumptions &amp; FX Reference'!$B$5:$B$25,MATCH(Y45,'Assumptions &amp; FX Reference'!$A$5:$A$25,0))/INDEX('Assumptions &amp; FX Reference'!$C$5:$C$25,MATCH(Y45,'Assumptions &amp; FX Reference'!$A$5:$A$25,0)),"(Currency?)"))),"(FX rate missing)")))</f>
        <v>55000</v>
      </c>
      <c r="AC45" s="35">
        <f>IF(NOT(ISNUMBER(AA45)),"(Not stated)",IF(NOT(ISNUMBER(Y45)),"(Cost year not stated)",IFERROR(IF(Z45="USD",AA45,IF(Z45="IRR",AA45/INDEX('Assumptions &amp; FX Reference'!$B$5:$B$25,MATCH(Y45,'Assumptions &amp; FX Reference'!$A$5:$A$25,0)),IF(Z45="EUR",AA45*INDEX('Assumptions &amp; FX Reference'!$C$5:$C$25,MATCH(Y45,'Assumptions &amp; FX Reference'!$A$5:$A$25,0))/INDEX('Assumptions &amp; FX Reference'!$B$5:$B$25,MATCH(Y45,'Assumptions &amp; FX Reference'!$A$5:$A$25,0)),"(Currency?)"))),"(FX rate missing)")))</f>
        <v>71909.483870967742</v>
      </c>
      <c r="AD45" s="35">
        <f>IF(NOT(ISNUMBER(AA45)),"(Not stated)",IF(NOT(ISNUMBER(Y45)),"(Cost year not stated)",IFERROR(IF(Z45="IRR",AA45,IF(Z45="USD",AA45*INDEX('Assumptions &amp; FX Reference'!$B$5:$B$25,MATCH(Y45,'Assumptions &amp; FX Reference'!$A$5:$A$25,0)),IF(Z45="EUR",AA45*INDEX('Assumptions &amp; FX Reference'!$C$5:$C$25,MATCH(Y45,'Assumptions &amp; FX Reference'!$A$5:$A$25,0)),"(Currency?)"))),"(FX rate missing)")))</f>
        <v>2229194000</v>
      </c>
      <c r="AE45" s="30" t="s">
        <v>472</v>
      </c>
      <c r="AF45" s="38" t="s">
        <v>204</v>
      </c>
      <c r="AG45" s="35">
        <f>IF(AND(Z45="EUR",N(AA45)&gt;5000000),"(Check currency – excluded)",IF(AND(ISNUMBER(AB45),ISNUMBER(AZ45),ISNUMBER(BA45)),IF(AND(BB45="Y",ISNUMBER('Assumptions &amp; FX Reference'!$I$15)),MAX(AB45*BA45/AZ45,'Assumptions &amp; FX Reference'!$I$13*BA45/'Assumptions &amp; FX Reference'!$I$15),AB45*BA45/AZ45),"(PPI/FX missing)"))</f>
        <v>74308.734824351108</v>
      </c>
      <c r="AH45" s="35">
        <f>IF(AND(ISNUMBER(AG45),ISNUMBER('Assumptions &amp; FX Reference'!$I$8),ISNUMBER('Assumptions &amp; FX Reference'!$I$11)),AG45*'Assumptions &amp; FX Reference'!$I$8/'Assumptions &amp; FX Reference'!$I$11,"")</f>
        <v>78453.905034154624</v>
      </c>
      <c r="AI45" s="35">
        <f>IF(AND(ISNUMBER(AG45),ISNUMBER('Assumptions &amp; FX Reference'!$I$8)),AG45*'Assumptions &amp; FX Reference'!$I$8,"")</f>
        <v>51664485443.856949</v>
      </c>
      <c r="AJ45" s="30" t="s">
        <v>473</v>
      </c>
      <c r="AK45" s="30" t="s">
        <v>474</v>
      </c>
      <c r="AL45" s="30" t="s">
        <v>119</v>
      </c>
      <c r="AM45" s="30" t="s">
        <v>119</v>
      </c>
      <c r="AN45" s="30" t="s">
        <v>119</v>
      </c>
      <c r="AO45" s="30" t="s">
        <v>119</v>
      </c>
      <c r="AP45" s="30" t="s">
        <v>119</v>
      </c>
      <c r="AQ45" s="38" t="s">
        <v>305</v>
      </c>
      <c r="AR45" s="30" t="s">
        <v>119</v>
      </c>
      <c r="AS45" s="33" t="str">
        <f t="shared" si="7"/>
        <v xml:space="preserve">Seal missing; </v>
      </c>
      <c r="AT45" s="36">
        <f>IFERROR(INDEX(Factors_ROT!$F$5:$F$200,MATCH("MAT|"&amp;G45,Factors_ROT!$A$5:$A$200,0)),1)</f>
        <v>1.7</v>
      </c>
      <c r="AU45" s="36">
        <f>IFERROR(INDEX(Factors_ROT!$F$5:$F$200,MATCH("SEAL_ARR|"&amp;P45,Factors_ROT!$A$5:$A$200,0)),1)*IFERROR(INDEX(Factors_ROT!$F$5:$F$200,MATCH("SEAL_CAT|"&amp;Q45,Factors_ROT!$A$5:$A$200,0)),1)*IFERROR(INDEX(Factors_ROT!$F$5:$F$200,MATCH("SEAL_PLAN|"&amp;R45,Factors_ROT!$A$5:$A$200,0)),1)</f>
        <v>1</v>
      </c>
      <c r="AV45" s="36">
        <f>IFERROR(INDEX(Factors_ROT!$F$5:$F$200,MATCH("DRV|"&amp;S45,Factors_ROT!$A$5:$A$200,0)),1)*IFERROR(INDEX(Factors_ROT!$F$5:$F$200,MATCH("NACE|"&amp;O45,Factors_ROT!$A$5:$A$200,0)),1)</f>
        <v>1</v>
      </c>
      <c r="AW45" s="36">
        <f>IFERROR(INDEX(Factors_ROT!$F$5:$F$200,MATCH("SC_DRV|"&amp;AL45,Factors_ROT!$A$5:$A$200,0)),1)*IFERROR(INDEX(Factors_ROT!$F$5:$F$200,MATCH("SC_BSP|"&amp;AM45,Factors_ROT!$A$5:$A$200,0)),1)*IFERROR(INDEX(Factors_ROT!$F$5:$F$200,MATCH("SC_SEAL|"&amp;AN45,Factors_ROT!$A$5:$A$200,0)),1)*IFERROR(INDEX(Factors_ROT!$F$5:$F$200,MATCH("SC_COMM|"&amp;AO45,Factors_ROT!$A$5:$A$200,0)),1)*IFERROR(INDEX(Factors_ROT!$F$5:$F$200,MATCH("SC_2Y|"&amp;AP45,Factors_ROT!$A$5:$A$200,0)),1)*IFERROR(INDEX(Factors_ROT!$F$5:$F$200,MATCH("SC_TPI|"&amp;AQ45,Factors_ROT!$A$5:$A$200,0)),1)*IFERROR(INDEX(Factors_ROT!$F$5:$F$200,MATCH("SC_FAT|"&amp;AR45,Factors_ROT!$A$5:$A$200,0)),1)</f>
        <v>1</v>
      </c>
      <c r="AX45" s="36">
        <f t="shared" si="8"/>
        <v>1.7</v>
      </c>
      <c r="AY45" s="35">
        <f t="shared" si="9"/>
        <v>32352.941176470587</v>
      </c>
      <c r="AZ45" s="37">
        <f>IFERROR(IF(N(INDEX(Escalation_Index!$B$5:$B$25,MATCH(Y45,Escalation_Index!$A$5:$A$25,0)))&gt;0,INDEX(Escalation_Index!$B$5:$B$25,MATCH(Y45,Escalation_Index!$A$5:$A$25,0)),""),"")</f>
        <v>91.346999999999994</v>
      </c>
      <c r="BA45" s="37">
        <f>IF(ISNUMBER('Assumptions &amp; FX Reference'!$I$12),'Assumptions &amp; FX Reference'!$I$12,"")</f>
        <v>123.416</v>
      </c>
      <c r="BB45" s="33" t="str">
        <f t="shared" si="10"/>
        <v>Y</v>
      </c>
      <c r="BC45" s="35">
        <f t="shared" si="11"/>
        <v>43711.02048491242</v>
      </c>
      <c r="BD45" s="35">
        <f>IF(AND(ISNUMBER(BC45),ISNUMBER(K45)),IF(K45&gt;0,BC45/K45^'Assumptions &amp; FX Reference'!$I$16,""),"")</f>
        <v>4172.4065727936977</v>
      </c>
      <c r="BE45" s="30" t="s">
        <v>475</v>
      </c>
      <c r="BF45" s="30" t="s">
        <v>476</v>
      </c>
      <c r="BG45" s="30" t="s">
        <v>361</v>
      </c>
    </row>
    <row r="46" spans="1:59" ht="24" customHeight="1">
      <c r="A46" s="30">
        <v>42</v>
      </c>
      <c r="B46" s="30" t="s">
        <v>477</v>
      </c>
      <c r="C46" s="30" t="s">
        <v>468</v>
      </c>
      <c r="D46" s="30" t="s">
        <v>478</v>
      </c>
      <c r="E46" s="30" t="s">
        <v>41</v>
      </c>
      <c r="F46" s="30" t="s">
        <v>128</v>
      </c>
      <c r="G46" s="30" t="s">
        <v>107</v>
      </c>
      <c r="H46" s="31">
        <v>255</v>
      </c>
      <c r="I46" s="31">
        <v>170</v>
      </c>
      <c r="J46" s="31"/>
      <c r="K46" s="32">
        <f>IF(ISNUMBER(J46),J46,IF(AND(ISNUMBER(H46),ISNUMBER(I46)),H46*I46/(367*'Assumptions &amp; FX Reference'!$I$17),""))</f>
        <v>196.86648501362399</v>
      </c>
      <c r="L46" s="33" t="str">
        <f t="shared" si="6"/>
        <v>API 610 + IPS-G-PM-105</v>
      </c>
      <c r="M46" s="30" t="s">
        <v>470</v>
      </c>
      <c r="N46" s="30" t="s">
        <v>471</v>
      </c>
      <c r="O46" s="38" t="s">
        <v>305</v>
      </c>
      <c r="P46" s="30" t="s">
        <v>119</v>
      </c>
      <c r="Q46" s="30" t="s">
        <v>119</v>
      </c>
      <c r="R46" s="30" t="s">
        <v>119</v>
      </c>
      <c r="S46" s="38" t="s">
        <v>297</v>
      </c>
      <c r="T46" s="30" t="s">
        <v>298</v>
      </c>
      <c r="U46" s="30">
        <v>3</v>
      </c>
      <c r="V46" s="30" t="s">
        <v>299</v>
      </c>
      <c r="W46" s="31">
        <v>17.2</v>
      </c>
      <c r="X46" s="30" t="s">
        <v>119</v>
      </c>
      <c r="Y46" s="38">
        <v>1393</v>
      </c>
      <c r="Z46" s="30" t="s">
        <v>355</v>
      </c>
      <c r="AA46" s="34">
        <v>60000</v>
      </c>
      <c r="AB46" s="35">
        <f>IF(NOT(ISNUMBER(AA46)),"(Not stated)",IF(NOT(ISNUMBER(Y46)),"(Cost year not stated)",IFERROR(IF(Z46="EUR",AA46,IF(Z46="IRR",AA46/INDEX('Assumptions &amp; FX Reference'!$C$5:$C$25,MATCH(Y46,'Assumptions &amp; FX Reference'!$A$5:$A$25,0)),IF(Z46="USD",AA46*INDEX('Assumptions &amp; FX Reference'!$B$5:$B$25,MATCH(Y46,'Assumptions &amp; FX Reference'!$A$5:$A$25,0))/INDEX('Assumptions &amp; FX Reference'!$C$5:$C$25,MATCH(Y46,'Assumptions &amp; FX Reference'!$A$5:$A$25,0)),"(Currency?)"))),"(FX rate missing)")))</f>
        <v>60000</v>
      </c>
      <c r="AC46" s="35">
        <f>IF(NOT(ISNUMBER(AA46)),"(Not stated)",IF(NOT(ISNUMBER(Y46)),"(Cost year not stated)",IFERROR(IF(Z46="USD",AA46,IF(Z46="IRR",AA46/INDEX('Assumptions &amp; FX Reference'!$B$5:$B$25,MATCH(Y46,'Assumptions &amp; FX Reference'!$A$5:$A$25,0)),IF(Z46="EUR",AA46*INDEX('Assumptions &amp; FX Reference'!$C$5:$C$25,MATCH(Y46,'Assumptions &amp; FX Reference'!$A$5:$A$25,0))/INDEX('Assumptions &amp; FX Reference'!$B$5:$B$25,MATCH(Y46,'Assumptions &amp; FX Reference'!$A$5:$A$25,0)),"(Currency?)"))),"(FX rate missing)")))</f>
        <v>78446.709677419349</v>
      </c>
      <c r="AD46" s="35">
        <f>IF(NOT(ISNUMBER(AA46)),"(Not stated)",IF(NOT(ISNUMBER(Y46)),"(Cost year not stated)",IFERROR(IF(Z46="IRR",AA46,IF(Z46="USD",AA46*INDEX('Assumptions &amp; FX Reference'!$B$5:$B$25,MATCH(Y46,'Assumptions &amp; FX Reference'!$A$5:$A$25,0)),IF(Z46="EUR",AA46*INDEX('Assumptions &amp; FX Reference'!$C$5:$C$25,MATCH(Y46,'Assumptions &amp; FX Reference'!$A$5:$A$25,0)),"(Currency?)"))),"(FX rate missing)")))</f>
        <v>2431848000</v>
      </c>
      <c r="AE46" s="30" t="s">
        <v>472</v>
      </c>
      <c r="AF46" s="38" t="s">
        <v>204</v>
      </c>
      <c r="AG46" s="35">
        <f>IF(AND(Z46="EUR",N(AA46)&gt;5000000),"(Check currency – excluded)",IF(AND(ISNUMBER(AB46),ISNUMBER(AZ46),ISNUMBER(BA46)),IF(AND(BB46="Y",ISNUMBER('Assumptions &amp; FX Reference'!$I$15)),MAX(AB46*BA46/AZ46,'Assumptions &amp; FX Reference'!$I$13*BA46/'Assumptions &amp; FX Reference'!$I$15),AB46*BA46/AZ46),"(PPI/FX missing)"))</f>
        <v>81064.074353837568</v>
      </c>
      <c r="AH46" s="35">
        <f>IF(AND(ISNUMBER(AG46),ISNUMBER('Assumptions &amp; FX Reference'!$I$8),ISNUMBER('Assumptions &amp; FX Reference'!$I$11)),AG46*'Assumptions &amp; FX Reference'!$I$8/'Assumptions &amp; FX Reference'!$I$11,"")</f>
        <v>85586.078219077768</v>
      </c>
      <c r="AI46" s="35">
        <f>IF(AND(ISNUMBER(AG46),ISNUMBER('Assumptions &amp; FX Reference'!$I$8)),AG46*'Assumptions &amp; FX Reference'!$I$8,"")</f>
        <v>56361256847.843941</v>
      </c>
      <c r="AJ46" s="30" t="s">
        <v>473</v>
      </c>
      <c r="AK46" s="30" t="s">
        <v>474</v>
      </c>
      <c r="AL46" s="30" t="s">
        <v>119</v>
      </c>
      <c r="AM46" s="30" t="s">
        <v>119</v>
      </c>
      <c r="AN46" s="30" t="s">
        <v>119</v>
      </c>
      <c r="AO46" s="30" t="s">
        <v>119</v>
      </c>
      <c r="AP46" s="30" t="s">
        <v>119</v>
      </c>
      <c r="AQ46" s="38" t="s">
        <v>305</v>
      </c>
      <c r="AR46" s="30" t="s">
        <v>119</v>
      </c>
      <c r="AS46" s="33" t="str">
        <f t="shared" si="7"/>
        <v xml:space="preserve">Seal missing; </v>
      </c>
      <c r="AT46" s="36">
        <f>IFERROR(INDEX(Factors_ROT!$F$5:$F$200,MATCH("MAT|"&amp;G46,Factors_ROT!$A$5:$A$200,0)),1)</f>
        <v>1.7</v>
      </c>
      <c r="AU46" s="36">
        <f>IFERROR(INDEX(Factors_ROT!$F$5:$F$200,MATCH("SEAL_ARR|"&amp;P46,Factors_ROT!$A$5:$A$200,0)),1)*IFERROR(INDEX(Factors_ROT!$F$5:$F$200,MATCH("SEAL_CAT|"&amp;Q46,Factors_ROT!$A$5:$A$200,0)),1)*IFERROR(INDEX(Factors_ROT!$F$5:$F$200,MATCH("SEAL_PLAN|"&amp;R46,Factors_ROT!$A$5:$A$200,0)),1)</f>
        <v>1</v>
      </c>
      <c r="AV46" s="36">
        <f>IFERROR(INDEX(Factors_ROT!$F$5:$F$200,MATCH("DRV|"&amp;S46,Factors_ROT!$A$5:$A$200,0)),1)*IFERROR(INDEX(Factors_ROT!$F$5:$F$200,MATCH("NACE|"&amp;O46,Factors_ROT!$A$5:$A$200,0)),1)</f>
        <v>1</v>
      </c>
      <c r="AW46" s="36">
        <f>IFERROR(INDEX(Factors_ROT!$F$5:$F$200,MATCH("SC_DRV|"&amp;AL46,Factors_ROT!$A$5:$A$200,0)),1)*IFERROR(INDEX(Factors_ROT!$F$5:$F$200,MATCH("SC_BSP|"&amp;AM46,Factors_ROT!$A$5:$A$200,0)),1)*IFERROR(INDEX(Factors_ROT!$F$5:$F$200,MATCH("SC_SEAL|"&amp;AN46,Factors_ROT!$A$5:$A$200,0)),1)*IFERROR(INDEX(Factors_ROT!$F$5:$F$200,MATCH("SC_COMM|"&amp;AO46,Factors_ROT!$A$5:$A$200,0)),1)*IFERROR(INDEX(Factors_ROT!$F$5:$F$200,MATCH("SC_2Y|"&amp;AP46,Factors_ROT!$A$5:$A$200,0)),1)*IFERROR(INDEX(Factors_ROT!$F$5:$F$200,MATCH("SC_TPI|"&amp;AQ46,Factors_ROT!$A$5:$A$200,0)),1)*IFERROR(INDEX(Factors_ROT!$F$5:$F$200,MATCH("SC_FAT|"&amp;AR46,Factors_ROT!$A$5:$A$200,0)),1)</f>
        <v>1</v>
      </c>
      <c r="AX46" s="36">
        <f t="shared" si="8"/>
        <v>1.7</v>
      </c>
      <c r="AY46" s="35">
        <f t="shared" si="9"/>
        <v>35294.117647058825</v>
      </c>
      <c r="AZ46" s="37">
        <f>IFERROR(IF(N(INDEX(Escalation_Index!$B$5:$B$25,MATCH(Y46,Escalation_Index!$A$5:$A$25,0)))&gt;0,INDEX(Escalation_Index!$B$5:$B$25,MATCH(Y46,Escalation_Index!$A$5:$A$25,0)),""),"")</f>
        <v>91.346999999999994</v>
      </c>
      <c r="BA46" s="37">
        <f>IF(ISNUMBER('Assumptions &amp; FX Reference'!$I$12),'Assumptions &amp; FX Reference'!$I$12,"")</f>
        <v>123.416</v>
      </c>
      <c r="BB46" s="33" t="str">
        <f t="shared" si="10"/>
        <v>Y</v>
      </c>
      <c r="BC46" s="35">
        <f t="shared" si="11"/>
        <v>47684.749619904454</v>
      </c>
      <c r="BD46" s="35">
        <f>IF(AND(ISNUMBER(BC46),ISNUMBER(K46)),IF(K46&gt;0,BC46/K46^'Assumptions &amp; FX Reference'!$I$16,""),"")</f>
        <v>2003.9017950489176</v>
      </c>
      <c r="BE46" s="30" t="s">
        <v>479</v>
      </c>
      <c r="BF46" s="30" t="s">
        <v>480</v>
      </c>
      <c r="BG46" s="30" t="s">
        <v>361</v>
      </c>
    </row>
    <row r="47" spans="1:59" ht="24" customHeight="1">
      <c r="A47" s="30">
        <v>43</v>
      </c>
      <c r="B47" s="30" t="s">
        <v>481</v>
      </c>
      <c r="C47" s="30" t="s">
        <v>468</v>
      </c>
      <c r="D47" s="30" t="s">
        <v>482</v>
      </c>
      <c r="E47" s="30" t="s">
        <v>50</v>
      </c>
      <c r="F47" s="30" t="s">
        <v>188</v>
      </c>
      <c r="G47" s="30" t="s">
        <v>107</v>
      </c>
      <c r="H47" s="31">
        <v>5</v>
      </c>
      <c r="I47" s="31"/>
      <c r="J47" s="31"/>
      <c r="K47" s="32" t="str">
        <f>IF(ISNUMBER(J47),J47,IF(AND(ISNUMBER(H47),ISNUMBER(I47)),H47*I47/(367*'Assumptions &amp; FX Reference'!$I$17),""))</f>
        <v/>
      </c>
      <c r="L47" s="33" t="str">
        <f t="shared" si="6"/>
        <v>API 676 + IPS-M-PM-140</v>
      </c>
      <c r="M47" s="30" t="s">
        <v>483</v>
      </c>
      <c r="N47" s="30" t="s">
        <v>484</v>
      </c>
      <c r="O47" s="38" t="s">
        <v>305</v>
      </c>
      <c r="P47" s="30" t="s">
        <v>119</v>
      </c>
      <c r="Q47" s="30" t="s">
        <v>119</v>
      </c>
      <c r="R47" s="30" t="s">
        <v>119</v>
      </c>
      <c r="S47" s="38" t="s">
        <v>297</v>
      </c>
      <c r="T47" s="30" t="s">
        <v>424</v>
      </c>
      <c r="U47" s="30">
        <v>2</v>
      </c>
      <c r="V47" s="30" t="s">
        <v>485</v>
      </c>
      <c r="W47" s="31">
        <v>5.3</v>
      </c>
      <c r="X47" s="30" t="s">
        <v>119</v>
      </c>
      <c r="Y47" s="38">
        <v>1393</v>
      </c>
      <c r="Z47" s="30" t="s">
        <v>355</v>
      </c>
      <c r="AA47" s="34">
        <v>10000</v>
      </c>
      <c r="AB47" s="35">
        <f>IF(NOT(ISNUMBER(AA47)),"(Not stated)",IF(NOT(ISNUMBER(Y47)),"(Cost year not stated)",IFERROR(IF(Z47="EUR",AA47,IF(Z47="IRR",AA47/INDEX('Assumptions &amp; FX Reference'!$C$5:$C$25,MATCH(Y47,'Assumptions &amp; FX Reference'!$A$5:$A$25,0)),IF(Z47="USD",AA47*INDEX('Assumptions &amp; FX Reference'!$B$5:$B$25,MATCH(Y47,'Assumptions &amp; FX Reference'!$A$5:$A$25,0))/INDEX('Assumptions &amp; FX Reference'!$C$5:$C$25,MATCH(Y47,'Assumptions &amp; FX Reference'!$A$5:$A$25,0)),"(Currency?)"))),"(FX rate missing)")))</f>
        <v>10000</v>
      </c>
      <c r="AC47" s="35">
        <f>IF(NOT(ISNUMBER(AA47)),"(Not stated)",IF(NOT(ISNUMBER(Y47)),"(Cost year not stated)",IFERROR(IF(Z47="USD",AA47,IF(Z47="IRR",AA47/INDEX('Assumptions &amp; FX Reference'!$B$5:$B$25,MATCH(Y47,'Assumptions &amp; FX Reference'!$A$5:$A$25,0)),IF(Z47="EUR",AA47*INDEX('Assumptions &amp; FX Reference'!$C$5:$C$25,MATCH(Y47,'Assumptions &amp; FX Reference'!$A$5:$A$25,0))/INDEX('Assumptions &amp; FX Reference'!$B$5:$B$25,MATCH(Y47,'Assumptions &amp; FX Reference'!$A$5:$A$25,0)),"(Currency?)"))),"(FX rate missing)")))</f>
        <v>13074.451612903225</v>
      </c>
      <c r="AD47" s="35">
        <f>IF(NOT(ISNUMBER(AA47)),"(Not stated)",IF(NOT(ISNUMBER(Y47)),"(Cost year not stated)",IFERROR(IF(Z47="IRR",AA47,IF(Z47="USD",AA47*INDEX('Assumptions &amp; FX Reference'!$B$5:$B$25,MATCH(Y47,'Assumptions &amp; FX Reference'!$A$5:$A$25,0)),IF(Z47="EUR",AA47*INDEX('Assumptions &amp; FX Reference'!$C$5:$C$25,MATCH(Y47,'Assumptions &amp; FX Reference'!$A$5:$A$25,0)),"(Currency?)"))),"(FX rate missing)")))</f>
        <v>405308000</v>
      </c>
      <c r="AE47" s="30" t="s">
        <v>472</v>
      </c>
      <c r="AF47" s="38" t="s">
        <v>204</v>
      </c>
      <c r="AG47" s="35">
        <f>IF(AND(Z47="EUR",N(AA47)&gt;5000000),"(Check currency – excluded)",IF(AND(ISNUMBER(AB47),ISNUMBER(AZ47),ISNUMBER(BA47)),IF(AND(BB47="Y",ISNUMBER('Assumptions &amp; FX Reference'!$I$15)),MAX(AB47*BA47/AZ47,'Assumptions &amp; FX Reference'!$I$13*BA47/'Assumptions &amp; FX Reference'!$I$15),AB47*BA47/AZ47),"(PPI/FX missing)"))</f>
        <v>13510.679058972928</v>
      </c>
      <c r="AH47" s="35">
        <f>IF(AND(ISNUMBER(AG47),ISNUMBER('Assumptions &amp; FX Reference'!$I$8),ISNUMBER('Assumptions &amp; FX Reference'!$I$11)),AG47*'Assumptions &amp; FX Reference'!$I$8/'Assumptions &amp; FX Reference'!$I$11,"")</f>
        <v>14264.346369846295</v>
      </c>
      <c r="AI47" s="35">
        <f>IF(AND(ISNUMBER(AG47),ISNUMBER('Assumptions &amp; FX Reference'!$I$8)),AG47*'Assumptions &amp; FX Reference'!$I$8,"")</f>
        <v>9393542807.9739895</v>
      </c>
      <c r="AJ47" s="30" t="s">
        <v>473</v>
      </c>
      <c r="AK47" s="30" t="s">
        <v>474</v>
      </c>
      <c r="AL47" s="30" t="s">
        <v>119</v>
      </c>
      <c r="AM47" s="30" t="s">
        <v>119</v>
      </c>
      <c r="AN47" s="30" t="s">
        <v>119</v>
      </c>
      <c r="AO47" s="30" t="s">
        <v>119</v>
      </c>
      <c r="AP47" s="30" t="s">
        <v>119</v>
      </c>
      <c r="AQ47" s="38" t="s">
        <v>305</v>
      </c>
      <c r="AR47" s="30" t="s">
        <v>119</v>
      </c>
      <c r="AS47" s="33" t="str">
        <f t="shared" si="7"/>
        <v xml:space="preserve">Seal missing; Size driver missing; </v>
      </c>
      <c r="AT47" s="36">
        <f>IFERROR(INDEX(Factors_ROT!$F$5:$F$200,MATCH("MAT|"&amp;G47,Factors_ROT!$A$5:$A$200,0)),1)</f>
        <v>1.7</v>
      </c>
      <c r="AU47" s="36">
        <f>IFERROR(INDEX(Factors_ROT!$F$5:$F$200,MATCH("SEAL_ARR|"&amp;P47,Factors_ROT!$A$5:$A$200,0)),1)*IFERROR(INDEX(Factors_ROT!$F$5:$F$200,MATCH("SEAL_CAT|"&amp;Q47,Factors_ROT!$A$5:$A$200,0)),1)*IFERROR(INDEX(Factors_ROT!$F$5:$F$200,MATCH("SEAL_PLAN|"&amp;R47,Factors_ROT!$A$5:$A$200,0)),1)</f>
        <v>1</v>
      </c>
      <c r="AV47" s="36">
        <f>IFERROR(INDEX(Factors_ROT!$F$5:$F$200,MATCH("DRV|"&amp;S47,Factors_ROT!$A$5:$A$200,0)),1)*IFERROR(INDEX(Factors_ROT!$F$5:$F$200,MATCH("NACE|"&amp;O47,Factors_ROT!$A$5:$A$200,0)),1)</f>
        <v>1</v>
      </c>
      <c r="AW47" s="36">
        <f>IFERROR(INDEX(Factors_ROT!$F$5:$F$200,MATCH("SC_DRV|"&amp;AL47,Factors_ROT!$A$5:$A$200,0)),1)*IFERROR(INDEX(Factors_ROT!$F$5:$F$200,MATCH("SC_BSP|"&amp;AM47,Factors_ROT!$A$5:$A$200,0)),1)*IFERROR(INDEX(Factors_ROT!$F$5:$F$200,MATCH("SC_SEAL|"&amp;AN47,Factors_ROT!$A$5:$A$200,0)),1)*IFERROR(INDEX(Factors_ROT!$F$5:$F$200,MATCH("SC_COMM|"&amp;AO47,Factors_ROT!$A$5:$A$200,0)),1)*IFERROR(INDEX(Factors_ROT!$F$5:$F$200,MATCH("SC_2Y|"&amp;AP47,Factors_ROT!$A$5:$A$200,0)),1)*IFERROR(INDEX(Factors_ROT!$F$5:$F$200,MATCH("SC_TPI|"&amp;AQ47,Factors_ROT!$A$5:$A$200,0)),1)*IFERROR(INDEX(Factors_ROT!$F$5:$F$200,MATCH("SC_FAT|"&amp;AR47,Factors_ROT!$A$5:$A$200,0)),1)</f>
        <v>1</v>
      </c>
      <c r="AX47" s="36">
        <f t="shared" si="8"/>
        <v>1.7</v>
      </c>
      <c r="AY47" s="35">
        <f t="shared" si="9"/>
        <v>5882.3529411764712</v>
      </c>
      <c r="AZ47" s="37">
        <f>IFERROR(IF(N(INDEX(Escalation_Index!$B$5:$B$25,MATCH(Y47,Escalation_Index!$A$5:$A$25,0)))&gt;0,INDEX(Escalation_Index!$B$5:$B$25,MATCH(Y47,Escalation_Index!$A$5:$A$25,0)),""),"")</f>
        <v>91.346999999999994</v>
      </c>
      <c r="BA47" s="37">
        <f>IF(ISNUMBER('Assumptions &amp; FX Reference'!$I$12),'Assumptions &amp; FX Reference'!$I$12,"")</f>
        <v>123.416</v>
      </c>
      <c r="BB47" s="33" t="str">
        <f t="shared" si="10"/>
        <v>N</v>
      </c>
      <c r="BC47" s="35">
        <f t="shared" si="11"/>
        <v>7947.4582699840757</v>
      </c>
      <c r="BD47" s="35" t="str">
        <f>IF(AND(ISNUMBER(BC47),ISNUMBER(K47)),IF(K47&gt;0,BC47/K47^'Assumptions &amp; FX Reference'!$I$16,""),"")</f>
        <v/>
      </c>
      <c r="BE47" s="30" t="s">
        <v>486</v>
      </c>
      <c r="BF47" s="30" t="s">
        <v>487</v>
      </c>
      <c r="BG47" s="30" t="s">
        <v>361</v>
      </c>
    </row>
    <row r="48" spans="1:59" ht="24" customHeight="1">
      <c r="A48" s="30">
        <v>44</v>
      </c>
      <c r="B48" s="30" t="s">
        <v>488</v>
      </c>
      <c r="C48" s="30" t="s">
        <v>468</v>
      </c>
      <c r="D48" s="30" t="s">
        <v>489</v>
      </c>
      <c r="E48" s="30" t="s">
        <v>44</v>
      </c>
      <c r="F48" s="30" t="s">
        <v>128</v>
      </c>
      <c r="G48" s="30" t="s">
        <v>111</v>
      </c>
      <c r="H48" s="31">
        <v>21</v>
      </c>
      <c r="I48" s="31">
        <v>27.6</v>
      </c>
      <c r="J48" s="31"/>
      <c r="K48" s="32">
        <f>IF(ISNUMBER(J48),J48,IF(AND(ISNUMBER(H48),ISNUMBER(I48)),H48*I48/(367*'Assumptions &amp; FX Reference'!$I$17),""))</f>
        <v>2.6321525885558588</v>
      </c>
      <c r="L48" s="33" t="str">
        <f t="shared" si="6"/>
        <v>API 610 + IPS-G-PM-105</v>
      </c>
      <c r="M48" s="30" t="s">
        <v>470</v>
      </c>
      <c r="N48" s="30" t="s">
        <v>471</v>
      </c>
      <c r="O48" s="38" t="s">
        <v>305</v>
      </c>
      <c r="P48" s="30" t="s">
        <v>119</v>
      </c>
      <c r="Q48" s="30" t="s">
        <v>119</v>
      </c>
      <c r="R48" s="30" t="s">
        <v>119</v>
      </c>
      <c r="S48" s="38" t="s">
        <v>297</v>
      </c>
      <c r="T48" s="30" t="s">
        <v>319</v>
      </c>
      <c r="U48" s="30">
        <v>2</v>
      </c>
      <c r="V48" s="30" t="s">
        <v>299</v>
      </c>
      <c r="W48" s="31">
        <v>4</v>
      </c>
      <c r="X48" s="30" t="s">
        <v>119</v>
      </c>
      <c r="Y48" s="38">
        <v>1393</v>
      </c>
      <c r="Z48" s="30" t="s">
        <v>355</v>
      </c>
      <c r="AA48" s="34">
        <v>30000</v>
      </c>
      <c r="AB48" s="35">
        <f>IF(NOT(ISNUMBER(AA48)),"(Not stated)",IF(NOT(ISNUMBER(Y48)),"(Cost year not stated)",IFERROR(IF(Z48="EUR",AA48,IF(Z48="IRR",AA48/INDEX('Assumptions &amp; FX Reference'!$C$5:$C$25,MATCH(Y48,'Assumptions &amp; FX Reference'!$A$5:$A$25,0)),IF(Z48="USD",AA48*INDEX('Assumptions &amp; FX Reference'!$B$5:$B$25,MATCH(Y48,'Assumptions &amp; FX Reference'!$A$5:$A$25,0))/INDEX('Assumptions &amp; FX Reference'!$C$5:$C$25,MATCH(Y48,'Assumptions &amp; FX Reference'!$A$5:$A$25,0)),"(Currency?)"))),"(FX rate missing)")))</f>
        <v>30000</v>
      </c>
      <c r="AC48" s="35">
        <f>IF(NOT(ISNUMBER(AA48)),"(Not stated)",IF(NOT(ISNUMBER(Y48)),"(Cost year not stated)",IFERROR(IF(Z48="USD",AA48,IF(Z48="IRR",AA48/INDEX('Assumptions &amp; FX Reference'!$B$5:$B$25,MATCH(Y48,'Assumptions &amp; FX Reference'!$A$5:$A$25,0)),IF(Z48="EUR",AA48*INDEX('Assumptions &amp; FX Reference'!$C$5:$C$25,MATCH(Y48,'Assumptions &amp; FX Reference'!$A$5:$A$25,0))/INDEX('Assumptions &amp; FX Reference'!$B$5:$B$25,MATCH(Y48,'Assumptions &amp; FX Reference'!$A$5:$A$25,0)),"(Currency?)"))),"(FX rate missing)")))</f>
        <v>39223.354838709674</v>
      </c>
      <c r="AD48" s="35">
        <f>IF(NOT(ISNUMBER(AA48)),"(Not stated)",IF(NOT(ISNUMBER(Y48)),"(Cost year not stated)",IFERROR(IF(Z48="IRR",AA48,IF(Z48="USD",AA48*INDEX('Assumptions &amp; FX Reference'!$B$5:$B$25,MATCH(Y48,'Assumptions &amp; FX Reference'!$A$5:$A$25,0)),IF(Z48="EUR",AA48*INDEX('Assumptions &amp; FX Reference'!$C$5:$C$25,MATCH(Y48,'Assumptions &amp; FX Reference'!$A$5:$A$25,0)),"(Currency?)"))),"(FX rate missing)")))</f>
        <v>1215924000</v>
      </c>
      <c r="AE48" s="30" t="s">
        <v>472</v>
      </c>
      <c r="AF48" s="38" t="s">
        <v>204</v>
      </c>
      <c r="AG48" s="35">
        <f>IF(AND(Z48="EUR",N(AA48)&gt;5000000),"(Check currency – excluded)",IF(AND(ISNUMBER(AB48),ISNUMBER(AZ48),ISNUMBER(BA48)),IF(AND(BB48="Y",ISNUMBER('Assumptions &amp; FX Reference'!$I$15)),MAX(AB48*BA48/AZ48,'Assumptions &amp; FX Reference'!$I$13*BA48/'Assumptions &amp; FX Reference'!$I$15),AB48*BA48/AZ48),"(PPI/FX missing)"))</f>
        <v>40532.037176918784</v>
      </c>
      <c r="AH48" s="35">
        <f>IF(AND(ISNUMBER(AG48),ISNUMBER('Assumptions &amp; FX Reference'!$I$8),ISNUMBER('Assumptions &amp; FX Reference'!$I$11)),AG48*'Assumptions &amp; FX Reference'!$I$8/'Assumptions &amp; FX Reference'!$I$11,"")</f>
        <v>42793.039109538884</v>
      </c>
      <c r="AI48" s="35">
        <f>IF(AND(ISNUMBER(AG48),ISNUMBER('Assumptions &amp; FX Reference'!$I$8)),AG48*'Assumptions &amp; FX Reference'!$I$8,"")</f>
        <v>28180628423.92197</v>
      </c>
      <c r="AJ48" s="30" t="s">
        <v>473</v>
      </c>
      <c r="AK48" s="30" t="s">
        <v>474</v>
      </c>
      <c r="AL48" s="30" t="s">
        <v>119</v>
      </c>
      <c r="AM48" s="30" t="s">
        <v>119</v>
      </c>
      <c r="AN48" s="30" t="s">
        <v>119</v>
      </c>
      <c r="AO48" s="30" t="s">
        <v>119</v>
      </c>
      <c r="AP48" s="30" t="s">
        <v>119</v>
      </c>
      <c r="AQ48" s="38" t="s">
        <v>305</v>
      </c>
      <c r="AR48" s="30" t="s">
        <v>119</v>
      </c>
      <c r="AS48" s="33" t="str">
        <f t="shared" si="7"/>
        <v xml:space="preserve">Seal missing; </v>
      </c>
      <c r="AT48" s="36">
        <f>IFERROR(INDEX(Factors_ROT!$F$5:$F$200,MATCH("MAT|"&amp;G48,Factors_ROT!$A$5:$A$200,0)),1)</f>
        <v>1.9</v>
      </c>
      <c r="AU48" s="36">
        <f>IFERROR(INDEX(Factors_ROT!$F$5:$F$200,MATCH("SEAL_ARR|"&amp;P48,Factors_ROT!$A$5:$A$200,0)),1)*IFERROR(INDEX(Factors_ROT!$F$5:$F$200,MATCH("SEAL_CAT|"&amp;Q48,Factors_ROT!$A$5:$A$200,0)),1)*IFERROR(INDEX(Factors_ROT!$F$5:$F$200,MATCH("SEAL_PLAN|"&amp;R48,Factors_ROT!$A$5:$A$200,0)),1)</f>
        <v>1</v>
      </c>
      <c r="AV48" s="36">
        <f>IFERROR(INDEX(Factors_ROT!$F$5:$F$200,MATCH("DRV|"&amp;S48,Factors_ROT!$A$5:$A$200,0)),1)*IFERROR(INDEX(Factors_ROT!$F$5:$F$200,MATCH("NACE|"&amp;O48,Factors_ROT!$A$5:$A$200,0)),1)</f>
        <v>1</v>
      </c>
      <c r="AW48" s="36">
        <f>IFERROR(INDEX(Factors_ROT!$F$5:$F$200,MATCH("SC_DRV|"&amp;AL48,Factors_ROT!$A$5:$A$200,0)),1)*IFERROR(INDEX(Factors_ROT!$F$5:$F$200,MATCH("SC_BSP|"&amp;AM48,Factors_ROT!$A$5:$A$200,0)),1)*IFERROR(INDEX(Factors_ROT!$F$5:$F$200,MATCH("SC_SEAL|"&amp;AN48,Factors_ROT!$A$5:$A$200,0)),1)*IFERROR(INDEX(Factors_ROT!$F$5:$F$200,MATCH("SC_COMM|"&amp;AO48,Factors_ROT!$A$5:$A$200,0)),1)*IFERROR(INDEX(Factors_ROT!$F$5:$F$200,MATCH("SC_2Y|"&amp;AP48,Factors_ROT!$A$5:$A$200,0)),1)*IFERROR(INDEX(Factors_ROT!$F$5:$F$200,MATCH("SC_TPI|"&amp;AQ48,Factors_ROT!$A$5:$A$200,0)),1)*IFERROR(INDEX(Factors_ROT!$F$5:$F$200,MATCH("SC_FAT|"&amp;AR48,Factors_ROT!$A$5:$A$200,0)),1)</f>
        <v>1</v>
      </c>
      <c r="AX48" s="36">
        <f t="shared" si="8"/>
        <v>1.9</v>
      </c>
      <c r="AY48" s="35">
        <f t="shared" si="9"/>
        <v>15789.473684210527</v>
      </c>
      <c r="AZ48" s="37">
        <f>IFERROR(IF(N(INDEX(Escalation_Index!$B$5:$B$25,MATCH(Y48,Escalation_Index!$A$5:$A$25,0)))&gt;0,INDEX(Escalation_Index!$B$5:$B$25,MATCH(Y48,Escalation_Index!$A$5:$A$25,0)),""),"")</f>
        <v>91.346999999999994</v>
      </c>
      <c r="BA48" s="37">
        <f>IF(ISNUMBER('Assumptions &amp; FX Reference'!$I$12),'Assumptions &amp; FX Reference'!$I$12,"")</f>
        <v>123.416</v>
      </c>
      <c r="BB48" s="33" t="str">
        <f t="shared" si="10"/>
        <v>Y</v>
      </c>
      <c r="BC48" s="35">
        <f t="shared" si="11"/>
        <v>21332.651145746728</v>
      </c>
      <c r="BD48" s="35">
        <f>IF(AND(ISNUMBER(BC48),ISNUMBER(K48)),IF(K48&gt;0,BC48/K48^'Assumptions &amp; FX Reference'!$I$16,""),"")</f>
        <v>11935.983068568912</v>
      </c>
      <c r="BE48" s="30" t="s">
        <v>490</v>
      </c>
      <c r="BF48" s="30" t="s">
        <v>491</v>
      </c>
      <c r="BG48" s="30" t="s">
        <v>361</v>
      </c>
    </row>
    <row r="49" spans="1:59" ht="24" customHeight="1">
      <c r="A49" s="30">
        <v>45</v>
      </c>
      <c r="B49" s="30" t="s">
        <v>492</v>
      </c>
      <c r="C49" s="30" t="s">
        <v>468</v>
      </c>
      <c r="D49" s="30" t="s">
        <v>493</v>
      </c>
      <c r="E49" s="30" t="s">
        <v>47</v>
      </c>
      <c r="F49" s="30" t="s">
        <v>149</v>
      </c>
      <c r="G49" s="30" t="s">
        <v>111</v>
      </c>
      <c r="H49" s="31">
        <v>73</v>
      </c>
      <c r="I49" s="31">
        <v>607.4</v>
      </c>
      <c r="J49" s="31"/>
      <c r="K49" s="32">
        <f>IF(ISNUMBER(J49),J49,IF(AND(ISNUMBER(H49),ISNUMBER(I49)),H49*I49/(367*'Assumptions &amp; FX Reference'!$I$17),""))</f>
        <v>201.36330608537693</v>
      </c>
      <c r="L49" s="33" t="str">
        <f t="shared" si="6"/>
        <v>API 610 + IPS-G-PM-105</v>
      </c>
      <c r="M49" s="30" t="s">
        <v>470</v>
      </c>
      <c r="N49" s="30" t="s">
        <v>471</v>
      </c>
      <c r="O49" s="38" t="s">
        <v>305</v>
      </c>
      <c r="P49" s="30" t="s">
        <v>119</v>
      </c>
      <c r="Q49" s="30" t="s">
        <v>119</v>
      </c>
      <c r="R49" s="30" t="s">
        <v>119</v>
      </c>
      <c r="S49" s="38" t="s">
        <v>297</v>
      </c>
      <c r="T49" s="30" t="s">
        <v>326</v>
      </c>
      <c r="U49" s="30">
        <v>2</v>
      </c>
      <c r="V49" s="30" t="s">
        <v>299</v>
      </c>
      <c r="W49" s="31">
        <v>74.400000000000006</v>
      </c>
      <c r="X49" s="30" t="s">
        <v>119</v>
      </c>
      <c r="Y49" s="38">
        <v>1393</v>
      </c>
      <c r="Z49" s="30" t="s">
        <v>355</v>
      </c>
      <c r="AA49" s="34">
        <v>210000</v>
      </c>
      <c r="AB49" s="35">
        <f>IF(NOT(ISNUMBER(AA49)),"(Not stated)",IF(NOT(ISNUMBER(Y49)),"(Cost year not stated)",IFERROR(IF(Z49="EUR",AA49,IF(Z49="IRR",AA49/INDEX('Assumptions &amp; FX Reference'!$C$5:$C$25,MATCH(Y49,'Assumptions &amp; FX Reference'!$A$5:$A$25,0)),IF(Z49="USD",AA49*INDEX('Assumptions &amp; FX Reference'!$B$5:$B$25,MATCH(Y49,'Assumptions &amp; FX Reference'!$A$5:$A$25,0))/INDEX('Assumptions &amp; FX Reference'!$C$5:$C$25,MATCH(Y49,'Assumptions &amp; FX Reference'!$A$5:$A$25,0)),"(Currency?)"))),"(FX rate missing)")))</f>
        <v>210000</v>
      </c>
      <c r="AC49" s="35">
        <f>IF(NOT(ISNUMBER(AA49)),"(Not stated)",IF(NOT(ISNUMBER(Y49)),"(Cost year not stated)",IFERROR(IF(Z49="USD",AA49,IF(Z49="IRR",AA49/INDEX('Assumptions &amp; FX Reference'!$B$5:$B$25,MATCH(Y49,'Assumptions &amp; FX Reference'!$A$5:$A$25,0)),IF(Z49="EUR",AA49*INDEX('Assumptions &amp; FX Reference'!$C$5:$C$25,MATCH(Y49,'Assumptions &amp; FX Reference'!$A$5:$A$25,0))/INDEX('Assumptions &amp; FX Reference'!$B$5:$B$25,MATCH(Y49,'Assumptions &amp; FX Reference'!$A$5:$A$25,0)),"(Currency?)"))),"(FX rate missing)")))</f>
        <v>274563.48387096776</v>
      </c>
      <c r="AD49" s="35">
        <f>IF(NOT(ISNUMBER(AA49)),"(Not stated)",IF(NOT(ISNUMBER(Y49)),"(Cost year not stated)",IFERROR(IF(Z49="IRR",AA49,IF(Z49="USD",AA49*INDEX('Assumptions &amp; FX Reference'!$B$5:$B$25,MATCH(Y49,'Assumptions &amp; FX Reference'!$A$5:$A$25,0)),IF(Z49="EUR",AA49*INDEX('Assumptions &amp; FX Reference'!$C$5:$C$25,MATCH(Y49,'Assumptions &amp; FX Reference'!$A$5:$A$25,0)),"(Currency?)"))),"(FX rate missing)")))</f>
        <v>8511468000.000001</v>
      </c>
      <c r="AE49" s="30" t="s">
        <v>472</v>
      </c>
      <c r="AF49" s="38" t="s">
        <v>204</v>
      </c>
      <c r="AG49" s="35">
        <f>IF(AND(Z49="EUR",N(AA49)&gt;5000000),"(Check currency – excluded)",IF(AND(ISNUMBER(AB49),ISNUMBER(AZ49),ISNUMBER(BA49)),IF(AND(BB49="Y",ISNUMBER('Assumptions &amp; FX Reference'!$I$15)),MAX(AB49*BA49/AZ49,'Assumptions &amp; FX Reference'!$I$13*BA49/'Assumptions &amp; FX Reference'!$I$15),AB49*BA49/AZ49),"(PPI/FX missing)"))</f>
        <v>283724.26023843151</v>
      </c>
      <c r="AH49" s="35">
        <f>IF(AND(ISNUMBER(AG49),ISNUMBER('Assumptions &amp; FX Reference'!$I$8),ISNUMBER('Assumptions &amp; FX Reference'!$I$11)),AG49*'Assumptions &amp; FX Reference'!$I$8/'Assumptions &amp; FX Reference'!$I$11,"")</f>
        <v>299551.27376677218</v>
      </c>
      <c r="AI49" s="35">
        <f>IF(AND(ISNUMBER(AG49),ISNUMBER('Assumptions &amp; FX Reference'!$I$8)),AG49*'Assumptions &amp; FX Reference'!$I$8,"")</f>
        <v>197264398967.4538</v>
      </c>
      <c r="AJ49" s="30" t="s">
        <v>473</v>
      </c>
      <c r="AK49" s="30" t="s">
        <v>474</v>
      </c>
      <c r="AL49" s="30" t="s">
        <v>119</v>
      </c>
      <c r="AM49" s="30" t="s">
        <v>119</v>
      </c>
      <c r="AN49" s="30" t="s">
        <v>119</v>
      </c>
      <c r="AO49" s="30" t="s">
        <v>119</v>
      </c>
      <c r="AP49" s="30" t="s">
        <v>119</v>
      </c>
      <c r="AQ49" s="38" t="s">
        <v>305</v>
      </c>
      <c r="AR49" s="30" t="s">
        <v>119</v>
      </c>
      <c r="AS49" s="33" t="str">
        <f t="shared" si="7"/>
        <v xml:space="preserve">Seal missing; </v>
      </c>
      <c r="AT49" s="36">
        <f>IFERROR(INDEX(Factors_ROT!$F$5:$F$200,MATCH("MAT|"&amp;G49,Factors_ROT!$A$5:$A$200,0)),1)</f>
        <v>1.9</v>
      </c>
      <c r="AU49" s="36">
        <f>IFERROR(INDEX(Factors_ROT!$F$5:$F$200,MATCH("SEAL_ARR|"&amp;P49,Factors_ROT!$A$5:$A$200,0)),1)*IFERROR(INDEX(Factors_ROT!$F$5:$F$200,MATCH("SEAL_CAT|"&amp;Q49,Factors_ROT!$A$5:$A$200,0)),1)*IFERROR(INDEX(Factors_ROT!$F$5:$F$200,MATCH("SEAL_PLAN|"&amp;R49,Factors_ROT!$A$5:$A$200,0)),1)</f>
        <v>1</v>
      </c>
      <c r="AV49" s="36">
        <f>IFERROR(INDEX(Factors_ROT!$F$5:$F$200,MATCH("DRV|"&amp;S49,Factors_ROT!$A$5:$A$200,0)),1)*IFERROR(INDEX(Factors_ROT!$F$5:$F$200,MATCH("NACE|"&amp;O49,Factors_ROT!$A$5:$A$200,0)),1)</f>
        <v>1</v>
      </c>
      <c r="AW49" s="36">
        <f>IFERROR(INDEX(Factors_ROT!$F$5:$F$200,MATCH("SC_DRV|"&amp;AL49,Factors_ROT!$A$5:$A$200,0)),1)*IFERROR(INDEX(Factors_ROT!$F$5:$F$200,MATCH("SC_BSP|"&amp;AM49,Factors_ROT!$A$5:$A$200,0)),1)*IFERROR(INDEX(Factors_ROT!$F$5:$F$200,MATCH("SC_SEAL|"&amp;AN49,Factors_ROT!$A$5:$A$200,0)),1)*IFERROR(INDEX(Factors_ROT!$F$5:$F$200,MATCH("SC_COMM|"&amp;AO49,Factors_ROT!$A$5:$A$200,0)),1)*IFERROR(INDEX(Factors_ROT!$F$5:$F$200,MATCH("SC_2Y|"&amp;AP49,Factors_ROT!$A$5:$A$200,0)),1)*IFERROR(INDEX(Factors_ROT!$F$5:$F$200,MATCH("SC_TPI|"&amp;AQ49,Factors_ROT!$A$5:$A$200,0)),1)*IFERROR(INDEX(Factors_ROT!$F$5:$F$200,MATCH("SC_FAT|"&amp;AR49,Factors_ROT!$A$5:$A$200,0)),1)</f>
        <v>1</v>
      </c>
      <c r="AX49" s="36">
        <f t="shared" si="8"/>
        <v>1.9</v>
      </c>
      <c r="AY49" s="35">
        <f t="shared" si="9"/>
        <v>110526.31578947369</v>
      </c>
      <c r="AZ49" s="37">
        <f>IFERROR(IF(N(INDEX(Escalation_Index!$B$5:$B$25,MATCH(Y49,Escalation_Index!$A$5:$A$25,0)))&gt;0,INDEX(Escalation_Index!$B$5:$B$25,MATCH(Y49,Escalation_Index!$A$5:$A$25,0)),""),"")</f>
        <v>91.346999999999994</v>
      </c>
      <c r="BA49" s="37">
        <f>IF(ISNUMBER('Assumptions &amp; FX Reference'!$I$12),'Assumptions &amp; FX Reference'!$I$12,"")</f>
        <v>123.416</v>
      </c>
      <c r="BB49" s="33" t="str">
        <f t="shared" si="10"/>
        <v>Y</v>
      </c>
      <c r="BC49" s="35">
        <f t="shared" si="11"/>
        <v>149328.55802022712</v>
      </c>
      <c r="BD49" s="35">
        <f>IF(AND(ISNUMBER(BC49),ISNUMBER(K49)),IF(K49&gt;0,BC49/K49^'Assumptions &amp; FX Reference'!$I$16,""),"")</f>
        <v>6190.9125804313935</v>
      </c>
      <c r="BE49" s="30" t="s">
        <v>494</v>
      </c>
      <c r="BF49" s="30" t="s">
        <v>495</v>
      </c>
      <c r="BG49" s="30" t="s">
        <v>361</v>
      </c>
    </row>
    <row r="50" spans="1:59" ht="24" customHeight="1">
      <c r="A50" s="30">
        <v>46</v>
      </c>
      <c r="B50" s="30" t="s">
        <v>496</v>
      </c>
      <c r="C50" s="30" t="s">
        <v>468</v>
      </c>
      <c r="D50" s="30" t="s">
        <v>497</v>
      </c>
      <c r="E50" s="30" t="s">
        <v>47</v>
      </c>
      <c r="F50" s="30" t="s">
        <v>149</v>
      </c>
      <c r="G50" s="30" t="s">
        <v>111</v>
      </c>
      <c r="H50" s="31">
        <v>36</v>
      </c>
      <c r="I50" s="31">
        <v>331</v>
      </c>
      <c r="J50" s="31"/>
      <c r="K50" s="32">
        <f>IF(ISNUMBER(J50),J50,IF(AND(ISNUMBER(H50),ISNUMBER(I50)),H50*I50/(367*'Assumptions &amp; FX Reference'!$I$17),""))</f>
        <v>54.114441416893733</v>
      </c>
      <c r="L50" s="33" t="str">
        <f t="shared" si="6"/>
        <v>API 610 + IPS-G-PM-105</v>
      </c>
      <c r="M50" s="30" t="s">
        <v>470</v>
      </c>
      <c r="N50" s="30" t="s">
        <v>471</v>
      </c>
      <c r="O50" s="38" t="s">
        <v>305</v>
      </c>
      <c r="P50" s="30" t="s">
        <v>119</v>
      </c>
      <c r="Q50" s="30" t="s">
        <v>119</v>
      </c>
      <c r="R50" s="30" t="s">
        <v>119</v>
      </c>
      <c r="S50" s="38" t="s">
        <v>297</v>
      </c>
      <c r="T50" s="30" t="s">
        <v>326</v>
      </c>
      <c r="U50" s="30">
        <v>2</v>
      </c>
      <c r="V50" s="30" t="s">
        <v>299</v>
      </c>
      <c r="W50" s="31">
        <v>37.4</v>
      </c>
      <c r="X50" s="30" t="s">
        <v>119</v>
      </c>
      <c r="Y50" s="38">
        <v>1393</v>
      </c>
      <c r="Z50" s="30" t="s">
        <v>355</v>
      </c>
      <c r="AA50" s="34">
        <v>150000</v>
      </c>
      <c r="AB50" s="35">
        <f>IF(NOT(ISNUMBER(AA50)),"(Not stated)",IF(NOT(ISNUMBER(Y50)),"(Cost year not stated)",IFERROR(IF(Z50="EUR",AA50,IF(Z50="IRR",AA50/INDEX('Assumptions &amp; FX Reference'!$C$5:$C$25,MATCH(Y50,'Assumptions &amp; FX Reference'!$A$5:$A$25,0)),IF(Z50="USD",AA50*INDEX('Assumptions &amp; FX Reference'!$B$5:$B$25,MATCH(Y50,'Assumptions &amp; FX Reference'!$A$5:$A$25,0))/INDEX('Assumptions &amp; FX Reference'!$C$5:$C$25,MATCH(Y50,'Assumptions &amp; FX Reference'!$A$5:$A$25,0)),"(Currency?)"))),"(FX rate missing)")))</f>
        <v>150000</v>
      </c>
      <c r="AC50" s="35">
        <f>IF(NOT(ISNUMBER(AA50)),"(Not stated)",IF(NOT(ISNUMBER(Y50)),"(Cost year not stated)",IFERROR(IF(Z50="USD",AA50,IF(Z50="IRR",AA50/INDEX('Assumptions &amp; FX Reference'!$B$5:$B$25,MATCH(Y50,'Assumptions &amp; FX Reference'!$A$5:$A$25,0)),IF(Z50="EUR",AA50*INDEX('Assumptions &amp; FX Reference'!$C$5:$C$25,MATCH(Y50,'Assumptions &amp; FX Reference'!$A$5:$A$25,0))/INDEX('Assumptions &amp; FX Reference'!$B$5:$B$25,MATCH(Y50,'Assumptions &amp; FX Reference'!$A$5:$A$25,0)),"(Currency?)"))),"(FX rate missing)")))</f>
        <v>196116.77419354839</v>
      </c>
      <c r="AD50" s="35">
        <f>IF(NOT(ISNUMBER(AA50)),"(Not stated)",IF(NOT(ISNUMBER(Y50)),"(Cost year not stated)",IFERROR(IF(Z50="IRR",AA50,IF(Z50="USD",AA50*INDEX('Assumptions &amp; FX Reference'!$B$5:$B$25,MATCH(Y50,'Assumptions &amp; FX Reference'!$A$5:$A$25,0)),IF(Z50="EUR",AA50*INDEX('Assumptions &amp; FX Reference'!$C$5:$C$25,MATCH(Y50,'Assumptions &amp; FX Reference'!$A$5:$A$25,0)),"(Currency?)"))),"(FX rate missing)")))</f>
        <v>6079620000</v>
      </c>
      <c r="AE50" s="30" t="s">
        <v>472</v>
      </c>
      <c r="AF50" s="38" t="s">
        <v>204</v>
      </c>
      <c r="AG50" s="35">
        <f>IF(AND(Z50="EUR",N(AA50)&gt;5000000),"(Check currency – excluded)",IF(AND(ISNUMBER(AB50),ISNUMBER(AZ50),ISNUMBER(BA50)),IF(AND(BB50="Y",ISNUMBER('Assumptions &amp; FX Reference'!$I$15)),MAX(AB50*BA50/AZ50,'Assumptions &amp; FX Reference'!$I$13*BA50/'Assumptions &amp; FX Reference'!$I$15),AB50*BA50/AZ50),"(PPI/FX missing)"))</f>
        <v>202660.18588459393</v>
      </c>
      <c r="AH50" s="35">
        <f>IF(AND(ISNUMBER(AG50),ISNUMBER('Assumptions &amp; FX Reference'!$I$8),ISNUMBER('Assumptions &amp; FX Reference'!$I$11)),AG50*'Assumptions &amp; FX Reference'!$I$8/'Assumptions &amp; FX Reference'!$I$11,"")</f>
        <v>213965.19554769443</v>
      </c>
      <c r="AI50" s="35">
        <f>IF(AND(ISNUMBER(AG50),ISNUMBER('Assumptions &amp; FX Reference'!$I$8)),AG50*'Assumptions &amp; FX Reference'!$I$8,"")</f>
        <v>140903142119.60986</v>
      </c>
      <c r="AJ50" s="30" t="s">
        <v>473</v>
      </c>
      <c r="AK50" s="30" t="s">
        <v>474</v>
      </c>
      <c r="AL50" s="30" t="s">
        <v>119</v>
      </c>
      <c r="AM50" s="30" t="s">
        <v>119</v>
      </c>
      <c r="AN50" s="30" t="s">
        <v>119</v>
      </c>
      <c r="AO50" s="30" t="s">
        <v>119</v>
      </c>
      <c r="AP50" s="30" t="s">
        <v>119</v>
      </c>
      <c r="AQ50" s="38" t="s">
        <v>305</v>
      </c>
      <c r="AR50" s="30" t="s">
        <v>119</v>
      </c>
      <c r="AS50" s="33" t="str">
        <f t="shared" si="7"/>
        <v xml:space="preserve">Seal missing; </v>
      </c>
      <c r="AT50" s="36">
        <f>IFERROR(INDEX(Factors_ROT!$F$5:$F$200,MATCH("MAT|"&amp;G50,Factors_ROT!$A$5:$A$200,0)),1)</f>
        <v>1.9</v>
      </c>
      <c r="AU50" s="36">
        <f>IFERROR(INDEX(Factors_ROT!$F$5:$F$200,MATCH("SEAL_ARR|"&amp;P50,Factors_ROT!$A$5:$A$200,0)),1)*IFERROR(INDEX(Factors_ROT!$F$5:$F$200,MATCH("SEAL_CAT|"&amp;Q50,Factors_ROT!$A$5:$A$200,0)),1)*IFERROR(INDEX(Factors_ROT!$F$5:$F$200,MATCH("SEAL_PLAN|"&amp;R50,Factors_ROT!$A$5:$A$200,0)),1)</f>
        <v>1</v>
      </c>
      <c r="AV50" s="36">
        <f>IFERROR(INDEX(Factors_ROT!$F$5:$F$200,MATCH("DRV|"&amp;S50,Factors_ROT!$A$5:$A$200,0)),1)*IFERROR(INDEX(Factors_ROT!$F$5:$F$200,MATCH("NACE|"&amp;O50,Factors_ROT!$A$5:$A$200,0)),1)</f>
        <v>1</v>
      </c>
      <c r="AW50" s="36">
        <f>IFERROR(INDEX(Factors_ROT!$F$5:$F$200,MATCH("SC_DRV|"&amp;AL50,Factors_ROT!$A$5:$A$200,0)),1)*IFERROR(INDEX(Factors_ROT!$F$5:$F$200,MATCH("SC_BSP|"&amp;AM50,Factors_ROT!$A$5:$A$200,0)),1)*IFERROR(INDEX(Factors_ROT!$F$5:$F$200,MATCH("SC_SEAL|"&amp;AN50,Factors_ROT!$A$5:$A$200,0)),1)*IFERROR(INDEX(Factors_ROT!$F$5:$F$200,MATCH("SC_COMM|"&amp;AO50,Factors_ROT!$A$5:$A$200,0)),1)*IFERROR(INDEX(Factors_ROT!$F$5:$F$200,MATCH("SC_2Y|"&amp;AP50,Factors_ROT!$A$5:$A$200,0)),1)*IFERROR(INDEX(Factors_ROT!$F$5:$F$200,MATCH("SC_TPI|"&amp;AQ50,Factors_ROT!$A$5:$A$200,0)),1)*IFERROR(INDEX(Factors_ROT!$F$5:$F$200,MATCH("SC_FAT|"&amp;AR50,Factors_ROT!$A$5:$A$200,0)),1)</f>
        <v>1</v>
      </c>
      <c r="AX50" s="36">
        <f t="shared" si="8"/>
        <v>1.9</v>
      </c>
      <c r="AY50" s="35">
        <f t="shared" si="9"/>
        <v>78947.368421052641</v>
      </c>
      <c r="AZ50" s="37">
        <f>IFERROR(IF(N(INDEX(Escalation_Index!$B$5:$B$25,MATCH(Y50,Escalation_Index!$A$5:$A$25,0)))&gt;0,INDEX(Escalation_Index!$B$5:$B$25,MATCH(Y50,Escalation_Index!$A$5:$A$25,0)),""),"")</f>
        <v>91.346999999999994</v>
      </c>
      <c r="BA50" s="37">
        <f>IF(ISNUMBER('Assumptions &amp; FX Reference'!$I$12),'Assumptions &amp; FX Reference'!$I$12,"")</f>
        <v>123.416</v>
      </c>
      <c r="BB50" s="33" t="str">
        <f t="shared" si="10"/>
        <v>Y</v>
      </c>
      <c r="BC50" s="35">
        <f t="shared" si="11"/>
        <v>106663.25572873365</v>
      </c>
      <c r="BD50" s="35">
        <f>IF(AND(ISNUMBER(BC50),ISNUMBER(K50)),IF(K50&gt;0,BC50/K50^'Assumptions &amp; FX Reference'!$I$16,""),"")</f>
        <v>9728.0753934661388</v>
      </c>
      <c r="BE50" s="30" t="s">
        <v>498</v>
      </c>
      <c r="BF50" s="30" t="s">
        <v>499</v>
      </c>
      <c r="BG50" s="30" t="s">
        <v>361</v>
      </c>
    </row>
    <row r="51" spans="1:59" ht="24" customHeight="1">
      <c r="A51" s="30">
        <v>47</v>
      </c>
      <c r="B51" s="30" t="s">
        <v>500</v>
      </c>
      <c r="C51" s="30" t="s">
        <v>468</v>
      </c>
      <c r="D51" s="30" t="s">
        <v>501</v>
      </c>
      <c r="E51" s="30" t="s">
        <v>44</v>
      </c>
      <c r="F51" s="30" t="s">
        <v>128</v>
      </c>
      <c r="G51" s="30" t="s">
        <v>83</v>
      </c>
      <c r="H51" s="31">
        <v>23</v>
      </c>
      <c r="I51" s="31">
        <v>158</v>
      </c>
      <c r="J51" s="31"/>
      <c r="K51" s="32">
        <f>IF(ISNUMBER(J51),J51,IF(AND(ISNUMBER(H51),ISNUMBER(I51)),H51*I51/(367*'Assumptions &amp; FX Reference'!$I$17),""))</f>
        <v>16.503178928247049</v>
      </c>
      <c r="L51" s="33" t="str">
        <f t="shared" si="6"/>
        <v>API 610 + IPS-G-PM-105</v>
      </c>
      <c r="M51" s="30" t="s">
        <v>470</v>
      </c>
      <c r="N51" s="30" t="s">
        <v>471</v>
      </c>
      <c r="O51" s="38" t="s">
        <v>305</v>
      </c>
      <c r="P51" s="30" t="s">
        <v>119</v>
      </c>
      <c r="Q51" s="30" t="s">
        <v>119</v>
      </c>
      <c r="R51" s="30" t="s">
        <v>119</v>
      </c>
      <c r="S51" s="38" t="s">
        <v>297</v>
      </c>
      <c r="T51" s="30" t="s">
        <v>319</v>
      </c>
      <c r="U51" s="30">
        <v>2</v>
      </c>
      <c r="V51" s="30" t="s">
        <v>299</v>
      </c>
      <c r="W51" s="31">
        <v>16.7</v>
      </c>
      <c r="X51" s="30" t="s">
        <v>119</v>
      </c>
      <c r="Y51" s="38">
        <v>1393</v>
      </c>
      <c r="Z51" s="30" t="s">
        <v>355</v>
      </c>
      <c r="AA51" s="34">
        <v>16500</v>
      </c>
      <c r="AB51" s="35">
        <f>IF(NOT(ISNUMBER(AA51)),"(Not stated)",IF(NOT(ISNUMBER(Y51)),"(Cost year not stated)",IFERROR(IF(Z51="EUR",AA51,IF(Z51="IRR",AA51/INDEX('Assumptions &amp; FX Reference'!$C$5:$C$25,MATCH(Y51,'Assumptions &amp; FX Reference'!$A$5:$A$25,0)),IF(Z51="USD",AA51*INDEX('Assumptions &amp; FX Reference'!$B$5:$B$25,MATCH(Y51,'Assumptions &amp; FX Reference'!$A$5:$A$25,0))/INDEX('Assumptions &amp; FX Reference'!$C$5:$C$25,MATCH(Y51,'Assumptions &amp; FX Reference'!$A$5:$A$25,0)),"(Currency?)"))),"(FX rate missing)")))</f>
        <v>16500</v>
      </c>
      <c r="AC51" s="35">
        <f>IF(NOT(ISNUMBER(AA51)),"(Not stated)",IF(NOT(ISNUMBER(Y51)),"(Cost year not stated)",IFERROR(IF(Z51="USD",AA51,IF(Z51="IRR",AA51/INDEX('Assumptions &amp; FX Reference'!$B$5:$B$25,MATCH(Y51,'Assumptions &amp; FX Reference'!$A$5:$A$25,0)),IF(Z51="EUR",AA51*INDEX('Assumptions &amp; FX Reference'!$C$5:$C$25,MATCH(Y51,'Assumptions &amp; FX Reference'!$A$5:$A$25,0))/INDEX('Assumptions &amp; FX Reference'!$B$5:$B$25,MATCH(Y51,'Assumptions &amp; FX Reference'!$A$5:$A$25,0)),"(Currency?)"))),"(FX rate missing)")))</f>
        <v>21572.845161290323</v>
      </c>
      <c r="AD51" s="35">
        <f>IF(NOT(ISNUMBER(AA51)),"(Not stated)",IF(NOT(ISNUMBER(Y51)),"(Cost year not stated)",IFERROR(IF(Z51="IRR",AA51,IF(Z51="USD",AA51*INDEX('Assumptions &amp; FX Reference'!$B$5:$B$25,MATCH(Y51,'Assumptions &amp; FX Reference'!$A$5:$A$25,0)),IF(Z51="EUR",AA51*INDEX('Assumptions &amp; FX Reference'!$C$5:$C$25,MATCH(Y51,'Assumptions &amp; FX Reference'!$A$5:$A$25,0)),"(Currency?)"))),"(FX rate missing)")))</f>
        <v>668758200</v>
      </c>
      <c r="AE51" s="30" t="s">
        <v>472</v>
      </c>
      <c r="AF51" s="38" t="s">
        <v>204</v>
      </c>
      <c r="AG51" s="35">
        <f>IF(AND(Z51="EUR",N(AA51)&gt;5000000),"(Check currency – excluded)",IF(AND(ISNUMBER(AB51),ISNUMBER(AZ51),ISNUMBER(BA51)),IF(AND(BB51="Y",ISNUMBER('Assumptions &amp; FX Reference'!$I$15)),MAX(AB51*BA51/AZ51,'Assumptions &amp; FX Reference'!$I$13*BA51/'Assumptions &amp; FX Reference'!$I$15),AB51*BA51/AZ51),"(PPI/FX missing)"))</f>
        <v>25000</v>
      </c>
      <c r="AH51" s="35">
        <f>IF(AND(ISNUMBER(AG51),ISNUMBER('Assumptions &amp; FX Reference'!$I$8),ISNUMBER('Assumptions &amp; FX Reference'!$I$11)),AG51*'Assumptions &amp; FX Reference'!$I$8/'Assumptions &amp; FX Reference'!$I$11,"")</f>
        <v>26394.577037141647</v>
      </c>
      <c r="AI51" s="35">
        <f>IF(AND(ISNUMBER(AG51),ISNUMBER('Assumptions &amp; FX Reference'!$I$8)),AG51*'Assumptions &amp; FX Reference'!$I$8,"")</f>
        <v>17381700000</v>
      </c>
      <c r="AJ51" s="30" t="s">
        <v>473</v>
      </c>
      <c r="AK51" s="30" t="s">
        <v>474</v>
      </c>
      <c r="AL51" s="30" t="s">
        <v>119</v>
      </c>
      <c r="AM51" s="30" t="s">
        <v>119</v>
      </c>
      <c r="AN51" s="30" t="s">
        <v>119</v>
      </c>
      <c r="AO51" s="30" t="s">
        <v>119</v>
      </c>
      <c r="AP51" s="30" t="s">
        <v>119</v>
      </c>
      <c r="AQ51" s="38" t="s">
        <v>305</v>
      </c>
      <c r="AR51" s="30" t="s">
        <v>119</v>
      </c>
      <c r="AS51" s="33" t="str">
        <f t="shared" si="7"/>
        <v xml:space="preserve">Seal missing; </v>
      </c>
      <c r="AT51" s="36">
        <f>IFERROR(INDEX(Factors_ROT!$F$5:$F$200,MATCH("MAT|"&amp;G51,Factors_ROT!$A$5:$A$200,0)),1)</f>
        <v>1</v>
      </c>
      <c r="AU51" s="36">
        <f>IFERROR(INDEX(Factors_ROT!$F$5:$F$200,MATCH("SEAL_ARR|"&amp;P51,Factors_ROT!$A$5:$A$200,0)),1)*IFERROR(INDEX(Factors_ROT!$F$5:$F$200,MATCH("SEAL_CAT|"&amp;Q51,Factors_ROT!$A$5:$A$200,0)),1)*IFERROR(INDEX(Factors_ROT!$F$5:$F$200,MATCH("SEAL_PLAN|"&amp;R51,Factors_ROT!$A$5:$A$200,0)),1)</f>
        <v>1</v>
      </c>
      <c r="AV51" s="36">
        <f>IFERROR(INDEX(Factors_ROT!$F$5:$F$200,MATCH("DRV|"&amp;S51,Factors_ROT!$A$5:$A$200,0)),1)*IFERROR(INDEX(Factors_ROT!$F$5:$F$200,MATCH("NACE|"&amp;O51,Factors_ROT!$A$5:$A$200,0)),1)</f>
        <v>1</v>
      </c>
      <c r="AW51" s="36">
        <f>IFERROR(INDEX(Factors_ROT!$F$5:$F$200,MATCH("SC_DRV|"&amp;AL51,Factors_ROT!$A$5:$A$200,0)),1)*IFERROR(INDEX(Factors_ROT!$F$5:$F$200,MATCH("SC_BSP|"&amp;AM51,Factors_ROT!$A$5:$A$200,0)),1)*IFERROR(INDEX(Factors_ROT!$F$5:$F$200,MATCH("SC_SEAL|"&amp;AN51,Factors_ROT!$A$5:$A$200,0)),1)*IFERROR(INDEX(Factors_ROT!$F$5:$F$200,MATCH("SC_COMM|"&amp;AO51,Factors_ROT!$A$5:$A$200,0)),1)*IFERROR(INDEX(Factors_ROT!$F$5:$F$200,MATCH("SC_2Y|"&amp;AP51,Factors_ROT!$A$5:$A$200,0)),1)*IFERROR(INDEX(Factors_ROT!$F$5:$F$200,MATCH("SC_TPI|"&amp;AQ51,Factors_ROT!$A$5:$A$200,0)),1)*IFERROR(INDEX(Factors_ROT!$F$5:$F$200,MATCH("SC_FAT|"&amp;AR51,Factors_ROT!$A$5:$A$200,0)),1)</f>
        <v>1</v>
      </c>
      <c r="AX51" s="36">
        <f t="shared" si="8"/>
        <v>1</v>
      </c>
      <c r="AY51" s="35">
        <f t="shared" si="9"/>
        <v>16500</v>
      </c>
      <c r="AZ51" s="37">
        <f>IFERROR(IF(N(INDEX(Escalation_Index!$B$5:$B$25,MATCH(Y51,Escalation_Index!$A$5:$A$25,0)))&gt;0,INDEX(Escalation_Index!$B$5:$B$25,MATCH(Y51,Escalation_Index!$A$5:$A$25,0)),""),"")</f>
        <v>91.346999999999994</v>
      </c>
      <c r="BA51" s="37">
        <f>IF(ISNUMBER('Assumptions &amp; FX Reference'!$I$12),'Assumptions &amp; FX Reference'!$I$12,"")</f>
        <v>123.416</v>
      </c>
      <c r="BB51" s="33" t="str">
        <f t="shared" si="10"/>
        <v>Y</v>
      </c>
      <c r="BC51" s="35">
        <f t="shared" si="11"/>
        <v>25000</v>
      </c>
      <c r="BD51" s="35">
        <f>IF(AND(ISNUMBER(BC51),ISNUMBER(K51)),IF(K51&gt;0,BC51/K51^'Assumptions &amp; FX Reference'!$I$16,""),"")</f>
        <v>4649.4271109715437</v>
      </c>
      <c r="BE51" s="30" t="s">
        <v>502</v>
      </c>
      <c r="BF51" s="30" t="s">
        <v>503</v>
      </c>
      <c r="BG51" s="30" t="s">
        <v>361</v>
      </c>
    </row>
    <row r="52" spans="1:59" ht="24" customHeight="1">
      <c r="A52" s="30">
        <v>48</v>
      </c>
      <c r="B52" s="30" t="s">
        <v>504</v>
      </c>
      <c r="C52" s="30" t="s">
        <v>468</v>
      </c>
      <c r="D52" s="30" t="s">
        <v>505</v>
      </c>
      <c r="E52" s="30" t="s">
        <v>44</v>
      </c>
      <c r="F52" s="30" t="s">
        <v>128</v>
      </c>
      <c r="G52" s="30" t="s">
        <v>83</v>
      </c>
      <c r="H52" s="31">
        <v>43</v>
      </c>
      <c r="I52" s="31">
        <v>158</v>
      </c>
      <c r="J52" s="31"/>
      <c r="K52" s="32">
        <f>IF(ISNUMBER(J52),J52,IF(AND(ISNUMBER(H52),ISNUMBER(I52)),H52*I52/(367*'Assumptions &amp; FX Reference'!$I$17),""))</f>
        <v>30.853769300635786</v>
      </c>
      <c r="L52" s="33" t="str">
        <f t="shared" si="6"/>
        <v>API 610 + IPS-G-PM-105</v>
      </c>
      <c r="M52" s="30" t="s">
        <v>470</v>
      </c>
      <c r="N52" s="30" t="s">
        <v>471</v>
      </c>
      <c r="O52" s="38" t="s">
        <v>305</v>
      </c>
      <c r="P52" s="30" t="s">
        <v>119</v>
      </c>
      <c r="Q52" s="30" t="s">
        <v>119</v>
      </c>
      <c r="R52" s="30" t="s">
        <v>119</v>
      </c>
      <c r="S52" s="38" t="s">
        <v>297</v>
      </c>
      <c r="T52" s="30" t="s">
        <v>319</v>
      </c>
      <c r="U52" s="30">
        <v>1</v>
      </c>
      <c r="V52" s="30" t="s">
        <v>299</v>
      </c>
      <c r="W52" s="31">
        <v>16.7</v>
      </c>
      <c r="X52" s="30" t="s">
        <v>119</v>
      </c>
      <c r="Y52" s="38">
        <v>1393</v>
      </c>
      <c r="Z52" s="30" t="s">
        <v>355</v>
      </c>
      <c r="AA52" s="34">
        <v>17500</v>
      </c>
      <c r="AB52" s="35">
        <f>IF(NOT(ISNUMBER(AA52)),"(Not stated)",IF(NOT(ISNUMBER(Y52)),"(Cost year not stated)",IFERROR(IF(Z52="EUR",AA52,IF(Z52="IRR",AA52/INDEX('Assumptions &amp; FX Reference'!$C$5:$C$25,MATCH(Y52,'Assumptions &amp; FX Reference'!$A$5:$A$25,0)),IF(Z52="USD",AA52*INDEX('Assumptions &amp; FX Reference'!$B$5:$B$25,MATCH(Y52,'Assumptions &amp; FX Reference'!$A$5:$A$25,0))/INDEX('Assumptions &amp; FX Reference'!$C$5:$C$25,MATCH(Y52,'Assumptions &amp; FX Reference'!$A$5:$A$25,0)),"(Currency?)"))),"(FX rate missing)")))</f>
        <v>17500</v>
      </c>
      <c r="AC52" s="35">
        <f>IF(NOT(ISNUMBER(AA52)),"(Not stated)",IF(NOT(ISNUMBER(Y52)),"(Cost year not stated)",IFERROR(IF(Z52="USD",AA52,IF(Z52="IRR",AA52/INDEX('Assumptions &amp; FX Reference'!$B$5:$B$25,MATCH(Y52,'Assumptions &amp; FX Reference'!$A$5:$A$25,0)),IF(Z52="EUR",AA52*INDEX('Assumptions &amp; FX Reference'!$C$5:$C$25,MATCH(Y52,'Assumptions &amp; FX Reference'!$A$5:$A$25,0))/INDEX('Assumptions &amp; FX Reference'!$B$5:$B$25,MATCH(Y52,'Assumptions &amp; FX Reference'!$A$5:$A$25,0)),"(Currency?)"))),"(FX rate missing)")))</f>
        <v>22880.290322580644</v>
      </c>
      <c r="AD52" s="35">
        <f>IF(NOT(ISNUMBER(AA52)),"(Not stated)",IF(NOT(ISNUMBER(Y52)),"(Cost year not stated)",IFERROR(IF(Z52="IRR",AA52,IF(Z52="USD",AA52*INDEX('Assumptions &amp; FX Reference'!$B$5:$B$25,MATCH(Y52,'Assumptions &amp; FX Reference'!$A$5:$A$25,0)),IF(Z52="EUR",AA52*INDEX('Assumptions &amp; FX Reference'!$C$5:$C$25,MATCH(Y52,'Assumptions &amp; FX Reference'!$A$5:$A$25,0)),"(Currency?)"))),"(FX rate missing)")))</f>
        <v>709289000</v>
      </c>
      <c r="AE52" s="30" t="s">
        <v>472</v>
      </c>
      <c r="AF52" s="38" t="s">
        <v>204</v>
      </c>
      <c r="AG52" s="35">
        <f>IF(AND(Z52="EUR",N(AA52)&gt;5000000),"(Check currency – excluded)",IF(AND(ISNUMBER(AB52),ISNUMBER(AZ52),ISNUMBER(BA52)),IF(AND(BB52="Y",ISNUMBER('Assumptions &amp; FX Reference'!$I$15)),MAX(AB52*BA52/AZ52,'Assumptions &amp; FX Reference'!$I$13*BA52/'Assumptions &amp; FX Reference'!$I$15),AB52*BA52/AZ52),"(PPI/FX missing)"))</f>
        <v>25000</v>
      </c>
      <c r="AH52" s="35">
        <f>IF(AND(ISNUMBER(AG52),ISNUMBER('Assumptions &amp; FX Reference'!$I$8),ISNUMBER('Assumptions &amp; FX Reference'!$I$11)),AG52*'Assumptions &amp; FX Reference'!$I$8/'Assumptions &amp; FX Reference'!$I$11,"")</f>
        <v>26394.577037141647</v>
      </c>
      <c r="AI52" s="35">
        <f>IF(AND(ISNUMBER(AG52),ISNUMBER('Assumptions &amp; FX Reference'!$I$8)),AG52*'Assumptions &amp; FX Reference'!$I$8,"")</f>
        <v>17381700000</v>
      </c>
      <c r="AJ52" s="30" t="s">
        <v>473</v>
      </c>
      <c r="AK52" s="30" t="s">
        <v>474</v>
      </c>
      <c r="AL52" s="30" t="s">
        <v>119</v>
      </c>
      <c r="AM52" s="30" t="s">
        <v>119</v>
      </c>
      <c r="AN52" s="30" t="s">
        <v>119</v>
      </c>
      <c r="AO52" s="30" t="s">
        <v>119</v>
      </c>
      <c r="AP52" s="30" t="s">
        <v>119</v>
      </c>
      <c r="AQ52" s="38" t="s">
        <v>305</v>
      </c>
      <c r="AR52" s="30" t="s">
        <v>119</v>
      </c>
      <c r="AS52" s="33" t="str">
        <f t="shared" si="7"/>
        <v xml:space="preserve">Seal missing; </v>
      </c>
      <c r="AT52" s="36">
        <f>IFERROR(INDEX(Factors_ROT!$F$5:$F$200,MATCH("MAT|"&amp;G52,Factors_ROT!$A$5:$A$200,0)),1)</f>
        <v>1</v>
      </c>
      <c r="AU52" s="36">
        <f>IFERROR(INDEX(Factors_ROT!$F$5:$F$200,MATCH("SEAL_ARR|"&amp;P52,Factors_ROT!$A$5:$A$200,0)),1)*IFERROR(INDEX(Factors_ROT!$F$5:$F$200,MATCH("SEAL_CAT|"&amp;Q52,Factors_ROT!$A$5:$A$200,0)),1)*IFERROR(INDEX(Factors_ROT!$F$5:$F$200,MATCH("SEAL_PLAN|"&amp;R52,Factors_ROT!$A$5:$A$200,0)),1)</f>
        <v>1</v>
      </c>
      <c r="AV52" s="36">
        <f>IFERROR(INDEX(Factors_ROT!$F$5:$F$200,MATCH("DRV|"&amp;S52,Factors_ROT!$A$5:$A$200,0)),1)*IFERROR(INDEX(Factors_ROT!$F$5:$F$200,MATCH("NACE|"&amp;O52,Factors_ROT!$A$5:$A$200,0)),1)</f>
        <v>1</v>
      </c>
      <c r="AW52" s="36">
        <f>IFERROR(INDEX(Factors_ROT!$F$5:$F$200,MATCH("SC_DRV|"&amp;AL52,Factors_ROT!$A$5:$A$200,0)),1)*IFERROR(INDEX(Factors_ROT!$F$5:$F$200,MATCH("SC_BSP|"&amp;AM52,Factors_ROT!$A$5:$A$200,0)),1)*IFERROR(INDEX(Factors_ROT!$F$5:$F$200,MATCH("SC_SEAL|"&amp;AN52,Factors_ROT!$A$5:$A$200,0)),1)*IFERROR(INDEX(Factors_ROT!$F$5:$F$200,MATCH("SC_COMM|"&amp;AO52,Factors_ROT!$A$5:$A$200,0)),1)*IFERROR(INDEX(Factors_ROT!$F$5:$F$200,MATCH("SC_2Y|"&amp;AP52,Factors_ROT!$A$5:$A$200,0)),1)*IFERROR(INDEX(Factors_ROT!$F$5:$F$200,MATCH("SC_TPI|"&amp;AQ52,Factors_ROT!$A$5:$A$200,0)),1)*IFERROR(INDEX(Factors_ROT!$F$5:$F$200,MATCH("SC_FAT|"&amp;AR52,Factors_ROT!$A$5:$A$200,0)),1)</f>
        <v>1</v>
      </c>
      <c r="AX52" s="36">
        <f t="shared" si="8"/>
        <v>1</v>
      </c>
      <c r="AY52" s="35">
        <f t="shared" si="9"/>
        <v>17500</v>
      </c>
      <c r="AZ52" s="37">
        <f>IFERROR(IF(N(INDEX(Escalation_Index!$B$5:$B$25,MATCH(Y52,Escalation_Index!$A$5:$A$25,0)))&gt;0,INDEX(Escalation_Index!$B$5:$B$25,MATCH(Y52,Escalation_Index!$A$5:$A$25,0)),""),"")</f>
        <v>91.346999999999994</v>
      </c>
      <c r="BA52" s="37">
        <f>IF(ISNUMBER('Assumptions &amp; FX Reference'!$I$12),'Assumptions &amp; FX Reference'!$I$12,"")</f>
        <v>123.416</v>
      </c>
      <c r="BB52" s="33" t="str">
        <f t="shared" si="10"/>
        <v>Y</v>
      </c>
      <c r="BC52" s="35">
        <f t="shared" si="11"/>
        <v>25000</v>
      </c>
      <c r="BD52" s="35">
        <f>IF(AND(ISNUMBER(BC52),ISNUMBER(K52)),IF(K52&gt;0,BC52/K52^'Assumptions &amp; FX Reference'!$I$16,""),"")</f>
        <v>3194.1482702507324</v>
      </c>
      <c r="BE52" s="30" t="s">
        <v>506</v>
      </c>
      <c r="BF52" s="30" t="s">
        <v>507</v>
      </c>
      <c r="BG52" s="30" t="s">
        <v>361</v>
      </c>
    </row>
    <row r="53" spans="1:59" ht="24" customHeight="1">
      <c r="A53" s="30">
        <v>49</v>
      </c>
      <c r="B53" s="30" t="s">
        <v>508</v>
      </c>
      <c r="C53" s="30" t="s">
        <v>468</v>
      </c>
      <c r="D53" s="30" t="s">
        <v>509</v>
      </c>
      <c r="E53" s="30" t="s">
        <v>50</v>
      </c>
      <c r="F53" s="30" t="s">
        <v>128</v>
      </c>
      <c r="G53" s="30" t="s">
        <v>86</v>
      </c>
      <c r="H53" s="31">
        <v>15</v>
      </c>
      <c r="I53" s="31">
        <v>50</v>
      </c>
      <c r="J53" s="31"/>
      <c r="K53" s="32">
        <f>IF(ISNUMBER(J53),J53,IF(AND(ISNUMBER(H53),ISNUMBER(I53)),H53*I53/(367*'Assumptions &amp; FX Reference'!$I$17),""))</f>
        <v>3.4059945504087197</v>
      </c>
      <c r="L53" s="33" t="str">
        <f t="shared" si="6"/>
        <v>API 610 + IPS-G-PM-105</v>
      </c>
      <c r="M53" s="30" t="s">
        <v>470</v>
      </c>
      <c r="N53" s="30" t="s">
        <v>471</v>
      </c>
      <c r="O53" s="38" t="s">
        <v>305</v>
      </c>
      <c r="P53" s="30" t="s">
        <v>119</v>
      </c>
      <c r="Q53" s="30" t="s">
        <v>119</v>
      </c>
      <c r="R53" s="30" t="s">
        <v>119</v>
      </c>
      <c r="S53" s="38" t="s">
        <v>297</v>
      </c>
      <c r="T53" s="30" t="s">
        <v>334</v>
      </c>
      <c r="U53" s="30">
        <v>2</v>
      </c>
      <c r="V53" s="30" t="s">
        <v>299</v>
      </c>
      <c r="W53" s="31">
        <v>7.4</v>
      </c>
      <c r="X53" s="30" t="s">
        <v>119</v>
      </c>
      <c r="Y53" s="38">
        <v>1393</v>
      </c>
      <c r="Z53" s="30" t="s">
        <v>355</v>
      </c>
      <c r="AA53" s="34">
        <v>10000</v>
      </c>
      <c r="AB53" s="35">
        <f>IF(NOT(ISNUMBER(AA53)),"(Not stated)",IF(NOT(ISNUMBER(Y53)),"(Cost year not stated)",IFERROR(IF(Z53="EUR",AA53,IF(Z53="IRR",AA53/INDEX('Assumptions &amp; FX Reference'!$C$5:$C$25,MATCH(Y53,'Assumptions &amp; FX Reference'!$A$5:$A$25,0)),IF(Z53="USD",AA53*INDEX('Assumptions &amp; FX Reference'!$B$5:$B$25,MATCH(Y53,'Assumptions &amp; FX Reference'!$A$5:$A$25,0))/INDEX('Assumptions &amp; FX Reference'!$C$5:$C$25,MATCH(Y53,'Assumptions &amp; FX Reference'!$A$5:$A$25,0)),"(Currency?)"))),"(FX rate missing)")))</f>
        <v>10000</v>
      </c>
      <c r="AC53" s="35">
        <f>IF(NOT(ISNUMBER(AA53)),"(Not stated)",IF(NOT(ISNUMBER(Y53)),"(Cost year not stated)",IFERROR(IF(Z53="USD",AA53,IF(Z53="IRR",AA53/INDEX('Assumptions &amp; FX Reference'!$B$5:$B$25,MATCH(Y53,'Assumptions &amp; FX Reference'!$A$5:$A$25,0)),IF(Z53="EUR",AA53*INDEX('Assumptions &amp; FX Reference'!$C$5:$C$25,MATCH(Y53,'Assumptions &amp; FX Reference'!$A$5:$A$25,0))/INDEX('Assumptions &amp; FX Reference'!$B$5:$B$25,MATCH(Y53,'Assumptions &amp; FX Reference'!$A$5:$A$25,0)),"(Currency?)"))),"(FX rate missing)")))</f>
        <v>13074.451612903225</v>
      </c>
      <c r="AD53" s="35">
        <f>IF(NOT(ISNUMBER(AA53)),"(Not stated)",IF(NOT(ISNUMBER(Y53)),"(Cost year not stated)",IFERROR(IF(Z53="IRR",AA53,IF(Z53="USD",AA53*INDEX('Assumptions &amp; FX Reference'!$B$5:$B$25,MATCH(Y53,'Assumptions &amp; FX Reference'!$A$5:$A$25,0)),IF(Z53="EUR",AA53*INDEX('Assumptions &amp; FX Reference'!$C$5:$C$25,MATCH(Y53,'Assumptions &amp; FX Reference'!$A$5:$A$25,0)),"(Currency?)"))),"(FX rate missing)")))</f>
        <v>405308000</v>
      </c>
      <c r="AE53" s="30" t="s">
        <v>472</v>
      </c>
      <c r="AF53" s="38" t="s">
        <v>204</v>
      </c>
      <c r="AG53" s="35">
        <f>IF(AND(Z53="EUR",N(AA53)&gt;5000000),"(Check currency – excluded)",IF(AND(ISNUMBER(AB53),ISNUMBER(AZ53),ISNUMBER(BA53)),IF(AND(BB53="Y",ISNUMBER('Assumptions &amp; FX Reference'!$I$15)),MAX(AB53*BA53/AZ53,'Assumptions &amp; FX Reference'!$I$13*BA53/'Assumptions &amp; FX Reference'!$I$15),AB53*BA53/AZ53),"(PPI/FX missing)"))</f>
        <v>25000</v>
      </c>
      <c r="AH53" s="35">
        <f>IF(AND(ISNUMBER(AG53),ISNUMBER('Assumptions &amp; FX Reference'!$I$8),ISNUMBER('Assumptions &amp; FX Reference'!$I$11)),AG53*'Assumptions &amp; FX Reference'!$I$8/'Assumptions &amp; FX Reference'!$I$11,"")</f>
        <v>26394.577037141647</v>
      </c>
      <c r="AI53" s="35">
        <f>IF(AND(ISNUMBER(AG53),ISNUMBER('Assumptions &amp; FX Reference'!$I$8)),AG53*'Assumptions &amp; FX Reference'!$I$8,"")</f>
        <v>17381700000</v>
      </c>
      <c r="AJ53" s="30" t="s">
        <v>473</v>
      </c>
      <c r="AK53" s="30" t="s">
        <v>474</v>
      </c>
      <c r="AL53" s="30" t="s">
        <v>119</v>
      </c>
      <c r="AM53" s="30" t="s">
        <v>119</v>
      </c>
      <c r="AN53" s="30" t="s">
        <v>119</v>
      </c>
      <c r="AO53" s="30" t="s">
        <v>119</v>
      </c>
      <c r="AP53" s="30" t="s">
        <v>119</v>
      </c>
      <c r="AQ53" s="38" t="s">
        <v>305</v>
      </c>
      <c r="AR53" s="30" t="s">
        <v>119</v>
      </c>
      <c r="AS53" s="33" t="str">
        <f t="shared" si="7"/>
        <v xml:space="preserve">Seal missing; </v>
      </c>
      <c r="AT53" s="36">
        <f>IFERROR(INDEX(Factors_ROT!$F$5:$F$200,MATCH("MAT|"&amp;G53,Factors_ROT!$A$5:$A$200,0)),1)</f>
        <v>1.1000000000000001</v>
      </c>
      <c r="AU53" s="36">
        <f>IFERROR(INDEX(Factors_ROT!$F$5:$F$200,MATCH("SEAL_ARR|"&amp;P53,Factors_ROT!$A$5:$A$200,0)),1)*IFERROR(INDEX(Factors_ROT!$F$5:$F$200,MATCH("SEAL_CAT|"&amp;Q53,Factors_ROT!$A$5:$A$200,0)),1)*IFERROR(INDEX(Factors_ROT!$F$5:$F$200,MATCH("SEAL_PLAN|"&amp;R53,Factors_ROT!$A$5:$A$200,0)),1)</f>
        <v>1</v>
      </c>
      <c r="AV53" s="36">
        <f>IFERROR(INDEX(Factors_ROT!$F$5:$F$200,MATCH("DRV|"&amp;S53,Factors_ROT!$A$5:$A$200,0)),1)*IFERROR(INDEX(Factors_ROT!$F$5:$F$200,MATCH("NACE|"&amp;O53,Factors_ROT!$A$5:$A$200,0)),1)</f>
        <v>1</v>
      </c>
      <c r="AW53" s="36">
        <f>IFERROR(INDEX(Factors_ROT!$F$5:$F$200,MATCH("SC_DRV|"&amp;AL53,Factors_ROT!$A$5:$A$200,0)),1)*IFERROR(INDEX(Factors_ROT!$F$5:$F$200,MATCH("SC_BSP|"&amp;AM53,Factors_ROT!$A$5:$A$200,0)),1)*IFERROR(INDEX(Factors_ROT!$F$5:$F$200,MATCH("SC_SEAL|"&amp;AN53,Factors_ROT!$A$5:$A$200,0)),1)*IFERROR(INDEX(Factors_ROT!$F$5:$F$200,MATCH("SC_COMM|"&amp;AO53,Factors_ROT!$A$5:$A$200,0)),1)*IFERROR(INDEX(Factors_ROT!$F$5:$F$200,MATCH("SC_2Y|"&amp;AP53,Factors_ROT!$A$5:$A$200,0)),1)*IFERROR(INDEX(Factors_ROT!$F$5:$F$200,MATCH("SC_TPI|"&amp;AQ53,Factors_ROT!$A$5:$A$200,0)),1)*IFERROR(INDEX(Factors_ROT!$F$5:$F$200,MATCH("SC_FAT|"&amp;AR53,Factors_ROT!$A$5:$A$200,0)),1)</f>
        <v>1</v>
      </c>
      <c r="AX53" s="36">
        <f t="shared" si="8"/>
        <v>1.1000000000000001</v>
      </c>
      <c r="AY53" s="35">
        <f t="shared" si="9"/>
        <v>9090.9090909090901</v>
      </c>
      <c r="AZ53" s="37">
        <f>IFERROR(IF(N(INDEX(Escalation_Index!$B$5:$B$25,MATCH(Y53,Escalation_Index!$A$5:$A$25,0)))&gt;0,INDEX(Escalation_Index!$B$5:$B$25,MATCH(Y53,Escalation_Index!$A$5:$A$25,0)),""),"")</f>
        <v>91.346999999999994</v>
      </c>
      <c r="BA53" s="37">
        <f>IF(ISNUMBER('Assumptions &amp; FX Reference'!$I$12),'Assumptions &amp; FX Reference'!$I$12,"")</f>
        <v>123.416</v>
      </c>
      <c r="BB53" s="33" t="str">
        <f t="shared" si="10"/>
        <v>Y</v>
      </c>
      <c r="BC53" s="35">
        <f t="shared" si="11"/>
        <v>22727.272727272724</v>
      </c>
      <c r="BD53" s="35">
        <f>IF(AND(ISNUMBER(BC53),ISNUMBER(K53)),IF(K53&gt;0,BC53/K53^'Assumptions &amp; FX Reference'!$I$16,""),"")</f>
        <v>10894.340734322828</v>
      </c>
      <c r="BE53" s="30" t="s">
        <v>510</v>
      </c>
      <c r="BF53" s="30" t="s">
        <v>511</v>
      </c>
      <c r="BG53" s="30" t="s">
        <v>361</v>
      </c>
    </row>
    <row r="54" spans="1:59" ht="24" customHeight="1">
      <c r="A54" s="30">
        <v>50</v>
      </c>
      <c r="B54" s="30" t="s">
        <v>512</v>
      </c>
      <c r="C54" s="30" t="s">
        <v>468</v>
      </c>
      <c r="D54" s="30" t="s">
        <v>513</v>
      </c>
      <c r="E54" s="30" t="s">
        <v>50</v>
      </c>
      <c r="F54" s="30" t="s">
        <v>188</v>
      </c>
      <c r="G54" s="30" t="s">
        <v>107</v>
      </c>
      <c r="H54" s="31">
        <v>6</v>
      </c>
      <c r="I54" s="31"/>
      <c r="J54" s="31"/>
      <c r="K54" s="32" t="str">
        <f>IF(ISNUMBER(J54),J54,IF(AND(ISNUMBER(H54),ISNUMBER(I54)),H54*I54/(367*'Assumptions &amp; FX Reference'!$I$17),""))</f>
        <v/>
      </c>
      <c r="L54" s="33" t="str">
        <f t="shared" si="6"/>
        <v>API 676 + IPS-M-PM-140</v>
      </c>
      <c r="M54" s="30" t="s">
        <v>483</v>
      </c>
      <c r="N54" s="30" t="s">
        <v>484</v>
      </c>
      <c r="O54" s="38" t="s">
        <v>305</v>
      </c>
      <c r="P54" s="30" t="s">
        <v>119</v>
      </c>
      <c r="Q54" s="30" t="s">
        <v>119</v>
      </c>
      <c r="R54" s="30" t="s">
        <v>119</v>
      </c>
      <c r="S54" s="38" t="s">
        <v>297</v>
      </c>
      <c r="T54" s="30" t="s">
        <v>424</v>
      </c>
      <c r="U54" s="30">
        <v>2</v>
      </c>
      <c r="V54" s="30" t="s">
        <v>514</v>
      </c>
      <c r="W54" s="31">
        <v>3.6</v>
      </c>
      <c r="X54" s="30" t="s">
        <v>119</v>
      </c>
      <c r="Y54" s="38">
        <v>1393</v>
      </c>
      <c r="Z54" s="30" t="s">
        <v>355</v>
      </c>
      <c r="AA54" s="34">
        <v>25000</v>
      </c>
      <c r="AB54" s="35">
        <f>IF(NOT(ISNUMBER(AA54)),"(Not stated)",IF(NOT(ISNUMBER(Y54)),"(Cost year not stated)",IFERROR(IF(Z54="EUR",AA54,IF(Z54="IRR",AA54/INDEX('Assumptions &amp; FX Reference'!$C$5:$C$25,MATCH(Y54,'Assumptions &amp; FX Reference'!$A$5:$A$25,0)),IF(Z54="USD",AA54*INDEX('Assumptions &amp; FX Reference'!$B$5:$B$25,MATCH(Y54,'Assumptions &amp; FX Reference'!$A$5:$A$25,0))/INDEX('Assumptions &amp; FX Reference'!$C$5:$C$25,MATCH(Y54,'Assumptions &amp; FX Reference'!$A$5:$A$25,0)),"(Currency?)"))),"(FX rate missing)")))</f>
        <v>25000</v>
      </c>
      <c r="AC54" s="35">
        <f>IF(NOT(ISNUMBER(AA54)),"(Not stated)",IF(NOT(ISNUMBER(Y54)),"(Cost year not stated)",IFERROR(IF(Z54="USD",AA54,IF(Z54="IRR",AA54/INDEX('Assumptions &amp; FX Reference'!$B$5:$B$25,MATCH(Y54,'Assumptions &amp; FX Reference'!$A$5:$A$25,0)),IF(Z54="EUR",AA54*INDEX('Assumptions &amp; FX Reference'!$C$5:$C$25,MATCH(Y54,'Assumptions &amp; FX Reference'!$A$5:$A$25,0))/INDEX('Assumptions &amp; FX Reference'!$B$5:$B$25,MATCH(Y54,'Assumptions &amp; FX Reference'!$A$5:$A$25,0)),"(Currency?)"))),"(FX rate missing)")))</f>
        <v>32686.129032258068</v>
      </c>
      <c r="AD54" s="35">
        <f>IF(NOT(ISNUMBER(AA54)),"(Not stated)",IF(NOT(ISNUMBER(Y54)),"(Cost year not stated)",IFERROR(IF(Z54="IRR",AA54,IF(Z54="USD",AA54*INDEX('Assumptions &amp; FX Reference'!$B$5:$B$25,MATCH(Y54,'Assumptions &amp; FX Reference'!$A$5:$A$25,0)),IF(Z54="EUR",AA54*INDEX('Assumptions &amp; FX Reference'!$C$5:$C$25,MATCH(Y54,'Assumptions &amp; FX Reference'!$A$5:$A$25,0)),"(Currency?)"))),"(FX rate missing)")))</f>
        <v>1013270000.0000001</v>
      </c>
      <c r="AE54" s="30" t="s">
        <v>472</v>
      </c>
      <c r="AF54" s="38" t="s">
        <v>204</v>
      </c>
      <c r="AG54" s="35">
        <f>IF(AND(Z54="EUR",N(AA54)&gt;5000000),"(Check currency – excluded)",IF(AND(ISNUMBER(AB54),ISNUMBER(AZ54),ISNUMBER(BA54)),IF(AND(BB54="Y",ISNUMBER('Assumptions &amp; FX Reference'!$I$15)),MAX(AB54*BA54/AZ54,'Assumptions &amp; FX Reference'!$I$13*BA54/'Assumptions &amp; FX Reference'!$I$15),AB54*BA54/AZ54),"(PPI/FX missing)"))</f>
        <v>33776.697647432324</v>
      </c>
      <c r="AH54" s="35">
        <f>IF(AND(ISNUMBER(AG54),ISNUMBER('Assumptions &amp; FX Reference'!$I$8),ISNUMBER('Assumptions &amp; FX Reference'!$I$11)),AG54*'Assumptions &amp; FX Reference'!$I$8/'Assumptions &amp; FX Reference'!$I$11,"")</f>
        <v>35660.86592461574</v>
      </c>
      <c r="AI54" s="35">
        <f>IF(AND(ISNUMBER(AG54),ISNUMBER('Assumptions &amp; FX Reference'!$I$8)),AG54*'Assumptions &amp; FX Reference'!$I$8,"")</f>
        <v>23483857019.934978</v>
      </c>
      <c r="AJ54" s="30" t="s">
        <v>473</v>
      </c>
      <c r="AK54" s="30" t="s">
        <v>474</v>
      </c>
      <c r="AL54" s="30" t="s">
        <v>119</v>
      </c>
      <c r="AM54" s="30" t="s">
        <v>119</v>
      </c>
      <c r="AN54" s="30" t="s">
        <v>119</v>
      </c>
      <c r="AO54" s="30" t="s">
        <v>119</v>
      </c>
      <c r="AP54" s="30" t="s">
        <v>119</v>
      </c>
      <c r="AQ54" s="38" t="s">
        <v>305</v>
      </c>
      <c r="AR54" s="30" t="s">
        <v>119</v>
      </c>
      <c r="AS54" s="33" t="str">
        <f t="shared" si="7"/>
        <v xml:space="preserve">Seal missing; Size driver missing; </v>
      </c>
      <c r="AT54" s="36">
        <f>IFERROR(INDEX(Factors_ROT!$F$5:$F$200,MATCH("MAT|"&amp;G54,Factors_ROT!$A$5:$A$200,0)),1)</f>
        <v>1.7</v>
      </c>
      <c r="AU54" s="36">
        <f>IFERROR(INDEX(Factors_ROT!$F$5:$F$200,MATCH("SEAL_ARR|"&amp;P54,Factors_ROT!$A$5:$A$200,0)),1)*IFERROR(INDEX(Factors_ROT!$F$5:$F$200,MATCH("SEAL_CAT|"&amp;Q54,Factors_ROT!$A$5:$A$200,0)),1)*IFERROR(INDEX(Factors_ROT!$F$5:$F$200,MATCH("SEAL_PLAN|"&amp;R54,Factors_ROT!$A$5:$A$200,0)),1)</f>
        <v>1</v>
      </c>
      <c r="AV54" s="36">
        <f>IFERROR(INDEX(Factors_ROT!$F$5:$F$200,MATCH("DRV|"&amp;S54,Factors_ROT!$A$5:$A$200,0)),1)*IFERROR(INDEX(Factors_ROT!$F$5:$F$200,MATCH("NACE|"&amp;O54,Factors_ROT!$A$5:$A$200,0)),1)</f>
        <v>1</v>
      </c>
      <c r="AW54" s="36">
        <f>IFERROR(INDEX(Factors_ROT!$F$5:$F$200,MATCH("SC_DRV|"&amp;AL54,Factors_ROT!$A$5:$A$200,0)),1)*IFERROR(INDEX(Factors_ROT!$F$5:$F$200,MATCH("SC_BSP|"&amp;AM54,Factors_ROT!$A$5:$A$200,0)),1)*IFERROR(INDEX(Factors_ROT!$F$5:$F$200,MATCH("SC_SEAL|"&amp;AN54,Factors_ROT!$A$5:$A$200,0)),1)*IFERROR(INDEX(Factors_ROT!$F$5:$F$200,MATCH("SC_COMM|"&amp;AO54,Factors_ROT!$A$5:$A$200,0)),1)*IFERROR(INDEX(Factors_ROT!$F$5:$F$200,MATCH("SC_2Y|"&amp;AP54,Factors_ROT!$A$5:$A$200,0)),1)*IFERROR(INDEX(Factors_ROT!$F$5:$F$200,MATCH("SC_TPI|"&amp;AQ54,Factors_ROT!$A$5:$A$200,0)),1)*IFERROR(INDEX(Factors_ROT!$F$5:$F$200,MATCH("SC_FAT|"&amp;AR54,Factors_ROT!$A$5:$A$200,0)),1)</f>
        <v>1</v>
      </c>
      <c r="AX54" s="36">
        <f t="shared" si="8"/>
        <v>1.7</v>
      </c>
      <c r="AY54" s="35">
        <f t="shared" si="9"/>
        <v>14705.882352941177</v>
      </c>
      <c r="AZ54" s="37">
        <f>IFERROR(IF(N(INDEX(Escalation_Index!$B$5:$B$25,MATCH(Y54,Escalation_Index!$A$5:$A$25,0)))&gt;0,INDEX(Escalation_Index!$B$5:$B$25,MATCH(Y54,Escalation_Index!$A$5:$A$25,0)),""),"")</f>
        <v>91.346999999999994</v>
      </c>
      <c r="BA54" s="37">
        <f>IF(ISNUMBER('Assumptions &amp; FX Reference'!$I$12),'Assumptions &amp; FX Reference'!$I$12,"")</f>
        <v>123.416</v>
      </c>
      <c r="BB54" s="33" t="str">
        <f t="shared" si="10"/>
        <v>N</v>
      </c>
      <c r="BC54" s="35">
        <f t="shared" si="11"/>
        <v>19868.645674960189</v>
      </c>
      <c r="BD54" s="35" t="str">
        <f>IF(AND(ISNUMBER(BC54),ISNUMBER(K54)),IF(K54&gt;0,BC54/K54^'Assumptions &amp; FX Reference'!$I$16,""),"")</f>
        <v/>
      </c>
      <c r="BE54" s="30" t="s">
        <v>515</v>
      </c>
      <c r="BF54" s="30" t="s">
        <v>516</v>
      </c>
      <c r="BG54" s="30" t="s">
        <v>361</v>
      </c>
    </row>
    <row r="55" spans="1:59" ht="24" customHeight="1">
      <c r="A55" s="30">
        <v>51</v>
      </c>
      <c r="B55" s="30" t="s">
        <v>517</v>
      </c>
      <c r="C55" s="30" t="s">
        <v>468</v>
      </c>
      <c r="D55" s="30" t="s">
        <v>518</v>
      </c>
      <c r="E55" s="30" t="s">
        <v>44</v>
      </c>
      <c r="F55" s="30" t="s">
        <v>128</v>
      </c>
      <c r="G55" s="30" t="s">
        <v>111</v>
      </c>
      <c r="H55" s="31">
        <v>11</v>
      </c>
      <c r="I55" s="31">
        <v>27.6</v>
      </c>
      <c r="J55" s="31"/>
      <c r="K55" s="32">
        <f>IF(ISNUMBER(J55),J55,IF(AND(ISNUMBER(H55),ISNUMBER(I55)),H55*I55/(367*'Assumptions &amp; FX Reference'!$I$17),""))</f>
        <v>1.3787465940054497</v>
      </c>
      <c r="L55" s="33" t="str">
        <f t="shared" si="6"/>
        <v>API 610 + IPS-G-PM-105</v>
      </c>
      <c r="M55" s="30" t="s">
        <v>470</v>
      </c>
      <c r="N55" s="30" t="s">
        <v>471</v>
      </c>
      <c r="O55" s="38" t="s">
        <v>305</v>
      </c>
      <c r="P55" s="30" t="s">
        <v>119</v>
      </c>
      <c r="Q55" s="30" t="s">
        <v>119</v>
      </c>
      <c r="R55" s="30" t="s">
        <v>119</v>
      </c>
      <c r="S55" s="38" t="s">
        <v>297</v>
      </c>
      <c r="T55" s="30" t="s">
        <v>334</v>
      </c>
      <c r="U55" s="30">
        <v>2</v>
      </c>
      <c r="V55" s="30" t="s">
        <v>299</v>
      </c>
      <c r="W55" s="31">
        <v>3</v>
      </c>
      <c r="X55" s="30" t="s">
        <v>119</v>
      </c>
      <c r="Y55" s="38">
        <v>1393</v>
      </c>
      <c r="Z55" s="30" t="s">
        <v>355</v>
      </c>
      <c r="AA55" s="34">
        <v>20000</v>
      </c>
      <c r="AB55" s="35">
        <f>IF(NOT(ISNUMBER(AA55)),"(Not stated)",IF(NOT(ISNUMBER(Y55)),"(Cost year not stated)",IFERROR(IF(Z55="EUR",AA55,IF(Z55="IRR",AA55/INDEX('Assumptions &amp; FX Reference'!$C$5:$C$25,MATCH(Y55,'Assumptions &amp; FX Reference'!$A$5:$A$25,0)),IF(Z55="USD",AA55*INDEX('Assumptions &amp; FX Reference'!$B$5:$B$25,MATCH(Y55,'Assumptions &amp; FX Reference'!$A$5:$A$25,0))/INDEX('Assumptions &amp; FX Reference'!$C$5:$C$25,MATCH(Y55,'Assumptions &amp; FX Reference'!$A$5:$A$25,0)),"(Currency?)"))),"(FX rate missing)")))</f>
        <v>20000</v>
      </c>
      <c r="AC55" s="35">
        <f>IF(NOT(ISNUMBER(AA55)),"(Not stated)",IF(NOT(ISNUMBER(Y55)),"(Cost year not stated)",IFERROR(IF(Z55="USD",AA55,IF(Z55="IRR",AA55/INDEX('Assumptions &amp; FX Reference'!$B$5:$B$25,MATCH(Y55,'Assumptions &amp; FX Reference'!$A$5:$A$25,0)),IF(Z55="EUR",AA55*INDEX('Assumptions &amp; FX Reference'!$C$5:$C$25,MATCH(Y55,'Assumptions &amp; FX Reference'!$A$5:$A$25,0))/INDEX('Assumptions &amp; FX Reference'!$B$5:$B$25,MATCH(Y55,'Assumptions &amp; FX Reference'!$A$5:$A$25,0)),"(Currency?)"))),"(FX rate missing)")))</f>
        <v>26148.903225806451</v>
      </c>
      <c r="AD55" s="35">
        <f>IF(NOT(ISNUMBER(AA55)),"(Not stated)",IF(NOT(ISNUMBER(Y55)),"(Cost year not stated)",IFERROR(IF(Z55="IRR",AA55,IF(Z55="USD",AA55*INDEX('Assumptions &amp; FX Reference'!$B$5:$B$25,MATCH(Y55,'Assumptions &amp; FX Reference'!$A$5:$A$25,0)),IF(Z55="EUR",AA55*INDEX('Assumptions &amp; FX Reference'!$C$5:$C$25,MATCH(Y55,'Assumptions &amp; FX Reference'!$A$5:$A$25,0)),"(Currency?)"))),"(FX rate missing)")))</f>
        <v>810616000</v>
      </c>
      <c r="AE55" s="30" t="s">
        <v>472</v>
      </c>
      <c r="AF55" s="38" t="s">
        <v>204</v>
      </c>
      <c r="AG55" s="35">
        <f>IF(AND(Z55="EUR",N(AA55)&gt;5000000),"(Check currency – excluded)",IF(AND(ISNUMBER(AB55),ISNUMBER(AZ55),ISNUMBER(BA55)),IF(AND(BB55="Y",ISNUMBER('Assumptions &amp; FX Reference'!$I$15)),MAX(AB55*BA55/AZ55,'Assumptions &amp; FX Reference'!$I$13*BA55/'Assumptions &amp; FX Reference'!$I$15),AB55*BA55/AZ55),"(PPI/FX missing)"))</f>
        <v>27021.358117945856</v>
      </c>
      <c r="AH55" s="35">
        <f>IF(AND(ISNUMBER(AG55),ISNUMBER('Assumptions &amp; FX Reference'!$I$8),ISNUMBER('Assumptions &amp; FX Reference'!$I$11)),AG55*'Assumptions &amp; FX Reference'!$I$8/'Assumptions &amp; FX Reference'!$I$11,"")</f>
        <v>28528.692739692589</v>
      </c>
      <c r="AI55" s="35">
        <f>IF(AND(ISNUMBER(AG55),ISNUMBER('Assumptions &amp; FX Reference'!$I$8)),AG55*'Assumptions &amp; FX Reference'!$I$8,"")</f>
        <v>18787085615.947979</v>
      </c>
      <c r="AJ55" s="30" t="s">
        <v>473</v>
      </c>
      <c r="AK55" s="30" t="s">
        <v>474</v>
      </c>
      <c r="AL55" s="30" t="s">
        <v>119</v>
      </c>
      <c r="AM55" s="30" t="s">
        <v>119</v>
      </c>
      <c r="AN55" s="30" t="s">
        <v>119</v>
      </c>
      <c r="AO55" s="30" t="s">
        <v>119</v>
      </c>
      <c r="AP55" s="30" t="s">
        <v>119</v>
      </c>
      <c r="AQ55" s="38" t="s">
        <v>305</v>
      </c>
      <c r="AR55" s="30" t="s">
        <v>119</v>
      </c>
      <c r="AS55" s="33" t="str">
        <f t="shared" si="7"/>
        <v xml:space="preserve">Seal missing; </v>
      </c>
      <c r="AT55" s="36">
        <f>IFERROR(INDEX(Factors_ROT!$F$5:$F$200,MATCH("MAT|"&amp;G55,Factors_ROT!$A$5:$A$200,0)),1)</f>
        <v>1.9</v>
      </c>
      <c r="AU55" s="36">
        <f>IFERROR(INDEX(Factors_ROT!$F$5:$F$200,MATCH("SEAL_ARR|"&amp;P55,Factors_ROT!$A$5:$A$200,0)),1)*IFERROR(INDEX(Factors_ROT!$F$5:$F$200,MATCH("SEAL_CAT|"&amp;Q55,Factors_ROT!$A$5:$A$200,0)),1)*IFERROR(INDEX(Factors_ROT!$F$5:$F$200,MATCH("SEAL_PLAN|"&amp;R55,Factors_ROT!$A$5:$A$200,0)),1)</f>
        <v>1</v>
      </c>
      <c r="AV55" s="36">
        <f>IFERROR(INDEX(Factors_ROT!$F$5:$F$200,MATCH("DRV|"&amp;S55,Factors_ROT!$A$5:$A$200,0)),1)*IFERROR(INDEX(Factors_ROT!$F$5:$F$200,MATCH("NACE|"&amp;O55,Factors_ROT!$A$5:$A$200,0)),1)</f>
        <v>1</v>
      </c>
      <c r="AW55" s="36">
        <f>IFERROR(INDEX(Factors_ROT!$F$5:$F$200,MATCH("SC_DRV|"&amp;AL55,Factors_ROT!$A$5:$A$200,0)),1)*IFERROR(INDEX(Factors_ROT!$F$5:$F$200,MATCH("SC_BSP|"&amp;AM55,Factors_ROT!$A$5:$A$200,0)),1)*IFERROR(INDEX(Factors_ROT!$F$5:$F$200,MATCH("SC_SEAL|"&amp;AN55,Factors_ROT!$A$5:$A$200,0)),1)*IFERROR(INDEX(Factors_ROT!$F$5:$F$200,MATCH("SC_COMM|"&amp;AO55,Factors_ROT!$A$5:$A$200,0)),1)*IFERROR(INDEX(Factors_ROT!$F$5:$F$200,MATCH("SC_2Y|"&amp;AP55,Factors_ROT!$A$5:$A$200,0)),1)*IFERROR(INDEX(Factors_ROT!$F$5:$F$200,MATCH("SC_TPI|"&amp;AQ55,Factors_ROT!$A$5:$A$200,0)),1)*IFERROR(INDEX(Factors_ROT!$F$5:$F$200,MATCH("SC_FAT|"&amp;AR55,Factors_ROT!$A$5:$A$200,0)),1)</f>
        <v>1</v>
      </c>
      <c r="AX55" s="36">
        <f t="shared" si="8"/>
        <v>1.9</v>
      </c>
      <c r="AY55" s="35">
        <f t="shared" si="9"/>
        <v>10526.315789473685</v>
      </c>
      <c r="AZ55" s="37">
        <f>IFERROR(IF(N(INDEX(Escalation_Index!$B$5:$B$25,MATCH(Y55,Escalation_Index!$A$5:$A$25,0)))&gt;0,INDEX(Escalation_Index!$B$5:$B$25,MATCH(Y55,Escalation_Index!$A$5:$A$25,0)),""),"")</f>
        <v>91.346999999999994</v>
      </c>
      <c r="BA55" s="37">
        <f>IF(ISNUMBER('Assumptions &amp; FX Reference'!$I$12),'Assumptions &amp; FX Reference'!$I$12,"")</f>
        <v>123.416</v>
      </c>
      <c r="BB55" s="33" t="str">
        <f t="shared" si="10"/>
        <v>Y</v>
      </c>
      <c r="BC55" s="35">
        <f t="shared" si="11"/>
        <v>14221.767430497819</v>
      </c>
      <c r="BD55" s="35">
        <f>IF(AND(ISNUMBER(BC55),ISNUMBER(K55)),IF(K55&gt;0,BC55/K55^'Assumptions &amp; FX Reference'!$I$16,""),"")</f>
        <v>11729.05170447678</v>
      </c>
      <c r="BE55" s="30" t="s">
        <v>519</v>
      </c>
      <c r="BF55" s="30" t="s">
        <v>520</v>
      </c>
      <c r="BG55" s="30" t="s">
        <v>361</v>
      </c>
    </row>
    <row r="56" spans="1:59" ht="24" customHeight="1">
      <c r="A56" s="30">
        <v>52</v>
      </c>
      <c r="B56" s="30" t="s">
        <v>521</v>
      </c>
      <c r="C56" s="30" t="s">
        <v>468</v>
      </c>
      <c r="D56" s="30" t="s">
        <v>522</v>
      </c>
      <c r="E56" s="30" t="s">
        <v>50</v>
      </c>
      <c r="F56" s="30" t="s">
        <v>128</v>
      </c>
      <c r="G56" s="30" t="s">
        <v>111</v>
      </c>
      <c r="H56" s="31">
        <v>15</v>
      </c>
      <c r="I56" s="31">
        <v>46.81</v>
      </c>
      <c r="J56" s="31"/>
      <c r="K56" s="32">
        <f>IF(ISNUMBER(J56),J56,IF(AND(ISNUMBER(H56),ISNUMBER(I56)),H56*I56/(367*'Assumptions &amp; FX Reference'!$I$17),""))</f>
        <v>3.1886920980926434</v>
      </c>
      <c r="L56" s="33" t="str">
        <f t="shared" si="6"/>
        <v>API 610 + IPS-G-PM-105</v>
      </c>
      <c r="M56" s="30" t="s">
        <v>470</v>
      </c>
      <c r="N56" s="30" t="s">
        <v>471</v>
      </c>
      <c r="O56" s="38" t="s">
        <v>305</v>
      </c>
      <c r="P56" s="30" t="s">
        <v>119</v>
      </c>
      <c r="Q56" s="30" t="s">
        <v>119</v>
      </c>
      <c r="R56" s="30" t="s">
        <v>119</v>
      </c>
      <c r="S56" s="38" t="s">
        <v>297</v>
      </c>
      <c r="T56" s="30" t="s">
        <v>334</v>
      </c>
      <c r="U56" s="30">
        <v>2</v>
      </c>
      <c r="V56" s="30" t="s">
        <v>299</v>
      </c>
      <c r="W56" s="31">
        <v>8.5</v>
      </c>
      <c r="X56" s="30" t="s">
        <v>119</v>
      </c>
      <c r="Y56" s="38">
        <v>1393</v>
      </c>
      <c r="Z56" s="30" t="s">
        <v>355</v>
      </c>
      <c r="AA56" s="34">
        <v>15000</v>
      </c>
      <c r="AB56" s="35">
        <f>IF(NOT(ISNUMBER(AA56)),"(Not stated)",IF(NOT(ISNUMBER(Y56)),"(Cost year not stated)",IFERROR(IF(Z56="EUR",AA56,IF(Z56="IRR",AA56/INDEX('Assumptions &amp; FX Reference'!$C$5:$C$25,MATCH(Y56,'Assumptions &amp; FX Reference'!$A$5:$A$25,0)),IF(Z56="USD",AA56*INDEX('Assumptions &amp; FX Reference'!$B$5:$B$25,MATCH(Y56,'Assumptions &amp; FX Reference'!$A$5:$A$25,0))/INDEX('Assumptions &amp; FX Reference'!$C$5:$C$25,MATCH(Y56,'Assumptions &amp; FX Reference'!$A$5:$A$25,0)),"(Currency?)"))),"(FX rate missing)")))</f>
        <v>15000</v>
      </c>
      <c r="AC56" s="35">
        <f>IF(NOT(ISNUMBER(AA56)),"(Not stated)",IF(NOT(ISNUMBER(Y56)),"(Cost year not stated)",IFERROR(IF(Z56="USD",AA56,IF(Z56="IRR",AA56/INDEX('Assumptions &amp; FX Reference'!$B$5:$B$25,MATCH(Y56,'Assumptions &amp; FX Reference'!$A$5:$A$25,0)),IF(Z56="EUR",AA56*INDEX('Assumptions &amp; FX Reference'!$C$5:$C$25,MATCH(Y56,'Assumptions &amp; FX Reference'!$A$5:$A$25,0))/INDEX('Assumptions &amp; FX Reference'!$B$5:$B$25,MATCH(Y56,'Assumptions &amp; FX Reference'!$A$5:$A$25,0)),"(Currency?)"))),"(FX rate missing)")))</f>
        <v>19611.677419354837</v>
      </c>
      <c r="AD56" s="35">
        <f>IF(NOT(ISNUMBER(AA56)),"(Not stated)",IF(NOT(ISNUMBER(Y56)),"(Cost year not stated)",IFERROR(IF(Z56="IRR",AA56,IF(Z56="USD",AA56*INDEX('Assumptions &amp; FX Reference'!$B$5:$B$25,MATCH(Y56,'Assumptions &amp; FX Reference'!$A$5:$A$25,0)),IF(Z56="EUR",AA56*INDEX('Assumptions &amp; FX Reference'!$C$5:$C$25,MATCH(Y56,'Assumptions &amp; FX Reference'!$A$5:$A$25,0)),"(Currency?)"))),"(FX rate missing)")))</f>
        <v>607962000</v>
      </c>
      <c r="AE56" s="30" t="s">
        <v>472</v>
      </c>
      <c r="AF56" s="38" t="s">
        <v>204</v>
      </c>
      <c r="AG56" s="35">
        <f>IF(AND(Z56="EUR",N(AA56)&gt;5000000),"(Check currency – excluded)",IF(AND(ISNUMBER(AB56),ISNUMBER(AZ56),ISNUMBER(BA56)),IF(AND(BB56="Y",ISNUMBER('Assumptions &amp; FX Reference'!$I$15)),MAX(AB56*BA56/AZ56,'Assumptions &amp; FX Reference'!$I$13*BA56/'Assumptions &amp; FX Reference'!$I$15),AB56*BA56/AZ56),"(PPI/FX missing)"))</f>
        <v>25000</v>
      </c>
      <c r="AH56" s="35">
        <f>IF(AND(ISNUMBER(AG56),ISNUMBER('Assumptions &amp; FX Reference'!$I$8),ISNUMBER('Assumptions &amp; FX Reference'!$I$11)),AG56*'Assumptions &amp; FX Reference'!$I$8/'Assumptions &amp; FX Reference'!$I$11,"")</f>
        <v>26394.577037141647</v>
      </c>
      <c r="AI56" s="35">
        <f>IF(AND(ISNUMBER(AG56),ISNUMBER('Assumptions &amp; FX Reference'!$I$8)),AG56*'Assumptions &amp; FX Reference'!$I$8,"")</f>
        <v>17381700000</v>
      </c>
      <c r="AJ56" s="30" t="s">
        <v>473</v>
      </c>
      <c r="AK56" s="30" t="s">
        <v>474</v>
      </c>
      <c r="AL56" s="30" t="s">
        <v>119</v>
      </c>
      <c r="AM56" s="30" t="s">
        <v>119</v>
      </c>
      <c r="AN56" s="30" t="s">
        <v>119</v>
      </c>
      <c r="AO56" s="30" t="s">
        <v>119</v>
      </c>
      <c r="AP56" s="30" t="s">
        <v>119</v>
      </c>
      <c r="AQ56" s="38" t="s">
        <v>305</v>
      </c>
      <c r="AR56" s="30" t="s">
        <v>119</v>
      </c>
      <c r="AS56" s="33" t="str">
        <f t="shared" si="7"/>
        <v xml:space="preserve">Seal missing; </v>
      </c>
      <c r="AT56" s="36">
        <f>IFERROR(INDEX(Factors_ROT!$F$5:$F$200,MATCH("MAT|"&amp;G56,Factors_ROT!$A$5:$A$200,0)),1)</f>
        <v>1.9</v>
      </c>
      <c r="AU56" s="36">
        <f>IFERROR(INDEX(Factors_ROT!$F$5:$F$200,MATCH("SEAL_ARR|"&amp;P56,Factors_ROT!$A$5:$A$200,0)),1)*IFERROR(INDEX(Factors_ROT!$F$5:$F$200,MATCH("SEAL_CAT|"&amp;Q56,Factors_ROT!$A$5:$A$200,0)),1)*IFERROR(INDEX(Factors_ROT!$F$5:$F$200,MATCH("SEAL_PLAN|"&amp;R56,Factors_ROT!$A$5:$A$200,0)),1)</f>
        <v>1</v>
      </c>
      <c r="AV56" s="36">
        <f>IFERROR(INDEX(Factors_ROT!$F$5:$F$200,MATCH("DRV|"&amp;S56,Factors_ROT!$A$5:$A$200,0)),1)*IFERROR(INDEX(Factors_ROT!$F$5:$F$200,MATCH("NACE|"&amp;O56,Factors_ROT!$A$5:$A$200,0)),1)</f>
        <v>1</v>
      </c>
      <c r="AW56" s="36">
        <f>IFERROR(INDEX(Factors_ROT!$F$5:$F$200,MATCH("SC_DRV|"&amp;AL56,Factors_ROT!$A$5:$A$200,0)),1)*IFERROR(INDEX(Factors_ROT!$F$5:$F$200,MATCH("SC_BSP|"&amp;AM56,Factors_ROT!$A$5:$A$200,0)),1)*IFERROR(INDEX(Factors_ROT!$F$5:$F$200,MATCH("SC_SEAL|"&amp;AN56,Factors_ROT!$A$5:$A$200,0)),1)*IFERROR(INDEX(Factors_ROT!$F$5:$F$200,MATCH("SC_COMM|"&amp;AO56,Factors_ROT!$A$5:$A$200,0)),1)*IFERROR(INDEX(Factors_ROT!$F$5:$F$200,MATCH("SC_2Y|"&amp;AP56,Factors_ROT!$A$5:$A$200,0)),1)*IFERROR(INDEX(Factors_ROT!$F$5:$F$200,MATCH("SC_TPI|"&amp;AQ56,Factors_ROT!$A$5:$A$200,0)),1)*IFERROR(INDEX(Factors_ROT!$F$5:$F$200,MATCH("SC_FAT|"&amp;AR56,Factors_ROT!$A$5:$A$200,0)),1)</f>
        <v>1</v>
      </c>
      <c r="AX56" s="36">
        <f t="shared" si="8"/>
        <v>1.9</v>
      </c>
      <c r="AY56" s="35">
        <f t="shared" si="9"/>
        <v>7894.7368421052633</v>
      </c>
      <c r="AZ56" s="37">
        <f>IFERROR(IF(N(INDEX(Escalation_Index!$B$5:$B$25,MATCH(Y56,Escalation_Index!$A$5:$A$25,0)))&gt;0,INDEX(Escalation_Index!$B$5:$B$25,MATCH(Y56,Escalation_Index!$A$5:$A$25,0)),""),"")</f>
        <v>91.346999999999994</v>
      </c>
      <c r="BA56" s="37">
        <f>IF(ISNUMBER('Assumptions &amp; FX Reference'!$I$12),'Assumptions &amp; FX Reference'!$I$12,"")</f>
        <v>123.416</v>
      </c>
      <c r="BB56" s="33" t="str">
        <f t="shared" si="10"/>
        <v>Y</v>
      </c>
      <c r="BC56" s="35">
        <f t="shared" si="11"/>
        <v>13157.894736842105</v>
      </c>
      <c r="BD56" s="35">
        <f>IF(AND(ISNUMBER(BC56),ISNUMBER(K56)),IF(K56&gt;0,BC56/K56^'Assumptions &amp; FX Reference'!$I$16,""),"")</f>
        <v>6561.7375572808505</v>
      </c>
      <c r="BE56" s="30" t="s">
        <v>523</v>
      </c>
      <c r="BF56" s="30" t="s">
        <v>524</v>
      </c>
      <c r="BG56" s="30" t="s">
        <v>361</v>
      </c>
    </row>
    <row r="57" spans="1:59" ht="24" customHeight="1">
      <c r="A57" s="30">
        <v>53</v>
      </c>
      <c r="B57" s="30" t="s">
        <v>525</v>
      </c>
      <c r="C57" s="30" t="s">
        <v>468</v>
      </c>
      <c r="D57" s="30" t="s">
        <v>526</v>
      </c>
      <c r="E57" s="30" t="s">
        <v>44</v>
      </c>
      <c r="F57" s="30" t="s">
        <v>128</v>
      </c>
      <c r="G57" s="30" t="s">
        <v>111</v>
      </c>
      <c r="H57" s="31">
        <v>21</v>
      </c>
      <c r="I57" s="40">
        <v>44.9</v>
      </c>
      <c r="J57" s="31"/>
      <c r="K57" s="32">
        <f>IF(ISNUMBER(J57),J57,IF(AND(ISNUMBER(H57),ISNUMBER(I57)),H57*I57/(367*'Assumptions &amp; FX Reference'!$I$17),""))</f>
        <v>4.2820163487738423</v>
      </c>
      <c r="L57" s="33" t="str">
        <f t="shared" si="6"/>
        <v>API 610 + IPS-G-PM-105</v>
      </c>
      <c r="M57" s="30" t="s">
        <v>470</v>
      </c>
      <c r="N57" s="30" t="s">
        <v>471</v>
      </c>
      <c r="O57" s="38" t="s">
        <v>305</v>
      </c>
      <c r="P57" s="30" t="s">
        <v>119</v>
      </c>
      <c r="Q57" s="30" t="s">
        <v>119</v>
      </c>
      <c r="R57" s="30" t="s">
        <v>119</v>
      </c>
      <c r="S57" s="38" t="s">
        <v>297</v>
      </c>
      <c r="T57" s="30" t="s">
        <v>319</v>
      </c>
      <c r="U57" s="30">
        <v>1</v>
      </c>
      <c r="V57" s="30" t="s">
        <v>299</v>
      </c>
      <c r="W57" s="31"/>
      <c r="X57" s="30" t="s">
        <v>119</v>
      </c>
      <c r="Y57" s="38">
        <v>1393</v>
      </c>
      <c r="Z57" s="30" t="s">
        <v>446</v>
      </c>
      <c r="AA57" s="34" t="s">
        <v>300</v>
      </c>
      <c r="AB57" s="35" t="str">
        <f>IF(NOT(ISNUMBER(AA57)),"(Not stated)",IF(NOT(ISNUMBER(Y57)),"(Cost year not stated)",IFERROR(IF(Z57="EUR",AA57,IF(Z57="IRR",AA57/INDEX('Assumptions &amp; FX Reference'!$C$5:$C$25,MATCH(Y57,'Assumptions &amp; FX Reference'!$A$5:$A$25,0)),IF(Z57="USD",AA57*INDEX('Assumptions &amp; FX Reference'!$B$5:$B$25,MATCH(Y57,'Assumptions &amp; FX Reference'!$A$5:$A$25,0))/INDEX('Assumptions &amp; FX Reference'!$C$5:$C$25,MATCH(Y57,'Assumptions &amp; FX Reference'!$A$5:$A$25,0)),"(Currency?)"))),"(FX rate missing)")))</f>
        <v>(Not stated)</v>
      </c>
      <c r="AC57" s="35" t="str">
        <f>IF(NOT(ISNUMBER(AA57)),"(Not stated)",IF(NOT(ISNUMBER(Y57)),"(Cost year not stated)",IFERROR(IF(Z57="USD",AA57,IF(Z57="IRR",AA57/INDEX('Assumptions &amp; FX Reference'!$B$5:$B$25,MATCH(Y57,'Assumptions &amp; FX Reference'!$A$5:$A$25,0)),IF(Z57="EUR",AA57*INDEX('Assumptions &amp; FX Reference'!$C$5:$C$25,MATCH(Y57,'Assumptions &amp; FX Reference'!$A$5:$A$25,0))/INDEX('Assumptions &amp; FX Reference'!$B$5:$B$25,MATCH(Y57,'Assumptions &amp; FX Reference'!$A$5:$A$25,0)),"(Currency?)"))),"(FX rate missing)")))</f>
        <v>(Not stated)</v>
      </c>
      <c r="AD57" s="35" t="str">
        <f>IF(NOT(ISNUMBER(AA57)),"(Not stated)",IF(NOT(ISNUMBER(Y57)),"(Cost year not stated)",IFERROR(IF(Z57="IRR",AA57,IF(Z57="USD",AA57*INDEX('Assumptions &amp; FX Reference'!$B$5:$B$25,MATCH(Y57,'Assumptions &amp; FX Reference'!$A$5:$A$25,0)),IF(Z57="EUR",AA57*INDEX('Assumptions &amp; FX Reference'!$C$5:$C$25,MATCH(Y57,'Assumptions &amp; FX Reference'!$A$5:$A$25,0)),"(Currency?)"))),"(FX rate missing)")))</f>
        <v>(Not stated)</v>
      </c>
      <c r="AE57" s="30" t="s">
        <v>527</v>
      </c>
      <c r="AF57" s="30" t="s">
        <v>119</v>
      </c>
      <c r="AG57" s="35" t="str">
        <f>IF(AND(Z57="EUR",N(AA57)&gt;5000000),"(Check currency – excluded)",IF(AND(ISNUMBER(AB57),ISNUMBER(AZ57),ISNUMBER(BA57)),IF(AND(BB57="Y",ISNUMBER('Assumptions &amp; FX Reference'!$I$15)),MAX(AB57*BA57/AZ57,'Assumptions &amp; FX Reference'!$I$13*BA57/'Assumptions &amp; FX Reference'!$I$15),AB57*BA57/AZ57),"(PPI/FX missing)"))</f>
        <v>(PPI/FX missing)</v>
      </c>
      <c r="AH57" s="35" t="str">
        <f>IF(AND(ISNUMBER(AG57),ISNUMBER('Assumptions &amp; FX Reference'!$I$8),ISNUMBER('Assumptions &amp; FX Reference'!$I$11)),AG57*'Assumptions &amp; FX Reference'!$I$8/'Assumptions &amp; FX Reference'!$I$11,"")</f>
        <v/>
      </c>
      <c r="AI57" s="35" t="str">
        <f>IF(AND(ISNUMBER(AG57),ISNUMBER('Assumptions &amp; FX Reference'!$I$8)),AG57*'Assumptions &amp; FX Reference'!$I$8,"")</f>
        <v/>
      </c>
      <c r="AJ57" s="30" t="s">
        <v>473</v>
      </c>
      <c r="AK57" s="30" t="s">
        <v>474</v>
      </c>
      <c r="AL57" s="30" t="s">
        <v>119</v>
      </c>
      <c r="AM57" s="30" t="s">
        <v>119</v>
      </c>
      <c r="AN57" s="30" t="s">
        <v>119</v>
      </c>
      <c r="AO57" s="30" t="s">
        <v>119</v>
      </c>
      <c r="AP57" s="30" t="s">
        <v>119</v>
      </c>
      <c r="AQ57" s="30" t="s">
        <v>119</v>
      </c>
      <c r="AR57" s="30" t="s">
        <v>119</v>
      </c>
      <c r="AS57" s="33" t="str">
        <f t="shared" si="7"/>
        <v xml:space="preserve">No price; Seal missing; </v>
      </c>
      <c r="AT57" s="36">
        <f>IFERROR(INDEX(Factors_ROT!$F$5:$F$200,MATCH("MAT|"&amp;G57,Factors_ROT!$A$5:$A$200,0)),1)</f>
        <v>1.9</v>
      </c>
      <c r="AU57" s="36">
        <f>IFERROR(INDEX(Factors_ROT!$F$5:$F$200,MATCH("SEAL_ARR|"&amp;P57,Factors_ROT!$A$5:$A$200,0)),1)*IFERROR(INDEX(Factors_ROT!$F$5:$F$200,MATCH("SEAL_CAT|"&amp;Q57,Factors_ROT!$A$5:$A$200,0)),1)*IFERROR(INDEX(Factors_ROT!$F$5:$F$200,MATCH("SEAL_PLAN|"&amp;R57,Factors_ROT!$A$5:$A$200,0)),1)</f>
        <v>1</v>
      </c>
      <c r="AV57" s="36">
        <f>IFERROR(INDEX(Factors_ROT!$F$5:$F$200,MATCH("DRV|"&amp;S57,Factors_ROT!$A$5:$A$200,0)),1)*IFERROR(INDEX(Factors_ROT!$F$5:$F$200,MATCH("NACE|"&amp;O57,Factors_ROT!$A$5:$A$200,0)),1)</f>
        <v>1</v>
      </c>
      <c r="AW57" s="36">
        <f>IFERROR(INDEX(Factors_ROT!$F$5:$F$200,MATCH("SC_DRV|"&amp;AL57,Factors_ROT!$A$5:$A$200,0)),1)*IFERROR(INDEX(Factors_ROT!$F$5:$F$200,MATCH("SC_BSP|"&amp;AM57,Factors_ROT!$A$5:$A$200,0)),1)*IFERROR(INDEX(Factors_ROT!$F$5:$F$200,MATCH("SC_SEAL|"&amp;AN57,Factors_ROT!$A$5:$A$200,0)),1)*IFERROR(INDEX(Factors_ROT!$F$5:$F$200,MATCH("SC_COMM|"&amp;AO57,Factors_ROT!$A$5:$A$200,0)),1)*IFERROR(INDEX(Factors_ROT!$F$5:$F$200,MATCH("SC_2Y|"&amp;AP57,Factors_ROT!$A$5:$A$200,0)),1)*IFERROR(INDEX(Factors_ROT!$F$5:$F$200,MATCH("SC_TPI|"&amp;AQ57,Factors_ROT!$A$5:$A$200,0)),1)*IFERROR(INDEX(Factors_ROT!$F$5:$F$200,MATCH("SC_FAT|"&amp;AR57,Factors_ROT!$A$5:$A$200,0)),1)</f>
        <v>1</v>
      </c>
      <c r="AX57" s="36">
        <f t="shared" si="8"/>
        <v>1.9</v>
      </c>
      <c r="AY57" s="35" t="str">
        <f t="shared" si="9"/>
        <v/>
      </c>
      <c r="AZ57" s="37">
        <f>IFERROR(IF(N(INDEX(Escalation_Index!$B$5:$B$25,MATCH(Y57,Escalation_Index!$A$5:$A$25,0)))&gt;0,INDEX(Escalation_Index!$B$5:$B$25,MATCH(Y57,Escalation_Index!$A$5:$A$25,0)),""),"")</f>
        <v>91.346999999999994</v>
      </c>
      <c r="BA57" s="37">
        <f>IF(ISNUMBER('Assumptions &amp; FX Reference'!$I$12),'Assumptions &amp; FX Reference'!$I$12,"")</f>
        <v>123.416</v>
      </c>
      <c r="BB57" s="33" t="str">
        <f t="shared" si="10"/>
        <v>Y</v>
      </c>
      <c r="BC57" s="35" t="str">
        <f t="shared" si="11"/>
        <v/>
      </c>
      <c r="BD57" s="35" t="str">
        <f>IF(AND(ISNUMBER(BC57),ISNUMBER(K57)),IF(K57&gt;0,BC57/K57^'Assumptions &amp; FX Reference'!$I$16,""),"")</f>
        <v/>
      </c>
      <c r="BE57" s="30" t="s">
        <v>528</v>
      </c>
      <c r="BF57" s="30" t="s">
        <v>529</v>
      </c>
      <c r="BG57" s="30" t="s">
        <v>361</v>
      </c>
    </row>
    <row r="58" spans="1:59" ht="24" customHeight="1">
      <c r="A58" s="30">
        <v>54</v>
      </c>
      <c r="B58" s="30" t="s">
        <v>530</v>
      </c>
      <c r="C58" s="30" t="s">
        <v>468</v>
      </c>
      <c r="D58" s="30" t="s">
        <v>531</v>
      </c>
      <c r="E58" s="30" t="s">
        <v>44</v>
      </c>
      <c r="F58" s="30" t="s">
        <v>128</v>
      </c>
      <c r="G58" s="30" t="s">
        <v>111</v>
      </c>
      <c r="H58" s="31"/>
      <c r="I58" s="31"/>
      <c r="J58" s="31"/>
      <c r="K58" s="32" t="str">
        <f>IF(ISNUMBER(J58),J58,IF(AND(ISNUMBER(H58),ISNUMBER(I58)),H58*I58/(367*'Assumptions &amp; FX Reference'!$I$17),""))</f>
        <v/>
      </c>
      <c r="L58" s="33" t="str">
        <f t="shared" si="6"/>
        <v>API 610 + IPS-G-PM-105</v>
      </c>
      <c r="M58" s="30" t="s">
        <v>470</v>
      </c>
      <c r="N58" s="30" t="s">
        <v>471</v>
      </c>
      <c r="O58" s="38" t="s">
        <v>305</v>
      </c>
      <c r="P58" s="30" t="s">
        <v>119</v>
      </c>
      <c r="Q58" s="30" t="s">
        <v>119</v>
      </c>
      <c r="R58" s="30" t="s">
        <v>119</v>
      </c>
      <c r="S58" s="38" t="s">
        <v>297</v>
      </c>
      <c r="T58" s="30" t="s">
        <v>319</v>
      </c>
      <c r="U58" s="30">
        <v>1</v>
      </c>
      <c r="V58" s="30" t="s">
        <v>299</v>
      </c>
      <c r="W58" s="31"/>
      <c r="X58" s="30" t="s">
        <v>119</v>
      </c>
      <c r="Y58" s="38">
        <v>1393</v>
      </c>
      <c r="Z58" s="30" t="s">
        <v>446</v>
      </c>
      <c r="AA58" s="34" t="s">
        <v>300</v>
      </c>
      <c r="AB58" s="35" t="str">
        <f>IF(NOT(ISNUMBER(AA58)),"(Not stated)",IF(NOT(ISNUMBER(Y58)),"(Cost year not stated)",IFERROR(IF(Z58="EUR",AA58,IF(Z58="IRR",AA58/INDEX('Assumptions &amp; FX Reference'!$C$5:$C$25,MATCH(Y58,'Assumptions &amp; FX Reference'!$A$5:$A$25,0)),IF(Z58="USD",AA58*INDEX('Assumptions &amp; FX Reference'!$B$5:$B$25,MATCH(Y58,'Assumptions &amp; FX Reference'!$A$5:$A$25,0))/INDEX('Assumptions &amp; FX Reference'!$C$5:$C$25,MATCH(Y58,'Assumptions &amp; FX Reference'!$A$5:$A$25,0)),"(Currency?)"))),"(FX rate missing)")))</f>
        <v>(Not stated)</v>
      </c>
      <c r="AC58" s="35" t="str">
        <f>IF(NOT(ISNUMBER(AA58)),"(Not stated)",IF(NOT(ISNUMBER(Y58)),"(Cost year not stated)",IFERROR(IF(Z58="USD",AA58,IF(Z58="IRR",AA58/INDEX('Assumptions &amp; FX Reference'!$B$5:$B$25,MATCH(Y58,'Assumptions &amp; FX Reference'!$A$5:$A$25,0)),IF(Z58="EUR",AA58*INDEX('Assumptions &amp; FX Reference'!$C$5:$C$25,MATCH(Y58,'Assumptions &amp; FX Reference'!$A$5:$A$25,0))/INDEX('Assumptions &amp; FX Reference'!$B$5:$B$25,MATCH(Y58,'Assumptions &amp; FX Reference'!$A$5:$A$25,0)),"(Currency?)"))),"(FX rate missing)")))</f>
        <v>(Not stated)</v>
      </c>
      <c r="AD58" s="35" t="str">
        <f>IF(NOT(ISNUMBER(AA58)),"(Not stated)",IF(NOT(ISNUMBER(Y58)),"(Cost year not stated)",IFERROR(IF(Z58="IRR",AA58,IF(Z58="USD",AA58*INDEX('Assumptions &amp; FX Reference'!$B$5:$B$25,MATCH(Y58,'Assumptions &amp; FX Reference'!$A$5:$A$25,0)),IF(Z58="EUR",AA58*INDEX('Assumptions &amp; FX Reference'!$C$5:$C$25,MATCH(Y58,'Assumptions &amp; FX Reference'!$A$5:$A$25,0)),"(Currency?)"))),"(FX rate missing)")))</f>
        <v>(Not stated)</v>
      </c>
      <c r="AE58" s="30" t="s">
        <v>527</v>
      </c>
      <c r="AF58" s="30" t="s">
        <v>119</v>
      </c>
      <c r="AG58" s="35" t="str">
        <f>IF(AND(Z58="EUR",N(AA58)&gt;5000000),"(Check currency – excluded)",IF(AND(ISNUMBER(AB58),ISNUMBER(AZ58),ISNUMBER(BA58)),IF(AND(BB58="Y",ISNUMBER('Assumptions &amp; FX Reference'!$I$15)),MAX(AB58*BA58/AZ58,'Assumptions &amp; FX Reference'!$I$13*BA58/'Assumptions &amp; FX Reference'!$I$15),AB58*BA58/AZ58),"(PPI/FX missing)"))</f>
        <v>(PPI/FX missing)</v>
      </c>
      <c r="AH58" s="35" t="str">
        <f>IF(AND(ISNUMBER(AG58),ISNUMBER('Assumptions &amp; FX Reference'!$I$8),ISNUMBER('Assumptions &amp; FX Reference'!$I$11)),AG58*'Assumptions &amp; FX Reference'!$I$8/'Assumptions &amp; FX Reference'!$I$11,"")</f>
        <v/>
      </c>
      <c r="AI58" s="35" t="str">
        <f>IF(AND(ISNUMBER(AG58),ISNUMBER('Assumptions &amp; FX Reference'!$I$8)),AG58*'Assumptions &amp; FX Reference'!$I$8,"")</f>
        <v/>
      </c>
      <c r="AJ58" s="30" t="s">
        <v>473</v>
      </c>
      <c r="AK58" s="30" t="s">
        <v>474</v>
      </c>
      <c r="AL58" s="30" t="s">
        <v>119</v>
      </c>
      <c r="AM58" s="30" t="s">
        <v>119</v>
      </c>
      <c r="AN58" s="30" t="s">
        <v>119</v>
      </c>
      <c r="AO58" s="30" t="s">
        <v>119</v>
      </c>
      <c r="AP58" s="30" t="s">
        <v>119</v>
      </c>
      <c r="AQ58" s="30" t="s">
        <v>119</v>
      </c>
      <c r="AR58" s="30" t="s">
        <v>119</v>
      </c>
      <c r="AS58" s="33" t="str">
        <f t="shared" si="7"/>
        <v xml:space="preserve">No price; Seal missing; Size driver missing; </v>
      </c>
      <c r="AT58" s="36">
        <f>IFERROR(INDEX(Factors_ROT!$F$5:$F$200,MATCH("MAT|"&amp;G58,Factors_ROT!$A$5:$A$200,0)),1)</f>
        <v>1.9</v>
      </c>
      <c r="AU58" s="36">
        <f>IFERROR(INDEX(Factors_ROT!$F$5:$F$200,MATCH("SEAL_ARR|"&amp;P58,Factors_ROT!$A$5:$A$200,0)),1)*IFERROR(INDEX(Factors_ROT!$F$5:$F$200,MATCH("SEAL_CAT|"&amp;Q58,Factors_ROT!$A$5:$A$200,0)),1)*IFERROR(INDEX(Factors_ROT!$F$5:$F$200,MATCH("SEAL_PLAN|"&amp;R58,Factors_ROT!$A$5:$A$200,0)),1)</f>
        <v>1</v>
      </c>
      <c r="AV58" s="36">
        <f>IFERROR(INDEX(Factors_ROT!$F$5:$F$200,MATCH("DRV|"&amp;S58,Factors_ROT!$A$5:$A$200,0)),1)*IFERROR(INDEX(Factors_ROT!$F$5:$F$200,MATCH("NACE|"&amp;O58,Factors_ROT!$A$5:$A$200,0)),1)</f>
        <v>1</v>
      </c>
      <c r="AW58" s="36">
        <f>IFERROR(INDEX(Factors_ROT!$F$5:$F$200,MATCH("SC_DRV|"&amp;AL58,Factors_ROT!$A$5:$A$200,0)),1)*IFERROR(INDEX(Factors_ROT!$F$5:$F$200,MATCH("SC_BSP|"&amp;AM58,Factors_ROT!$A$5:$A$200,0)),1)*IFERROR(INDEX(Factors_ROT!$F$5:$F$200,MATCH("SC_SEAL|"&amp;AN58,Factors_ROT!$A$5:$A$200,0)),1)*IFERROR(INDEX(Factors_ROT!$F$5:$F$200,MATCH("SC_COMM|"&amp;AO58,Factors_ROT!$A$5:$A$200,0)),1)*IFERROR(INDEX(Factors_ROT!$F$5:$F$200,MATCH("SC_2Y|"&amp;AP58,Factors_ROT!$A$5:$A$200,0)),1)*IFERROR(INDEX(Factors_ROT!$F$5:$F$200,MATCH("SC_TPI|"&amp;AQ58,Factors_ROT!$A$5:$A$200,0)),1)*IFERROR(INDEX(Factors_ROT!$F$5:$F$200,MATCH("SC_FAT|"&amp;AR58,Factors_ROT!$A$5:$A$200,0)),1)</f>
        <v>1</v>
      </c>
      <c r="AX58" s="36">
        <f t="shared" si="8"/>
        <v>1.9</v>
      </c>
      <c r="AY58" s="35" t="str">
        <f t="shared" si="9"/>
        <v/>
      </c>
      <c r="AZ58" s="37">
        <f>IFERROR(IF(N(INDEX(Escalation_Index!$B$5:$B$25,MATCH(Y58,Escalation_Index!$A$5:$A$25,0)))&gt;0,INDEX(Escalation_Index!$B$5:$B$25,MATCH(Y58,Escalation_Index!$A$5:$A$25,0)),""),"")</f>
        <v>91.346999999999994</v>
      </c>
      <c r="BA58" s="37">
        <f>IF(ISNUMBER('Assumptions &amp; FX Reference'!$I$12),'Assumptions &amp; FX Reference'!$I$12,"")</f>
        <v>123.416</v>
      </c>
      <c r="BB58" s="33" t="str">
        <f t="shared" si="10"/>
        <v>Y</v>
      </c>
      <c r="BC58" s="35" t="str">
        <f t="shared" si="11"/>
        <v/>
      </c>
      <c r="BD58" s="35" t="str">
        <f>IF(AND(ISNUMBER(BC58),ISNUMBER(K58)),IF(K58&gt;0,BC58/K58^'Assumptions &amp; FX Reference'!$I$16,""),"")</f>
        <v/>
      </c>
      <c r="BE58" s="30" t="s">
        <v>532</v>
      </c>
      <c r="BF58" s="30" t="s">
        <v>533</v>
      </c>
      <c r="BG58" s="30" t="s">
        <v>361</v>
      </c>
    </row>
    <row r="59" spans="1:59" ht="24" customHeight="1">
      <c r="A59" s="30">
        <v>55</v>
      </c>
      <c r="B59" s="30" t="s">
        <v>534</v>
      </c>
      <c r="C59" s="30" t="s">
        <v>468</v>
      </c>
      <c r="D59" s="30" t="s">
        <v>535</v>
      </c>
      <c r="E59" s="30" t="s">
        <v>47</v>
      </c>
      <c r="F59" s="30" t="s">
        <v>128</v>
      </c>
      <c r="G59" s="30" t="s">
        <v>111</v>
      </c>
      <c r="H59" s="31"/>
      <c r="I59" s="31"/>
      <c r="J59" s="31"/>
      <c r="K59" s="32" t="str">
        <f>IF(ISNUMBER(J59),J59,IF(AND(ISNUMBER(H59),ISNUMBER(I59)),H59*I59/(367*'Assumptions &amp; FX Reference'!$I$17),""))</f>
        <v/>
      </c>
      <c r="L59" s="33" t="str">
        <f t="shared" si="6"/>
        <v>API 610 + IPS-G-PM-105</v>
      </c>
      <c r="M59" s="30" t="s">
        <v>470</v>
      </c>
      <c r="N59" s="30" t="s">
        <v>471</v>
      </c>
      <c r="O59" s="38" t="s">
        <v>305</v>
      </c>
      <c r="P59" s="30" t="s">
        <v>119</v>
      </c>
      <c r="Q59" s="30" t="s">
        <v>119</v>
      </c>
      <c r="R59" s="30" t="s">
        <v>119</v>
      </c>
      <c r="S59" s="38" t="s">
        <v>297</v>
      </c>
      <c r="T59" s="30" t="s">
        <v>326</v>
      </c>
      <c r="U59" s="30">
        <v>1</v>
      </c>
      <c r="V59" s="30" t="s">
        <v>299</v>
      </c>
      <c r="W59" s="31"/>
      <c r="X59" s="30" t="s">
        <v>119</v>
      </c>
      <c r="Y59" s="38">
        <v>1393</v>
      </c>
      <c r="Z59" s="30" t="s">
        <v>446</v>
      </c>
      <c r="AA59" s="34" t="s">
        <v>300</v>
      </c>
      <c r="AB59" s="35" t="str">
        <f>IF(NOT(ISNUMBER(AA59)),"(Not stated)",IF(NOT(ISNUMBER(Y59)),"(Cost year not stated)",IFERROR(IF(Z59="EUR",AA59,IF(Z59="IRR",AA59/INDEX('Assumptions &amp; FX Reference'!$C$5:$C$25,MATCH(Y59,'Assumptions &amp; FX Reference'!$A$5:$A$25,0)),IF(Z59="USD",AA59*INDEX('Assumptions &amp; FX Reference'!$B$5:$B$25,MATCH(Y59,'Assumptions &amp; FX Reference'!$A$5:$A$25,0))/INDEX('Assumptions &amp; FX Reference'!$C$5:$C$25,MATCH(Y59,'Assumptions &amp; FX Reference'!$A$5:$A$25,0)),"(Currency?)"))),"(FX rate missing)")))</f>
        <v>(Not stated)</v>
      </c>
      <c r="AC59" s="35" t="str">
        <f>IF(NOT(ISNUMBER(AA59)),"(Not stated)",IF(NOT(ISNUMBER(Y59)),"(Cost year not stated)",IFERROR(IF(Z59="USD",AA59,IF(Z59="IRR",AA59/INDEX('Assumptions &amp; FX Reference'!$B$5:$B$25,MATCH(Y59,'Assumptions &amp; FX Reference'!$A$5:$A$25,0)),IF(Z59="EUR",AA59*INDEX('Assumptions &amp; FX Reference'!$C$5:$C$25,MATCH(Y59,'Assumptions &amp; FX Reference'!$A$5:$A$25,0))/INDEX('Assumptions &amp; FX Reference'!$B$5:$B$25,MATCH(Y59,'Assumptions &amp; FX Reference'!$A$5:$A$25,0)),"(Currency?)"))),"(FX rate missing)")))</f>
        <v>(Not stated)</v>
      </c>
      <c r="AD59" s="35" t="str">
        <f>IF(NOT(ISNUMBER(AA59)),"(Not stated)",IF(NOT(ISNUMBER(Y59)),"(Cost year not stated)",IFERROR(IF(Z59="IRR",AA59,IF(Z59="USD",AA59*INDEX('Assumptions &amp; FX Reference'!$B$5:$B$25,MATCH(Y59,'Assumptions &amp; FX Reference'!$A$5:$A$25,0)),IF(Z59="EUR",AA59*INDEX('Assumptions &amp; FX Reference'!$C$5:$C$25,MATCH(Y59,'Assumptions &amp; FX Reference'!$A$5:$A$25,0)),"(Currency?)"))),"(FX rate missing)")))</f>
        <v>(Not stated)</v>
      </c>
      <c r="AE59" s="30" t="s">
        <v>527</v>
      </c>
      <c r="AF59" s="30" t="s">
        <v>119</v>
      </c>
      <c r="AG59" s="35" t="str">
        <f>IF(AND(Z59="EUR",N(AA59)&gt;5000000),"(Check currency – excluded)",IF(AND(ISNUMBER(AB59),ISNUMBER(AZ59),ISNUMBER(BA59)),IF(AND(BB59="Y",ISNUMBER('Assumptions &amp; FX Reference'!$I$15)),MAX(AB59*BA59/AZ59,'Assumptions &amp; FX Reference'!$I$13*BA59/'Assumptions &amp; FX Reference'!$I$15),AB59*BA59/AZ59),"(PPI/FX missing)"))</f>
        <v>(PPI/FX missing)</v>
      </c>
      <c r="AH59" s="35" t="str">
        <f>IF(AND(ISNUMBER(AG59),ISNUMBER('Assumptions &amp; FX Reference'!$I$8),ISNUMBER('Assumptions &amp; FX Reference'!$I$11)),AG59*'Assumptions &amp; FX Reference'!$I$8/'Assumptions &amp; FX Reference'!$I$11,"")</f>
        <v/>
      </c>
      <c r="AI59" s="35" t="str">
        <f>IF(AND(ISNUMBER(AG59),ISNUMBER('Assumptions &amp; FX Reference'!$I$8)),AG59*'Assumptions &amp; FX Reference'!$I$8,"")</f>
        <v/>
      </c>
      <c r="AJ59" s="30" t="s">
        <v>473</v>
      </c>
      <c r="AK59" s="30" t="s">
        <v>474</v>
      </c>
      <c r="AL59" s="30" t="s">
        <v>119</v>
      </c>
      <c r="AM59" s="30" t="s">
        <v>119</v>
      </c>
      <c r="AN59" s="30" t="s">
        <v>119</v>
      </c>
      <c r="AO59" s="30" t="s">
        <v>119</v>
      </c>
      <c r="AP59" s="30" t="s">
        <v>119</v>
      </c>
      <c r="AQ59" s="30" t="s">
        <v>119</v>
      </c>
      <c r="AR59" s="30" t="s">
        <v>119</v>
      </c>
      <c r="AS59" s="33" t="str">
        <f t="shared" si="7"/>
        <v xml:space="preserve">No price; Seal missing; Size driver missing; </v>
      </c>
      <c r="AT59" s="36">
        <f>IFERROR(INDEX(Factors_ROT!$F$5:$F$200,MATCH("MAT|"&amp;G59,Factors_ROT!$A$5:$A$200,0)),1)</f>
        <v>1.9</v>
      </c>
      <c r="AU59" s="36">
        <f>IFERROR(INDEX(Factors_ROT!$F$5:$F$200,MATCH("SEAL_ARR|"&amp;P59,Factors_ROT!$A$5:$A$200,0)),1)*IFERROR(INDEX(Factors_ROT!$F$5:$F$200,MATCH("SEAL_CAT|"&amp;Q59,Factors_ROT!$A$5:$A$200,0)),1)*IFERROR(INDEX(Factors_ROT!$F$5:$F$200,MATCH("SEAL_PLAN|"&amp;R59,Factors_ROT!$A$5:$A$200,0)),1)</f>
        <v>1</v>
      </c>
      <c r="AV59" s="36">
        <f>IFERROR(INDEX(Factors_ROT!$F$5:$F$200,MATCH("DRV|"&amp;S59,Factors_ROT!$A$5:$A$200,0)),1)*IFERROR(INDEX(Factors_ROT!$F$5:$F$200,MATCH("NACE|"&amp;O59,Factors_ROT!$A$5:$A$200,0)),1)</f>
        <v>1</v>
      </c>
      <c r="AW59" s="36">
        <f>IFERROR(INDEX(Factors_ROT!$F$5:$F$200,MATCH("SC_DRV|"&amp;AL59,Factors_ROT!$A$5:$A$200,0)),1)*IFERROR(INDEX(Factors_ROT!$F$5:$F$200,MATCH("SC_BSP|"&amp;AM59,Factors_ROT!$A$5:$A$200,0)),1)*IFERROR(INDEX(Factors_ROT!$F$5:$F$200,MATCH("SC_SEAL|"&amp;AN59,Factors_ROT!$A$5:$A$200,0)),1)*IFERROR(INDEX(Factors_ROT!$F$5:$F$200,MATCH("SC_COMM|"&amp;AO59,Factors_ROT!$A$5:$A$200,0)),1)*IFERROR(INDEX(Factors_ROT!$F$5:$F$200,MATCH("SC_2Y|"&amp;AP59,Factors_ROT!$A$5:$A$200,0)),1)*IFERROR(INDEX(Factors_ROT!$F$5:$F$200,MATCH("SC_TPI|"&amp;AQ59,Factors_ROT!$A$5:$A$200,0)),1)*IFERROR(INDEX(Factors_ROT!$F$5:$F$200,MATCH("SC_FAT|"&amp;AR59,Factors_ROT!$A$5:$A$200,0)),1)</f>
        <v>1</v>
      </c>
      <c r="AX59" s="36">
        <f t="shared" si="8"/>
        <v>1.9</v>
      </c>
      <c r="AY59" s="35" t="str">
        <f t="shared" si="9"/>
        <v/>
      </c>
      <c r="AZ59" s="37">
        <f>IFERROR(IF(N(INDEX(Escalation_Index!$B$5:$B$25,MATCH(Y59,Escalation_Index!$A$5:$A$25,0)))&gt;0,INDEX(Escalation_Index!$B$5:$B$25,MATCH(Y59,Escalation_Index!$A$5:$A$25,0)),""),"")</f>
        <v>91.346999999999994</v>
      </c>
      <c r="BA59" s="37">
        <f>IF(ISNUMBER('Assumptions &amp; FX Reference'!$I$12),'Assumptions &amp; FX Reference'!$I$12,"")</f>
        <v>123.416</v>
      </c>
      <c r="BB59" s="33" t="str">
        <f t="shared" si="10"/>
        <v>Y</v>
      </c>
      <c r="BC59" s="35" t="str">
        <f t="shared" si="11"/>
        <v/>
      </c>
      <c r="BD59" s="35" t="str">
        <f>IF(AND(ISNUMBER(BC59),ISNUMBER(K59)),IF(K59&gt;0,BC59/K59^'Assumptions &amp; FX Reference'!$I$16,""),"")</f>
        <v/>
      </c>
      <c r="BE59" s="30" t="s">
        <v>536</v>
      </c>
      <c r="BF59" s="30" t="s">
        <v>537</v>
      </c>
      <c r="BG59" s="30" t="s">
        <v>361</v>
      </c>
    </row>
    <row r="60" spans="1:59" ht="24" customHeight="1">
      <c r="A60" s="30">
        <v>56</v>
      </c>
      <c r="B60" s="30" t="s">
        <v>534</v>
      </c>
      <c r="C60" s="30" t="s">
        <v>468</v>
      </c>
      <c r="D60" s="30" t="s">
        <v>538</v>
      </c>
      <c r="E60" s="30" t="s">
        <v>47</v>
      </c>
      <c r="F60" s="30" t="s">
        <v>128</v>
      </c>
      <c r="G60" s="30" t="s">
        <v>111</v>
      </c>
      <c r="H60" s="31"/>
      <c r="I60" s="31"/>
      <c r="J60" s="31"/>
      <c r="K60" s="32" t="str">
        <f>IF(ISNUMBER(J60),J60,IF(AND(ISNUMBER(H60),ISNUMBER(I60)),H60*I60/(367*'Assumptions &amp; FX Reference'!$I$17),""))</f>
        <v/>
      </c>
      <c r="L60" s="33" t="str">
        <f t="shared" si="6"/>
        <v>API 610 + IPS-G-PM-105</v>
      </c>
      <c r="M60" s="30" t="s">
        <v>470</v>
      </c>
      <c r="N60" s="30" t="s">
        <v>471</v>
      </c>
      <c r="O60" s="38" t="s">
        <v>305</v>
      </c>
      <c r="P60" s="30" t="s">
        <v>119</v>
      </c>
      <c r="Q60" s="30" t="s">
        <v>119</v>
      </c>
      <c r="R60" s="30" t="s">
        <v>119</v>
      </c>
      <c r="S60" s="38" t="s">
        <v>297</v>
      </c>
      <c r="T60" s="30" t="s">
        <v>326</v>
      </c>
      <c r="U60" s="30">
        <v>1</v>
      </c>
      <c r="V60" s="30" t="s">
        <v>299</v>
      </c>
      <c r="W60" s="31"/>
      <c r="X60" s="30" t="s">
        <v>119</v>
      </c>
      <c r="Y60" s="38">
        <v>1393</v>
      </c>
      <c r="Z60" s="30" t="s">
        <v>446</v>
      </c>
      <c r="AA60" s="34" t="s">
        <v>300</v>
      </c>
      <c r="AB60" s="35" t="str">
        <f>IF(NOT(ISNUMBER(AA60)),"(Not stated)",IF(NOT(ISNUMBER(Y60)),"(Cost year not stated)",IFERROR(IF(Z60="EUR",AA60,IF(Z60="IRR",AA60/INDEX('Assumptions &amp; FX Reference'!$C$5:$C$25,MATCH(Y60,'Assumptions &amp; FX Reference'!$A$5:$A$25,0)),IF(Z60="USD",AA60*INDEX('Assumptions &amp; FX Reference'!$B$5:$B$25,MATCH(Y60,'Assumptions &amp; FX Reference'!$A$5:$A$25,0))/INDEX('Assumptions &amp; FX Reference'!$C$5:$C$25,MATCH(Y60,'Assumptions &amp; FX Reference'!$A$5:$A$25,0)),"(Currency?)"))),"(FX rate missing)")))</f>
        <v>(Not stated)</v>
      </c>
      <c r="AC60" s="35" t="str">
        <f>IF(NOT(ISNUMBER(AA60)),"(Not stated)",IF(NOT(ISNUMBER(Y60)),"(Cost year not stated)",IFERROR(IF(Z60="USD",AA60,IF(Z60="IRR",AA60/INDEX('Assumptions &amp; FX Reference'!$B$5:$B$25,MATCH(Y60,'Assumptions &amp; FX Reference'!$A$5:$A$25,0)),IF(Z60="EUR",AA60*INDEX('Assumptions &amp; FX Reference'!$C$5:$C$25,MATCH(Y60,'Assumptions &amp; FX Reference'!$A$5:$A$25,0))/INDEX('Assumptions &amp; FX Reference'!$B$5:$B$25,MATCH(Y60,'Assumptions &amp; FX Reference'!$A$5:$A$25,0)),"(Currency?)"))),"(FX rate missing)")))</f>
        <v>(Not stated)</v>
      </c>
      <c r="AD60" s="35" t="str">
        <f>IF(NOT(ISNUMBER(AA60)),"(Not stated)",IF(NOT(ISNUMBER(Y60)),"(Cost year not stated)",IFERROR(IF(Z60="IRR",AA60,IF(Z60="USD",AA60*INDEX('Assumptions &amp; FX Reference'!$B$5:$B$25,MATCH(Y60,'Assumptions &amp; FX Reference'!$A$5:$A$25,0)),IF(Z60="EUR",AA60*INDEX('Assumptions &amp; FX Reference'!$C$5:$C$25,MATCH(Y60,'Assumptions &amp; FX Reference'!$A$5:$A$25,0)),"(Currency?)"))),"(FX rate missing)")))</f>
        <v>(Not stated)</v>
      </c>
      <c r="AE60" s="30" t="s">
        <v>527</v>
      </c>
      <c r="AF60" s="30" t="s">
        <v>119</v>
      </c>
      <c r="AG60" s="35" t="str">
        <f>IF(AND(Z60="EUR",N(AA60)&gt;5000000),"(Check currency – excluded)",IF(AND(ISNUMBER(AB60),ISNUMBER(AZ60),ISNUMBER(BA60)),IF(AND(BB60="Y",ISNUMBER('Assumptions &amp; FX Reference'!$I$15)),MAX(AB60*BA60/AZ60,'Assumptions &amp; FX Reference'!$I$13*BA60/'Assumptions &amp; FX Reference'!$I$15),AB60*BA60/AZ60),"(PPI/FX missing)"))</f>
        <v>(PPI/FX missing)</v>
      </c>
      <c r="AH60" s="35" t="str">
        <f>IF(AND(ISNUMBER(AG60),ISNUMBER('Assumptions &amp; FX Reference'!$I$8),ISNUMBER('Assumptions &amp; FX Reference'!$I$11)),AG60*'Assumptions &amp; FX Reference'!$I$8/'Assumptions &amp; FX Reference'!$I$11,"")</f>
        <v/>
      </c>
      <c r="AI60" s="35" t="str">
        <f>IF(AND(ISNUMBER(AG60),ISNUMBER('Assumptions &amp; FX Reference'!$I$8)),AG60*'Assumptions &amp; FX Reference'!$I$8,"")</f>
        <v/>
      </c>
      <c r="AJ60" s="30" t="s">
        <v>473</v>
      </c>
      <c r="AK60" s="30" t="s">
        <v>474</v>
      </c>
      <c r="AL60" s="30" t="s">
        <v>119</v>
      </c>
      <c r="AM60" s="30" t="s">
        <v>119</v>
      </c>
      <c r="AN60" s="30" t="s">
        <v>119</v>
      </c>
      <c r="AO60" s="30" t="s">
        <v>119</v>
      </c>
      <c r="AP60" s="30" t="s">
        <v>119</v>
      </c>
      <c r="AQ60" s="30" t="s">
        <v>119</v>
      </c>
      <c r="AR60" s="30" t="s">
        <v>119</v>
      </c>
      <c r="AS60" s="33" t="str">
        <f t="shared" si="7"/>
        <v xml:space="preserve">No price; Seal missing; Size driver missing; </v>
      </c>
      <c r="AT60" s="36">
        <f>IFERROR(INDEX(Factors_ROT!$F$5:$F$200,MATCH("MAT|"&amp;G60,Factors_ROT!$A$5:$A$200,0)),1)</f>
        <v>1.9</v>
      </c>
      <c r="AU60" s="36">
        <f>IFERROR(INDEX(Factors_ROT!$F$5:$F$200,MATCH("SEAL_ARR|"&amp;P60,Factors_ROT!$A$5:$A$200,0)),1)*IFERROR(INDEX(Factors_ROT!$F$5:$F$200,MATCH("SEAL_CAT|"&amp;Q60,Factors_ROT!$A$5:$A$200,0)),1)*IFERROR(INDEX(Factors_ROT!$F$5:$F$200,MATCH("SEAL_PLAN|"&amp;R60,Factors_ROT!$A$5:$A$200,0)),1)</f>
        <v>1</v>
      </c>
      <c r="AV60" s="36">
        <f>IFERROR(INDEX(Factors_ROT!$F$5:$F$200,MATCH("DRV|"&amp;S60,Factors_ROT!$A$5:$A$200,0)),1)*IFERROR(INDEX(Factors_ROT!$F$5:$F$200,MATCH("NACE|"&amp;O60,Factors_ROT!$A$5:$A$200,0)),1)</f>
        <v>1</v>
      </c>
      <c r="AW60" s="36">
        <f>IFERROR(INDEX(Factors_ROT!$F$5:$F$200,MATCH("SC_DRV|"&amp;AL60,Factors_ROT!$A$5:$A$200,0)),1)*IFERROR(INDEX(Factors_ROT!$F$5:$F$200,MATCH("SC_BSP|"&amp;AM60,Factors_ROT!$A$5:$A$200,0)),1)*IFERROR(INDEX(Factors_ROT!$F$5:$F$200,MATCH("SC_SEAL|"&amp;AN60,Factors_ROT!$A$5:$A$200,0)),1)*IFERROR(INDEX(Factors_ROT!$F$5:$F$200,MATCH("SC_COMM|"&amp;AO60,Factors_ROT!$A$5:$A$200,0)),1)*IFERROR(INDEX(Factors_ROT!$F$5:$F$200,MATCH("SC_2Y|"&amp;AP60,Factors_ROT!$A$5:$A$200,0)),1)*IFERROR(INDEX(Factors_ROT!$F$5:$F$200,MATCH("SC_TPI|"&amp;AQ60,Factors_ROT!$A$5:$A$200,0)),1)*IFERROR(INDEX(Factors_ROT!$F$5:$F$200,MATCH("SC_FAT|"&amp;AR60,Factors_ROT!$A$5:$A$200,0)),1)</f>
        <v>1</v>
      </c>
      <c r="AX60" s="36">
        <f t="shared" si="8"/>
        <v>1.9</v>
      </c>
      <c r="AY60" s="35" t="str">
        <f t="shared" si="9"/>
        <v/>
      </c>
      <c r="AZ60" s="37">
        <f>IFERROR(IF(N(INDEX(Escalation_Index!$B$5:$B$25,MATCH(Y60,Escalation_Index!$A$5:$A$25,0)))&gt;0,INDEX(Escalation_Index!$B$5:$B$25,MATCH(Y60,Escalation_Index!$A$5:$A$25,0)),""),"")</f>
        <v>91.346999999999994</v>
      </c>
      <c r="BA60" s="37">
        <f>IF(ISNUMBER('Assumptions &amp; FX Reference'!$I$12),'Assumptions &amp; FX Reference'!$I$12,"")</f>
        <v>123.416</v>
      </c>
      <c r="BB60" s="33" t="str">
        <f t="shared" si="10"/>
        <v>Y</v>
      </c>
      <c r="BC60" s="35" t="str">
        <f t="shared" si="11"/>
        <v/>
      </c>
      <c r="BD60" s="35" t="str">
        <f>IF(AND(ISNUMBER(BC60),ISNUMBER(K60)),IF(K60&gt;0,BC60/K60^'Assumptions &amp; FX Reference'!$I$16,""),"")</f>
        <v/>
      </c>
      <c r="BE60" s="30" t="s">
        <v>539</v>
      </c>
      <c r="BF60" s="30" t="s">
        <v>540</v>
      </c>
      <c r="BG60" s="30" t="s">
        <v>361</v>
      </c>
    </row>
    <row r="61" spans="1:59" ht="24" customHeight="1">
      <c r="A61" s="30">
        <v>57</v>
      </c>
      <c r="B61" s="30" t="s">
        <v>541</v>
      </c>
      <c r="C61" s="30" t="s">
        <v>468</v>
      </c>
      <c r="D61" s="30" t="s">
        <v>542</v>
      </c>
      <c r="E61" s="30" t="s">
        <v>50</v>
      </c>
      <c r="F61" s="30" t="s">
        <v>188</v>
      </c>
      <c r="G61" s="30" t="s">
        <v>107</v>
      </c>
      <c r="H61" s="31"/>
      <c r="I61" s="31"/>
      <c r="J61" s="31"/>
      <c r="K61" s="32" t="str">
        <f>IF(ISNUMBER(J61),J61,IF(AND(ISNUMBER(H61),ISNUMBER(I61)),H61*I61/(367*'Assumptions &amp; FX Reference'!$I$17),""))</f>
        <v/>
      </c>
      <c r="L61" s="33" t="str">
        <f t="shared" si="6"/>
        <v>API 676 + IPS-M-PM-140</v>
      </c>
      <c r="M61" s="30" t="s">
        <v>483</v>
      </c>
      <c r="N61" s="30" t="s">
        <v>484</v>
      </c>
      <c r="O61" s="38" t="s">
        <v>305</v>
      </c>
      <c r="P61" s="30" t="s">
        <v>119</v>
      </c>
      <c r="Q61" s="30" t="s">
        <v>119</v>
      </c>
      <c r="R61" s="30" t="s">
        <v>119</v>
      </c>
      <c r="S61" s="38" t="s">
        <v>297</v>
      </c>
      <c r="T61" s="30" t="s">
        <v>424</v>
      </c>
      <c r="U61" s="30">
        <v>1</v>
      </c>
      <c r="V61" s="30" t="s">
        <v>485</v>
      </c>
      <c r="W61" s="31"/>
      <c r="X61" s="30" t="s">
        <v>119</v>
      </c>
      <c r="Y61" s="38">
        <v>1393</v>
      </c>
      <c r="Z61" s="30" t="s">
        <v>446</v>
      </c>
      <c r="AA61" s="34" t="s">
        <v>300</v>
      </c>
      <c r="AB61" s="35" t="str">
        <f>IF(NOT(ISNUMBER(AA61)),"(Not stated)",IF(NOT(ISNUMBER(Y61)),"(Cost year not stated)",IFERROR(IF(Z61="EUR",AA61,IF(Z61="IRR",AA61/INDEX('Assumptions &amp; FX Reference'!$C$5:$C$25,MATCH(Y61,'Assumptions &amp; FX Reference'!$A$5:$A$25,0)),IF(Z61="USD",AA61*INDEX('Assumptions &amp; FX Reference'!$B$5:$B$25,MATCH(Y61,'Assumptions &amp; FX Reference'!$A$5:$A$25,0))/INDEX('Assumptions &amp; FX Reference'!$C$5:$C$25,MATCH(Y61,'Assumptions &amp; FX Reference'!$A$5:$A$25,0)),"(Currency?)"))),"(FX rate missing)")))</f>
        <v>(Not stated)</v>
      </c>
      <c r="AC61" s="35" t="str">
        <f>IF(NOT(ISNUMBER(AA61)),"(Not stated)",IF(NOT(ISNUMBER(Y61)),"(Cost year not stated)",IFERROR(IF(Z61="USD",AA61,IF(Z61="IRR",AA61/INDEX('Assumptions &amp; FX Reference'!$B$5:$B$25,MATCH(Y61,'Assumptions &amp; FX Reference'!$A$5:$A$25,0)),IF(Z61="EUR",AA61*INDEX('Assumptions &amp; FX Reference'!$C$5:$C$25,MATCH(Y61,'Assumptions &amp; FX Reference'!$A$5:$A$25,0))/INDEX('Assumptions &amp; FX Reference'!$B$5:$B$25,MATCH(Y61,'Assumptions &amp; FX Reference'!$A$5:$A$25,0)),"(Currency?)"))),"(FX rate missing)")))</f>
        <v>(Not stated)</v>
      </c>
      <c r="AD61" s="35" t="str">
        <f>IF(NOT(ISNUMBER(AA61)),"(Not stated)",IF(NOT(ISNUMBER(Y61)),"(Cost year not stated)",IFERROR(IF(Z61="IRR",AA61,IF(Z61="USD",AA61*INDEX('Assumptions &amp; FX Reference'!$B$5:$B$25,MATCH(Y61,'Assumptions &amp; FX Reference'!$A$5:$A$25,0)),IF(Z61="EUR",AA61*INDEX('Assumptions &amp; FX Reference'!$C$5:$C$25,MATCH(Y61,'Assumptions &amp; FX Reference'!$A$5:$A$25,0)),"(Currency?)"))),"(FX rate missing)")))</f>
        <v>(Not stated)</v>
      </c>
      <c r="AE61" s="30" t="s">
        <v>527</v>
      </c>
      <c r="AF61" s="30" t="s">
        <v>119</v>
      </c>
      <c r="AG61" s="35" t="str">
        <f>IF(AND(Z61="EUR",N(AA61)&gt;5000000),"(Check currency – excluded)",IF(AND(ISNUMBER(AB61),ISNUMBER(AZ61),ISNUMBER(BA61)),IF(AND(BB61="Y",ISNUMBER('Assumptions &amp; FX Reference'!$I$15)),MAX(AB61*BA61/AZ61,'Assumptions &amp; FX Reference'!$I$13*BA61/'Assumptions &amp; FX Reference'!$I$15),AB61*BA61/AZ61),"(PPI/FX missing)"))</f>
        <v>(PPI/FX missing)</v>
      </c>
      <c r="AH61" s="35" t="str">
        <f>IF(AND(ISNUMBER(AG61),ISNUMBER('Assumptions &amp; FX Reference'!$I$8),ISNUMBER('Assumptions &amp; FX Reference'!$I$11)),AG61*'Assumptions &amp; FX Reference'!$I$8/'Assumptions &amp; FX Reference'!$I$11,"")</f>
        <v/>
      </c>
      <c r="AI61" s="35" t="str">
        <f>IF(AND(ISNUMBER(AG61),ISNUMBER('Assumptions &amp; FX Reference'!$I$8)),AG61*'Assumptions &amp; FX Reference'!$I$8,"")</f>
        <v/>
      </c>
      <c r="AJ61" s="30" t="s">
        <v>473</v>
      </c>
      <c r="AK61" s="30" t="s">
        <v>474</v>
      </c>
      <c r="AL61" s="30" t="s">
        <v>119</v>
      </c>
      <c r="AM61" s="30" t="s">
        <v>119</v>
      </c>
      <c r="AN61" s="30" t="s">
        <v>119</v>
      </c>
      <c r="AO61" s="30" t="s">
        <v>119</v>
      </c>
      <c r="AP61" s="30" t="s">
        <v>119</v>
      </c>
      <c r="AQ61" s="30" t="s">
        <v>119</v>
      </c>
      <c r="AR61" s="30" t="s">
        <v>119</v>
      </c>
      <c r="AS61" s="33" t="str">
        <f t="shared" si="7"/>
        <v xml:space="preserve">No price; Seal missing; Size driver missing; </v>
      </c>
      <c r="AT61" s="36">
        <f>IFERROR(INDEX(Factors_ROT!$F$5:$F$200,MATCH("MAT|"&amp;G61,Factors_ROT!$A$5:$A$200,0)),1)</f>
        <v>1.7</v>
      </c>
      <c r="AU61" s="36">
        <f>IFERROR(INDEX(Factors_ROT!$F$5:$F$200,MATCH("SEAL_ARR|"&amp;P61,Factors_ROT!$A$5:$A$200,0)),1)*IFERROR(INDEX(Factors_ROT!$F$5:$F$200,MATCH("SEAL_CAT|"&amp;Q61,Factors_ROT!$A$5:$A$200,0)),1)*IFERROR(INDEX(Factors_ROT!$F$5:$F$200,MATCH("SEAL_PLAN|"&amp;R61,Factors_ROT!$A$5:$A$200,0)),1)</f>
        <v>1</v>
      </c>
      <c r="AV61" s="36">
        <f>IFERROR(INDEX(Factors_ROT!$F$5:$F$200,MATCH("DRV|"&amp;S61,Factors_ROT!$A$5:$A$200,0)),1)*IFERROR(INDEX(Factors_ROT!$F$5:$F$200,MATCH("NACE|"&amp;O61,Factors_ROT!$A$5:$A$200,0)),1)</f>
        <v>1</v>
      </c>
      <c r="AW61" s="36">
        <f>IFERROR(INDEX(Factors_ROT!$F$5:$F$200,MATCH("SC_DRV|"&amp;AL61,Factors_ROT!$A$5:$A$200,0)),1)*IFERROR(INDEX(Factors_ROT!$F$5:$F$200,MATCH("SC_BSP|"&amp;AM61,Factors_ROT!$A$5:$A$200,0)),1)*IFERROR(INDEX(Factors_ROT!$F$5:$F$200,MATCH("SC_SEAL|"&amp;AN61,Factors_ROT!$A$5:$A$200,0)),1)*IFERROR(INDEX(Factors_ROT!$F$5:$F$200,MATCH("SC_COMM|"&amp;AO61,Factors_ROT!$A$5:$A$200,0)),1)*IFERROR(INDEX(Factors_ROT!$F$5:$F$200,MATCH("SC_2Y|"&amp;AP61,Factors_ROT!$A$5:$A$200,0)),1)*IFERROR(INDEX(Factors_ROT!$F$5:$F$200,MATCH("SC_TPI|"&amp;AQ61,Factors_ROT!$A$5:$A$200,0)),1)*IFERROR(INDEX(Factors_ROT!$F$5:$F$200,MATCH("SC_FAT|"&amp;AR61,Factors_ROT!$A$5:$A$200,0)),1)</f>
        <v>1</v>
      </c>
      <c r="AX61" s="36">
        <f t="shared" si="8"/>
        <v>1.7</v>
      </c>
      <c r="AY61" s="35" t="str">
        <f t="shared" si="9"/>
        <v/>
      </c>
      <c r="AZ61" s="37">
        <f>IFERROR(IF(N(INDEX(Escalation_Index!$B$5:$B$25,MATCH(Y61,Escalation_Index!$A$5:$A$25,0)))&gt;0,INDEX(Escalation_Index!$B$5:$B$25,MATCH(Y61,Escalation_Index!$A$5:$A$25,0)),""),"")</f>
        <v>91.346999999999994</v>
      </c>
      <c r="BA61" s="37">
        <f>IF(ISNUMBER('Assumptions &amp; FX Reference'!$I$12),'Assumptions &amp; FX Reference'!$I$12,"")</f>
        <v>123.416</v>
      </c>
      <c r="BB61" s="33" t="str">
        <f t="shared" si="10"/>
        <v>N</v>
      </c>
      <c r="BC61" s="35" t="str">
        <f t="shared" si="11"/>
        <v/>
      </c>
      <c r="BD61" s="35" t="str">
        <f>IF(AND(ISNUMBER(BC61),ISNUMBER(K61)),IF(K61&gt;0,BC61/K61^'Assumptions &amp; FX Reference'!$I$16,""),"")</f>
        <v/>
      </c>
      <c r="BE61" s="30" t="s">
        <v>543</v>
      </c>
      <c r="BF61" s="30" t="s">
        <v>544</v>
      </c>
      <c r="BG61" s="30" t="s">
        <v>361</v>
      </c>
    </row>
    <row r="62" spans="1:59" ht="24" customHeight="1">
      <c r="A62" s="30">
        <v>58</v>
      </c>
      <c r="B62" s="30" t="s">
        <v>545</v>
      </c>
      <c r="C62" s="30" t="s">
        <v>468</v>
      </c>
      <c r="D62" s="30" t="s">
        <v>546</v>
      </c>
      <c r="E62" s="30" t="s">
        <v>50</v>
      </c>
      <c r="F62" s="30" t="s">
        <v>188</v>
      </c>
      <c r="G62" s="30" t="s">
        <v>111</v>
      </c>
      <c r="H62" s="31"/>
      <c r="I62" s="31"/>
      <c r="J62" s="31"/>
      <c r="K62" s="32" t="str">
        <f>IF(ISNUMBER(J62),J62,IF(AND(ISNUMBER(H62),ISNUMBER(I62)),H62*I62/(367*'Assumptions &amp; FX Reference'!$I$17),""))</f>
        <v/>
      </c>
      <c r="L62" s="33" t="str">
        <f t="shared" si="6"/>
        <v>API 610 + IPS-G-PM-105</v>
      </c>
      <c r="M62" s="30" t="s">
        <v>470</v>
      </c>
      <c r="N62" s="30" t="s">
        <v>471</v>
      </c>
      <c r="O62" s="38" t="s">
        <v>305</v>
      </c>
      <c r="P62" s="30" t="s">
        <v>119</v>
      </c>
      <c r="Q62" s="30" t="s">
        <v>119</v>
      </c>
      <c r="R62" s="30" t="s">
        <v>119</v>
      </c>
      <c r="S62" s="38" t="s">
        <v>297</v>
      </c>
      <c r="T62" s="30" t="s">
        <v>547</v>
      </c>
      <c r="U62" s="30">
        <v>1</v>
      </c>
      <c r="V62" s="30" t="s">
        <v>343</v>
      </c>
      <c r="W62" s="31"/>
      <c r="X62" s="30" t="s">
        <v>119</v>
      </c>
      <c r="Y62" s="38">
        <v>1393</v>
      </c>
      <c r="Z62" s="30" t="s">
        <v>446</v>
      </c>
      <c r="AA62" s="34" t="s">
        <v>300</v>
      </c>
      <c r="AB62" s="35" t="str">
        <f>IF(NOT(ISNUMBER(AA62)),"(Not stated)",IF(NOT(ISNUMBER(Y62)),"(Cost year not stated)",IFERROR(IF(Z62="EUR",AA62,IF(Z62="IRR",AA62/INDEX('Assumptions &amp; FX Reference'!$C$5:$C$25,MATCH(Y62,'Assumptions &amp; FX Reference'!$A$5:$A$25,0)),IF(Z62="USD",AA62*INDEX('Assumptions &amp; FX Reference'!$B$5:$B$25,MATCH(Y62,'Assumptions &amp; FX Reference'!$A$5:$A$25,0))/INDEX('Assumptions &amp; FX Reference'!$C$5:$C$25,MATCH(Y62,'Assumptions &amp; FX Reference'!$A$5:$A$25,0)),"(Currency?)"))),"(FX rate missing)")))</f>
        <v>(Not stated)</v>
      </c>
      <c r="AC62" s="35" t="str">
        <f>IF(NOT(ISNUMBER(AA62)),"(Not stated)",IF(NOT(ISNUMBER(Y62)),"(Cost year not stated)",IFERROR(IF(Z62="USD",AA62,IF(Z62="IRR",AA62/INDEX('Assumptions &amp; FX Reference'!$B$5:$B$25,MATCH(Y62,'Assumptions &amp; FX Reference'!$A$5:$A$25,0)),IF(Z62="EUR",AA62*INDEX('Assumptions &amp; FX Reference'!$C$5:$C$25,MATCH(Y62,'Assumptions &amp; FX Reference'!$A$5:$A$25,0))/INDEX('Assumptions &amp; FX Reference'!$B$5:$B$25,MATCH(Y62,'Assumptions &amp; FX Reference'!$A$5:$A$25,0)),"(Currency?)"))),"(FX rate missing)")))</f>
        <v>(Not stated)</v>
      </c>
      <c r="AD62" s="35" t="str">
        <f>IF(NOT(ISNUMBER(AA62)),"(Not stated)",IF(NOT(ISNUMBER(Y62)),"(Cost year not stated)",IFERROR(IF(Z62="IRR",AA62,IF(Z62="USD",AA62*INDEX('Assumptions &amp; FX Reference'!$B$5:$B$25,MATCH(Y62,'Assumptions &amp; FX Reference'!$A$5:$A$25,0)),IF(Z62="EUR",AA62*INDEX('Assumptions &amp; FX Reference'!$C$5:$C$25,MATCH(Y62,'Assumptions &amp; FX Reference'!$A$5:$A$25,0)),"(Currency?)"))),"(FX rate missing)")))</f>
        <v>(Not stated)</v>
      </c>
      <c r="AE62" s="30" t="s">
        <v>527</v>
      </c>
      <c r="AF62" s="30" t="s">
        <v>119</v>
      </c>
      <c r="AG62" s="35" t="str">
        <f>IF(AND(Z62="EUR",N(AA62)&gt;5000000),"(Check currency – excluded)",IF(AND(ISNUMBER(AB62),ISNUMBER(AZ62),ISNUMBER(BA62)),IF(AND(BB62="Y",ISNUMBER('Assumptions &amp; FX Reference'!$I$15)),MAX(AB62*BA62/AZ62,'Assumptions &amp; FX Reference'!$I$13*BA62/'Assumptions &amp; FX Reference'!$I$15),AB62*BA62/AZ62),"(PPI/FX missing)"))</f>
        <v>(PPI/FX missing)</v>
      </c>
      <c r="AH62" s="35" t="str">
        <f>IF(AND(ISNUMBER(AG62),ISNUMBER('Assumptions &amp; FX Reference'!$I$8),ISNUMBER('Assumptions &amp; FX Reference'!$I$11)),AG62*'Assumptions &amp; FX Reference'!$I$8/'Assumptions &amp; FX Reference'!$I$11,"")</f>
        <v/>
      </c>
      <c r="AI62" s="35" t="str">
        <f>IF(AND(ISNUMBER(AG62),ISNUMBER('Assumptions &amp; FX Reference'!$I$8)),AG62*'Assumptions &amp; FX Reference'!$I$8,"")</f>
        <v/>
      </c>
      <c r="AJ62" s="30" t="s">
        <v>473</v>
      </c>
      <c r="AK62" s="30" t="s">
        <v>474</v>
      </c>
      <c r="AL62" s="30" t="s">
        <v>119</v>
      </c>
      <c r="AM62" s="30" t="s">
        <v>119</v>
      </c>
      <c r="AN62" s="30" t="s">
        <v>119</v>
      </c>
      <c r="AO62" s="30" t="s">
        <v>119</v>
      </c>
      <c r="AP62" s="30" t="s">
        <v>119</v>
      </c>
      <c r="AQ62" s="30" t="s">
        <v>119</v>
      </c>
      <c r="AR62" s="30" t="s">
        <v>119</v>
      </c>
      <c r="AS62" s="33" t="str">
        <f t="shared" si="7"/>
        <v xml:space="preserve">No price; Seal missing; Size driver missing; </v>
      </c>
      <c r="AT62" s="36">
        <f>IFERROR(INDEX(Factors_ROT!$F$5:$F$200,MATCH("MAT|"&amp;G62,Factors_ROT!$A$5:$A$200,0)),1)</f>
        <v>1.9</v>
      </c>
      <c r="AU62" s="36">
        <f>IFERROR(INDEX(Factors_ROT!$F$5:$F$200,MATCH("SEAL_ARR|"&amp;P62,Factors_ROT!$A$5:$A$200,0)),1)*IFERROR(INDEX(Factors_ROT!$F$5:$F$200,MATCH("SEAL_CAT|"&amp;Q62,Factors_ROT!$A$5:$A$200,0)),1)*IFERROR(INDEX(Factors_ROT!$F$5:$F$200,MATCH("SEAL_PLAN|"&amp;R62,Factors_ROT!$A$5:$A$200,0)),1)</f>
        <v>1</v>
      </c>
      <c r="AV62" s="36">
        <f>IFERROR(INDEX(Factors_ROT!$F$5:$F$200,MATCH("DRV|"&amp;S62,Factors_ROT!$A$5:$A$200,0)),1)*IFERROR(INDEX(Factors_ROT!$F$5:$F$200,MATCH("NACE|"&amp;O62,Factors_ROT!$A$5:$A$200,0)),1)</f>
        <v>1</v>
      </c>
      <c r="AW62" s="36">
        <f>IFERROR(INDEX(Factors_ROT!$F$5:$F$200,MATCH("SC_DRV|"&amp;AL62,Factors_ROT!$A$5:$A$200,0)),1)*IFERROR(INDEX(Factors_ROT!$F$5:$F$200,MATCH("SC_BSP|"&amp;AM62,Factors_ROT!$A$5:$A$200,0)),1)*IFERROR(INDEX(Factors_ROT!$F$5:$F$200,MATCH("SC_SEAL|"&amp;AN62,Factors_ROT!$A$5:$A$200,0)),1)*IFERROR(INDEX(Factors_ROT!$F$5:$F$200,MATCH("SC_COMM|"&amp;AO62,Factors_ROT!$A$5:$A$200,0)),1)*IFERROR(INDEX(Factors_ROT!$F$5:$F$200,MATCH("SC_2Y|"&amp;AP62,Factors_ROT!$A$5:$A$200,0)),1)*IFERROR(INDEX(Factors_ROT!$F$5:$F$200,MATCH("SC_TPI|"&amp;AQ62,Factors_ROT!$A$5:$A$200,0)),1)*IFERROR(INDEX(Factors_ROT!$F$5:$F$200,MATCH("SC_FAT|"&amp;AR62,Factors_ROT!$A$5:$A$200,0)),1)</f>
        <v>1</v>
      </c>
      <c r="AX62" s="36">
        <f t="shared" si="8"/>
        <v>1.9</v>
      </c>
      <c r="AY62" s="35" t="str">
        <f t="shared" si="9"/>
        <v/>
      </c>
      <c r="AZ62" s="37">
        <f>IFERROR(IF(N(INDEX(Escalation_Index!$B$5:$B$25,MATCH(Y62,Escalation_Index!$A$5:$A$25,0)))&gt;0,INDEX(Escalation_Index!$B$5:$B$25,MATCH(Y62,Escalation_Index!$A$5:$A$25,0)),""),"")</f>
        <v>91.346999999999994</v>
      </c>
      <c r="BA62" s="37">
        <f>IF(ISNUMBER('Assumptions &amp; FX Reference'!$I$12),'Assumptions &amp; FX Reference'!$I$12,"")</f>
        <v>123.416</v>
      </c>
      <c r="BB62" s="33" t="str">
        <f t="shared" si="10"/>
        <v>N</v>
      </c>
      <c r="BC62" s="35" t="str">
        <f t="shared" si="11"/>
        <v/>
      </c>
      <c r="BD62" s="35" t="str">
        <f>IF(AND(ISNUMBER(BC62),ISNUMBER(K62)),IF(K62&gt;0,BC62/K62^'Assumptions &amp; FX Reference'!$I$16,""),"")</f>
        <v/>
      </c>
      <c r="BE62" s="30" t="s">
        <v>548</v>
      </c>
      <c r="BF62" s="30" t="s">
        <v>549</v>
      </c>
      <c r="BG62" s="30" t="s">
        <v>361</v>
      </c>
    </row>
    <row r="63" spans="1:59" ht="24" customHeight="1">
      <c r="A63" s="30">
        <v>59</v>
      </c>
      <c r="B63" s="30" t="s">
        <v>467</v>
      </c>
      <c r="C63" s="30" t="s">
        <v>550</v>
      </c>
      <c r="D63" s="30" t="s">
        <v>551</v>
      </c>
      <c r="E63" s="30" t="s">
        <v>41</v>
      </c>
      <c r="F63" s="30" t="s">
        <v>128</v>
      </c>
      <c r="G63" s="30" t="s">
        <v>107</v>
      </c>
      <c r="H63" s="31">
        <v>186</v>
      </c>
      <c r="I63" s="31">
        <v>33.4</v>
      </c>
      <c r="J63" s="31"/>
      <c r="K63" s="32">
        <f>IF(ISNUMBER(J63),J63,IF(AND(ISNUMBER(H63),ISNUMBER(I63)),H63*I63/(367*'Assumptions &amp; FX Reference'!$I$17),""))</f>
        <v>28.212534059945504</v>
      </c>
      <c r="L63" s="33" t="str">
        <f t="shared" si="6"/>
        <v>API 610 + IPS-G-PM-105 + NACE MR0175</v>
      </c>
      <c r="M63" s="30" t="s">
        <v>470</v>
      </c>
      <c r="N63" s="30" t="s">
        <v>471</v>
      </c>
      <c r="O63" s="30" t="s">
        <v>361</v>
      </c>
      <c r="P63" s="30" t="s">
        <v>119</v>
      </c>
      <c r="Q63" s="30" t="s">
        <v>119</v>
      </c>
      <c r="R63" s="30" t="s">
        <v>119</v>
      </c>
      <c r="S63" s="38" t="s">
        <v>297</v>
      </c>
      <c r="T63" s="30" t="s">
        <v>298</v>
      </c>
      <c r="U63" s="30">
        <v>3</v>
      </c>
      <c r="V63" s="30" t="s">
        <v>299</v>
      </c>
      <c r="W63" s="31">
        <v>3.9</v>
      </c>
      <c r="X63" s="30" t="s">
        <v>119</v>
      </c>
      <c r="Y63" s="38">
        <v>1393</v>
      </c>
      <c r="Z63" s="30" t="s">
        <v>355</v>
      </c>
      <c r="AA63" s="34">
        <v>55000</v>
      </c>
      <c r="AB63" s="35">
        <f>IF(NOT(ISNUMBER(AA63)),"(Not stated)",IF(NOT(ISNUMBER(Y63)),"(Cost year not stated)",IFERROR(IF(Z63="EUR",AA63,IF(Z63="IRR",AA63/INDEX('Assumptions &amp; FX Reference'!$C$5:$C$25,MATCH(Y63,'Assumptions &amp; FX Reference'!$A$5:$A$25,0)),IF(Z63="USD",AA63*INDEX('Assumptions &amp; FX Reference'!$B$5:$B$25,MATCH(Y63,'Assumptions &amp; FX Reference'!$A$5:$A$25,0))/INDEX('Assumptions &amp; FX Reference'!$C$5:$C$25,MATCH(Y63,'Assumptions &amp; FX Reference'!$A$5:$A$25,0)),"(Currency?)"))),"(FX rate missing)")))</f>
        <v>55000</v>
      </c>
      <c r="AC63" s="35">
        <f>IF(NOT(ISNUMBER(AA63)),"(Not stated)",IF(NOT(ISNUMBER(Y63)),"(Cost year not stated)",IFERROR(IF(Z63="USD",AA63,IF(Z63="IRR",AA63/INDEX('Assumptions &amp; FX Reference'!$B$5:$B$25,MATCH(Y63,'Assumptions &amp; FX Reference'!$A$5:$A$25,0)),IF(Z63="EUR",AA63*INDEX('Assumptions &amp; FX Reference'!$C$5:$C$25,MATCH(Y63,'Assumptions &amp; FX Reference'!$A$5:$A$25,0))/INDEX('Assumptions &amp; FX Reference'!$B$5:$B$25,MATCH(Y63,'Assumptions &amp; FX Reference'!$A$5:$A$25,0)),"(Currency?)"))),"(FX rate missing)")))</f>
        <v>71909.483870967742</v>
      </c>
      <c r="AD63" s="35">
        <f>IF(NOT(ISNUMBER(AA63)),"(Not stated)",IF(NOT(ISNUMBER(Y63)),"(Cost year not stated)",IFERROR(IF(Z63="IRR",AA63,IF(Z63="USD",AA63*INDEX('Assumptions &amp; FX Reference'!$B$5:$B$25,MATCH(Y63,'Assumptions &amp; FX Reference'!$A$5:$A$25,0)),IF(Z63="EUR",AA63*INDEX('Assumptions &amp; FX Reference'!$C$5:$C$25,MATCH(Y63,'Assumptions &amp; FX Reference'!$A$5:$A$25,0)),"(Currency?)"))),"(FX rate missing)")))</f>
        <v>2229194000</v>
      </c>
      <c r="AE63" s="30" t="s">
        <v>472</v>
      </c>
      <c r="AF63" s="38" t="s">
        <v>204</v>
      </c>
      <c r="AG63" s="35">
        <f>IF(AND(Z63="EUR",N(AA63)&gt;5000000),"(Check currency – excluded)",IF(AND(ISNUMBER(AB63),ISNUMBER(AZ63),ISNUMBER(BA63)),IF(AND(BB63="Y",ISNUMBER('Assumptions &amp; FX Reference'!$I$15)),MAX(AB63*BA63/AZ63,'Assumptions &amp; FX Reference'!$I$13*BA63/'Assumptions &amp; FX Reference'!$I$15),AB63*BA63/AZ63),"(PPI/FX missing)"))</f>
        <v>74308.734824351108</v>
      </c>
      <c r="AH63" s="35">
        <f>IF(AND(ISNUMBER(AG63),ISNUMBER('Assumptions &amp; FX Reference'!$I$8),ISNUMBER('Assumptions &amp; FX Reference'!$I$11)),AG63*'Assumptions &amp; FX Reference'!$I$8/'Assumptions &amp; FX Reference'!$I$11,"")</f>
        <v>78453.905034154624</v>
      </c>
      <c r="AI63" s="35">
        <f>IF(AND(ISNUMBER(AG63),ISNUMBER('Assumptions &amp; FX Reference'!$I$8)),AG63*'Assumptions &amp; FX Reference'!$I$8,"")</f>
        <v>51664485443.856949</v>
      </c>
      <c r="AJ63" s="30" t="s">
        <v>473</v>
      </c>
      <c r="AK63" s="30" t="s">
        <v>474</v>
      </c>
      <c r="AL63" s="30" t="s">
        <v>119</v>
      </c>
      <c r="AM63" s="30" t="s">
        <v>119</v>
      </c>
      <c r="AN63" s="30" t="s">
        <v>119</v>
      </c>
      <c r="AO63" s="30" t="s">
        <v>119</v>
      </c>
      <c r="AP63" s="30" t="s">
        <v>119</v>
      </c>
      <c r="AQ63" s="38" t="s">
        <v>305</v>
      </c>
      <c r="AR63" s="30" t="s">
        <v>119</v>
      </c>
      <c r="AS63" s="33" t="str">
        <f t="shared" si="7"/>
        <v xml:space="preserve">Seal missing; </v>
      </c>
      <c r="AT63" s="36">
        <f>IFERROR(INDEX(Factors_ROT!$F$5:$F$200,MATCH("MAT|"&amp;G63,Factors_ROT!$A$5:$A$200,0)),1)</f>
        <v>1.7</v>
      </c>
      <c r="AU63" s="36">
        <f>IFERROR(INDEX(Factors_ROT!$F$5:$F$200,MATCH("SEAL_ARR|"&amp;P63,Factors_ROT!$A$5:$A$200,0)),1)*IFERROR(INDEX(Factors_ROT!$F$5:$F$200,MATCH("SEAL_CAT|"&amp;Q63,Factors_ROT!$A$5:$A$200,0)),1)*IFERROR(INDEX(Factors_ROT!$F$5:$F$200,MATCH("SEAL_PLAN|"&amp;R63,Factors_ROT!$A$5:$A$200,0)),1)</f>
        <v>1</v>
      </c>
      <c r="AV63" s="36">
        <f>IFERROR(INDEX(Factors_ROT!$F$5:$F$200,MATCH("DRV|"&amp;S63,Factors_ROT!$A$5:$A$200,0)),1)*IFERROR(INDEX(Factors_ROT!$F$5:$F$200,MATCH("NACE|"&amp;O63,Factors_ROT!$A$5:$A$200,0)),1)</f>
        <v>1.05</v>
      </c>
      <c r="AW63" s="36">
        <f>IFERROR(INDEX(Factors_ROT!$F$5:$F$200,MATCH("SC_DRV|"&amp;AL63,Factors_ROT!$A$5:$A$200,0)),1)*IFERROR(INDEX(Factors_ROT!$F$5:$F$200,MATCH("SC_BSP|"&amp;AM63,Factors_ROT!$A$5:$A$200,0)),1)*IFERROR(INDEX(Factors_ROT!$F$5:$F$200,MATCH("SC_SEAL|"&amp;AN63,Factors_ROT!$A$5:$A$200,0)),1)*IFERROR(INDEX(Factors_ROT!$F$5:$F$200,MATCH("SC_COMM|"&amp;AO63,Factors_ROT!$A$5:$A$200,0)),1)*IFERROR(INDEX(Factors_ROT!$F$5:$F$200,MATCH("SC_2Y|"&amp;AP63,Factors_ROT!$A$5:$A$200,0)),1)*IFERROR(INDEX(Factors_ROT!$F$5:$F$200,MATCH("SC_TPI|"&amp;AQ63,Factors_ROT!$A$5:$A$200,0)),1)*IFERROR(INDEX(Factors_ROT!$F$5:$F$200,MATCH("SC_FAT|"&amp;AR63,Factors_ROT!$A$5:$A$200,0)),1)</f>
        <v>1</v>
      </c>
      <c r="AX63" s="36">
        <f t="shared" si="8"/>
        <v>1.7849999999999999</v>
      </c>
      <c r="AY63" s="35">
        <f t="shared" si="9"/>
        <v>30812.32492997199</v>
      </c>
      <c r="AZ63" s="37">
        <f>IFERROR(IF(N(INDEX(Escalation_Index!$B$5:$B$25,MATCH(Y63,Escalation_Index!$A$5:$A$25,0)))&gt;0,INDEX(Escalation_Index!$B$5:$B$25,MATCH(Y63,Escalation_Index!$A$5:$A$25,0)),""),"")</f>
        <v>91.346999999999994</v>
      </c>
      <c r="BA63" s="37">
        <f>IF(ISNUMBER('Assumptions &amp; FX Reference'!$I$12),'Assumptions &amp; FX Reference'!$I$12,"")</f>
        <v>123.416</v>
      </c>
      <c r="BB63" s="33" t="str">
        <f t="shared" si="10"/>
        <v>Y</v>
      </c>
      <c r="BC63" s="35">
        <f t="shared" si="11"/>
        <v>41629.543318964206</v>
      </c>
      <c r="BD63" s="35">
        <f>IF(AND(ISNUMBER(BC63),ISNUMBER(K63)),IF(K63&gt;0,BC63/K63^'Assumptions &amp; FX Reference'!$I$16,""),"")</f>
        <v>5612.2419905249353</v>
      </c>
      <c r="BE63" s="30" t="s">
        <v>552</v>
      </c>
      <c r="BF63" s="30" t="s">
        <v>553</v>
      </c>
      <c r="BG63" s="30" t="s">
        <v>361</v>
      </c>
    </row>
    <row r="64" spans="1:59" ht="24" customHeight="1">
      <c r="A64" s="30">
        <v>60</v>
      </c>
      <c r="B64" s="30" t="s">
        <v>554</v>
      </c>
      <c r="C64" s="30" t="s">
        <v>550</v>
      </c>
      <c r="D64" s="30" t="s">
        <v>555</v>
      </c>
      <c r="E64" s="30" t="s">
        <v>41</v>
      </c>
      <c r="F64" s="30" t="s">
        <v>128</v>
      </c>
      <c r="G64" s="30" t="s">
        <v>107</v>
      </c>
      <c r="H64" s="31">
        <v>37</v>
      </c>
      <c r="I64" s="31">
        <v>39</v>
      </c>
      <c r="J64" s="31"/>
      <c r="K64" s="32">
        <f>IF(ISNUMBER(J64),J64,IF(AND(ISNUMBER(H64),ISNUMBER(I64)),H64*I64/(367*'Assumptions &amp; FX Reference'!$I$17),""))</f>
        <v>6.5531335149863761</v>
      </c>
      <c r="L64" s="33" t="str">
        <f t="shared" si="6"/>
        <v>API 610 + IPS-G-PM-105 + NACE MR0175</v>
      </c>
      <c r="M64" s="30" t="s">
        <v>470</v>
      </c>
      <c r="N64" s="30" t="s">
        <v>471</v>
      </c>
      <c r="O64" s="30" t="s">
        <v>361</v>
      </c>
      <c r="P64" s="30" t="s">
        <v>119</v>
      </c>
      <c r="Q64" s="30" t="s">
        <v>119</v>
      </c>
      <c r="R64" s="30" t="s">
        <v>119</v>
      </c>
      <c r="S64" s="38" t="s">
        <v>297</v>
      </c>
      <c r="T64" s="30" t="s">
        <v>298</v>
      </c>
      <c r="U64" s="30">
        <v>2</v>
      </c>
      <c r="V64" s="30" t="s">
        <v>299</v>
      </c>
      <c r="W64" s="31">
        <v>5.4</v>
      </c>
      <c r="X64" s="30" t="s">
        <v>119</v>
      </c>
      <c r="Y64" s="38">
        <v>1393</v>
      </c>
      <c r="Z64" s="30" t="s">
        <v>355</v>
      </c>
      <c r="AA64" s="34">
        <v>15000</v>
      </c>
      <c r="AB64" s="35">
        <f>IF(NOT(ISNUMBER(AA64)),"(Not stated)",IF(NOT(ISNUMBER(Y64)),"(Cost year not stated)",IFERROR(IF(Z64="EUR",AA64,IF(Z64="IRR",AA64/INDEX('Assumptions &amp; FX Reference'!$C$5:$C$25,MATCH(Y64,'Assumptions &amp; FX Reference'!$A$5:$A$25,0)),IF(Z64="USD",AA64*INDEX('Assumptions &amp; FX Reference'!$B$5:$B$25,MATCH(Y64,'Assumptions &amp; FX Reference'!$A$5:$A$25,0))/INDEX('Assumptions &amp; FX Reference'!$C$5:$C$25,MATCH(Y64,'Assumptions &amp; FX Reference'!$A$5:$A$25,0)),"(Currency?)"))),"(FX rate missing)")))</f>
        <v>15000</v>
      </c>
      <c r="AC64" s="35">
        <f>IF(NOT(ISNUMBER(AA64)),"(Not stated)",IF(NOT(ISNUMBER(Y64)),"(Cost year not stated)",IFERROR(IF(Z64="USD",AA64,IF(Z64="IRR",AA64/INDEX('Assumptions &amp; FX Reference'!$B$5:$B$25,MATCH(Y64,'Assumptions &amp; FX Reference'!$A$5:$A$25,0)),IF(Z64="EUR",AA64*INDEX('Assumptions &amp; FX Reference'!$C$5:$C$25,MATCH(Y64,'Assumptions &amp; FX Reference'!$A$5:$A$25,0))/INDEX('Assumptions &amp; FX Reference'!$B$5:$B$25,MATCH(Y64,'Assumptions &amp; FX Reference'!$A$5:$A$25,0)),"(Currency?)"))),"(FX rate missing)")))</f>
        <v>19611.677419354837</v>
      </c>
      <c r="AD64" s="35">
        <f>IF(NOT(ISNUMBER(AA64)),"(Not stated)",IF(NOT(ISNUMBER(Y64)),"(Cost year not stated)",IFERROR(IF(Z64="IRR",AA64,IF(Z64="USD",AA64*INDEX('Assumptions &amp; FX Reference'!$B$5:$B$25,MATCH(Y64,'Assumptions &amp; FX Reference'!$A$5:$A$25,0)),IF(Z64="EUR",AA64*INDEX('Assumptions &amp; FX Reference'!$C$5:$C$25,MATCH(Y64,'Assumptions &amp; FX Reference'!$A$5:$A$25,0)),"(Currency?)"))),"(FX rate missing)")))</f>
        <v>607962000</v>
      </c>
      <c r="AE64" s="30" t="s">
        <v>472</v>
      </c>
      <c r="AF64" s="38" t="s">
        <v>204</v>
      </c>
      <c r="AG64" s="35">
        <f>IF(AND(Z64="EUR",N(AA64)&gt;5000000),"(Check currency – excluded)",IF(AND(ISNUMBER(AB64),ISNUMBER(AZ64),ISNUMBER(BA64)),IF(AND(BB64="Y",ISNUMBER('Assumptions &amp; FX Reference'!$I$15)),MAX(AB64*BA64/AZ64,'Assumptions &amp; FX Reference'!$I$13*BA64/'Assumptions &amp; FX Reference'!$I$15),AB64*BA64/AZ64),"(PPI/FX missing)"))</f>
        <v>25000</v>
      </c>
      <c r="AH64" s="35">
        <f>IF(AND(ISNUMBER(AG64),ISNUMBER('Assumptions &amp; FX Reference'!$I$8),ISNUMBER('Assumptions &amp; FX Reference'!$I$11)),AG64*'Assumptions &amp; FX Reference'!$I$8/'Assumptions &amp; FX Reference'!$I$11,"")</f>
        <v>26394.577037141647</v>
      </c>
      <c r="AI64" s="35">
        <f>IF(AND(ISNUMBER(AG64),ISNUMBER('Assumptions &amp; FX Reference'!$I$8)),AG64*'Assumptions &amp; FX Reference'!$I$8,"")</f>
        <v>17381700000</v>
      </c>
      <c r="AJ64" s="30" t="s">
        <v>473</v>
      </c>
      <c r="AK64" s="30" t="s">
        <v>474</v>
      </c>
      <c r="AL64" s="30" t="s">
        <v>119</v>
      </c>
      <c r="AM64" s="30" t="s">
        <v>119</v>
      </c>
      <c r="AN64" s="30" t="s">
        <v>119</v>
      </c>
      <c r="AO64" s="30" t="s">
        <v>119</v>
      </c>
      <c r="AP64" s="30" t="s">
        <v>119</v>
      </c>
      <c r="AQ64" s="38" t="s">
        <v>305</v>
      </c>
      <c r="AR64" s="30" t="s">
        <v>119</v>
      </c>
      <c r="AS64" s="33" t="str">
        <f t="shared" si="7"/>
        <v xml:space="preserve">Seal missing; </v>
      </c>
      <c r="AT64" s="36">
        <f>IFERROR(INDEX(Factors_ROT!$F$5:$F$200,MATCH("MAT|"&amp;G64,Factors_ROT!$A$5:$A$200,0)),1)</f>
        <v>1.7</v>
      </c>
      <c r="AU64" s="36">
        <f>IFERROR(INDEX(Factors_ROT!$F$5:$F$200,MATCH("SEAL_ARR|"&amp;P64,Factors_ROT!$A$5:$A$200,0)),1)*IFERROR(INDEX(Factors_ROT!$F$5:$F$200,MATCH("SEAL_CAT|"&amp;Q64,Factors_ROT!$A$5:$A$200,0)),1)*IFERROR(INDEX(Factors_ROT!$F$5:$F$200,MATCH("SEAL_PLAN|"&amp;R64,Factors_ROT!$A$5:$A$200,0)),1)</f>
        <v>1</v>
      </c>
      <c r="AV64" s="36">
        <f>IFERROR(INDEX(Factors_ROT!$F$5:$F$200,MATCH("DRV|"&amp;S64,Factors_ROT!$A$5:$A$200,0)),1)*IFERROR(INDEX(Factors_ROT!$F$5:$F$200,MATCH("NACE|"&amp;O64,Factors_ROT!$A$5:$A$200,0)),1)</f>
        <v>1.05</v>
      </c>
      <c r="AW64" s="36">
        <f>IFERROR(INDEX(Factors_ROT!$F$5:$F$200,MATCH("SC_DRV|"&amp;AL64,Factors_ROT!$A$5:$A$200,0)),1)*IFERROR(INDEX(Factors_ROT!$F$5:$F$200,MATCH("SC_BSP|"&amp;AM64,Factors_ROT!$A$5:$A$200,0)),1)*IFERROR(INDEX(Factors_ROT!$F$5:$F$200,MATCH("SC_SEAL|"&amp;AN64,Factors_ROT!$A$5:$A$200,0)),1)*IFERROR(INDEX(Factors_ROT!$F$5:$F$200,MATCH("SC_COMM|"&amp;AO64,Factors_ROT!$A$5:$A$200,0)),1)*IFERROR(INDEX(Factors_ROT!$F$5:$F$200,MATCH("SC_2Y|"&amp;AP64,Factors_ROT!$A$5:$A$200,0)),1)*IFERROR(INDEX(Factors_ROT!$F$5:$F$200,MATCH("SC_TPI|"&amp;AQ64,Factors_ROT!$A$5:$A$200,0)),1)*IFERROR(INDEX(Factors_ROT!$F$5:$F$200,MATCH("SC_FAT|"&amp;AR64,Factors_ROT!$A$5:$A$200,0)),1)</f>
        <v>1</v>
      </c>
      <c r="AX64" s="36">
        <f t="shared" si="8"/>
        <v>1.7849999999999999</v>
      </c>
      <c r="AY64" s="35">
        <f t="shared" si="9"/>
        <v>8403.361344537816</v>
      </c>
      <c r="AZ64" s="37">
        <f>IFERROR(IF(N(INDEX(Escalation_Index!$B$5:$B$25,MATCH(Y64,Escalation_Index!$A$5:$A$25,0)))&gt;0,INDEX(Escalation_Index!$B$5:$B$25,MATCH(Y64,Escalation_Index!$A$5:$A$25,0)),""),"")</f>
        <v>91.346999999999994</v>
      </c>
      <c r="BA64" s="37">
        <f>IF(ISNUMBER('Assumptions &amp; FX Reference'!$I$12),'Assumptions &amp; FX Reference'!$I$12,"")</f>
        <v>123.416</v>
      </c>
      <c r="BB64" s="33" t="str">
        <f t="shared" si="10"/>
        <v>Y</v>
      </c>
      <c r="BC64" s="35">
        <f t="shared" si="11"/>
        <v>14005.60224089636</v>
      </c>
      <c r="BD64" s="35">
        <f>IF(AND(ISNUMBER(BC64),ISNUMBER(K64)),IF(K64&gt;0,BC64/K64^'Assumptions &amp; FX Reference'!$I$16,""),"")</f>
        <v>4533.4870380232433</v>
      </c>
      <c r="BE64" s="30" t="s">
        <v>556</v>
      </c>
      <c r="BF64" s="30" t="s">
        <v>557</v>
      </c>
      <c r="BG64" s="30" t="s">
        <v>361</v>
      </c>
    </row>
    <row r="65" spans="1:59" ht="24" customHeight="1">
      <c r="A65" s="30">
        <v>61</v>
      </c>
      <c r="B65" s="30" t="s">
        <v>477</v>
      </c>
      <c r="C65" s="30" t="s">
        <v>550</v>
      </c>
      <c r="D65" s="30" t="s">
        <v>558</v>
      </c>
      <c r="E65" s="30" t="s">
        <v>41</v>
      </c>
      <c r="F65" s="30" t="s">
        <v>128</v>
      </c>
      <c r="G65" s="30" t="s">
        <v>107</v>
      </c>
      <c r="H65" s="31">
        <v>173</v>
      </c>
      <c r="I65" s="31">
        <v>186.3</v>
      </c>
      <c r="J65" s="31"/>
      <c r="K65" s="32">
        <f>IF(ISNUMBER(J65),J65,IF(AND(ISNUMBER(H65),ISNUMBER(I65)),H65*I65/(367*'Assumptions &amp; FX Reference'!$I$17),""))</f>
        <v>146.36648501362399</v>
      </c>
      <c r="L65" s="33" t="str">
        <f t="shared" si="6"/>
        <v>API 610 + IPS-G-PM-105 + NACE MR0175</v>
      </c>
      <c r="M65" s="30" t="s">
        <v>470</v>
      </c>
      <c r="N65" s="30" t="s">
        <v>471</v>
      </c>
      <c r="O65" s="30" t="s">
        <v>361</v>
      </c>
      <c r="P65" s="30" t="s">
        <v>119</v>
      </c>
      <c r="Q65" s="30" t="s">
        <v>119</v>
      </c>
      <c r="R65" s="30" t="s">
        <v>119</v>
      </c>
      <c r="S65" s="38" t="s">
        <v>297</v>
      </c>
      <c r="T65" s="30" t="s">
        <v>298</v>
      </c>
      <c r="U65" s="30">
        <v>3</v>
      </c>
      <c r="V65" s="30" t="s">
        <v>299</v>
      </c>
      <c r="W65" s="31">
        <v>18</v>
      </c>
      <c r="X65" s="30" t="s">
        <v>119</v>
      </c>
      <c r="Y65" s="38">
        <v>1393</v>
      </c>
      <c r="Z65" s="30" t="s">
        <v>355</v>
      </c>
      <c r="AA65" s="34">
        <v>60000</v>
      </c>
      <c r="AB65" s="35">
        <f>IF(NOT(ISNUMBER(AA65)),"(Not stated)",IF(NOT(ISNUMBER(Y65)),"(Cost year not stated)",IFERROR(IF(Z65="EUR",AA65,IF(Z65="IRR",AA65/INDEX('Assumptions &amp; FX Reference'!$C$5:$C$25,MATCH(Y65,'Assumptions &amp; FX Reference'!$A$5:$A$25,0)),IF(Z65="USD",AA65*INDEX('Assumptions &amp; FX Reference'!$B$5:$B$25,MATCH(Y65,'Assumptions &amp; FX Reference'!$A$5:$A$25,0))/INDEX('Assumptions &amp; FX Reference'!$C$5:$C$25,MATCH(Y65,'Assumptions &amp; FX Reference'!$A$5:$A$25,0)),"(Currency?)"))),"(FX rate missing)")))</f>
        <v>60000</v>
      </c>
      <c r="AC65" s="35">
        <f>IF(NOT(ISNUMBER(AA65)),"(Not stated)",IF(NOT(ISNUMBER(Y65)),"(Cost year not stated)",IFERROR(IF(Z65="USD",AA65,IF(Z65="IRR",AA65/INDEX('Assumptions &amp; FX Reference'!$B$5:$B$25,MATCH(Y65,'Assumptions &amp; FX Reference'!$A$5:$A$25,0)),IF(Z65="EUR",AA65*INDEX('Assumptions &amp; FX Reference'!$C$5:$C$25,MATCH(Y65,'Assumptions &amp; FX Reference'!$A$5:$A$25,0))/INDEX('Assumptions &amp; FX Reference'!$B$5:$B$25,MATCH(Y65,'Assumptions &amp; FX Reference'!$A$5:$A$25,0)),"(Currency?)"))),"(FX rate missing)")))</f>
        <v>78446.709677419349</v>
      </c>
      <c r="AD65" s="35">
        <f>IF(NOT(ISNUMBER(AA65)),"(Not stated)",IF(NOT(ISNUMBER(Y65)),"(Cost year not stated)",IFERROR(IF(Z65="IRR",AA65,IF(Z65="USD",AA65*INDEX('Assumptions &amp; FX Reference'!$B$5:$B$25,MATCH(Y65,'Assumptions &amp; FX Reference'!$A$5:$A$25,0)),IF(Z65="EUR",AA65*INDEX('Assumptions &amp; FX Reference'!$C$5:$C$25,MATCH(Y65,'Assumptions &amp; FX Reference'!$A$5:$A$25,0)),"(Currency?)"))),"(FX rate missing)")))</f>
        <v>2431848000</v>
      </c>
      <c r="AE65" s="30" t="s">
        <v>472</v>
      </c>
      <c r="AF65" s="38" t="s">
        <v>204</v>
      </c>
      <c r="AG65" s="35">
        <f>IF(AND(Z65="EUR",N(AA65)&gt;5000000),"(Check currency – excluded)",IF(AND(ISNUMBER(AB65),ISNUMBER(AZ65),ISNUMBER(BA65)),IF(AND(BB65="Y",ISNUMBER('Assumptions &amp; FX Reference'!$I$15)),MAX(AB65*BA65/AZ65,'Assumptions &amp; FX Reference'!$I$13*BA65/'Assumptions &amp; FX Reference'!$I$15),AB65*BA65/AZ65),"(PPI/FX missing)"))</f>
        <v>81064.074353837568</v>
      </c>
      <c r="AH65" s="35">
        <f>IF(AND(ISNUMBER(AG65),ISNUMBER('Assumptions &amp; FX Reference'!$I$8),ISNUMBER('Assumptions &amp; FX Reference'!$I$11)),AG65*'Assumptions &amp; FX Reference'!$I$8/'Assumptions &amp; FX Reference'!$I$11,"")</f>
        <v>85586.078219077768</v>
      </c>
      <c r="AI65" s="35">
        <f>IF(AND(ISNUMBER(AG65),ISNUMBER('Assumptions &amp; FX Reference'!$I$8)),AG65*'Assumptions &amp; FX Reference'!$I$8,"")</f>
        <v>56361256847.843941</v>
      </c>
      <c r="AJ65" s="30" t="s">
        <v>473</v>
      </c>
      <c r="AK65" s="30" t="s">
        <v>474</v>
      </c>
      <c r="AL65" s="30" t="s">
        <v>119</v>
      </c>
      <c r="AM65" s="30" t="s">
        <v>119</v>
      </c>
      <c r="AN65" s="30" t="s">
        <v>119</v>
      </c>
      <c r="AO65" s="30" t="s">
        <v>119</v>
      </c>
      <c r="AP65" s="30" t="s">
        <v>119</v>
      </c>
      <c r="AQ65" s="38" t="s">
        <v>305</v>
      </c>
      <c r="AR65" s="30" t="s">
        <v>119</v>
      </c>
      <c r="AS65" s="33" t="str">
        <f t="shared" si="7"/>
        <v xml:space="preserve">Seal missing; </v>
      </c>
      <c r="AT65" s="36">
        <f>IFERROR(INDEX(Factors_ROT!$F$5:$F$200,MATCH("MAT|"&amp;G65,Factors_ROT!$A$5:$A$200,0)),1)</f>
        <v>1.7</v>
      </c>
      <c r="AU65" s="36">
        <f>IFERROR(INDEX(Factors_ROT!$F$5:$F$200,MATCH("SEAL_ARR|"&amp;P65,Factors_ROT!$A$5:$A$200,0)),1)*IFERROR(INDEX(Factors_ROT!$F$5:$F$200,MATCH("SEAL_CAT|"&amp;Q65,Factors_ROT!$A$5:$A$200,0)),1)*IFERROR(INDEX(Factors_ROT!$F$5:$F$200,MATCH("SEAL_PLAN|"&amp;R65,Factors_ROT!$A$5:$A$200,0)),1)</f>
        <v>1</v>
      </c>
      <c r="AV65" s="36">
        <f>IFERROR(INDEX(Factors_ROT!$F$5:$F$200,MATCH("DRV|"&amp;S65,Factors_ROT!$A$5:$A$200,0)),1)*IFERROR(INDEX(Factors_ROT!$F$5:$F$200,MATCH("NACE|"&amp;O65,Factors_ROT!$A$5:$A$200,0)),1)</f>
        <v>1.05</v>
      </c>
      <c r="AW65" s="36">
        <f>IFERROR(INDEX(Factors_ROT!$F$5:$F$200,MATCH("SC_DRV|"&amp;AL65,Factors_ROT!$A$5:$A$200,0)),1)*IFERROR(INDEX(Factors_ROT!$F$5:$F$200,MATCH("SC_BSP|"&amp;AM65,Factors_ROT!$A$5:$A$200,0)),1)*IFERROR(INDEX(Factors_ROT!$F$5:$F$200,MATCH("SC_SEAL|"&amp;AN65,Factors_ROT!$A$5:$A$200,0)),1)*IFERROR(INDEX(Factors_ROT!$F$5:$F$200,MATCH("SC_COMM|"&amp;AO65,Factors_ROT!$A$5:$A$200,0)),1)*IFERROR(INDEX(Factors_ROT!$F$5:$F$200,MATCH("SC_2Y|"&amp;AP65,Factors_ROT!$A$5:$A$200,0)),1)*IFERROR(INDEX(Factors_ROT!$F$5:$F$200,MATCH("SC_TPI|"&amp;AQ65,Factors_ROT!$A$5:$A$200,0)),1)*IFERROR(INDEX(Factors_ROT!$F$5:$F$200,MATCH("SC_FAT|"&amp;AR65,Factors_ROT!$A$5:$A$200,0)),1)</f>
        <v>1</v>
      </c>
      <c r="AX65" s="36">
        <f t="shared" si="8"/>
        <v>1.7849999999999999</v>
      </c>
      <c r="AY65" s="35">
        <f t="shared" si="9"/>
        <v>33613.445378151264</v>
      </c>
      <c r="AZ65" s="37">
        <f>IFERROR(IF(N(INDEX(Escalation_Index!$B$5:$B$25,MATCH(Y65,Escalation_Index!$A$5:$A$25,0)))&gt;0,INDEX(Escalation_Index!$B$5:$B$25,MATCH(Y65,Escalation_Index!$A$5:$A$25,0)),""),"")</f>
        <v>91.346999999999994</v>
      </c>
      <c r="BA65" s="37">
        <f>IF(ISNUMBER('Assumptions &amp; FX Reference'!$I$12),'Assumptions &amp; FX Reference'!$I$12,"")</f>
        <v>123.416</v>
      </c>
      <c r="BB65" s="33" t="str">
        <f t="shared" si="10"/>
        <v>Y</v>
      </c>
      <c r="BC65" s="35">
        <f t="shared" si="11"/>
        <v>45414.047257051861</v>
      </c>
      <c r="BD65" s="35">
        <f>IF(AND(ISNUMBER(BC65),ISNUMBER(K65)),IF(K65&gt;0,BC65/K65^'Assumptions &amp; FX Reference'!$I$16,""),"")</f>
        <v>2279.9494677377875</v>
      </c>
      <c r="BE65" s="30" t="s">
        <v>559</v>
      </c>
      <c r="BF65" s="30" t="s">
        <v>560</v>
      </c>
      <c r="BG65" s="30" t="s">
        <v>361</v>
      </c>
    </row>
    <row r="66" spans="1:59" ht="24" customHeight="1">
      <c r="A66" s="30">
        <v>62</v>
      </c>
      <c r="B66" s="30" t="s">
        <v>481</v>
      </c>
      <c r="C66" s="30" t="s">
        <v>550</v>
      </c>
      <c r="D66" s="30" t="s">
        <v>561</v>
      </c>
      <c r="E66" s="30" t="s">
        <v>50</v>
      </c>
      <c r="F66" s="30" t="s">
        <v>188</v>
      </c>
      <c r="G66" s="30" t="s">
        <v>107</v>
      </c>
      <c r="H66" s="31">
        <v>5</v>
      </c>
      <c r="I66" s="31"/>
      <c r="J66" s="31"/>
      <c r="K66" s="32" t="str">
        <f>IF(ISNUMBER(J66),J66,IF(AND(ISNUMBER(H66),ISNUMBER(I66)),H66*I66/(367*'Assumptions &amp; FX Reference'!$I$17),""))</f>
        <v/>
      </c>
      <c r="L66" s="33" t="str">
        <f t="shared" si="6"/>
        <v>API 676 + IPS-M-PM-140 + NACE MR0175</v>
      </c>
      <c r="M66" s="30" t="s">
        <v>483</v>
      </c>
      <c r="N66" s="30" t="s">
        <v>484</v>
      </c>
      <c r="O66" s="30" t="s">
        <v>361</v>
      </c>
      <c r="P66" s="30" t="s">
        <v>119</v>
      </c>
      <c r="Q66" s="30" t="s">
        <v>119</v>
      </c>
      <c r="R66" s="30" t="s">
        <v>119</v>
      </c>
      <c r="S66" s="38" t="s">
        <v>297</v>
      </c>
      <c r="T66" s="30" t="s">
        <v>424</v>
      </c>
      <c r="U66" s="30">
        <v>2</v>
      </c>
      <c r="V66" s="30" t="s">
        <v>485</v>
      </c>
      <c r="W66" s="31">
        <v>6.5</v>
      </c>
      <c r="X66" s="30" t="s">
        <v>119</v>
      </c>
      <c r="Y66" s="38">
        <v>1393</v>
      </c>
      <c r="Z66" s="30" t="s">
        <v>355</v>
      </c>
      <c r="AA66" s="34">
        <v>10000</v>
      </c>
      <c r="AB66" s="35">
        <f>IF(NOT(ISNUMBER(AA66)),"(Not stated)",IF(NOT(ISNUMBER(Y66)),"(Cost year not stated)",IFERROR(IF(Z66="EUR",AA66,IF(Z66="IRR",AA66/INDEX('Assumptions &amp; FX Reference'!$C$5:$C$25,MATCH(Y66,'Assumptions &amp; FX Reference'!$A$5:$A$25,0)),IF(Z66="USD",AA66*INDEX('Assumptions &amp; FX Reference'!$B$5:$B$25,MATCH(Y66,'Assumptions &amp; FX Reference'!$A$5:$A$25,0))/INDEX('Assumptions &amp; FX Reference'!$C$5:$C$25,MATCH(Y66,'Assumptions &amp; FX Reference'!$A$5:$A$25,0)),"(Currency?)"))),"(FX rate missing)")))</f>
        <v>10000</v>
      </c>
      <c r="AC66" s="35">
        <f>IF(NOT(ISNUMBER(AA66)),"(Not stated)",IF(NOT(ISNUMBER(Y66)),"(Cost year not stated)",IFERROR(IF(Z66="USD",AA66,IF(Z66="IRR",AA66/INDEX('Assumptions &amp; FX Reference'!$B$5:$B$25,MATCH(Y66,'Assumptions &amp; FX Reference'!$A$5:$A$25,0)),IF(Z66="EUR",AA66*INDEX('Assumptions &amp; FX Reference'!$C$5:$C$25,MATCH(Y66,'Assumptions &amp; FX Reference'!$A$5:$A$25,0))/INDEX('Assumptions &amp; FX Reference'!$B$5:$B$25,MATCH(Y66,'Assumptions &amp; FX Reference'!$A$5:$A$25,0)),"(Currency?)"))),"(FX rate missing)")))</f>
        <v>13074.451612903225</v>
      </c>
      <c r="AD66" s="35">
        <f>IF(NOT(ISNUMBER(AA66)),"(Not stated)",IF(NOT(ISNUMBER(Y66)),"(Cost year not stated)",IFERROR(IF(Z66="IRR",AA66,IF(Z66="USD",AA66*INDEX('Assumptions &amp; FX Reference'!$B$5:$B$25,MATCH(Y66,'Assumptions &amp; FX Reference'!$A$5:$A$25,0)),IF(Z66="EUR",AA66*INDEX('Assumptions &amp; FX Reference'!$C$5:$C$25,MATCH(Y66,'Assumptions &amp; FX Reference'!$A$5:$A$25,0)),"(Currency?)"))),"(FX rate missing)")))</f>
        <v>405308000</v>
      </c>
      <c r="AE66" s="30" t="s">
        <v>472</v>
      </c>
      <c r="AF66" s="38" t="s">
        <v>204</v>
      </c>
      <c r="AG66" s="35">
        <f>IF(AND(Z66="EUR",N(AA66)&gt;5000000),"(Check currency – excluded)",IF(AND(ISNUMBER(AB66),ISNUMBER(AZ66),ISNUMBER(BA66)),IF(AND(BB66="Y",ISNUMBER('Assumptions &amp; FX Reference'!$I$15)),MAX(AB66*BA66/AZ66,'Assumptions &amp; FX Reference'!$I$13*BA66/'Assumptions &amp; FX Reference'!$I$15),AB66*BA66/AZ66),"(PPI/FX missing)"))</f>
        <v>13510.679058972928</v>
      </c>
      <c r="AH66" s="35">
        <f>IF(AND(ISNUMBER(AG66),ISNUMBER('Assumptions &amp; FX Reference'!$I$8),ISNUMBER('Assumptions &amp; FX Reference'!$I$11)),AG66*'Assumptions &amp; FX Reference'!$I$8/'Assumptions &amp; FX Reference'!$I$11,"")</f>
        <v>14264.346369846295</v>
      </c>
      <c r="AI66" s="35">
        <f>IF(AND(ISNUMBER(AG66),ISNUMBER('Assumptions &amp; FX Reference'!$I$8)),AG66*'Assumptions &amp; FX Reference'!$I$8,"")</f>
        <v>9393542807.9739895</v>
      </c>
      <c r="AJ66" s="30" t="s">
        <v>473</v>
      </c>
      <c r="AK66" s="30" t="s">
        <v>474</v>
      </c>
      <c r="AL66" s="30" t="s">
        <v>119</v>
      </c>
      <c r="AM66" s="30" t="s">
        <v>119</v>
      </c>
      <c r="AN66" s="30" t="s">
        <v>119</v>
      </c>
      <c r="AO66" s="30" t="s">
        <v>119</v>
      </c>
      <c r="AP66" s="30" t="s">
        <v>119</v>
      </c>
      <c r="AQ66" s="38" t="s">
        <v>305</v>
      </c>
      <c r="AR66" s="30" t="s">
        <v>119</v>
      </c>
      <c r="AS66" s="33" t="str">
        <f t="shared" si="7"/>
        <v xml:space="preserve">Seal missing; Size driver missing; </v>
      </c>
      <c r="AT66" s="36">
        <f>IFERROR(INDEX(Factors_ROT!$F$5:$F$200,MATCH("MAT|"&amp;G66,Factors_ROT!$A$5:$A$200,0)),1)</f>
        <v>1.7</v>
      </c>
      <c r="AU66" s="36">
        <f>IFERROR(INDEX(Factors_ROT!$F$5:$F$200,MATCH("SEAL_ARR|"&amp;P66,Factors_ROT!$A$5:$A$200,0)),1)*IFERROR(INDEX(Factors_ROT!$F$5:$F$200,MATCH("SEAL_CAT|"&amp;Q66,Factors_ROT!$A$5:$A$200,0)),1)*IFERROR(INDEX(Factors_ROT!$F$5:$F$200,MATCH("SEAL_PLAN|"&amp;R66,Factors_ROT!$A$5:$A$200,0)),1)</f>
        <v>1</v>
      </c>
      <c r="AV66" s="36">
        <f>IFERROR(INDEX(Factors_ROT!$F$5:$F$200,MATCH("DRV|"&amp;S66,Factors_ROT!$A$5:$A$200,0)),1)*IFERROR(INDEX(Factors_ROT!$F$5:$F$200,MATCH("NACE|"&amp;O66,Factors_ROT!$A$5:$A$200,0)),1)</f>
        <v>1.05</v>
      </c>
      <c r="AW66" s="36">
        <f>IFERROR(INDEX(Factors_ROT!$F$5:$F$200,MATCH("SC_DRV|"&amp;AL66,Factors_ROT!$A$5:$A$200,0)),1)*IFERROR(INDEX(Factors_ROT!$F$5:$F$200,MATCH("SC_BSP|"&amp;AM66,Factors_ROT!$A$5:$A$200,0)),1)*IFERROR(INDEX(Factors_ROT!$F$5:$F$200,MATCH("SC_SEAL|"&amp;AN66,Factors_ROT!$A$5:$A$200,0)),1)*IFERROR(INDEX(Factors_ROT!$F$5:$F$200,MATCH("SC_COMM|"&amp;AO66,Factors_ROT!$A$5:$A$200,0)),1)*IFERROR(INDEX(Factors_ROT!$F$5:$F$200,MATCH("SC_2Y|"&amp;AP66,Factors_ROT!$A$5:$A$200,0)),1)*IFERROR(INDEX(Factors_ROT!$F$5:$F$200,MATCH("SC_TPI|"&amp;AQ66,Factors_ROT!$A$5:$A$200,0)),1)*IFERROR(INDEX(Factors_ROT!$F$5:$F$200,MATCH("SC_FAT|"&amp;AR66,Factors_ROT!$A$5:$A$200,0)),1)</f>
        <v>1</v>
      </c>
      <c r="AX66" s="36">
        <f t="shared" si="8"/>
        <v>1.7849999999999999</v>
      </c>
      <c r="AY66" s="35">
        <f t="shared" si="9"/>
        <v>5602.240896358544</v>
      </c>
      <c r="AZ66" s="37">
        <f>IFERROR(IF(N(INDEX(Escalation_Index!$B$5:$B$25,MATCH(Y66,Escalation_Index!$A$5:$A$25,0)))&gt;0,INDEX(Escalation_Index!$B$5:$B$25,MATCH(Y66,Escalation_Index!$A$5:$A$25,0)),""),"")</f>
        <v>91.346999999999994</v>
      </c>
      <c r="BA66" s="37">
        <f>IF(ISNUMBER('Assumptions &amp; FX Reference'!$I$12),'Assumptions &amp; FX Reference'!$I$12,"")</f>
        <v>123.416</v>
      </c>
      <c r="BB66" s="33" t="str">
        <f t="shared" si="10"/>
        <v>N</v>
      </c>
      <c r="BC66" s="35">
        <f t="shared" si="11"/>
        <v>7569.0078761753102</v>
      </c>
      <c r="BD66" s="35" t="str">
        <f>IF(AND(ISNUMBER(BC66),ISNUMBER(K66)),IF(K66&gt;0,BC66/K66^'Assumptions &amp; FX Reference'!$I$16,""),"")</f>
        <v/>
      </c>
      <c r="BE66" s="30" t="s">
        <v>562</v>
      </c>
      <c r="BF66" s="30" t="s">
        <v>563</v>
      </c>
      <c r="BG66" s="30" t="s">
        <v>361</v>
      </c>
    </row>
    <row r="67" spans="1:59" ht="24" customHeight="1">
      <c r="A67" s="30">
        <v>63</v>
      </c>
      <c r="B67" s="30" t="s">
        <v>488</v>
      </c>
      <c r="C67" s="30" t="s">
        <v>550</v>
      </c>
      <c r="D67" s="30" t="s">
        <v>564</v>
      </c>
      <c r="E67" s="30" t="s">
        <v>44</v>
      </c>
      <c r="F67" s="30" t="s">
        <v>128</v>
      </c>
      <c r="G67" s="30" t="s">
        <v>111</v>
      </c>
      <c r="H67" s="31">
        <v>14.5</v>
      </c>
      <c r="I67" s="31">
        <v>27.6</v>
      </c>
      <c r="J67" s="31"/>
      <c r="K67" s="32">
        <f>IF(ISNUMBER(J67),J67,IF(AND(ISNUMBER(H67),ISNUMBER(I67)),H67*I67/(367*'Assumptions &amp; FX Reference'!$I$17),""))</f>
        <v>1.8174386920980929</v>
      </c>
      <c r="L67" s="33" t="str">
        <f t="shared" si="6"/>
        <v>API 610 + IPS-G-PM-105 + NACE MR0175</v>
      </c>
      <c r="M67" s="30" t="s">
        <v>470</v>
      </c>
      <c r="N67" s="30" t="s">
        <v>471</v>
      </c>
      <c r="O67" s="30" t="s">
        <v>361</v>
      </c>
      <c r="P67" s="30" t="s">
        <v>119</v>
      </c>
      <c r="Q67" s="30" t="s">
        <v>119</v>
      </c>
      <c r="R67" s="30" t="s">
        <v>119</v>
      </c>
      <c r="S67" s="38" t="s">
        <v>297</v>
      </c>
      <c r="T67" s="30" t="s">
        <v>319</v>
      </c>
      <c r="U67" s="30">
        <v>2</v>
      </c>
      <c r="V67" s="30" t="s">
        <v>299</v>
      </c>
      <c r="W67" s="31">
        <v>4</v>
      </c>
      <c r="X67" s="30" t="s">
        <v>119</v>
      </c>
      <c r="Y67" s="38">
        <v>1393</v>
      </c>
      <c r="Z67" s="30" t="s">
        <v>355</v>
      </c>
      <c r="AA67" s="34">
        <v>35000</v>
      </c>
      <c r="AB67" s="35">
        <f>IF(NOT(ISNUMBER(AA67)),"(Not stated)",IF(NOT(ISNUMBER(Y67)),"(Cost year not stated)",IFERROR(IF(Z67="EUR",AA67,IF(Z67="IRR",AA67/INDEX('Assumptions &amp; FX Reference'!$C$5:$C$25,MATCH(Y67,'Assumptions &amp; FX Reference'!$A$5:$A$25,0)),IF(Z67="USD",AA67*INDEX('Assumptions &amp; FX Reference'!$B$5:$B$25,MATCH(Y67,'Assumptions &amp; FX Reference'!$A$5:$A$25,0))/INDEX('Assumptions &amp; FX Reference'!$C$5:$C$25,MATCH(Y67,'Assumptions &amp; FX Reference'!$A$5:$A$25,0)),"(Currency?)"))),"(FX rate missing)")))</f>
        <v>35000</v>
      </c>
      <c r="AC67" s="35">
        <f>IF(NOT(ISNUMBER(AA67)),"(Not stated)",IF(NOT(ISNUMBER(Y67)),"(Cost year not stated)",IFERROR(IF(Z67="USD",AA67,IF(Z67="IRR",AA67/INDEX('Assumptions &amp; FX Reference'!$B$5:$B$25,MATCH(Y67,'Assumptions &amp; FX Reference'!$A$5:$A$25,0)),IF(Z67="EUR",AA67*INDEX('Assumptions &amp; FX Reference'!$C$5:$C$25,MATCH(Y67,'Assumptions &amp; FX Reference'!$A$5:$A$25,0))/INDEX('Assumptions &amp; FX Reference'!$B$5:$B$25,MATCH(Y67,'Assumptions &amp; FX Reference'!$A$5:$A$25,0)),"(Currency?)"))),"(FX rate missing)")))</f>
        <v>45760.580645161288</v>
      </c>
      <c r="AD67" s="35">
        <f>IF(NOT(ISNUMBER(AA67)),"(Not stated)",IF(NOT(ISNUMBER(Y67)),"(Cost year not stated)",IFERROR(IF(Z67="IRR",AA67,IF(Z67="USD",AA67*INDEX('Assumptions &amp; FX Reference'!$B$5:$B$25,MATCH(Y67,'Assumptions &amp; FX Reference'!$A$5:$A$25,0)),IF(Z67="EUR",AA67*INDEX('Assumptions &amp; FX Reference'!$C$5:$C$25,MATCH(Y67,'Assumptions &amp; FX Reference'!$A$5:$A$25,0)),"(Currency?)"))),"(FX rate missing)")))</f>
        <v>1418578000</v>
      </c>
      <c r="AE67" s="30" t="s">
        <v>472</v>
      </c>
      <c r="AF67" s="38" t="s">
        <v>204</v>
      </c>
      <c r="AG67" s="35">
        <f>IF(AND(Z67="EUR",N(AA67)&gt;5000000),"(Check currency – excluded)",IF(AND(ISNUMBER(AB67),ISNUMBER(AZ67),ISNUMBER(BA67)),IF(AND(BB67="Y",ISNUMBER('Assumptions &amp; FX Reference'!$I$15)),MAX(AB67*BA67/AZ67,'Assumptions &amp; FX Reference'!$I$13*BA67/'Assumptions &amp; FX Reference'!$I$15),AB67*BA67/AZ67),"(PPI/FX missing)"))</f>
        <v>47287.376706405252</v>
      </c>
      <c r="AH67" s="35">
        <f>IF(AND(ISNUMBER(AG67),ISNUMBER('Assumptions &amp; FX Reference'!$I$8),ISNUMBER('Assumptions &amp; FX Reference'!$I$11)),AG67*'Assumptions &amp; FX Reference'!$I$8/'Assumptions &amp; FX Reference'!$I$11,"")</f>
        <v>49925.212294462035</v>
      </c>
      <c r="AI67" s="35">
        <f>IF(AND(ISNUMBER(AG67),ISNUMBER('Assumptions &amp; FX Reference'!$I$8)),AG67*'Assumptions &amp; FX Reference'!$I$8,"")</f>
        <v>32877399827.908966</v>
      </c>
      <c r="AJ67" s="30" t="s">
        <v>473</v>
      </c>
      <c r="AK67" s="30" t="s">
        <v>474</v>
      </c>
      <c r="AL67" s="30" t="s">
        <v>119</v>
      </c>
      <c r="AM67" s="30" t="s">
        <v>119</v>
      </c>
      <c r="AN67" s="30" t="s">
        <v>119</v>
      </c>
      <c r="AO67" s="30" t="s">
        <v>119</v>
      </c>
      <c r="AP67" s="30" t="s">
        <v>119</v>
      </c>
      <c r="AQ67" s="38" t="s">
        <v>305</v>
      </c>
      <c r="AR67" s="30" t="s">
        <v>119</v>
      </c>
      <c r="AS67" s="33" t="str">
        <f t="shared" si="7"/>
        <v xml:space="preserve">Seal missing; </v>
      </c>
      <c r="AT67" s="36">
        <f>IFERROR(INDEX(Factors_ROT!$F$5:$F$200,MATCH("MAT|"&amp;G67,Factors_ROT!$A$5:$A$200,0)),1)</f>
        <v>1.9</v>
      </c>
      <c r="AU67" s="36">
        <f>IFERROR(INDEX(Factors_ROT!$F$5:$F$200,MATCH("SEAL_ARR|"&amp;P67,Factors_ROT!$A$5:$A$200,0)),1)*IFERROR(INDEX(Factors_ROT!$F$5:$F$200,MATCH("SEAL_CAT|"&amp;Q67,Factors_ROT!$A$5:$A$200,0)),1)*IFERROR(INDEX(Factors_ROT!$F$5:$F$200,MATCH("SEAL_PLAN|"&amp;R67,Factors_ROT!$A$5:$A$200,0)),1)</f>
        <v>1</v>
      </c>
      <c r="AV67" s="36">
        <f>IFERROR(INDEX(Factors_ROT!$F$5:$F$200,MATCH("DRV|"&amp;S67,Factors_ROT!$A$5:$A$200,0)),1)*IFERROR(INDEX(Factors_ROT!$F$5:$F$200,MATCH("NACE|"&amp;O67,Factors_ROT!$A$5:$A$200,0)),1)</f>
        <v>1.05</v>
      </c>
      <c r="AW67" s="36">
        <f>IFERROR(INDEX(Factors_ROT!$F$5:$F$200,MATCH("SC_DRV|"&amp;AL67,Factors_ROT!$A$5:$A$200,0)),1)*IFERROR(INDEX(Factors_ROT!$F$5:$F$200,MATCH("SC_BSP|"&amp;AM67,Factors_ROT!$A$5:$A$200,0)),1)*IFERROR(INDEX(Factors_ROT!$F$5:$F$200,MATCH("SC_SEAL|"&amp;AN67,Factors_ROT!$A$5:$A$200,0)),1)*IFERROR(INDEX(Factors_ROT!$F$5:$F$200,MATCH("SC_COMM|"&amp;AO67,Factors_ROT!$A$5:$A$200,0)),1)*IFERROR(INDEX(Factors_ROT!$F$5:$F$200,MATCH("SC_2Y|"&amp;AP67,Factors_ROT!$A$5:$A$200,0)),1)*IFERROR(INDEX(Factors_ROT!$F$5:$F$200,MATCH("SC_TPI|"&amp;AQ67,Factors_ROT!$A$5:$A$200,0)),1)*IFERROR(INDEX(Factors_ROT!$F$5:$F$200,MATCH("SC_FAT|"&amp;AR67,Factors_ROT!$A$5:$A$200,0)),1)</f>
        <v>1</v>
      </c>
      <c r="AX67" s="36">
        <f t="shared" si="8"/>
        <v>1.9949999999999999</v>
      </c>
      <c r="AY67" s="35">
        <f t="shared" si="9"/>
        <v>17543.859649122809</v>
      </c>
      <c r="AZ67" s="37">
        <f>IFERROR(IF(N(INDEX(Escalation_Index!$B$5:$B$25,MATCH(Y67,Escalation_Index!$A$5:$A$25,0)))&gt;0,INDEX(Escalation_Index!$B$5:$B$25,MATCH(Y67,Escalation_Index!$A$5:$A$25,0)),""),"")</f>
        <v>91.346999999999994</v>
      </c>
      <c r="BA67" s="37">
        <f>IF(ISNUMBER('Assumptions &amp; FX Reference'!$I$12),'Assumptions &amp; FX Reference'!$I$12,"")</f>
        <v>123.416</v>
      </c>
      <c r="BB67" s="33" t="str">
        <f t="shared" si="10"/>
        <v>Y</v>
      </c>
      <c r="BC67" s="35">
        <f t="shared" si="11"/>
        <v>23702.945717496368</v>
      </c>
      <c r="BD67" s="35">
        <f>IF(AND(ISNUMBER(BC67),ISNUMBER(K67)),IF(K67&gt;0,BC67/K67^'Assumptions &amp; FX Reference'!$I$16,""),"")</f>
        <v>16562.521694105068</v>
      </c>
      <c r="BE67" s="30" t="s">
        <v>565</v>
      </c>
      <c r="BF67" s="30" t="s">
        <v>566</v>
      </c>
      <c r="BG67" s="30" t="s">
        <v>361</v>
      </c>
    </row>
    <row r="68" spans="1:59" ht="24" customHeight="1">
      <c r="A68" s="30">
        <v>64</v>
      </c>
      <c r="B68" s="30" t="s">
        <v>492</v>
      </c>
      <c r="C68" s="30" t="s">
        <v>550</v>
      </c>
      <c r="D68" s="30" t="s">
        <v>567</v>
      </c>
      <c r="E68" s="30" t="s">
        <v>47</v>
      </c>
      <c r="F68" s="30" t="s">
        <v>149</v>
      </c>
      <c r="G68" s="30" t="s">
        <v>111</v>
      </c>
      <c r="H68" s="31">
        <v>44</v>
      </c>
      <c r="I68" s="31">
        <v>670</v>
      </c>
      <c r="J68" s="31"/>
      <c r="K68" s="32">
        <f>IF(ISNUMBER(J68),J68,IF(AND(ISNUMBER(H68),ISNUMBER(I68)),H68*I68/(367*'Assumptions &amp; FX Reference'!$I$17),""))</f>
        <v>133.87829246139873</v>
      </c>
      <c r="L68" s="33" t="str">
        <f t="shared" si="6"/>
        <v>API 610 + IPS-G-PM-105 + NACE MR0175</v>
      </c>
      <c r="M68" s="30" t="s">
        <v>470</v>
      </c>
      <c r="N68" s="30" t="s">
        <v>471</v>
      </c>
      <c r="O68" s="30" t="s">
        <v>361</v>
      </c>
      <c r="P68" s="30" t="s">
        <v>119</v>
      </c>
      <c r="Q68" s="30" t="s">
        <v>119</v>
      </c>
      <c r="R68" s="30" t="s">
        <v>119</v>
      </c>
      <c r="S68" s="38" t="s">
        <v>297</v>
      </c>
      <c r="T68" s="30" t="s">
        <v>326</v>
      </c>
      <c r="U68" s="30">
        <v>2</v>
      </c>
      <c r="V68" s="30" t="s">
        <v>299</v>
      </c>
      <c r="W68" s="31">
        <v>74.400000000000006</v>
      </c>
      <c r="X68" s="30" t="s">
        <v>119</v>
      </c>
      <c r="Y68" s="38">
        <v>1393</v>
      </c>
      <c r="Z68" s="30" t="s">
        <v>355</v>
      </c>
      <c r="AA68" s="34">
        <v>230000</v>
      </c>
      <c r="AB68" s="35">
        <f>IF(NOT(ISNUMBER(AA68)),"(Not stated)",IF(NOT(ISNUMBER(Y68)),"(Cost year not stated)",IFERROR(IF(Z68="EUR",AA68,IF(Z68="IRR",AA68/INDEX('Assumptions &amp; FX Reference'!$C$5:$C$25,MATCH(Y68,'Assumptions &amp; FX Reference'!$A$5:$A$25,0)),IF(Z68="USD",AA68*INDEX('Assumptions &amp; FX Reference'!$B$5:$B$25,MATCH(Y68,'Assumptions &amp; FX Reference'!$A$5:$A$25,0))/INDEX('Assumptions &amp; FX Reference'!$C$5:$C$25,MATCH(Y68,'Assumptions &amp; FX Reference'!$A$5:$A$25,0)),"(Currency?)"))),"(FX rate missing)")))</f>
        <v>230000</v>
      </c>
      <c r="AC68" s="35">
        <f>IF(NOT(ISNUMBER(AA68)),"(Not stated)",IF(NOT(ISNUMBER(Y68)),"(Cost year not stated)",IFERROR(IF(Z68="USD",AA68,IF(Z68="IRR",AA68/INDEX('Assumptions &amp; FX Reference'!$B$5:$B$25,MATCH(Y68,'Assumptions &amp; FX Reference'!$A$5:$A$25,0)),IF(Z68="EUR",AA68*INDEX('Assumptions &amp; FX Reference'!$C$5:$C$25,MATCH(Y68,'Assumptions &amp; FX Reference'!$A$5:$A$25,0))/INDEX('Assumptions &amp; FX Reference'!$B$5:$B$25,MATCH(Y68,'Assumptions &amp; FX Reference'!$A$5:$A$25,0)),"(Currency?)"))),"(FX rate missing)")))</f>
        <v>300712.38709677418</v>
      </c>
      <c r="AD68" s="35">
        <f>IF(NOT(ISNUMBER(AA68)),"(Not stated)",IF(NOT(ISNUMBER(Y68)),"(Cost year not stated)",IFERROR(IF(Z68="IRR",AA68,IF(Z68="USD",AA68*INDEX('Assumptions &amp; FX Reference'!$B$5:$B$25,MATCH(Y68,'Assumptions &amp; FX Reference'!$A$5:$A$25,0)),IF(Z68="EUR",AA68*INDEX('Assumptions &amp; FX Reference'!$C$5:$C$25,MATCH(Y68,'Assumptions &amp; FX Reference'!$A$5:$A$25,0)),"(Currency?)"))),"(FX rate missing)")))</f>
        <v>9322084000</v>
      </c>
      <c r="AE68" s="30" t="s">
        <v>472</v>
      </c>
      <c r="AF68" s="38" t="s">
        <v>204</v>
      </c>
      <c r="AG68" s="35">
        <f>IF(AND(Z68="EUR",N(AA68)&gt;5000000),"(Check currency – excluded)",IF(AND(ISNUMBER(AB68),ISNUMBER(AZ68),ISNUMBER(BA68)),IF(AND(BB68="Y",ISNUMBER('Assumptions &amp; FX Reference'!$I$15)),MAX(AB68*BA68/AZ68,'Assumptions &amp; FX Reference'!$I$13*BA68/'Assumptions &amp; FX Reference'!$I$15),AB68*BA68/AZ68),"(PPI/FX missing)"))</f>
        <v>310745.61835637735</v>
      </c>
      <c r="AH68" s="35">
        <f>IF(AND(ISNUMBER(AG68),ISNUMBER('Assumptions &amp; FX Reference'!$I$8),ISNUMBER('Assumptions &amp; FX Reference'!$I$11)),AG68*'Assumptions &amp; FX Reference'!$I$8/'Assumptions &amp; FX Reference'!$I$11,"")</f>
        <v>328079.96650646476</v>
      </c>
      <c r="AI68" s="35">
        <f>IF(AND(ISNUMBER(AG68),ISNUMBER('Assumptions &amp; FX Reference'!$I$8)),AG68*'Assumptions &amp; FX Reference'!$I$8,"")</f>
        <v>216051484583.40176</v>
      </c>
      <c r="AJ68" s="30" t="s">
        <v>473</v>
      </c>
      <c r="AK68" s="30" t="s">
        <v>474</v>
      </c>
      <c r="AL68" s="30" t="s">
        <v>119</v>
      </c>
      <c r="AM68" s="30" t="s">
        <v>119</v>
      </c>
      <c r="AN68" s="30" t="s">
        <v>119</v>
      </c>
      <c r="AO68" s="30" t="s">
        <v>119</v>
      </c>
      <c r="AP68" s="30" t="s">
        <v>119</v>
      </c>
      <c r="AQ68" s="38" t="s">
        <v>305</v>
      </c>
      <c r="AR68" s="30" t="s">
        <v>119</v>
      </c>
      <c r="AS68" s="33" t="str">
        <f t="shared" si="7"/>
        <v xml:space="preserve">Seal missing; </v>
      </c>
      <c r="AT68" s="36">
        <f>IFERROR(INDEX(Factors_ROT!$F$5:$F$200,MATCH("MAT|"&amp;G68,Factors_ROT!$A$5:$A$200,0)),1)</f>
        <v>1.9</v>
      </c>
      <c r="AU68" s="36">
        <f>IFERROR(INDEX(Factors_ROT!$F$5:$F$200,MATCH("SEAL_ARR|"&amp;P68,Factors_ROT!$A$5:$A$200,0)),1)*IFERROR(INDEX(Factors_ROT!$F$5:$F$200,MATCH("SEAL_CAT|"&amp;Q68,Factors_ROT!$A$5:$A$200,0)),1)*IFERROR(INDEX(Factors_ROT!$F$5:$F$200,MATCH("SEAL_PLAN|"&amp;R68,Factors_ROT!$A$5:$A$200,0)),1)</f>
        <v>1</v>
      </c>
      <c r="AV68" s="36">
        <f>IFERROR(INDEX(Factors_ROT!$F$5:$F$200,MATCH("DRV|"&amp;S68,Factors_ROT!$A$5:$A$200,0)),1)*IFERROR(INDEX(Factors_ROT!$F$5:$F$200,MATCH("NACE|"&amp;O68,Factors_ROT!$A$5:$A$200,0)),1)</f>
        <v>1.05</v>
      </c>
      <c r="AW68" s="36">
        <f>IFERROR(INDEX(Factors_ROT!$F$5:$F$200,MATCH("SC_DRV|"&amp;AL68,Factors_ROT!$A$5:$A$200,0)),1)*IFERROR(INDEX(Factors_ROT!$F$5:$F$200,MATCH("SC_BSP|"&amp;AM68,Factors_ROT!$A$5:$A$200,0)),1)*IFERROR(INDEX(Factors_ROT!$F$5:$F$200,MATCH("SC_SEAL|"&amp;AN68,Factors_ROT!$A$5:$A$200,0)),1)*IFERROR(INDEX(Factors_ROT!$F$5:$F$200,MATCH("SC_COMM|"&amp;AO68,Factors_ROT!$A$5:$A$200,0)),1)*IFERROR(INDEX(Factors_ROT!$F$5:$F$200,MATCH("SC_2Y|"&amp;AP68,Factors_ROT!$A$5:$A$200,0)),1)*IFERROR(INDEX(Factors_ROT!$F$5:$F$200,MATCH("SC_TPI|"&amp;AQ68,Factors_ROT!$A$5:$A$200,0)),1)*IFERROR(INDEX(Factors_ROT!$F$5:$F$200,MATCH("SC_FAT|"&amp;AR68,Factors_ROT!$A$5:$A$200,0)),1)</f>
        <v>1</v>
      </c>
      <c r="AX68" s="36">
        <f t="shared" si="8"/>
        <v>1.9949999999999999</v>
      </c>
      <c r="AY68" s="35">
        <f t="shared" si="9"/>
        <v>115288.22055137846</v>
      </c>
      <c r="AZ68" s="37">
        <f>IFERROR(IF(N(INDEX(Escalation_Index!$B$5:$B$25,MATCH(Y68,Escalation_Index!$A$5:$A$25,0)))&gt;0,INDEX(Escalation_Index!$B$5:$B$25,MATCH(Y68,Escalation_Index!$A$5:$A$25,0)),""),"")</f>
        <v>91.346999999999994</v>
      </c>
      <c r="BA68" s="37">
        <f>IF(ISNUMBER('Assumptions &amp; FX Reference'!$I$12),'Assumptions &amp; FX Reference'!$I$12,"")</f>
        <v>123.416</v>
      </c>
      <c r="BB68" s="33" t="str">
        <f t="shared" si="10"/>
        <v>Y</v>
      </c>
      <c r="BC68" s="35">
        <f t="shared" si="11"/>
        <v>155762.21471497611</v>
      </c>
      <c r="BD68" s="35">
        <f>IF(AND(ISNUMBER(BC68),ISNUMBER(K68)),IF(K68&gt;0,BC68/K68^'Assumptions &amp; FX Reference'!$I$16,""),"")</f>
        <v>8249.659332963909</v>
      </c>
      <c r="BE68" s="30" t="s">
        <v>568</v>
      </c>
      <c r="BF68" s="30" t="s">
        <v>569</v>
      </c>
      <c r="BG68" s="30" t="s">
        <v>361</v>
      </c>
    </row>
    <row r="69" spans="1:59" ht="24" customHeight="1">
      <c r="A69" s="30">
        <v>65</v>
      </c>
      <c r="B69" s="30" t="s">
        <v>496</v>
      </c>
      <c r="C69" s="30" t="s">
        <v>550</v>
      </c>
      <c r="D69" s="30" t="s">
        <v>570</v>
      </c>
      <c r="E69" s="30" t="s">
        <v>47</v>
      </c>
      <c r="F69" s="30" t="s">
        <v>149</v>
      </c>
      <c r="G69" s="30" t="s">
        <v>111</v>
      </c>
      <c r="H69" s="31">
        <v>22</v>
      </c>
      <c r="I69" s="31">
        <v>331</v>
      </c>
      <c r="J69" s="31"/>
      <c r="K69" s="32">
        <f>IF(ISNUMBER(J69),J69,IF(AND(ISNUMBER(H69),ISNUMBER(I69)),H69*I69/(367*'Assumptions &amp; FX Reference'!$I$17),""))</f>
        <v>33.06993642143506</v>
      </c>
      <c r="L69" s="33" t="str">
        <f t="shared" ref="L69:L100" si="12">IF(IF(OR(M69="Not stated",M69=""),""," + "&amp;M69)&amp;IF(OR(N69="None",N69=""),""," + "&amp;N69)&amp;IF(O69="Y"," + NACE MR0175","")="","Not stated",MID(IF(OR(M69="Not stated",M69=""),""," + "&amp;M69)&amp;IF(OR(N69="None",N69=""),""," + "&amp;N69)&amp;IF(O69="Y"," + NACE MR0175",""),4,300))</f>
        <v>API 610 + IPS-G-PM-105 + NACE MR0175</v>
      </c>
      <c r="M69" s="30" t="s">
        <v>470</v>
      </c>
      <c r="N69" s="30" t="s">
        <v>471</v>
      </c>
      <c r="O69" s="30" t="s">
        <v>361</v>
      </c>
      <c r="P69" s="30" t="s">
        <v>119</v>
      </c>
      <c r="Q69" s="30" t="s">
        <v>119</v>
      </c>
      <c r="R69" s="30" t="s">
        <v>119</v>
      </c>
      <c r="S69" s="38" t="s">
        <v>297</v>
      </c>
      <c r="T69" s="30" t="s">
        <v>326</v>
      </c>
      <c r="U69" s="30">
        <v>2</v>
      </c>
      <c r="V69" s="30" t="s">
        <v>299</v>
      </c>
      <c r="W69" s="31">
        <v>37.4</v>
      </c>
      <c r="X69" s="30" t="s">
        <v>119</v>
      </c>
      <c r="Y69" s="38">
        <v>1393</v>
      </c>
      <c r="Z69" s="30" t="s">
        <v>355</v>
      </c>
      <c r="AA69" s="34">
        <v>160000</v>
      </c>
      <c r="AB69" s="35">
        <f>IF(NOT(ISNUMBER(AA69)),"(Not stated)",IF(NOT(ISNUMBER(Y69)),"(Cost year not stated)",IFERROR(IF(Z69="EUR",AA69,IF(Z69="IRR",AA69/INDEX('Assumptions &amp; FX Reference'!$C$5:$C$25,MATCH(Y69,'Assumptions &amp; FX Reference'!$A$5:$A$25,0)),IF(Z69="USD",AA69*INDEX('Assumptions &amp; FX Reference'!$B$5:$B$25,MATCH(Y69,'Assumptions &amp; FX Reference'!$A$5:$A$25,0))/INDEX('Assumptions &amp; FX Reference'!$C$5:$C$25,MATCH(Y69,'Assumptions &amp; FX Reference'!$A$5:$A$25,0)),"(Currency?)"))),"(FX rate missing)")))</f>
        <v>160000</v>
      </c>
      <c r="AC69" s="35">
        <f>IF(NOT(ISNUMBER(AA69)),"(Not stated)",IF(NOT(ISNUMBER(Y69)),"(Cost year not stated)",IFERROR(IF(Z69="USD",AA69,IF(Z69="IRR",AA69/INDEX('Assumptions &amp; FX Reference'!$B$5:$B$25,MATCH(Y69,'Assumptions &amp; FX Reference'!$A$5:$A$25,0)),IF(Z69="EUR",AA69*INDEX('Assumptions &amp; FX Reference'!$C$5:$C$25,MATCH(Y69,'Assumptions &amp; FX Reference'!$A$5:$A$25,0))/INDEX('Assumptions &amp; FX Reference'!$B$5:$B$25,MATCH(Y69,'Assumptions &amp; FX Reference'!$A$5:$A$25,0)),"(Currency?)"))),"(FX rate missing)")))</f>
        <v>209191.22580645161</v>
      </c>
      <c r="AD69" s="35">
        <f>IF(NOT(ISNUMBER(AA69)),"(Not stated)",IF(NOT(ISNUMBER(Y69)),"(Cost year not stated)",IFERROR(IF(Z69="IRR",AA69,IF(Z69="USD",AA69*INDEX('Assumptions &amp; FX Reference'!$B$5:$B$25,MATCH(Y69,'Assumptions &amp; FX Reference'!$A$5:$A$25,0)),IF(Z69="EUR",AA69*INDEX('Assumptions &amp; FX Reference'!$C$5:$C$25,MATCH(Y69,'Assumptions &amp; FX Reference'!$A$5:$A$25,0)),"(Currency?)"))),"(FX rate missing)")))</f>
        <v>6484928000</v>
      </c>
      <c r="AE69" s="30" t="s">
        <v>472</v>
      </c>
      <c r="AF69" s="38" t="s">
        <v>204</v>
      </c>
      <c r="AG69" s="35">
        <f>IF(AND(Z69="EUR",N(AA69)&gt;5000000),"(Check currency – excluded)",IF(AND(ISNUMBER(AB69),ISNUMBER(AZ69),ISNUMBER(BA69)),IF(AND(BB69="Y",ISNUMBER('Assumptions &amp; FX Reference'!$I$15)),MAX(AB69*BA69/AZ69,'Assumptions &amp; FX Reference'!$I$13*BA69/'Assumptions &amp; FX Reference'!$I$15),AB69*BA69/AZ69),"(PPI/FX missing)"))</f>
        <v>216170.86494356685</v>
      </c>
      <c r="AH69" s="35">
        <f>IF(AND(ISNUMBER(AG69),ISNUMBER('Assumptions &amp; FX Reference'!$I$8),ISNUMBER('Assumptions &amp; FX Reference'!$I$11)),AG69*'Assumptions &amp; FX Reference'!$I$8/'Assumptions &amp; FX Reference'!$I$11,"")</f>
        <v>228229.54191754072</v>
      </c>
      <c r="AI69" s="35">
        <f>IF(AND(ISNUMBER(AG69),ISNUMBER('Assumptions &amp; FX Reference'!$I$8)),AG69*'Assumptions &amp; FX Reference'!$I$8,"")</f>
        <v>150296684927.58383</v>
      </c>
      <c r="AJ69" s="30" t="s">
        <v>473</v>
      </c>
      <c r="AK69" s="30" t="s">
        <v>474</v>
      </c>
      <c r="AL69" s="30" t="s">
        <v>119</v>
      </c>
      <c r="AM69" s="30" t="s">
        <v>119</v>
      </c>
      <c r="AN69" s="30" t="s">
        <v>119</v>
      </c>
      <c r="AO69" s="30" t="s">
        <v>119</v>
      </c>
      <c r="AP69" s="30" t="s">
        <v>119</v>
      </c>
      <c r="AQ69" s="38" t="s">
        <v>305</v>
      </c>
      <c r="AR69" s="30" t="s">
        <v>119</v>
      </c>
      <c r="AS69" s="33" t="str">
        <f t="shared" ref="AS69:AS100" si="13">IF(AND(Z69="EUR",N(AA69)&gt;5000000),"Check currency (EUR&gt;5M); ","")&amp;IF(NOT(ISNUMBER(AA69)),"No price; ","")&amp;IF(G69="Not stated","Material missing; ","")&amp;IF(P69="Not stated","Seal missing; ","")&amp;IF(K69="","Size driver missing; ","")&amp;IF(NOT(ISNUMBER(AZ69)),"Base-year PPI missing; ","")</f>
        <v xml:space="preserve">Seal missing; </v>
      </c>
      <c r="AT69" s="36">
        <f>IFERROR(INDEX(Factors_ROT!$F$5:$F$200,MATCH("MAT|"&amp;G69,Factors_ROT!$A$5:$A$200,0)),1)</f>
        <v>1.9</v>
      </c>
      <c r="AU69" s="36">
        <f>IFERROR(INDEX(Factors_ROT!$F$5:$F$200,MATCH("SEAL_ARR|"&amp;P69,Factors_ROT!$A$5:$A$200,0)),1)*IFERROR(INDEX(Factors_ROT!$F$5:$F$200,MATCH("SEAL_CAT|"&amp;Q69,Factors_ROT!$A$5:$A$200,0)),1)*IFERROR(INDEX(Factors_ROT!$F$5:$F$200,MATCH("SEAL_PLAN|"&amp;R69,Factors_ROT!$A$5:$A$200,0)),1)</f>
        <v>1</v>
      </c>
      <c r="AV69" s="36">
        <f>IFERROR(INDEX(Factors_ROT!$F$5:$F$200,MATCH("DRV|"&amp;S69,Factors_ROT!$A$5:$A$200,0)),1)*IFERROR(INDEX(Factors_ROT!$F$5:$F$200,MATCH("NACE|"&amp;O69,Factors_ROT!$A$5:$A$200,0)),1)</f>
        <v>1.05</v>
      </c>
      <c r="AW69" s="36">
        <f>IFERROR(INDEX(Factors_ROT!$F$5:$F$200,MATCH("SC_DRV|"&amp;AL69,Factors_ROT!$A$5:$A$200,0)),1)*IFERROR(INDEX(Factors_ROT!$F$5:$F$200,MATCH("SC_BSP|"&amp;AM69,Factors_ROT!$A$5:$A$200,0)),1)*IFERROR(INDEX(Factors_ROT!$F$5:$F$200,MATCH("SC_SEAL|"&amp;AN69,Factors_ROT!$A$5:$A$200,0)),1)*IFERROR(INDEX(Factors_ROT!$F$5:$F$200,MATCH("SC_COMM|"&amp;AO69,Factors_ROT!$A$5:$A$200,0)),1)*IFERROR(INDEX(Factors_ROT!$F$5:$F$200,MATCH("SC_2Y|"&amp;AP69,Factors_ROT!$A$5:$A$200,0)),1)*IFERROR(INDEX(Factors_ROT!$F$5:$F$200,MATCH("SC_TPI|"&amp;AQ69,Factors_ROT!$A$5:$A$200,0)),1)*IFERROR(INDEX(Factors_ROT!$F$5:$F$200,MATCH("SC_FAT|"&amp;AR69,Factors_ROT!$A$5:$A$200,0)),1)</f>
        <v>1</v>
      </c>
      <c r="AX69" s="36">
        <f t="shared" ref="AX69:AX100" si="14">AT69*AU69*AV69*AW69</f>
        <v>1.9949999999999999</v>
      </c>
      <c r="AY69" s="35">
        <f t="shared" ref="AY69:AY100" si="15">IF(ISNUMBER(AB69),AB69/AX69,"")</f>
        <v>80200.501253132839</v>
      </c>
      <c r="AZ69" s="37">
        <f>IFERROR(IF(N(INDEX(Escalation_Index!$B$5:$B$25,MATCH(Y69,Escalation_Index!$A$5:$A$25,0)))&gt;0,INDEX(Escalation_Index!$B$5:$B$25,MATCH(Y69,Escalation_Index!$A$5:$A$25,0)),""),"")</f>
        <v>91.346999999999994</v>
      </c>
      <c r="BA69" s="37">
        <f>IF(ISNUMBER('Assumptions &amp; FX Reference'!$I$12),'Assumptions &amp; FX Reference'!$I$12,"")</f>
        <v>123.416</v>
      </c>
      <c r="BB69" s="33" t="str">
        <f t="shared" ref="BB69:BB100" si="16">IF(AND(M69="API 610",LEFT(V69,11)="Centrifugal",OR(LEFT(G69,2)="S-",LEFT(G69,2)="D-")),"Y","N")</f>
        <v>Y</v>
      </c>
      <c r="BC69" s="35">
        <f t="shared" ref="BC69:BC100" si="17">IF(ISNUMBER(AG69),AG69/AX69,"")</f>
        <v>108356.32327998339</v>
      </c>
      <c r="BD69" s="35">
        <f>IF(AND(ISNUMBER(BC69),ISNUMBER(K69)),IF(K69&gt;0,BC69/K69^'Assumptions &amp; FX Reference'!$I$16,""),"")</f>
        <v>13279.882861926326</v>
      </c>
      <c r="BE69" s="30" t="s">
        <v>571</v>
      </c>
      <c r="BF69" s="30" t="s">
        <v>572</v>
      </c>
      <c r="BG69" s="30" t="s">
        <v>361</v>
      </c>
    </row>
    <row r="70" spans="1:59" ht="24" customHeight="1">
      <c r="A70" s="30">
        <v>66</v>
      </c>
      <c r="B70" s="30" t="s">
        <v>500</v>
      </c>
      <c r="C70" s="30" t="s">
        <v>550</v>
      </c>
      <c r="D70" s="30" t="s">
        <v>573</v>
      </c>
      <c r="E70" s="30" t="s">
        <v>44</v>
      </c>
      <c r="F70" s="30" t="s">
        <v>128</v>
      </c>
      <c r="G70" s="30" t="s">
        <v>83</v>
      </c>
      <c r="H70" s="31">
        <v>19</v>
      </c>
      <c r="I70" s="31">
        <v>168</v>
      </c>
      <c r="J70" s="31"/>
      <c r="K70" s="32">
        <f>IF(ISNUMBER(J70),J70,IF(AND(ISNUMBER(H70),ISNUMBER(I70)),H70*I70/(367*'Assumptions &amp; FX Reference'!$I$17),""))</f>
        <v>14.49591280653951</v>
      </c>
      <c r="L70" s="33" t="str">
        <f t="shared" si="12"/>
        <v>API 610 + IPS-G-PM-105</v>
      </c>
      <c r="M70" s="30" t="s">
        <v>470</v>
      </c>
      <c r="N70" s="30" t="s">
        <v>471</v>
      </c>
      <c r="O70" s="38" t="s">
        <v>305</v>
      </c>
      <c r="P70" s="30" t="s">
        <v>119</v>
      </c>
      <c r="Q70" s="30" t="s">
        <v>119</v>
      </c>
      <c r="R70" s="30" t="s">
        <v>119</v>
      </c>
      <c r="S70" s="38" t="s">
        <v>297</v>
      </c>
      <c r="T70" s="30" t="s">
        <v>319</v>
      </c>
      <c r="U70" s="30">
        <v>2</v>
      </c>
      <c r="V70" s="30" t="s">
        <v>299</v>
      </c>
      <c r="W70" s="31">
        <v>17.8</v>
      </c>
      <c r="X70" s="30" t="s">
        <v>119</v>
      </c>
      <c r="Y70" s="38">
        <v>1393</v>
      </c>
      <c r="Z70" s="30" t="s">
        <v>355</v>
      </c>
      <c r="AA70" s="34">
        <v>16500</v>
      </c>
      <c r="AB70" s="35">
        <f>IF(NOT(ISNUMBER(AA70)),"(Not stated)",IF(NOT(ISNUMBER(Y70)),"(Cost year not stated)",IFERROR(IF(Z70="EUR",AA70,IF(Z70="IRR",AA70/INDEX('Assumptions &amp; FX Reference'!$C$5:$C$25,MATCH(Y70,'Assumptions &amp; FX Reference'!$A$5:$A$25,0)),IF(Z70="USD",AA70*INDEX('Assumptions &amp; FX Reference'!$B$5:$B$25,MATCH(Y70,'Assumptions &amp; FX Reference'!$A$5:$A$25,0))/INDEX('Assumptions &amp; FX Reference'!$C$5:$C$25,MATCH(Y70,'Assumptions &amp; FX Reference'!$A$5:$A$25,0)),"(Currency?)"))),"(FX rate missing)")))</f>
        <v>16500</v>
      </c>
      <c r="AC70" s="35">
        <f>IF(NOT(ISNUMBER(AA70)),"(Not stated)",IF(NOT(ISNUMBER(Y70)),"(Cost year not stated)",IFERROR(IF(Z70="USD",AA70,IF(Z70="IRR",AA70/INDEX('Assumptions &amp; FX Reference'!$B$5:$B$25,MATCH(Y70,'Assumptions &amp; FX Reference'!$A$5:$A$25,0)),IF(Z70="EUR",AA70*INDEX('Assumptions &amp; FX Reference'!$C$5:$C$25,MATCH(Y70,'Assumptions &amp; FX Reference'!$A$5:$A$25,0))/INDEX('Assumptions &amp; FX Reference'!$B$5:$B$25,MATCH(Y70,'Assumptions &amp; FX Reference'!$A$5:$A$25,0)),"(Currency?)"))),"(FX rate missing)")))</f>
        <v>21572.845161290323</v>
      </c>
      <c r="AD70" s="35">
        <f>IF(NOT(ISNUMBER(AA70)),"(Not stated)",IF(NOT(ISNUMBER(Y70)),"(Cost year not stated)",IFERROR(IF(Z70="IRR",AA70,IF(Z70="USD",AA70*INDEX('Assumptions &amp; FX Reference'!$B$5:$B$25,MATCH(Y70,'Assumptions &amp; FX Reference'!$A$5:$A$25,0)),IF(Z70="EUR",AA70*INDEX('Assumptions &amp; FX Reference'!$C$5:$C$25,MATCH(Y70,'Assumptions &amp; FX Reference'!$A$5:$A$25,0)),"(Currency?)"))),"(FX rate missing)")))</f>
        <v>668758200</v>
      </c>
      <c r="AE70" s="30" t="s">
        <v>472</v>
      </c>
      <c r="AF70" s="38" t="s">
        <v>204</v>
      </c>
      <c r="AG70" s="35">
        <f>IF(AND(Z70="EUR",N(AA70)&gt;5000000),"(Check currency – excluded)",IF(AND(ISNUMBER(AB70),ISNUMBER(AZ70),ISNUMBER(BA70)),IF(AND(BB70="Y",ISNUMBER('Assumptions &amp; FX Reference'!$I$15)),MAX(AB70*BA70/AZ70,'Assumptions &amp; FX Reference'!$I$13*BA70/'Assumptions &amp; FX Reference'!$I$15),AB70*BA70/AZ70),"(PPI/FX missing)"))</f>
        <v>25000</v>
      </c>
      <c r="AH70" s="35">
        <f>IF(AND(ISNUMBER(AG70),ISNUMBER('Assumptions &amp; FX Reference'!$I$8),ISNUMBER('Assumptions &amp; FX Reference'!$I$11)),AG70*'Assumptions &amp; FX Reference'!$I$8/'Assumptions &amp; FX Reference'!$I$11,"")</f>
        <v>26394.577037141647</v>
      </c>
      <c r="AI70" s="35">
        <f>IF(AND(ISNUMBER(AG70),ISNUMBER('Assumptions &amp; FX Reference'!$I$8)),AG70*'Assumptions &amp; FX Reference'!$I$8,"")</f>
        <v>17381700000</v>
      </c>
      <c r="AJ70" s="30" t="s">
        <v>473</v>
      </c>
      <c r="AK70" s="30" t="s">
        <v>474</v>
      </c>
      <c r="AL70" s="30" t="s">
        <v>119</v>
      </c>
      <c r="AM70" s="30" t="s">
        <v>119</v>
      </c>
      <c r="AN70" s="30" t="s">
        <v>119</v>
      </c>
      <c r="AO70" s="30" t="s">
        <v>119</v>
      </c>
      <c r="AP70" s="30" t="s">
        <v>119</v>
      </c>
      <c r="AQ70" s="38" t="s">
        <v>305</v>
      </c>
      <c r="AR70" s="30" t="s">
        <v>119</v>
      </c>
      <c r="AS70" s="33" t="str">
        <f t="shared" si="13"/>
        <v xml:space="preserve">Seal missing; </v>
      </c>
      <c r="AT70" s="36">
        <f>IFERROR(INDEX(Factors_ROT!$F$5:$F$200,MATCH("MAT|"&amp;G70,Factors_ROT!$A$5:$A$200,0)),1)</f>
        <v>1</v>
      </c>
      <c r="AU70" s="36">
        <f>IFERROR(INDEX(Factors_ROT!$F$5:$F$200,MATCH("SEAL_ARR|"&amp;P70,Factors_ROT!$A$5:$A$200,0)),1)*IFERROR(INDEX(Factors_ROT!$F$5:$F$200,MATCH("SEAL_CAT|"&amp;Q70,Factors_ROT!$A$5:$A$200,0)),1)*IFERROR(INDEX(Factors_ROT!$F$5:$F$200,MATCH("SEAL_PLAN|"&amp;R70,Factors_ROT!$A$5:$A$200,0)),1)</f>
        <v>1</v>
      </c>
      <c r="AV70" s="36">
        <f>IFERROR(INDEX(Factors_ROT!$F$5:$F$200,MATCH("DRV|"&amp;S70,Factors_ROT!$A$5:$A$200,0)),1)*IFERROR(INDEX(Factors_ROT!$F$5:$F$200,MATCH("NACE|"&amp;O70,Factors_ROT!$A$5:$A$200,0)),1)</f>
        <v>1</v>
      </c>
      <c r="AW70" s="36">
        <f>IFERROR(INDEX(Factors_ROT!$F$5:$F$200,MATCH("SC_DRV|"&amp;AL70,Factors_ROT!$A$5:$A$200,0)),1)*IFERROR(INDEX(Factors_ROT!$F$5:$F$200,MATCH("SC_BSP|"&amp;AM70,Factors_ROT!$A$5:$A$200,0)),1)*IFERROR(INDEX(Factors_ROT!$F$5:$F$200,MATCH("SC_SEAL|"&amp;AN70,Factors_ROT!$A$5:$A$200,0)),1)*IFERROR(INDEX(Factors_ROT!$F$5:$F$200,MATCH("SC_COMM|"&amp;AO70,Factors_ROT!$A$5:$A$200,0)),1)*IFERROR(INDEX(Factors_ROT!$F$5:$F$200,MATCH("SC_2Y|"&amp;AP70,Factors_ROT!$A$5:$A$200,0)),1)*IFERROR(INDEX(Factors_ROT!$F$5:$F$200,MATCH("SC_TPI|"&amp;AQ70,Factors_ROT!$A$5:$A$200,0)),1)*IFERROR(INDEX(Factors_ROT!$F$5:$F$200,MATCH("SC_FAT|"&amp;AR70,Factors_ROT!$A$5:$A$200,0)),1)</f>
        <v>1</v>
      </c>
      <c r="AX70" s="36">
        <f t="shared" si="14"/>
        <v>1</v>
      </c>
      <c r="AY70" s="35">
        <f t="shared" si="15"/>
        <v>16500</v>
      </c>
      <c r="AZ70" s="37">
        <f>IFERROR(IF(N(INDEX(Escalation_Index!$B$5:$B$25,MATCH(Y70,Escalation_Index!$A$5:$A$25,0)))&gt;0,INDEX(Escalation_Index!$B$5:$B$25,MATCH(Y70,Escalation_Index!$A$5:$A$25,0)),""),"")</f>
        <v>91.346999999999994</v>
      </c>
      <c r="BA70" s="37">
        <f>IF(ISNUMBER('Assumptions &amp; FX Reference'!$I$12),'Assumptions &amp; FX Reference'!$I$12,"")</f>
        <v>123.416</v>
      </c>
      <c r="BB70" s="33" t="str">
        <f t="shared" si="16"/>
        <v>Y</v>
      </c>
      <c r="BC70" s="35">
        <f t="shared" si="17"/>
        <v>25000</v>
      </c>
      <c r="BD70" s="35">
        <f>IF(AND(ISNUMBER(BC70),ISNUMBER(K70)),IF(K70&gt;0,BC70/K70^'Assumptions &amp; FX Reference'!$I$16,""),"")</f>
        <v>5025.6549527099896</v>
      </c>
      <c r="BE70" s="30" t="s">
        <v>574</v>
      </c>
      <c r="BF70" s="30" t="s">
        <v>575</v>
      </c>
      <c r="BG70" s="30" t="s">
        <v>361</v>
      </c>
    </row>
    <row r="71" spans="1:59" ht="24" customHeight="1">
      <c r="A71" s="30">
        <v>67</v>
      </c>
      <c r="B71" s="30" t="s">
        <v>504</v>
      </c>
      <c r="C71" s="30" t="s">
        <v>550</v>
      </c>
      <c r="D71" s="30" t="s">
        <v>576</v>
      </c>
      <c r="E71" s="30" t="s">
        <v>44</v>
      </c>
      <c r="F71" s="30" t="s">
        <v>128</v>
      </c>
      <c r="G71" s="30" t="s">
        <v>83</v>
      </c>
      <c r="H71" s="31">
        <v>33</v>
      </c>
      <c r="I71" s="31">
        <v>168</v>
      </c>
      <c r="J71" s="31"/>
      <c r="K71" s="32">
        <f>IF(ISNUMBER(J71),J71,IF(AND(ISNUMBER(H71),ISNUMBER(I71)),H71*I71/(367*'Assumptions &amp; FX Reference'!$I$17),""))</f>
        <v>25.177111716621255</v>
      </c>
      <c r="L71" s="33" t="str">
        <f t="shared" si="12"/>
        <v>API 610 + IPS-G-PM-105</v>
      </c>
      <c r="M71" s="30" t="s">
        <v>470</v>
      </c>
      <c r="N71" s="30" t="s">
        <v>471</v>
      </c>
      <c r="O71" s="38" t="s">
        <v>305</v>
      </c>
      <c r="P71" s="30" t="s">
        <v>119</v>
      </c>
      <c r="Q71" s="30" t="s">
        <v>119</v>
      </c>
      <c r="R71" s="30" t="s">
        <v>119</v>
      </c>
      <c r="S71" s="38" t="s">
        <v>297</v>
      </c>
      <c r="T71" s="30" t="s">
        <v>319</v>
      </c>
      <c r="U71" s="30">
        <v>1</v>
      </c>
      <c r="V71" s="30" t="s">
        <v>299</v>
      </c>
      <c r="W71" s="31">
        <v>17.8</v>
      </c>
      <c r="X71" s="30" t="s">
        <v>119</v>
      </c>
      <c r="Y71" s="38">
        <v>1393</v>
      </c>
      <c r="Z71" s="30" t="s">
        <v>355</v>
      </c>
      <c r="AA71" s="34">
        <v>17500</v>
      </c>
      <c r="AB71" s="35">
        <f>IF(NOT(ISNUMBER(AA71)),"(Not stated)",IF(NOT(ISNUMBER(Y71)),"(Cost year not stated)",IFERROR(IF(Z71="EUR",AA71,IF(Z71="IRR",AA71/INDEX('Assumptions &amp; FX Reference'!$C$5:$C$25,MATCH(Y71,'Assumptions &amp; FX Reference'!$A$5:$A$25,0)),IF(Z71="USD",AA71*INDEX('Assumptions &amp; FX Reference'!$B$5:$B$25,MATCH(Y71,'Assumptions &amp; FX Reference'!$A$5:$A$25,0))/INDEX('Assumptions &amp; FX Reference'!$C$5:$C$25,MATCH(Y71,'Assumptions &amp; FX Reference'!$A$5:$A$25,0)),"(Currency?)"))),"(FX rate missing)")))</f>
        <v>17500</v>
      </c>
      <c r="AC71" s="35">
        <f>IF(NOT(ISNUMBER(AA71)),"(Not stated)",IF(NOT(ISNUMBER(Y71)),"(Cost year not stated)",IFERROR(IF(Z71="USD",AA71,IF(Z71="IRR",AA71/INDEX('Assumptions &amp; FX Reference'!$B$5:$B$25,MATCH(Y71,'Assumptions &amp; FX Reference'!$A$5:$A$25,0)),IF(Z71="EUR",AA71*INDEX('Assumptions &amp; FX Reference'!$C$5:$C$25,MATCH(Y71,'Assumptions &amp; FX Reference'!$A$5:$A$25,0))/INDEX('Assumptions &amp; FX Reference'!$B$5:$B$25,MATCH(Y71,'Assumptions &amp; FX Reference'!$A$5:$A$25,0)),"(Currency?)"))),"(FX rate missing)")))</f>
        <v>22880.290322580644</v>
      </c>
      <c r="AD71" s="35">
        <f>IF(NOT(ISNUMBER(AA71)),"(Not stated)",IF(NOT(ISNUMBER(Y71)),"(Cost year not stated)",IFERROR(IF(Z71="IRR",AA71,IF(Z71="USD",AA71*INDEX('Assumptions &amp; FX Reference'!$B$5:$B$25,MATCH(Y71,'Assumptions &amp; FX Reference'!$A$5:$A$25,0)),IF(Z71="EUR",AA71*INDEX('Assumptions &amp; FX Reference'!$C$5:$C$25,MATCH(Y71,'Assumptions &amp; FX Reference'!$A$5:$A$25,0)),"(Currency?)"))),"(FX rate missing)")))</f>
        <v>709289000</v>
      </c>
      <c r="AE71" s="30" t="s">
        <v>472</v>
      </c>
      <c r="AF71" s="38" t="s">
        <v>204</v>
      </c>
      <c r="AG71" s="35">
        <f>IF(AND(Z71="EUR",N(AA71)&gt;5000000),"(Check currency – excluded)",IF(AND(ISNUMBER(AB71),ISNUMBER(AZ71),ISNUMBER(BA71)),IF(AND(BB71="Y",ISNUMBER('Assumptions &amp; FX Reference'!$I$15)),MAX(AB71*BA71/AZ71,'Assumptions &amp; FX Reference'!$I$13*BA71/'Assumptions &amp; FX Reference'!$I$15),AB71*BA71/AZ71),"(PPI/FX missing)"))</f>
        <v>25000</v>
      </c>
      <c r="AH71" s="35">
        <f>IF(AND(ISNUMBER(AG71),ISNUMBER('Assumptions &amp; FX Reference'!$I$8),ISNUMBER('Assumptions &amp; FX Reference'!$I$11)),AG71*'Assumptions &amp; FX Reference'!$I$8/'Assumptions &amp; FX Reference'!$I$11,"")</f>
        <v>26394.577037141647</v>
      </c>
      <c r="AI71" s="35">
        <f>IF(AND(ISNUMBER(AG71),ISNUMBER('Assumptions &amp; FX Reference'!$I$8)),AG71*'Assumptions &amp; FX Reference'!$I$8,"")</f>
        <v>17381700000</v>
      </c>
      <c r="AJ71" s="30" t="s">
        <v>473</v>
      </c>
      <c r="AK71" s="30" t="s">
        <v>474</v>
      </c>
      <c r="AL71" s="30" t="s">
        <v>119</v>
      </c>
      <c r="AM71" s="30" t="s">
        <v>119</v>
      </c>
      <c r="AN71" s="30" t="s">
        <v>119</v>
      </c>
      <c r="AO71" s="30" t="s">
        <v>119</v>
      </c>
      <c r="AP71" s="30" t="s">
        <v>119</v>
      </c>
      <c r="AQ71" s="38" t="s">
        <v>305</v>
      </c>
      <c r="AR71" s="30" t="s">
        <v>119</v>
      </c>
      <c r="AS71" s="33" t="str">
        <f t="shared" si="13"/>
        <v xml:space="preserve">Seal missing; </v>
      </c>
      <c r="AT71" s="36">
        <f>IFERROR(INDEX(Factors_ROT!$F$5:$F$200,MATCH("MAT|"&amp;G71,Factors_ROT!$A$5:$A$200,0)),1)</f>
        <v>1</v>
      </c>
      <c r="AU71" s="36">
        <f>IFERROR(INDEX(Factors_ROT!$F$5:$F$200,MATCH("SEAL_ARR|"&amp;P71,Factors_ROT!$A$5:$A$200,0)),1)*IFERROR(INDEX(Factors_ROT!$F$5:$F$200,MATCH("SEAL_CAT|"&amp;Q71,Factors_ROT!$A$5:$A$200,0)),1)*IFERROR(INDEX(Factors_ROT!$F$5:$F$200,MATCH("SEAL_PLAN|"&amp;R71,Factors_ROT!$A$5:$A$200,0)),1)</f>
        <v>1</v>
      </c>
      <c r="AV71" s="36">
        <f>IFERROR(INDEX(Factors_ROT!$F$5:$F$200,MATCH("DRV|"&amp;S71,Factors_ROT!$A$5:$A$200,0)),1)*IFERROR(INDEX(Factors_ROT!$F$5:$F$200,MATCH("NACE|"&amp;O71,Factors_ROT!$A$5:$A$200,0)),1)</f>
        <v>1</v>
      </c>
      <c r="AW71" s="36">
        <f>IFERROR(INDEX(Factors_ROT!$F$5:$F$200,MATCH("SC_DRV|"&amp;AL71,Factors_ROT!$A$5:$A$200,0)),1)*IFERROR(INDEX(Factors_ROT!$F$5:$F$200,MATCH("SC_BSP|"&amp;AM71,Factors_ROT!$A$5:$A$200,0)),1)*IFERROR(INDEX(Factors_ROT!$F$5:$F$200,MATCH("SC_SEAL|"&amp;AN71,Factors_ROT!$A$5:$A$200,0)),1)*IFERROR(INDEX(Factors_ROT!$F$5:$F$200,MATCH("SC_COMM|"&amp;AO71,Factors_ROT!$A$5:$A$200,0)),1)*IFERROR(INDEX(Factors_ROT!$F$5:$F$200,MATCH("SC_2Y|"&amp;AP71,Factors_ROT!$A$5:$A$200,0)),1)*IFERROR(INDEX(Factors_ROT!$F$5:$F$200,MATCH("SC_TPI|"&amp;AQ71,Factors_ROT!$A$5:$A$200,0)),1)*IFERROR(INDEX(Factors_ROT!$F$5:$F$200,MATCH("SC_FAT|"&amp;AR71,Factors_ROT!$A$5:$A$200,0)),1)</f>
        <v>1</v>
      </c>
      <c r="AX71" s="36">
        <f t="shared" si="14"/>
        <v>1</v>
      </c>
      <c r="AY71" s="35">
        <f t="shared" si="15"/>
        <v>17500</v>
      </c>
      <c r="AZ71" s="37">
        <f>IFERROR(IF(N(INDEX(Escalation_Index!$B$5:$B$25,MATCH(Y71,Escalation_Index!$A$5:$A$25,0)))&gt;0,INDEX(Escalation_Index!$B$5:$B$25,MATCH(Y71,Escalation_Index!$A$5:$A$25,0)),""),"")</f>
        <v>91.346999999999994</v>
      </c>
      <c r="BA71" s="37">
        <f>IF(ISNUMBER('Assumptions &amp; FX Reference'!$I$12),'Assumptions &amp; FX Reference'!$I$12,"")</f>
        <v>123.416</v>
      </c>
      <c r="BB71" s="33" t="str">
        <f t="shared" si="16"/>
        <v>Y</v>
      </c>
      <c r="BC71" s="35">
        <f t="shared" si="17"/>
        <v>25000</v>
      </c>
      <c r="BD71" s="35">
        <f>IF(AND(ISNUMBER(BC71),ISNUMBER(K71)),IF(K71&gt;0,BC71/K71^'Assumptions &amp; FX Reference'!$I$16,""),"")</f>
        <v>3608.581052833616</v>
      </c>
      <c r="BE71" s="30" t="s">
        <v>577</v>
      </c>
      <c r="BF71" s="30" t="s">
        <v>578</v>
      </c>
      <c r="BG71" s="30" t="s">
        <v>361</v>
      </c>
    </row>
    <row r="72" spans="1:59" ht="24" customHeight="1">
      <c r="A72" s="30">
        <v>68</v>
      </c>
      <c r="B72" s="30" t="s">
        <v>508</v>
      </c>
      <c r="C72" s="30" t="s">
        <v>550</v>
      </c>
      <c r="D72" s="30" t="s">
        <v>579</v>
      </c>
      <c r="E72" s="30" t="s">
        <v>50</v>
      </c>
      <c r="F72" s="30" t="s">
        <v>128</v>
      </c>
      <c r="G72" s="30" t="s">
        <v>86</v>
      </c>
      <c r="H72" s="31">
        <v>15</v>
      </c>
      <c r="I72" s="31">
        <v>52</v>
      </c>
      <c r="J72" s="31"/>
      <c r="K72" s="32">
        <f>IF(ISNUMBER(J72),J72,IF(AND(ISNUMBER(H72),ISNUMBER(I72)),H72*I72/(367*'Assumptions &amp; FX Reference'!$I$17),""))</f>
        <v>3.5422343324250685</v>
      </c>
      <c r="L72" s="33" t="str">
        <f t="shared" si="12"/>
        <v>API 610 + IPS-G-PM-105</v>
      </c>
      <c r="M72" s="30" t="s">
        <v>470</v>
      </c>
      <c r="N72" s="30" t="s">
        <v>471</v>
      </c>
      <c r="O72" s="38" t="s">
        <v>305</v>
      </c>
      <c r="P72" s="30" t="s">
        <v>119</v>
      </c>
      <c r="Q72" s="30" t="s">
        <v>119</v>
      </c>
      <c r="R72" s="30" t="s">
        <v>119</v>
      </c>
      <c r="S72" s="38" t="s">
        <v>297</v>
      </c>
      <c r="T72" s="30" t="s">
        <v>334</v>
      </c>
      <c r="U72" s="30">
        <v>2</v>
      </c>
      <c r="V72" s="30" t="s">
        <v>299</v>
      </c>
      <c r="W72" s="31">
        <v>7.3</v>
      </c>
      <c r="X72" s="30" t="s">
        <v>119</v>
      </c>
      <c r="Y72" s="38">
        <v>1393</v>
      </c>
      <c r="Z72" s="30" t="s">
        <v>355</v>
      </c>
      <c r="AA72" s="34">
        <v>10000</v>
      </c>
      <c r="AB72" s="35">
        <f>IF(NOT(ISNUMBER(AA72)),"(Not stated)",IF(NOT(ISNUMBER(Y72)),"(Cost year not stated)",IFERROR(IF(Z72="EUR",AA72,IF(Z72="IRR",AA72/INDEX('Assumptions &amp; FX Reference'!$C$5:$C$25,MATCH(Y72,'Assumptions &amp; FX Reference'!$A$5:$A$25,0)),IF(Z72="USD",AA72*INDEX('Assumptions &amp; FX Reference'!$B$5:$B$25,MATCH(Y72,'Assumptions &amp; FX Reference'!$A$5:$A$25,0))/INDEX('Assumptions &amp; FX Reference'!$C$5:$C$25,MATCH(Y72,'Assumptions &amp; FX Reference'!$A$5:$A$25,0)),"(Currency?)"))),"(FX rate missing)")))</f>
        <v>10000</v>
      </c>
      <c r="AC72" s="35">
        <f>IF(NOT(ISNUMBER(AA72)),"(Not stated)",IF(NOT(ISNUMBER(Y72)),"(Cost year not stated)",IFERROR(IF(Z72="USD",AA72,IF(Z72="IRR",AA72/INDEX('Assumptions &amp; FX Reference'!$B$5:$B$25,MATCH(Y72,'Assumptions &amp; FX Reference'!$A$5:$A$25,0)),IF(Z72="EUR",AA72*INDEX('Assumptions &amp; FX Reference'!$C$5:$C$25,MATCH(Y72,'Assumptions &amp; FX Reference'!$A$5:$A$25,0))/INDEX('Assumptions &amp; FX Reference'!$B$5:$B$25,MATCH(Y72,'Assumptions &amp; FX Reference'!$A$5:$A$25,0)),"(Currency?)"))),"(FX rate missing)")))</f>
        <v>13074.451612903225</v>
      </c>
      <c r="AD72" s="35">
        <f>IF(NOT(ISNUMBER(AA72)),"(Not stated)",IF(NOT(ISNUMBER(Y72)),"(Cost year not stated)",IFERROR(IF(Z72="IRR",AA72,IF(Z72="USD",AA72*INDEX('Assumptions &amp; FX Reference'!$B$5:$B$25,MATCH(Y72,'Assumptions &amp; FX Reference'!$A$5:$A$25,0)),IF(Z72="EUR",AA72*INDEX('Assumptions &amp; FX Reference'!$C$5:$C$25,MATCH(Y72,'Assumptions &amp; FX Reference'!$A$5:$A$25,0)),"(Currency?)"))),"(FX rate missing)")))</f>
        <v>405308000</v>
      </c>
      <c r="AE72" s="30" t="s">
        <v>472</v>
      </c>
      <c r="AF72" s="38" t="s">
        <v>204</v>
      </c>
      <c r="AG72" s="35">
        <f>IF(AND(Z72="EUR",N(AA72)&gt;5000000),"(Check currency – excluded)",IF(AND(ISNUMBER(AB72),ISNUMBER(AZ72),ISNUMBER(BA72)),IF(AND(BB72="Y",ISNUMBER('Assumptions &amp; FX Reference'!$I$15)),MAX(AB72*BA72/AZ72,'Assumptions &amp; FX Reference'!$I$13*BA72/'Assumptions &amp; FX Reference'!$I$15),AB72*BA72/AZ72),"(PPI/FX missing)"))</f>
        <v>25000</v>
      </c>
      <c r="AH72" s="35">
        <f>IF(AND(ISNUMBER(AG72),ISNUMBER('Assumptions &amp; FX Reference'!$I$8),ISNUMBER('Assumptions &amp; FX Reference'!$I$11)),AG72*'Assumptions &amp; FX Reference'!$I$8/'Assumptions &amp; FX Reference'!$I$11,"")</f>
        <v>26394.577037141647</v>
      </c>
      <c r="AI72" s="35">
        <f>IF(AND(ISNUMBER(AG72),ISNUMBER('Assumptions &amp; FX Reference'!$I$8)),AG72*'Assumptions &amp; FX Reference'!$I$8,"")</f>
        <v>17381700000</v>
      </c>
      <c r="AJ72" s="30" t="s">
        <v>473</v>
      </c>
      <c r="AK72" s="30" t="s">
        <v>474</v>
      </c>
      <c r="AL72" s="30" t="s">
        <v>119</v>
      </c>
      <c r="AM72" s="30" t="s">
        <v>119</v>
      </c>
      <c r="AN72" s="30" t="s">
        <v>119</v>
      </c>
      <c r="AO72" s="30" t="s">
        <v>119</v>
      </c>
      <c r="AP72" s="30" t="s">
        <v>119</v>
      </c>
      <c r="AQ72" s="38" t="s">
        <v>305</v>
      </c>
      <c r="AR72" s="30" t="s">
        <v>119</v>
      </c>
      <c r="AS72" s="33" t="str">
        <f t="shared" si="13"/>
        <v xml:space="preserve">Seal missing; </v>
      </c>
      <c r="AT72" s="36">
        <f>IFERROR(INDEX(Factors_ROT!$F$5:$F$200,MATCH("MAT|"&amp;G72,Factors_ROT!$A$5:$A$200,0)),1)</f>
        <v>1.1000000000000001</v>
      </c>
      <c r="AU72" s="36">
        <f>IFERROR(INDEX(Factors_ROT!$F$5:$F$200,MATCH("SEAL_ARR|"&amp;P72,Factors_ROT!$A$5:$A$200,0)),1)*IFERROR(INDEX(Factors_ROT!$F$5:$F$200,MATCH("SEAL_CAT|"&amp;Q72,Factors_ROT!$A$5:$A$200,0)),1)*IFERROR(INDEX(Factors_ROT!$F$5:$F$200,MATCH("SEAL_PLAN|"&amp;R72,Factors_ROT!$A$5:$A$200,0)),1)</f>
        <v>1</v>
      </c>
      <c r="AV72" s="36">
        <f>IFERROR(INDEX(Factors_ROT!$F$5:$F$200,MATCH("DRV|"&amp;S72,Factors_ROT!$A$5:$A$200,0)),1)*IFERROR(INDEX(Factors_ROT!$F$5:$F$200,MATCH("NACE|"&amp;O72,Factors_ROT!$A$5:$A$200,0)),1)</f>
        <v>1</v>
      </c>
      <c r="AW72" s="36">
        <f>IFERROR(INDEX(Factors_ROT!$F$5:$F$200,MATCH("SC_DRV|"&amp;AL72,Factors_ROT!$A$5:$A$200,0)),1)*IFERROR(INDEX(Factors_ROT!$F$5:$F$200,MATCH("SC_BSP|"&amp;AM72,Factors_ROT!$A$5:$A$200,0)),1)*IFERROR(INDEX(Factors_ROT!$F$5:$F$200,MATCH("SC_SEAL|"&amp;AN72,Factors_ROT!$A$5:$A$200,0)),1)*IFERROR(INDEX(Factors_ROT!$F$5:$F$200,MATCH("SC_COMM|"&amp;AO72,Factors_ROT!$A$5:$A$200,0)),1)*IFERROR(INDEX(Factors_ROT!$F$5:$F$200,MATCH("SC_2Y|"&amp;AP72,Factors_ROT!$A$5:$A$200,0)),1)*IFERROR(INDEX(Factors_ROT!$F$5:$F$200,MATCH("SC_TPI|"&amp;AQ72,Factors_ROT!$A$5:$A$200,0)),1)*IFERROR(INDEX(Factors_ROT!$F$5:$F$200,MATCH("SC_FAT|"&amp;AR72,Factors_ROT!$A$5:$A$200,0)),1)</f>
        <v>1</v>
      </c>
      <c r="AX72" s="36">
        <f t="shared" si="14"/>
        <v>1.1000000000000001</v>
      </c>
      <c r="AY72" s="35">
        <f t="shared" si="15"/>
        <v>9090.9090909090901</v>
      </c>
      <c r="AZ72" s="37">
        <f>IFERROR(IF(N(INDEX(Escalation_Index!$B$5:$B$25,MATCH(Y72,Escalation_Index!$A$5:$A$25,0)))&gt;0,INDEX(Escalation_Index!$B$5:$B$25,MATCH(Y72,Escalation_Index!$A$5:$A$25,0)),""),"")</f>
        <v>91.346999999999994</v>
      </c>
      <c r="BA72" s="37">
        <f>IF(ISNUMBER('Assumptions &amp; FX Reference'!$I$12),'Assumptions &amp; FX Reference'!$I$12,"")</f>
        <v>123.416</v>
      </c>
      <c r="BB72" s="33" t="str">
        <f t="shared" si="16"/>
        <v>Y</v>
      </c>
      <c r="BC72" s="35">
        <f t="shared" si="17"/>
        <v>22727.272727272724</v>
      </c>
      <c r="BD72" s="35">
        <f>IF(AND(ISNUMBER(BC72),ISNUMBER(K72)),IF(K72&gt;0,BC72/K72^'Assumptions &amp; FX Reference'!$I$16,""),"")</f>
        <v>10640.96343085371</v>
      </c>
      <c r="BE72" s="30" t="s">
        <v>580</v>
      </c>
      <c r="BF72" s="30" t="s">
        <v>581</v>
      </c>
      <c r="BG72" s="30" t="s">
        <v>361</v>
      </c>
    </row>
    <row r="73" spans="1:59" ht="24" customHeight="1">
      <c r="A73" s="30">
        <v>69</v>
      </c>
      <c r="B73" s="30" t="s">
        <v>512</v>
      </c>
      <c r="C73" s="30" t="s">
        <v>550</v>
      </c>
      <c r="D73" s="30" t="s">
        <v>582</v>
      </c>
      <c r="E73" s="30" t="s">
        <v>50</v>
      </c>
      <c r="F73" s="30" t="s">
        <v>188</v>
      </c>
      <c r="G73" s="30" t="s">
        <v>107</v>
      </c>
      <c r="H73" s="31">
        <v>5.5</v>
      </c>
      <c r="I73" s="31"/>
      <c r="J73" s="31"/>
      <c r="K73" s="32" t="str">
        <f>IF(ISNUMBER(J73),J73,IF(AND(ISNUMBER(H73),ISNUMBER(I73)),H73*I73/(367*'Assumptions &amp; FX Reference'!$I$17),""))</f>
        <v/>
      </c>
      <c r="L73" s="33" t="str">
        <f t="shared" si="12"/>
        <v>API 676 + IPS-M-PM-140 + NACE MR0175</v>
      </c>
      <c r="M73" s="30" t="s">
        <v>483</v>
      </c>
      <c r="N73" s="30" t="s">
        <v>484</v>
      </c>
      <c r="O73" s="30" t="s">
        <v>361</v>
      </c>
      <c r="P73" s="30" t="s">
        <v>119</v>
      </c>
      <c r="Q73" s="30" t="s">
        <v>119</v>
      </c>
      <c r="R73" s="30" t="s">
        <v>119</v>
      </c>
      <c r="S73" s="38" t="s">
        <v>297</v>
      </c>
      <c r="T73" s="30" t="s">
        <v>424</v>
      </c>
      <c r="U73" s="30">
        <v>2</v>
      </c>
      <c r="V73" s="30" t="s">
        <v>514</v>
      </c>
      <c r="W73" s="31">
        <v>3.6</v>
      </c>
      <c r="X73" s="30" t="s">
        <v>119</v>
      </c>
      <c r="Y73" s="38">
        <v>1393</v>
      </c>
      <c r="Z73" s="30" t="s">
        <v>355</v>
      </c>
      <c r="AA73" s="34">
        <v>25000</v>
      </c>
      <c r="AB73" s="35">
        <f>IF(NOT(ISNUMBER(AA73)),"(Not stated)",IF(NOT(ISNUMBER(Y73)),"(Cost year not stated)",IFERROR(IF(Z73="EUR",AA73,IF(Z73="IRR",AA73/INDEX('Assumptions &amp; FX Reference'!$C$5:$C$25,MATCH(Y73,'Assumptions &amp; FX Reference'!$A$5:$A$25,0)),IF(Z73="USD",AA73*INDEX('Assumptions &amp; FX Reference'!$B$5:$B$25,MATCH(Y73,'Assumptions &amp; FX Reference'!$A$5:$A$25,0))/INDEX('Assumptions &amp; FX Reference'!$C$5:$C$25,MATCH(Y73,'Assumptions &amp; FX Reference'!$A$5:$A$25,0)),"(Currency?)"))),"(FX rate missing)")))</f>
        <v>25000</v>
      </c>
      <c r="AC73" s="35">
        <f>IF(NOT(ISNUMBER(AA73)),"(Not stated)",IF(NOT(ISNUMBER(Y73)),"(Cost year not stated)",IFERROR(IF(Z73="USD",AA73,IF(Z73="IRR",AA73/INDEX('Assumptions &amp; FX Reference'!$B$5:$B$25,MATCH(Y73,'Assumptions &amp; FX Reference'!$A$5:$A$25,0)),IF(Z73="EUR",AA73*INDEX('Assumptions &amp; FX Reference'!$C$5:$C$25,MATCH(Y73,'Assumptions &amp; FX Reference'!$A$5:$A$25,0))/INDEX('Assumptions &amp; FX Reference'!$B$5:$B$25,MATCH(Y73,'Assumptions &amp; FX Reference'!$A$5:$A$25,0)),"(Currency?)"))),"(FX rate missing)")))</f>
        <v>32686.129032258068</v>
      </c>
      <c r="AD73" s="35">
        <f>IF(NOT(ISNUMBER(AA73)),"(Not stated)",IF(NOT(ISNUMBER(Y73)),"(Cost year not stated)",IFERROR(IF(Z73="IRR",AA73,IF(Z73="USD",AA73*INDEX('Assumptions &amp; FX Reference'!$B$5:$B$25,MATCH(Y73,'Assumptions &amp; FX Reference'!$A$5:$A$25,0)),IF(Z73="EUR",AA73*INDEX('Assumptions &amp; FX Reference'!$C$5:$C$25,MATCH(Y73,'Assumptions &amp; FX Reference'!$A$5:$A$25,0)),"(Currency?)"))),"(FX rate missing)")))</f>
        <v>1013270000.0000001</v>
      </c>
      <c r="AE73" s="30" t="s">
        <v>472</v>
      </c>
      <c r="AF73" s="38" t="s">
        <v>204</v>
      </c>
      <c r="AG73" s="35">
        <f>IF(AND(Z73="EUR",N(AA73)&gt;5000000),"(Check currency – excluded)",IF(AND(ISNUMBER(AB73),ISNUMBER(AZ73),ISNUMBER(BA73)),IF(AND(BB73="Y",ISNUMBER('Assumptions &amp; FX Reference'!$I$15)),MAX(AB73*BA73/AZ73,'Assumptions &amp; FX Reference'!$I$13*BA73/'Assumptions &amp; FX Reference'!$I$15),AB73*BA73/AZ73),"(PPI/FX missing)"))</f>
        <v>33776.697647432324</v>
      </c>
      <c r="AH73" s="35">
        <f>IF(AND(ISNUMBER(AG73),ISNUMBER('Assumptions &amp; FX Reference'!$I$8),ISNUMBER('Assumptions &amp; FX Reference'!$I$11)),AG73*'Assumptions &amp; FX Reference'!$I$8/'Assumptions &amp; FX Reference'!$I$11,"")</f>
        <v>35660.86592461574</v>
      </c>
      <c r="AI73" s="35">
        <f>IF(AND(ISNUMBER(AG73),ISNUMBER('Assumptions &amp; FX Reference'!$I$8)),AG73*'Assumptions &amp; FX Reference'!$I$8,"")</f>
        <v>23483857019.934978</v>
      </c>
      <c r="AJ73" s="30" t="s">
        <v>473</v>
      </c>
      <c r="AK73" s="30" t="s">
        <v>474</v>
      </c>
      <c r="AL73" s="30" t="s">
        <v>119</v>
      </c>
      <c r="AM73" s="30" t="s">
        <v>119</v>
      </c>
      <c r="AN73" s="30" t="s">
        <v>119</v>
      </c>
      <c r="AO73" s="30" t="s">
        <v>119</v>
      </c>
      <c r="AP73" s="30" t="s">
        <v>119</v>
      </c>
      <c r="AQ73" s="38" t="s">
        <v>305</v>
      </c>
      <c r="AR73" s="30" t="s">
        <v>119</v>
      </c>
      <c r="AS73" s="33" t="str">
        <f t="shared" si="13"/>
        <v xml:space="preserve">Seal missing; Size driver missing; </v>
      </c>
      <c r="AT73" s="36">
        <f>IFERROR(INDEX(Factors_ROT!$F$5:$F$200,MATCH("MAT|"&amp;G73,Factors_ROT!$A$5:$A$200,0)),1)</f>
        <v>1.7</v>
      </c>
      <c r="AU73" s="36">
        <f>IFERROR(INDEX(Factors_ROT!$F$5:$F$200,MATCH("SEAL_ARR|"&amp;P73,Factors_ROT!$A$5:$A$200,0)),1)*IFERROR(INDEX(Factors_ROT!$F$5:$F$200,MATCH("SEAL_CAT|"&amp;Q73,Factors_ROT!$A$5:$A$200,0)),1)*IFERROR(INDEX(Factors_ROT!$F$5:$F$200,MATCH("SEAL_PLAN|"&amp;R73,Factors_ROT!$A$5:$A$200,0)),1)</f>
        <v>1</v>
      </c>
      <c r="AV73" s="36">
        <f>IFERROR(INDEX(Factors_ROT!$F$5:$F$200,MATCH("DRV|"&amp;S73,Factors_ROT!$A$5:$A$200,0)),1)*IFERROR(INDEX(Factors_ROT!$F$5:$F$200,MATCH("NACE|"&amp;O73,Factors_ROT!$A$5:$A$200,0)),1)</f>
        <v>1.05</v>
      </c>
      <c r="AW73" s="36">
        <f>IFERROR(INDEX(Factors_ROT!$F$5:$F$200,MATCH("SC_DRV|"&amp;AL73,Factors_ROT!$A$5:$A$200,0)),1)*IFERROR(INDEX(Factors_ROT!$F$5:$F$200,MATCH("SC_BSP|"&amp;AM73,Factors_ROT!$A$5:$A$200,0)),1)*IFERROR(INDEX(Factors_ROT!$F$5:$F$200,MATCH("SC_SEAL|"&amp;AN73,Factors_ROT!$A$5:$A$200,0)),1)*IFERROR(INDEX(Factors_ROT!$F$5:$F$200,MATCH("SC_COMM|"&amp;AO73,Factors_ROT!$A$5:$A$200,0)),1)*IFERROR(INDEX(Factors_ROT!$F$5:$F$200,MATCH("SC_2Y|"&amp;AP73,Factors_ROT!$A$5:$A$200,0)),1)*IFERROR(INDEX(Factors_ROT!$F$5:$F$200,MATCH("SC_TPI|"&amp;AQ73,Factors_ROT!$A$5:$A$200,0)),1)*IFERROR(INDEX(Factors_ROT!$F$5:$F$200,MATCH("SC_FAT|"&amp;AR73,Factors_ROT!$A$5:$A$200,0)),1)</f>
        <v>1</v>
      </c>
      <c r="AX73" s="36">
        <f t="shared" si="14"/>
        <v>1.7849999999999999</v>
      </c>
      <c r="AY73" s="35">
        <f t="shared" si="15"/>
        <v>14005.60224089636</v>
      </c>
      <c r="AZ73" s="37">
        <f>IFERROR(IF(N(INDEX(Escalation_Index!$B$5:$B$25,MATCH(Y73,Escalation_Index!$A$5:$A$25,0)))&gt;0,INDEX(Escalation_Index!$B$5:$B$25,MATCH(Y73,Escalation_Index!$A$5:$A$25,0)),""),"")</f>
        <v>91.346999999999994</v>
      </c>
      <c r="BA73" s="37">
        <f>IF(ISNUMBER('Assumptions &amp; FX Reference'!$I$12),'Assumptions &amp; FX Reference'!$I$12,"")</f>
        <v>123.416</v>
      </c>
      <c r="BB73" s="33" t="str">
        <f t="shared" si="16"/>
        <v>N</v>
      </c>
      <c r="BC73" s="35">
        <f t="shared" si="17"/>
        <v>18922.519690438279</v>
      </c>
      <c r="BD73" s="35" t="str">
        <f>IF(AND(ISNUMBER(BC73),ISNUMBER(K73)),IF(K73&gt;0,BC73/K73^'Assumptions &amp; FX Reference'!$I$16,""),"")</f>
        <v/>
      </c>
      <c r="BE73" s="30" t="s">
        <v>583</v>
      </c>
      <c r="BF73" s="30" t="s">
        <v>584</v>
      </c>
      <c r="BG73" s="30" t="s">
        <v>361</v>
      </c>
    </row>
    <row r="74" spans="1:59" ht="24" customHeight="1">
      <c r="A74" s="30">
        <v>70</v>
      </c>
      <c r="B74" s="30" t="s">
        <v>517</v>
      </c>
      <c r="C74" s="30" t="s">
        <v>550</v>
      </c>
      <c r="D74" s="30" t="s">
        <v>585</v>
      </c>
      <c r="E74" s="30" t="s">
        <v>44</v>
      </c>
      <c r="F74" s="30" t="s">
        <v>128</v>
      </c>
      <c r="G74" s="30" t="s">
        <v>111</v>
      </c>
      <c r="H74" s="31">
        <v>11</v>
      </c>
      <c r="I74" s="31">
        <v>28</v>
      </c>
      <c r="J74" s="31"/>
      <c r="K74" s="32">
        <f>IF(ISNUMBER(J74),J74,IF(AND(ISNUMBER(H74),ISNUMBER(I74)),H74*I74/(367*'Assumptions &amp; FX Reference'!$I$17),""))</f>
        <v>1.3987284287011807</v>
      </c>
      <c r="L74" s="33" t="str">
        <f t="shared" si="12"/>
        <v>API 610 + IPS-G-PM-105 + NACE MR0175</v>
      </c>
      <c r="M74" s="30" t="s">
        <v>470</v>
      </c>
      <c r="N74" s="30" t="s">
        <v>471</v>
      </c>
      <c r="O74" s="30" t="s">
        <v>361</v>
      </c>
      <c r="P74" s="30" t="s">
        <v>119</v>
      </c>
      <c r="Q74" s="30" t="s">
        <v>119</v>
      </c>
      <c r="R74" s="30" t="s">
        <v>119</v>
      </c>
      <c r="S74" s="38" t="s">
        <v>297</v>
      </c>
      <c r="T74" s="30" t="s">
        <v>334</v>
      </c>
      <c r="U74" s="30">
        <v>2</v>
      </c>
      <c r="V74" s="30" t="s">
        <v>299</v>
      </c>
      <c r="W74" s="31">
        <v>3</v>
      </c>
      <c r="X74" s="30" t="s">
        <v>119</v>
      </c>
      <c r="Y74" s="38">
        <v>1393</v>
      </c>
      <c r="Z74" s="30" t="s">
        <v>355</v>
      </c>
      <c r="AA74" s="34">
        <v>20000</v>
      </c>
      <c r="AB74" s="35">
        <f>IF(NOT(ISNUMBER(AA74)),"(Not stated)",IF(NOT(ISNUMBER(Y74)),"(Cost year not stated)",IFERROR(IF(Z74="EUR",AA74,IF(Z74="IRR",AA74/INDEX('Assumptions &amp; FX Reference'!$C$5:$C$25,MATCH(Y74,'Assumptions &amp; FX Reference'!$A$5:$A$25,0)),IF(Z74="USD",AA74*INDEX('Assumptions &amp; FX Reference'!$B$5:$B$25,MATCH(Y74,'Assumptions &amp; FX Reference'!$A$5:$A$25,0))/INDEX('Assumptions &amp; FX Reference'!$C$5:$C$25,MATCH(Y74,'Assumptions &amp; FX Reference'!$A$5:$A$25,0)),"(Currency?)"))),"(FX rate missing)")))</f>
        <v>20000</v>
      </c>
      <c r="AC74" s="35">
        <f>IF(NOT(ISNUMBER(AA74)),"(Not stated)",IF(NOT(ISNUMBER(Y74)),"(Cost year not stated)",IFERROR(IF(Z74="USD",AA74,IF(Z74="IRR",AA74/INDEX('Assumptions &amp; FX Reference'!$B$5:$B$25,MATCH(Y74,'Assumptions &amp; FX Reference'!$A$5:$A$25,0)),IF(Z74="EUR",AA74*INDEX('Assumptions &amp; FX Reference'!$C$5:$C$25,MATCH(Y74,'Assumptions &amp; FX Reference'!$A$5:$A$25,0))/INDEX('Assumptions &amp; FX Reference'!$B$5:$B$25,MATCH(Y74,'Assumptions &amp; FX Reference'!$A$5:$A$25,0)),"(Currency?)"))),"(FX rate missing)")))</f>
        <v>26148.903225806451</v>
      </c>
      <c r="AD74" s="35">
        <f>IF(NOT(ISNUMBER(AA74)),"(Not stated)",IF(NOT(ISNUMBER(Y74)),"(Cost year not stated)",IFERROR(IF(Z74="IRR",AA74,IF(Z74="USD",AA74*INDEX('Assumptions &amp; FX Reference'!$B$5:$B$25,MATCH(Y74,'Assumptions &amp; FX Reference'!$A$5:$A$25,0)),IF(Z74="EUR",AA74*INDEX('Assumptions &amp; FX Reference'!$C$5:$C$25,MATCH(Y74,'Assumptions &amp; FX Reference'!$A$5:$A$25,0)),"(Currency?)"))),"(FX rate missing)")))</f>
        <v>810616000</v>
      </c>
      <c r="AE74" s="30" t="s">
        <v>472</v>
      </c>
      <c r="AF74" s="38" t="s">
        <v>204</v>
      </c>
      <c r="AG74" s="35">
        <f>IF(AND(Z74="EUR",N(AA74)&gt;5000000),"(Check currency – excluded)",IF(AND(ISNUMBER(AB74),ISNUMBER(AZ74),ISNUMBER(BA74)),IF(AND(BB74="Y",ISNUMBER('Assumptions &amp; FX Reference'!$I$15)),MAX(AB74*BA74/AZ74,'Assumptions &amp; FX Reference'!$I$13*BA74/'Assumptions &amp; FX Reference'!$I$15),AB74*BA74/AZ74),"(PPI/FX missing)"))</f>
        <v>27021.358117945856</v>
      </c>
      <c r="AH74" s="35">
        <f>IF(AND(ISNUMBER(AG74),ISNUMBER('Assumptions &amp; FX Reference'!$I$8),ISNUMBER('Assumptions &amp; FX Reference'!$I$11)),AG74*'Assumptions &amp; FX Reference'!$I$8/'Assumptions &amp; FX Reference'!$I$11,"")</f>
        <v>28528.692739692589</v>
      </c>
      <c r="AI74" s="35">
        <f>IF(AND(ISNUMBER(AG74),ISNUMBER('Assumptions &amp; FX Reference'!$I$8)),AG74*'Assumptions &amp; FX Reference'!$I$8,"")</f>
        <v>18787085615.947979</v>
      </c>
      <c r="AJ74" s="30" t="s">
        <v>473</v>
      </c>
      <c r="AK74" s="30" t="s">
        <v>474</v>
      </c>
      <c r="AL74" s="30" t="s">
        <v>119</v>
      </c>
      <c r="AM74" s="30" t="s">
        <v>119</v>
      </c>
      <c r="AN74" s="30" t="s">
        <v>119</v>
      </c>
      <c r="AO74" s="30" t="s">
        <v>119</v>
      </c>
      <c r="AP74" s="30" t="s">
        <v>119</v>
      </c>
      <c r="AQ74" s="38" t="s">
        <v>305</v>
      </c>
      <c r="AR74" s="30" t="s">
        <v>119</v>
      </c>
      <c r="AS74" s="33" t="str">
        <f t="shared" si="13"/>
        <v xml:space="preserve">Seal missing; </v>
      </c>
      <c r="AT74" s="36">
        <f>IFERROR(INDEX(Factors_ROT!$F$5:$F$200,MATCH("MAT|"&amp;G74,Factors_ROT!$A$5:$A$200,0)),1)</f>
        <v>1.9</v>
      </c>
      <c r="AU74" s="36">
        <f>IFERROR(INDEX(Factors_ROT!$F$5:$F$200,MATCH("SEAL_ARR|"&amp;P74,Factors_ROT!$A$5:$A$200,0)),1)*IFERROR(INDEX(Factors_ROT!$F$5:$F$200,MATCH("SEAL_CAT|"&amp;Q74,Factors_ROT!$A$5:$A$200,0)),1)*IFERROR(INDEX(Factors_ROT!$F$5:$F$200,MATCH("SEAL_PLAN|"&amp;R74,Factors_ROT!$A$5:$A$200,0)),1)</f>
        <v>1</v>
      </c>
      <c r="AV74" s="36">
        <f>IFERROR(INDEX(Factors_ROT!$F$5:$F$200,MATCH("DRV|"&amp;S74,Factors_ROT!$A$5:$A$200,0)),1)*IFERROR(INDEX(Factors_ROT!$F$5:$F$200,MATCH("NACE|"&amp;O74,Factors_ROT!$A$5:$A$200,0)),1)</f>
        <v>1.05</v>
      </c>
      <c r="AW74" s="36">
        <f>IFERROR(INDEX(Factors_ROT!$F$5:$F$200,MATCH("SC_DRV|"&amp;AL74,Factors_ROT!$A$5:$A$200,0)),1)*IFERROR(INDEX(Factors_ROT!$F$5:$F$200,MATCH("SC_BSP|"&amp;AM74,Factors_ROT!$A$5:$A$200,0)),1)*IFERROR(INDEX(Factors_ROT!$F$5:$F$200,MATCH("SC_SEAL|"&amp;AN74,Factors_ROT!$A$5:$A$200,0)),1)*IFERROR(INDEX(Factors_ROT!$F$5:$F$200,MATCH("SC_COMM|"&amp;AO74,Factors_ROT!$A$5:$A$200,0)),1)*IFERROR(INDEX(Factors_ROT!$F$5:$F$200,MATCH("SC_2Y|"&amp;AP74,Factors_ROT!$A$5:$A$200,0)),1)*IFERROR(INDEX(Factors_ROT!$F$5:$F$200,MATCH("SC_TPI|"&amp;AQ74,Factors_ROT!$A$5:$A$200,0)),1)*IFERROR(INDEX(Factors_ROT!$F$5:$F$200,MATCH("SC_FAT|"&amp;AR74,Factors_ROT!$A$5:$A$200,0)),1)</f>
        <v>1</v>
      </c>
      <c r="AX74" s="36">
        <f t="shared" si="14"/>
        <v>1.9949999999999999</v>
      </c>
      <c r="AY74" s="35">
        <f t="shared" si="15"/>
        <v>10025.062656641605</v>
      </c>
      <c r="AZ74" s="37">
        <f>IFERROR(IF(N(INDEX(Escalation_Index!$B$5:$B$25,MATCH(Y74,Escalation_Index!$A$5:$A$25,0)))&gt;0,INDEX(Escalation_Index!$B$5:$B$25,MATCH(Y74,Escalation_Index!$A$5:$A$25,0)),""),"")</f>
        <v>91.346999999999994</v>
      </c>
      <c r="BA74" s="37">
        <f>IF(ISNUMBER('Assumptions &amp; FX Reference'!$I$12),'Assumptions &amp; FX Reference'!$I$12,"")</f>
        <v>123.416</v>
      </c>
      <c r="BB74" s="33" t="str">
        <f t="shared" si="16"/>
        <v>Y</v>
      </c>
      <c r="BC74" s="35">
        <f t="shared" si="17"/>
        <v>13544.540409997924</v>
      </c>
      <c r="BD74" s="35">
        <f>IF(AND(ISNUMBER(BC74),ISNUMBER(K74)),IF(K74&gt;0,BC74/K74^'Assumptions &amp; FX Reference'!$I$16,""),"")</f>
        <v>11074.502668549068</v>
      </c>
      <c r="BE74" s="30" t="s">
        <v>586</v>
      </c>
      <c r="BF74" s="30" t="s">
        <v>587</v>
      </c>
      <c r="BG74" s="30" t="s">
        <v>361</v>
      </c>
    </row>
    <row r="75" spans="1:59" ht="24" customHeight="1">
      <c r="A75" s="30">
        <v>71</v>
      </c>
      <c r="B75" s="30" t="s">
        <v>521</v>
      </c>
      <c r="C75" s="30" t="s">
        <v>550</v>
      </c>
      <c r="D75" s="30" t="s">
        <v>588</v>
      </c>
      <c r="E75" s="30" t="s">
        <v>50</v>
      </c>
      <c r="F75" s="30" t="s">
        <v>128</v>
      </c>
      <c r="G75" s="30" t="s">
        <v>111</v>
      </c>
      <c r="H75" s="31">
        <v>15</v>
      </c>
      <c r="I75" s="31">
        <v>61</v>
      </c>
      <c r="J75" s="31"/>
      <c r="K75" s="32">
        <f>IF(ISNUMBER(J75),J75,IF(AND(ISNUMBER(H75),ISNUMBER(I75)),H75*I75/(367*'Assumptions &amp; FX Reference'!$I$17),""))</f>
        <v>4.1553133514986378</v>
      </c>
      <c r="L75" s="33" t="str">
        <f t="shared" si="12"/>
        <v>API 610 + IPS-G-PM-105 + NACE MR0175</v>
      </c>
      <c r="M75" s="30" t="s">
        <v>470</v>
      </c>
      <c r="N75" s="30" t="s">
        <v>471</v>
      </c>
      <c r="O75" s="30" t="s">
        <v>361</v>
      </c>
      <c r="P75" s="30" t="s">
        <v>119</v>
      </c>
      <c r="Q75" s="30" t="s">
        <v>119</v>
      </c>
      <c r="R75" s="30" t="s">
        <v>119</v>
      </c>
      <c r="S75" s="38" t="s">
        <v>297</v>
      </c>
      <c r="T75" s="30" t="s">
        <v>334</v>
      </c>
      <c r="U75" s="30">
        <v>2</v>
      </c>
      <c r="V75" s="30" t="s">
        <v>299</v>
      </c>
      <c r="W75" s="31">
        <v>9</v>
      </c>
      <c r="X75" s="30" t="s">
        <v>119</v>
      </c>
      <c r="Y75" s="38">
        <v>1393</v>
      </c>
      <c r="Z75" s="30" t="s">
        <v>355</v>
      </c>
      <c r="AA75" s="34">
        <v>17500</v>
      </c>
      <c r="AB75" s="35">
        <f>IF(NOT(ISNUMBER(AA75)),"(Not stated)",IF(NOT(ISNUMBER(Y75)),"(Cost year not stated)",IFERROR(IF(Z75="EUR",AA75,IF(Z75="IRR",AA75/INDEX('Assumptions &amp; FX Reference'!$C$5:$C$25,MATCH(Y75,'Assumptions &amp; FX Reference'!$A$5:$A$25,0)),IF(Z75="USD",AA75*INDEX('Assumptions &amp; FX Reference'!$B$5:$B$25,MATCH(Y75,'Assumptions &amp; FX Reference'!$A$5:$A$25,0))/INDEX('Assumptions &amp; FX Reference'!$C$5:$C$25,MATCH(Y75,'Assumptions &amp; FX Reference'!$A$5:$A$25,0)),"(Currency?)"))),"(FX rate missing)")))</f>
        <v>17500</v>
      </c>
      <c r="AC75" s="35">
        <f>IF(NOT(ISNUMBER(AA75)),"(Not stated)",IF(NOT(ISNUMBER(Y75)),"(Cost year not stated)",IFERROR(IF(Z75="USD",AA75,IF(Z75="IRR",AA75/INDEX('Assumptions &amp; FX Reference'!$B$5:$B$25,MATCH(Y75,'Assumptions &amp; FX Reference'!$A$5:$A$25,0)),IF(Z75="EUR",AA75*INDEX('Assumptions &amp; FX Reference'!$C$5:$C$25,MATCH(Y75,'Assumptions &amp; FX Reference'!$A$5:$A$25,0))/INDEX('Assumptions &amp; FX Reference'!$B$5:$B$25,MATCH(Y75,'Assumptions &amp; FX Reference'!$A$5:$A$25,0)),"(Currency?)"))),"(FX rate missing)")))</f>
        <v>22880.290322580644</v>
      </c>
      <c r="AD75" s="35">
        <f>IF(NOT(ISNUMBER(AA75)),"(Not stated)",IF(NOT(ISNUMBER(Y75)),"(Cost year not stated)",IFERROR(IF(Z75="IRR",AA75,IF(Z75="USD",AA75*INDEX('Assumptions &amp; FX Reference'!$B$5:$B$25,MATCH(Y75,'Assumptions &amp; FX Reference'!$A$5:$A$25,0)),IF(Z75="EUR",AA75*INDEX('Assumptions &amp; FX Reference'!$C$5:$C$25,MATCH(Y75,'Assumptions &amp; FX Reference'!$A$5:$A$25,0)),"(Currency?)"))),"(FX rate missing)")))</f>
        <v>709289000</v>
      </c>
      <c r="AE75" s="30" t="s">
        <v>472</v>
      </c>
      <c r="AF75" s="38" t="s">
        <v>204</v>
      </c>
      <c r="AG75" s="35">
        <f>IF(AND(Z75="EUR",N(AA75)&gt;5000000),"(Check currency – excluded)",IF(AND(ISNUMBER(AB75),ISNUMBER(AZ75),ISNUMBER(BA75)),IF(AND(BB75="Y",ISNUMBER('Assumptions &amp; FX Reference'!$I$15)),MAX(AB75*BA75/AZ75,'Assumptions &amp; FX Reference'!$I$13*BA75/'Assumptions &amp; FX Reference'!$I$15),AB75*BA75/AZ75),"(PPI/FX missing)"))</f>
        <v>25000</v>
      </c>
      <c r="AH75" s="35">
        <f>IF(AND(ISNUMBER(AG75),ISNUMBER('Assumptions &amp; FX Reference'!$I$8),ISNUMBER('Assumptions &amp; FX Reference'!$I$11)),AG75*'Assumptions &amp; FX Reference'!$I$8/'Assumptions &amp; FX Reference'!$I$11,"")</f>
        <v>26394.577037141647</v>
      </c>
      <c r="AI75" s="35">
        <f>IF(AND(ISNUMBER(AG75),ISNUMBER('Assumptions &amp; FX Reference'!$I$8)),AG75*'Assumptions &amp; FX Reference'!$I$8,"")</f>
        <v>17381700000</v>
      </c>
      <c r="AJ75" s="30" t="s">
        <v>473</v>
      </c>
      <c r="AK75" s="30" t="s">
        <v>474</v>
      </c>
      <c r="AL75" s="30" t="s">
        <v>119</v>
      </c>
      <c r="AM75" s="30" t="s">
        <v>119</v>
      </c>
      <c r="AN75" s="30" t="s">
        <v>119</v>
      </c>
      <c r="AO75" s="30" t="s">
        <v>119</v>
      </c>
      <c r="AP75" s="30" t="s">
        <v>119</v>
      </c>
      <c r="AQ75" s="38" t="s">
        <v>305</v>
      </c>
      <c r="AR75" s="30" t="s">
        <v>119</v>
      </c>
      <c r="AS75" s="33" t="str">
        <f t="shared" si="13"/>
        <v xml:space="preserve">Seal missing; </v>
      </c>
      <c r="AT75" s="36">
        <f>IFERROR(INDEX(Factors_ROT!$F$5:$F$200,MATCH("MAT|"&amp;G75,Factors_ROT!$A$5:$A$200,0)),1)</f>
        <v>1.9</v>
      </c>
      <c r="AU75" s="36">
        <f>IFERROR(INDEX(Factors_ROT!$F$5:$F$200,MATCH("SEAL_ARR|"&amp;P75,Factors_ROT!$A$5:$A$200,0)),1)*IFERROR(INDEX(Factors_ROT!$F$5:$F$200,MATCH("SEAL_CAT|"&amp;Q75,Factors_ROT!$A$5:$A$200,0)),1)*IFERROR(INDEX(Factors_ROT!$F$5:$F$200,MATCH("SEAL_PLAN|"&amp;R75,Factors_ROT!$A$5:$A$200,0)),1)</f>
        <v>1</v>
      </c>
      <c r="AV75" s="36">
        <f>IFERROR(INDEX(Factors_ROT!$F$5:$F$200,MATCH("DRV|"&amp;S75,Factors_ROT!$A$5:$A$200,0)),1)*IFERROR(INDEX(Factors_ROT!$F$5:$F$200,MATCH("NACE|"&amp;O75,Factors_ROT!$A$5:$A$200,0)),1)</f>
        <v>1.05</v>
      </c>
      <c r="AW75" s="36">
        <f>IFERROR(INDEX(Factors_ROT!$F$5:$F$200,MATCH("SC_DRV|"&amp;AL75,Factors_ROT!$A$5:$A$200,0)),1)*IFERROR(INDEX(Factors_ROT!$F$5:$F$200,MATCH("SC_BSP|"&amp;AM75,Factors_ROT!$A$5:$A$200,0)),1)*IFERROR(INDEX(Factors_ROT!$F$5:$F$200,MATCH("SC_SEAL|"&amp;AN75,Factors_ROT!$A$5:$A$200,0)),1)*IFERROR(INDEX(Factors_ROT!$F$5:$F$200,MATCH("SC_COMM|"&amp;AO75,Factors_ROT!$A$5:$A$200,0)),1)*IFERROR(INDEX(Factors_ROT!$F$5:$F$200,MATCH("SC_2Y|"&amp;AP75,Factors_ROT!$A$5:$A$200,0)),1)*IFERROR(INDEX(Factors_ROT!$F$5:$F$200,MATCH("SC_TPI|"&amp;AQ75,Factors_ROT!$A$5:$A$200,0)),1)*IFERROR(INDEX(Factors_ROT!$F$5:$F$200,MATCH("SC_FAT|"&amp;AR75,Factors_ROT!$A$5:$A$200,0)),1)</f>
        <v>1</v>
      </c>
      <c r="AX75" s="36">
        <f t="shared" si="14"/>
        <v>1.9949999999999999</v>
      </c>
      <c r="AY75" s="35">
        <f t="shared" si="15"/>
        <v>8771.9298245614045</v>
      </c>
      <c r="AZ75" s="37">
        <f>IFERROR(IF(N(INDEX(Escalation_Index!$B$5:$B$25,MATCH(Y75,Escalation_Index!$A$5:$A$25,0)))&gt;0,INDEX(Escalation_Index!$B$5:$B$25,MATCH(Y75,Escalation_Index!$A$5:$A$25,0)),""),"")</f>
        <v>91.346999999999994</v>
      </c>
      <c r="BA75" s="37">
        <f>IF(ISNUMBER('Assumptions &amp; FX Reference'!$I$12),'Assumptions &amp; FX Reference'!$I$12,"")</f>
        <v>123.416</v>
      </c>
      <c r="BB75" s="33" t="str">
        <f t="shared" si="16"/>
        <v>Y</v>
      </c>
      <c r="BC75" s="35">
        <f t="shared" si="17"/>
        <v>12531.328320802006</v>
      </c>
      <c r="BD75" s="35">
        <f>IF(AND(ISNUMBER(BC75),ISNUMBER(K75)),IF(K75&gt;0,BC75/K75^'Assumptions &amp; FX Reference'!$I$16,""),"")</f>
        <v>5331.3211069612771</v>
      </c>
      <c r="BE75" s="30" t="s">
        <v>589</v>
      </c>
      <c r="BF75" s="30" t="s">
        <v>590</v>
      </c>
      <c r="BG75" s="30" t="s">
        <v>361</v>
      </c>
    </row>
    <row r="76" spans="1:59" ht="24" customHeight="1">
      <c r="A76" s="30">
        <v>72</v>
      </c>
      <c r="B76" s="30" t="s">
        <v>525</v>
      </c>
      <c r="C76" s="30" t="s">
        <v>550</v>
      </c>
      <c r="D76" s="30" t="s">
        <v>591</v>
      </c>
      <c r="E76" s="30" t="s">
        <v>44</v>
      </c>
      <c r="F76" s="30" t="s">
        <v>128</v>
      </c>
      <c r="G76" s="30" t="s">
        <v>111</v>
      </c>
      <c r="H76" s="31">
        <v>15</v>
      </c>
      <c r="I76" s="40">
        <v>44.9</v>
      </c>
      <c r="J76" s="31"/>
      <c r="K76" s="32">
        <f>IF(ISNUMBER(J76),J76,IF(AND(ISNUMBER(H76),ISNUMBER(I76)),H76*I76/(367*'Assumptions &amp; FX Reference'!$I$17),""))</f>
        <v>3.0585831062670303</v>
      </c>
      <c r="L76" s="33" t="str">
        <f t="shared" si="12"/>
        <v>API 610 + IPS-G-PM-105 + NACE MR0175</v>
      </c>
      <c r="M76" s="30" t="s">
        <v>470</v>
      </c>
      <c r="N76" s="30" t="s">
        <v>471</v>
      </c>
      <c r="O76" s="30" t="s">
        <v>361</v>
      </c>
      <c r="P76" s="30" t="s">
        <v>119</v>
      </c>
      <c r="Q76" s="30" t="s">
        <v>119</v>
      </c>
      <c r="R76" s="30" t="s">
        <v>119</v>
      </c>
      <c r="S76" s="38" t="s">
        <v>297</v>
      </c>
      <c r="T76" s="30" t="s">
        <v>319</v>
      </c>
      <c r="U76" s="30">
        <v>1</v>
      </c>
      <c r="V76" s="30" t="s">
        <v>299</v>
      </c>
      <c r="W76" s="31"/>
      <c r="X76" s="30" t="s">
        <v>119</v>
      </c>
      <c r="Y76" s="38">
        <v>1393</v>
      </c>
      <c r="Z76" s="30" t="s">
        <v>446</v>
      </c>
      <c r="AA76" s="34" t="s">
        <v>300</v>
      </c>
      <c r="AB76" s="35" t="str">
        <f>IF(NOT(ISNUMBER(AA76)),"(Not stated)",IF(NOT(ISNUMBER(Y76)),"(Cost year not stated)",IFERROR(IF(Z76="EUR",AA76,IF(Z76="IRR",AA76/INDEX('Assumptions &amp; FX Reference'!$C$5:$C$25,MATCH(Y76,'Assumptions &amp; FX Reference'!$A$5:$A$25,0)),IF(Z76="USD",AA76*INDEX('Assumptions &amp; FX Reference'!$B$5:$B$25,MATCH(Y76,'Assumptions &amp; FX Reference'!$A$5:$A$25,0))/INDEX('Assumptions &amp; FX Reference'!$C$5:$C$25,MATCH(Y76,'Assumptions &amp; FX Reference'!$A$5:$A$25,0)),"(Currency?)"))),"(FX rate missing)")))</f>
        <v>(Not stated)</v>
      </c>
      <c r="AC76" s="35" t="str">
        <f>IF(NOT(ISNUMBER(AA76)),"(Not stated)",IF(NOT(ISNUMBER(Y76)),"(Cost year not stated)",IFERROR(IF(Z76="USD",AA76,IF(Z76="IRR",AA76/INDEX('Assumptions &amp; FX Reference'!$B$5:$B$25,MATCH(Y76,'Assumptions &amp; FX Reference'!$A$5:$A$25,0)),IF(Z76="EUR",AA76*INDEX('Assumptions &amp; FX Reference'!$C$5:$C$25,MATCH(Y76,'Assumptions &amp; FX Reference'!$A$5:$A$25,0))/INDEX('Assumptions &amp; FX Reference'!$B$5:$B$25,MATCH(Y76,'Assumptions &amp; FX Reference'!$A$5:$A$25,0)),"(Currency?)"))),"(FX rate missing)")))</f>
        <v>(Not stated)</v>
      </c>
      <c r="AD76" s="35" t="str">
        <f>IF(NOT(ISNUMBER(AA76)),"(Not stated)",IF(NOT(ISNUMBER(Y76)),"(Cost year not stated)",IFERROR(IF(Z76="IRR",AA76,IF(Z76="USD",AA76*INDEX('Assumptions &amp; FX Reference'!$B$5:$B$25,MATCH(Y76,'Assumptions &amp; FX Reference'!$A$5:$A$25,0)),IF(Z76="EUR",AA76*INDEX('Assumptions &amp; FX Reference'!$C$5:$C$25,MATCH(Y76,'Assumptions &amp; FX Reference'!$A$5:$A$25,0)),"(Currency?)"))),"(FX rate missing)")))</f>
        <v>(Not stated)</v>
      </c>
      <c r="AE76" s="30" t="s">
        <v>527</v>
      </c>
      <c r="AF76" s="30" t="s">
        <v>119</v>
      </c>
      <c r="AG76" s="35" t="str">
        <f>IF(AND(Z76="EUR",N(AA76)&gt;5000000),"(Check currency – excluded)",IF(AND(ISNUMBER(AB76),ISNUMBER(AZ76),ISNUMBER(BA76)),IF(AND(BB76="Y",ISNUMBER('Assumptions &amp; FX Reference'!$I$15)),MAX(AB76*BA76/AZ76,'Assumptions &amp; FX Reference'!$I$13*BA76/'Assumptions &amp; FX Reference'!$I$15),AB76*BA76/AZ76),"(PPI/FX missing)"))</f>
        <v>(PPI/FX missing)</v>
      </c>
      <c r="AH76" s="35" t="str">
        <f>IF(AND(ISNUMBER(AG76),ISNUMBER('Assumptions &amp; FX Reference'!$I$8),ISNUMBER('Assumptions &amp; FX Reference'!$I$11)),AG76*'Assumptions &amp; FX Reference'!$I$8/'Assumptions &amp; FX Reference'!$I$11,"")</f>
        <v/>
      </c>
      <c r="AI76" s="35" t="str">
        <f>IF(AND(ISNUMBER(AG76),ISNUMBER('Assumptions &amp; FX Reference'!$I$8)),AG76*'Assumptions &amp; FX Reference'!$I$8,"")</f>
        <v/>
      </c>
      <c r="AJ76" s="30" t="s">
        <v>473</v>
      </c>
      <c r="AK76" s="30" t="s">
        <v>474</v>
      </c>
      <c r="AL76" s="30" t="s">
        <v>119</v>
      </c>
      <c r="AM76" s="30" t="s">
        <v>119</v>
      </c>
      <c r="AN76" s="30" t="s">
        <v>119</v>
      </c>
      <c r="AO76" s="30" t="s">
        <v>119</v>
      </c>
      <c r="AP76" s="30" t="s">
        <v>119</v>
      </c>
      <c r="AQ76" s="30" t="s">
        <v>119</v>
      </c>
      <c r="AR76" s="30" t="s">
        <v>119</v>
      </c>
      <c r="AS76" s="33" t="str">
        <f t="shared" si="13"/>
        <v xml:space="preserve">No price; Seal missing; </v>
      </c>
      <c r="AT76" s="36">
        <f>IFERROR(INDEX(Factors_ROT!$F$5:$F$200,MATCH("MAT|"&amp;G76,Factors_ROT!$A$5:$A$200,0)),1)</f>
        <v>1.9</v>
      </c>
      <c r="AU76" s="36">
        <f>IFERROR(INDEX(Factors_ROT!$F$5:$F$200,MATCH("SEAL_ARR|"&amp;P76,Factors_ROT!$A$5:$A$200,0)),1)*IFERROR(INDEX(Factors_ROT!$F$5:$F$200,MATCH("SEAL_CAT|"&amp;Q76,Factors_ROT!$A$5:$A$200,0)),1)*IFERROR(INDEX(Factors_ROT!$F$5:$F$200,MATCH("SEAL_PLAN|"&amp;R76,Factors_ROT!$A$5:$A$200,0)),1)</f>
        <v>1</v>
      </c>
      <c r="AV76" s="36">
        <f>IFERROR(INDEX(Factors_ROT!$F$5:$F$200,MATCH("DRV|"&amp;S76,Factors_ROT!$A$5:$A$200,0)),1)*IFERROR(INDEX(Factors_ROT!$F$5:$F$200,MATCH("NACE|"&amp;O76,Factors_ROT!$A$5:$A$200,0)),1)</f>
        <v>1.05</v>
      </c>
      <c r="AW76" s="36">
        <f>IFERROR(INDEX(Factors_ROT!$F$5:$F$200,MATCH("SC_DRV|"&amp;AL76,Factors_ROT!$A$5:$A$200,0)),1)*IFERROR(INDEX(Factors_ROT!$F$5:$F$200,MATCH("SC_BSP|"&amp;AM76,Factors_ROT!$A$5:$A$200,0)),1)*IFERROR(INDEX(Factors_ROT!$F$5:$F$200,MATCH("SC_SEAL|"&amp;AN76,Factors_ROT!$A$5:$A$200,0)),1)*IFERROR(INDEX(Factors_ROT!$F$5:$F$200,MATCH("SC_COMM|"&amp;AO76,Factors_ROT!$A$5:$A$200,0)),1)*IFERROR(INDEX(Factors_ROT!$F$5:$F$200,MATCH("SC_2Y|"&amp;AP76,Factors_ROT!$A$5:$A$200,0)),1)*IFERROR(INDEX(Factors_ROT!$F$5:$F$200,MATCH("SC_TPI|"&amp;AQ76,Factors_ROT!$A$5:$A$200,0)),1)*IFERROR(INDEX(Factors_ROT!$F$5:$F$200,MATCH("SC_FAT|"&amp;AR76,Factors_ROT!$A$5:$A$200,0)),1)</f>
        <v>1</v>
      </c>
      <c r="AX76" s="36">
        <f t="shared" si="14"/>
        <v>1.9949999999999999</v>
      </c>
      <c r="AY76" s="35" t="str">
        <f t="shared" si="15"/>
        <v/>
      </c>
      <c r="AZ76" s="37">
        <f>IFERROR(IF(N(INDEX(Escalation_Index!$B$5:$B$25,MATCH(Y76,Escalation_Index!$A$5:$A$25,0)))&gt;0,INDEX(Escalation_Index!$B$5:$B$25,MATCH(Y76,Escalation_Index!$A$5:$A$25,0)),""),"")</f>
        <v>91.346999999999994</v>
      </c>
      <c r="BA76" s="37">
        <f>IF(ISNUMBER('Assumptions &amp; FX Reference'!$I$12),'Assumptions &amp; FX Reference'!$I$12,"")</f>
        <v>123.416</v>
      </c>
      <c r="BB76" s="33" t="str">
        <f t="shared" si="16"/>
        <v>Y</v>
      </c>
      <c r="BC76" s="35" t="str">
        <f t="shared" si="17"/>
        <v/>
      </c>
      <c r="BD76" s="35" t="str">
        <f>IF(AND(ISNUMBER(BC76),ISNUMBER(K76)),IF(K76&gt;0,BC76/K76^'Assumptions &amp; FX Reference'!$I$16,""),"")</f>
        <v/>
      </c>
      <c r="BE76" s="30" t="s">
        <v>592</v>
      </c>
      <c r="BF76" s="30" t="s">
        <v>593</v>
      </c>
      <c r="BG76" s="30" t="s">
        <v>361</v>
      </c>
    </row>
    <row r="77" spans="1:59" ht="24" customHeight="1">
      <c r="A77" s="30">
        <v>73</v>
      </c>
      <c r="B77" s="30" t="s">
        <v>530</v>
      </c>
      <c r="C77" s="30" t="s">
        <v>550</v>
      </c>
      <c r="D77" s="30" t="s">
        <v>594</v>
      </c>
      <c r="E77" s="30" t="s">
        <v>44</v>
      </c>
      <c r="F77" s="30" t="s">
        <v>128</v>
      </c>
      <c r="G77" s="30" t="s">
        <v>111</v>
      </c>
      <c r="H77" s="31"/>
      <c r="I77" s="31"/>
      <c r="J77" s="31"/>
      <c r="K77" s="32" t="str">
        <f>IF(ISNUMBER(J77),J77,IF(AND(ISNUMBER(H77),ISNUMBER(I77)),H77*I77/(367*'Assumptions &amp; FX Reference'!$I$17),""))</f>
        <v/>
      </c>
      <c r="L77" s="33" t="str">
        <f t="shared" si="12"/>
        <v>API 610 + IPS-G-PM-105</v>
      </c>
      <c r="M77" s="30" t="s">
        <v>470</v>
      </c>
      <c r="N77" s="30" t="s">
        <v>471</v>
      </c>
      <c r="O77" s="38" t="s">
        <v>305</v>
      </c>
      <c r="P77" s="30" t="s">
        <v>119</v>
      </c>
      <c r="Q77" s="30" t="s">
        <v>119</v>
      </c>
      <c r="R77" s="30" t="s">
        <v>119</v>
      </c>
      <c r="S77" s="38" t="s">
        <v>297</v>
      </c>
      <c r="T77" s="30" t="s">
        <v>319</v>
      </c>
      <c r="U77" s="30">
        <v>1</v>
      </c>
      <c r="V77" s="30" t="s">
        <v>299</v>
      </c>
      <c r="W77" s="31"/>
      <c r="X77" s="30" t="s">
        <v>119</v>
      </c>
      <c r="Y77" s="38">
        <v>1393</v>
      </c>
      <c r="Z77" s="30" t="s">
        <v>446</v>
      </c>
      <c r="AA77" s="34" t="s">
        <v>300</v>
      </c>
      <c r="AB77" s="35" t="str">
        <f>IF(NOT(ISNUMBER(AA77)),"(Not stated)",IF(NOT(ISNUMBER(Y77)),"(Cost year not stated)",IFERROR(IF(Z77="EUR",AA77,IF(Z77="IRR",AA77/INDEX('Assumptions &amp; FX Reference'!$C$5:$C$25,MATCH(Y77,'Assumptions &amp; FX Reference'!$A$5:$A$25,0)),IF(Z77="USD",AA77*INDEX('Assumptions &amp; FX Reference'!$B$5:$B$25,MATCH(Y77,'Assumptions &amp; FX Reference'!$A$5:$A$25,0))/INDEX('Assumptions &amp; FX Reference'!$C$5:$C$25,MATCH(Y77,'Assumptions &amp; FX Reference'!$A$5:$A$25,0)),"(Currency?)"))),"(FX rate missing)")))</f>
        <v>(Not stated)</v>
      </c>
      <c r="AC77" s="35" t="str">
        <f>IF(NOT(ISNUMBER(AA77)),"(Not stated)",IF(NOT(ISNUMBER(Y77)),"(Cost year not stated)",IFERROR(IF(Z77="USD",AA77,IF(Z77="IRR",AA77/INDEX('Assumptions &amp; FX Reference'!$B$5:$B$25,MATCH(Y77,'Assumptions &amp; FX Reference'!$A$5:$A$25,0)),IF(Z77="EUR",AA77*INDEX('Assumptions &amp; FX Reference'!$C$5:$C$25,MATCH(Y77,'Assumptions &amp; FX Reference'!$A$5:$A$25,0))/INDEX('Assumptions &amp; FX Reference'!$B$5:$B$25,MATCH(Y77,'Assumptions &amp; FX Reference'!$A$5:$A$25,0)),"(Currency?)"))),"(FX rate missing)")))</f>
        <v>(Not stated)</v>
      </c>
      <c r="AD77" s="35" t="str">
        <f>IF(NOT(ISNUMBER(AA77)),"(Not stated)",IF(NOT(ISNUMBER(Y77)),"(Cost year not stated)",IFERROR(IF(Z77="IRR",AA77,IF(Z77="USD",AA77*INDEX('Assumptions &amp; FX Reference'!$B$5:$B$25,MATCH(Y77,'Assumptions &amp; FX Reference'!$A$5:$A$25,0)),IF(Z77="EUR",AA77*INDEX('Assumptions &amp; FX Reference'!$C$5:$C$25,MATCH(Y77,'Assumptions &amp; FX Reference'!$A$5:$A$25,0)),"(Currency?)"))),"(FX rate missing)")))</f>
        <v>(Not stated)</v>
      </c>
      <c r="AE77" s="30" t="s">
        <v>527</v>
      </c>
      <c r="AF77" s="30" t="s">
        <v>119</v>
      </c>
      <c r="AG77" s="35" t="str">
        <f>IF(AND(Z77="EUR",N(AA77)&gt;5000000),"(Check currency – excluded)",IF(AND(ISNUMBER(AB77),ISNUMBER(AZ77),ISNUMBER(BA77)),IF(AND(BB77="Y",ISNUMBER('Assumptions &amp; FX Reference'!$I$15)),MAX(AB77*BA77/AZ77,'Assumptions &amp; FX Reference'!$I$13*BA77/'Assumptions &amp; FX Reference'!$I$15),AB77*BA77/AZ77),"(PPI/FX missing)"))</f>
        <v>(PPI/FX missing)</v>
      </c>
      <c r="AH77" s="35" t="str">
        <f>IF(AND(ISNUMBER(AG77),ISNUMBER('Assumptions &amp; FX Reference'!$I$8),ISNUMBER('Assumptions &amp; FX Reference'!$I$11)),AG77*'Assumptions &amp; FX Reference'!$I$8/'Assumptions &amp; FX Reference'!$I$11,"")</f>
        <v/>
      </c>
      <c r="AI77" s="35" t="str">
        <f>IF(AND(ISNUMBER(AG77),ISNUMBER('Assumptions &amp; FX Reference'!$I$8)),AG77*'Assumptions &amp; FX Reference'!$I$8,"")</f>
        <v/>
      </c>
      <c r="AJ77" s="30" t="s">
        <v>473</v>
      </c>
      <c r="AK77" s="30" t="s">
        <v>474</v>
      </c>
      <c r="AL77" s="30" t="s">
        <v>119</v>
      </c>
      <c r="AM77" s="30" t="s">
        <v>119</v>
      </c>
      <c r="AN77" s="30" t="s">
        <v>119</v>
      </c>
      <c r="AO77" s="30" t="s">
        <v>119</v>
      </c>
      <c r="AP77" s="30" t="s">
        <v>119</v>
      </c>
      <c r="AQ77" s="30" t="s">
        <v>119</v>
      </c>
      <c r="AR77" s="30" t="s">
        <v>119</v>
      </c>
      <c r="AS77" s="33" t="str">
        <f t="shared" si="13"/>
        <v xml:space="preserve">No price; Seal missing; Size driver missing; </v>
      </c>
      <c r="AT77" s="36">
        <f>IFERROR(INDEX(Factors_ROT!$F$5:$F$200,MATCH("MAT|"&amp;G77,Factors_ROT!$A$5:$A$200,0)),1)</f>
        <v>1.9</v>
      </c>
      <c r="AU77" s="36">
        <f>IFERROR(INDEX(Factors_ROT!$F$5:$F$200,MATCH("SEAL_ARR|"&amp;P77,Factors_ROT!$A$5:$A$200,0)),1)*IFERROR(INDEX(Factors_ROT!$F$5:$F$200,MATCH("SEAL_CAT|"&amp;Q77,Factors_ROT!$A$5:$A$200,0)),1)*IFERROR(INDEX(Factors_ROT!$F$5:$F$200,MATCH("SEAL_PLAN|"&amp;R77,Factors_ROT!$A$5:$A$200,0)),1)</f>
        <v>1</v>
      </c>
      <c r="AV77" s="36">
        <f>IFERROR(INDEX(Factors_ROT!$F$5:$F$200,MATCH("DRV|"&amp;S77,Factors_ROT!$A$5:$A$200,0)),1)*IFERROR(INDEX(Factors_ROT!$F$5:$F$200,MATCH("NACE|"&amp;O77,Factors_ROT!$A$5:$A$200,0)),1)</f>
        <v>1</v>
      </c>
      <c r="AW77" s="36">
        <f>IFERROR(INDEX(Factors_ROT!$F$5:$F$200,MATCH("SC_DRV|"&amp;AL77,Factors_ROT!$A$5:$A$200,0)),1)*IFERROR(INDEX(Factors_ROT!$F$5:$F$200,MATCH("SC_BSP|"&amp;AM77,Factors_ROT!$A$5:$A$200,0)),1)*IFERROR(INDEX(Factors_ROT!$F$5:$F$200,MATCH("SC_SEAL|"&amp;AN77,Factors_ROT!$A$5:$A$200,0)),1)*IFERROR(INDEX(Factors_ROT!$F$5:$F$200,MATCH("SC_COMM|"&amp;AO77,Factors_ROT!$A$5:$A$200,0)),1)*IFERROR(INDEX(Factors_ROT!$F$5:$F$200,MATCH("SC_2Y|"&amp;AP77,Factors_ROT!$A$5:$A$200,0)),1)*IFERROR(INDEX(Factors_ROT!$F$5:$F$200,MATCH("SC_TPI|"&amp;AQ77,Factors_ROT!$A$5:$A$200,0)),1)*IFERROR(INDEX(Factors_ROT!$F$5:$F$200,MATCH("SC_FAT|"&amp;AR77,Factors_ROT!$A$5:$A$200,0)),1)</f>
        <v>1</v>
      </c>
      <c r="AX77" s="36">
        <f t="shared" si="14"/>
        <v>1.9</v>
      </c>
      <c r="AY77" s="35" t="str">
        <f t="shared" si="15"/>
        <v/>
      </c>
      <c r="AZ77" s="37">
        <f>IFERROR(IF(N(INDEX(Escalation_Index!$B$5:$B$25,MATCH(Y77,Escalation_Index!$A$5:$A$25,0)))&gt;0,INDEX(Escalation_Index!$B$5:$B$25,MATCH(Y77,Escalation_Index!$A$5:$A$25,0)),""),"")</f>
        <v>91.346999999999994</v>
      </c>
      <c r="BA77" s="37">
        <f>IF(ISNUMBER('Assumptions &amp; FX Reference'!$I$12),'Assumptions &amp; FX Reference'!$I$12,"")</f>
        <v>123.416</v>
      </c>
      <c r="BB77" s="33" t="str">
        <f t="shared" si="16"/>
        <v>Y</v>
      </c>
      <c r="BC77" s="35" t="str">
        <f t="shared" si="17"/>
        <v/>
      </c>
      <c r="BD77" s="35" t="str">
        <f>IF(AND(ISNUMBER(BC77),ISNUMBER(K77)),IF(K77&gt;0,BC77/K77^'Assumptions &amp; FX Reference'!$I$16,""),"")</f>
        <v/>
      </c>
      <c r="BE77" s="30" t="s">
        <v>595</v>
      </c>
      <c r="BF77" s="30" t="s">
        <v>596</v>
      </c>
      <c r="BG77" s="30" t="s">
        <v>361</v>
      </c>
    </row>
    <row r="78" spans="1:59" ht="24" customHeight="1">
      <c r="A78" s="30">
        <v>74</v>
      </c>
      <c r="B78" s="30" t="s">
        <v>534</v>
      </c>
      <c r="C78" s="30" t="s">
        <v>550</v>
      </c>
      <c r="D78" s="30" t="s">
        <v>597</v>
      </c>
      <c r="E78" s="30" t="s">
        <v>47</v>
      </c>
      <c r="F78" s="30" t="s">
        <v>128</v>
      </c>
      <c r="G78" s="30" t="s">
        <v>111</v>
      </c>
      <c r="H78" s="31"/>
      <c r="I78" s="31"/>
      <c r="J78" s="31"/>
      <c r="K78" s="32" t="str">
        <f>IF(ISNUMBER(J78),J78,IF(AND(ISNUMBER(H78),ISNUMBER(I78)),H78*I78/(367*'Assumptions &amp; FX Reference'!$I$17),""))</f>
        <v/>
      </c>
      <c r="L78" s="33" t="str">
        <f t="shared" si="12"/>
        <v>API 610 + IPS-G-PM-105 + NACE MR0175</v>
      </c>
      <c r="M78" s="30" t="s">
        <v>470</v>
      </c>
      <c r="N78" s="30" t="s">
        <v>471</v>
      </c>
      <c r="O78" s="30" t="s">
        <v>361</v>
      </c>
      <c r="P78" s="30" t="s">
        <v>119</v>
      </c>
      <c r="Q78" s="30" t="s">
        <v>119</v>
      </c>
      <c r="R78" s="30" t="s">
        <v>119</v>
      </c>
      <c r="S78" s="38" t="s">
        <v>297</v>
      </c>
      <c r="T78" s="30" t="s">
        <v>326</v>
      </c>
      <c r="U78" s="30">
        <v>1</v>
      </c>
      <c r="V78" s="30" t="s">
        <v>299</v>
      </c>
      <c r="W78" s="31"/>
      <c r="X78" s="30" t="s">
        <v>119</v>
      </c>
      <c r="Y78" s="38">
        <v>1393</v>
      </c>
      <c r="Z78" s="30" t="s">
        <v>446</v>
      </c>
      <c r="AA78" s="34" t="s">
        <v>300</v>
      </c>
      <c r="AB78" s="35" t="str">
        <f>IF(NOT(ISNUMBER(AA78)),"(Not stated)",IF(NOT(ISNUMBER(Y78)),"(Cost year not stated)",IFERROR(IF(Z78="EUR",AA78,IF(Z78="IRR",AA78/INDEX('Assumptions &amp; FX Reference'!$C$5:$C$25,MATCH(Y78,'Assumptions &amp; FX Reference'!$A$5:$A$25,0)),IF(Z78="USD",AA78*INDEX('Assumptions &amp; FX Reference'!$B$5:$B$25,MATCH(Y78,'Assumptions &amp; FX Reference'!$A$5:$A$25,0))/INDEX('Assumptions &amp; FX Reference'!$C$5:$C$25,MATCH(Y78,'Assumptions &amp; FX Reference'!$A$5:$A$25,0)),"(Currency?)"))),"(FX rate missing)")))</f>
        <v>(Not stated)</v>
      </c>
      <c r="AC78" s="35" t="str">
        <f>IF(NOT(ISNUMBER(AA78)),"(Not stated)",IF(NOT(ISNUMBER(Y78)),"(Cost year not stated)",IFERROR(IF(Z78="USD",AA78,IF(Z78="IRR",AA78/INDEX('Assumptions &amp; FX Reference'!$B$5:$B$25,MATCH(Y78,'Assumptions &amp; FX Reference'!$A$5:$A$25,0)),IF(Z78="EUR",AA78*INDEX('Assumptions &amp; FX Reference'!$C$5:$C$25,MATCH(Y78,'Assumptions &amp; FX Reference'!$A$5:$A$25,0))/INDEX('Assumptions &amp; FX Reference'!$B$5:$B$25,MATCH(Y78,'Assumptions &amp; FX Reference'!$A$5:$A$25,0)),"(Currency?)"))),"(FX rate missing)")))</f>
        <v>(Not stated)</v>
      </c>
      <c r="AD78" s="35" t="str">
        <f>IF(NOT(ISNUMBER(AA78)),"(Not stated)",IF(NOT(ISNUMBER(Y78)),"(Cost year not stated)",IFERROR(IF(Z78="IRR",AA78,IF(Z78="USD",AA78*INDEX('Assumptions &amp; FX Reference'!$B$5:$B$25,MATCH(Y78,'Assumptions &amp; FX Reference'!$A$5:$A$25,0)),IF(Z78="EUR",AA78*INDEX('Assumptions &amp; FX Reference'!$C$5:$C$25,MATCH(Y78,'Assumptions &amp; FX Reference'!$A$5:$A$25,0)),"(Currency?)"))),"(FX rate missing)")))</f>
        <v>(Not stated)</v>
      </c>
      <c r="AE78" s="30" t="s">
        <v>527</v>
      </c>
      <c r="AF78" s="30" t="s">
        <v>119</v>
      </c>
      <c r="AG78" s="35" t="str">
        <f>IF(AND(Z78="EUR",N(AA78)&gt;5000000),"(Check currency – excluded)",IF(AND(ISNUMBER(AB78),ISNUMBER(AZ78),ISNUMBER(BA78)),IF(AND(BB78="Y",ISNUMBER('Assumptions &amp; FX Reference'!$I$15)),MAX(AB78*BA78/AZ78,'Assumptions &amp; FX Reference'!$I$13*BA78/'Assumptions &amp; FX Reference'!$I$15),AB78*BA78/AZ78),"(PPI/FX missing)"))</f>
        <v>(PPI/FX missing)</v>
      </c>
      <c r="AH78" s="35" t="str">
        <f>IF(AND(ISNUMBER(AG78),ISNUMBER('Assumptions &amp; FX Reference'!$I$8),ISNUMBER('Assumptions &amp; FX Reference'!$I$11)),AG78*'Assumptions &amp; FX Reference'!$I$8/'Assumptions &amp; FX Reference'!$I$11,"")</f>
        <v/>
      </c>
      <c r="AI78" s="35" t="str">
        <f>IF(AND(ISNUMBER(AG78),ISNUMBER('Assumptions &amp; FX Reference'!$I$8)),AG78*'Assumptions &amp; FX Reference'!$I$8,"")</f>
        <v/>
      </c>
      <c r="AJ78" s="30" t="s">
        <v>473</v>
      </c>
      <c r="AK78" s="30" t="s">
        <v>474</v>
      </c>
      <c r="AL78" s="30" t="s">
        <v>119</v>
      </c>
      <c r="AM78" s="30" t="s">
        <v>119</v>
      </c>
      <c r="AN78" s="30" t="s">
        <v>119</v>
      </c>
      <c r="AO78" s="30" t="s">
        <v>119</v>
      </c>
      <c r="AP78" s="30" t="s">
        <v>119</v>
      </c>
      <c r="AQ78" s="30" t="s">
        <v>119</v>
      </c>
      <c r="AR78" s="30" t="s">
        <v>119</v>
      </c>
      <c r="AS78" s="33" t="str">
        <f t="shared" si="13"/>
        <v xml:space="preserve">No price; Seal missing; Size driver missing; </v>
      </c>
      <c r="AT78" s="36">
        <f>IFERROR(INDEX(Factors_ROT!$F$5:$F$200,MATCH("MAT|"&amp;G78,Factors_ROT!$A$5:$A$200,0)),1)</f>
        <v>1.9</v>
      </c>
      <c r="AU78" s="36">
        <f>IFERROR(INDEX(Factors_ROT!$F$5:$F$200,MATCH("SEAL_ARR|"&amp;P78,Factors_ROT!$A$5:$A$200,0)),1)*IFERROR(INDEX(Factors_ROT!$F$5:$F$200,MATCH("SEAL_CAT|"&amp;Q78,Factors_ROT!$A$5:$A$200,0)),1)*IFERROR(INDEX(Factors_ROT!$F$5:$F$200,MATCH("SEAL_PLAN|"&amp;R78,Factors_ROT!$A$5:$A$200,0)),1)</f>
        <v>1</v>
      </c>
      <c r="AV78" s="36">
        <f>IFERROR(INDEX(Factors_ROT!$F$5:$F$200,MATCH("DRV|"&amp;S78,Factors_ROT!$A$5:$A$200,0)),1)*IFERROR(INDEX(Factors_ROT!$F$5:$F$200,MATCH("NACE|"&amp;O78,Factors_ROT!$A$5:$A$200,0)),1)</f>
        <v>1.05</v>
      </c>
      <c r="AW78" s="36">
        <f>IFERROR(INDEX(Factors_ROT!$F$5:$F$200,MATCH("SC_DRV|"&amp;AL78,Factors_ROT!$A$5:$A$200,0)),1)*IFERROR(INDEX(Factors_ROT!$F$5:$F$200,MATCH("SC_BSP|"&amp;AM78,Factors_ROT!$A$5:$A$200,0)),1)*IFERROR(INDEX(Factors_ROT!$F$5:$F$200,MATCH("SC_SEAL|"&amp;AN78,Factors_ROT!$A$5:$A$200,0)),1)*IFERROR(INDEX(Factors_ROT!$F$5:$F$200,MATCH("SC_COMM|"&amp;AO78,Factors_ROT!$A$5:$A$200,0)),1)*IFERROR(INDEX(Factors_ROT!$F$5:$F$200,MATCH("SC_2Y|"&amp;AP78,Factors_ROT!$A$5:$A$200,0)),1)*IFERROR(INDEX(Factors_ROT!$F$5:$F$200,MATCH("SC_TPI|"&amp;AQ78,Factors_ROT!$A$5:$A$200,0)),1)*IFERROR(INDEX(Factors_ROT!$F$5:$F$200,MATCH("SC_FAT|"&amp;AR78,Factors_ROT!$A$5:$A$200,0)),1)</f>
        <v>1</v>
      </c>
      <c r="AX78" s="36">
        <f t="shared" si="14"/>
        <v>1.9949999999999999</v>
      </c>
      <c r="AY78" s="35" t="str">
        <f t="shared" si="15"/>
        <v/>
      </c>
      <c r="AZ78" s="37">
        <f>IFERROR(IF(N(INDEX(Escalation_Index!$B$5:$B$25,MATCH(Y78,Escalation_Index!$A$5:$A$25,0)))&gt;0,INDEX(Escalation_Index!$B$5:$B$25,MATCH(Y78,Escalation_Index!$A$5:$A$25,0)),""),"")</f>
        <v>91.346999999999994</v>
      </c>
      <c r="BA78" s="37">
        <f>IF(ISNUMBER('Assumptions &amp; FX Reference'!$I$12),'Assumptions &amp; FX Reference'!$I$12,"")</f>
        <v>123.416</v>
      </c>
      <c r="BB78" s="33" t="str">
        <f t="shared" si="16"/>
        <v>Y</v>
      </c>
      <c r="BC78" s="35" t="str">
        <f t="shared" si="17"/>
        <v/>
      </c>
      <c r="BD78" s="35" t="str">
        <f>IF(AND(ISNUMBER(BC78),ISNUMBER(K78)),IF(K78&gt;0,BC78/K78^'Assumptions &amp; FX Reference'!$I$16,""),"")</f>
        <v/>
      </c>
      <c r="BE78" s="30" t="s">
        <v>598</v>
      </c>
      <c r="BF78" s="30" t="s">
        <v>599</v>
      </c>
      <c r="BG78" s="30" t="s">
        <v>361</v>
      </c>
    </row>
    <row r="79" spans="1:59" ht="24" customHeight="1">
      <c r="A79" s="30">
        <v>75</v>
      </c>
      <c r="B79" s="30" t="s">
        <v>534</v>
      </c>
      <c r="C79" s="30" t="s">
        <v>550</v>
      </c>
      <c r="D79" s="30" t="s">
        <v>600</v>
      </c>
      <c r="E79" s="30" t="s">
        <v>47</v>
      </c>
      <c r="F79" s="30" t="s">
        <v>128</v>
      </c>
      <c r="G79" s="30" t="s">
        <v>111</v>
      </c>
      <c r="H79" s="31"/>
      <c r="I79" s="31"/>
      <c r="J79" s="31"/>
      <c r="K79" s="32" t="str">
        <f>IF(ISNUMBER(J79),J79,IF(AND(ISNUMBER(H79),ISNUMBER(I79)),H79*I79/(367*'Assumptions &amp; FX Reference'!$I$17),""))</f>
        <v/>
      </c>
      <c r="L79" s="33" t="str">
        <f t="shared" si="12"/>
        <v>API 610 + IPS-G-PM-105 + NACE MR0175</v>
      </c>
      <c r="M79" s="30" t="s">
        <v>470</v>
      </c>
      <c r="N79" s="30" t="s">
        <v>471</v>
      </c>
      <c r="O79" s="30" t="s">
        <v>361</v>
      </c>
      <c r="P79" s="30" t="s">
        <v>119</v>
      </c>
      <c r="Q79" s="30" t="s">
        <v>119</v>
      </c>
      <c r="R79" s="30" t="s">
        <v>119</v>
      </c>
      <c r="S79" s="38" t="s">
        <v>297</v>
      </c>
      <c r="T79" s="30" t="s">
        <v>326</v>
      </c>
      <c r="U79" s="30">
        <v>1</v>
      </c>
      <c r="V79" s="30" t="s">
        <v>299</v>
      </c>
      <c r="W79" s="31"/>
      <c r="X79" s="30" t="s">
        <v>119</v>
      </c>
      <c r="Y79" s="38">
        <v>1393</v>
      </c>
      <c r="Z79" s="30" t="s">
        <v>446</v>
      </c>
      <c r="AA79" s="34" t="s">
        <v>300</v>
      </c>
      <c r="AB79" s="35" t="str">
        <f>IF(NOT(ISNUMBER(AA79)),"(Not stated)",IF(NOT(ISNUMBER(Y79)),"(Cost year not stated)",IFERROR(IF(Z79="EUR",AA79,IF(Z79="IRR",AA79/INDEX('Assumptions &amp; FX Reference'!$C$5:$C$25,MATCH(Y79,'Assumptions &amp; FX Reference'!$A$5:$A$25,0)),IF(Z79="USD",AA79*INDEX('Assumptions &amp; FX Reference'!$B$5:$B$25,MATCH(Y79,'Assumptions &amp; FX Reference'!$A$5:$A$25,0))/INDEX('Assumptions &amp; FX Reference'!$C$5:$C$25,MATCH(Y79,'Assumptions &amp; FX Reference'!$A$5:$A$25,0)),"(Currency?)"))),"(FX rate missing)")))</f>
        <v>(Not stated)</v>
      </c>
      <c r="AC79" s="35" t="str">
        <f>IF(NOT(ISNUMBER(AA79)),"(Not stated)",IF(NOT(ISNUMBER(Y79)),"(Cost year not stated)",IFERROR(IF(Z79="USD",AA79,IF(Z79="IRR",AA79/INDEX('Assumptions &amp; FX Reference'!$B$5:$B$25,MATCH(Y79,'Assumptions &amp; FX Reference'!$A$5:$A$25,0)),IF(Z79="EUR",AA79*INDEX('Assumptions &amp; FX Reference'!$C$5:$C$25,MATCH(Y79,'Assumptions &amp; FX Reference'!$A$5:$A$25,0))/INDEX('Assumptions &amp; FX Reference'!$B$5:$B$25,MATCH(Y79,'Assumptions &amp; FX Reference'!$A$5:$A$25,0)),"(Currency?)"))),"(FX rate missing)")))</f>
        <v>(Not stated)</v>
      </c>
      <c r="AD79" s="35" t="str">
        <f>IF(NOT(ISNUMBER(AA79)),"(Not stated)",IF(NOT(ISNUMBER(Y79)),"(Cost year not stated)",IFERROR(IF(Z79="IRR",AA79,IF(Z79="USD",AA79*INDEX('Assumptions &amp; FX Reference'!$B$5:$B$25,MATCH(Y79,'Assumptions &amp; FX Reference'!$A$5:$A$25,0)),IF(Z79="EUR",AA79*INDEX('Assumptions &amp; FX Reference'!$C$5:$C$25,MATCH(Y79,'Assumptions &amp; FX Reference'!$A$5:$A$25,0)),"(Currency?)"))),"(FX rate missing)")))</f>
        <v>(Not stated)</v>
      </c>
      <c r="AE79" s="30" t="s">
        <v>527</v>
      </c>
      <c r="AF79" s="30" t="s">
        <v>119</v>
      </c>
      <c r="AG79" s="35" t="str">
        <f>IF(AND(Z79="EUR",N(AA79)&gt;5000000),"(Check currency – excluded)",IF(AND(ISNUMBER(AB79),ISNUMBER(AZ79),ISNUMBER(BA79)),IF(AND(BB79="Y",ISNUMBER('Assumptions &amp; FX Reference'!$I$15)),MAX(AB79*BA79/AZ79,'Assumptions &amp; FX Reference'!$I$13*BA79/'Assumptions &amp; FX Reference'!$I$15),AB79*BA79/AZ79),"(PPI/FX missing)"))</f>
        <v>(PPI/FX missing)</v>
      </c>
      <c r="AH79" s="35" t="str">
        <f>IF(AND(ISNUMBER(AG79),ISNUMBER('Assumptions &amp; FX Reference'!$I$8),ISNUMBER('Assumptions &amp; FX Reference'!$I$11)),AG79*'Assumptions &amp; FX Reference'!$I$8/'Assumptions &amp; FX Reference'!$I$11,"")</f>
        <v/>
      </c>
      <c r="AI79" s="35" t="str">
        <f>IF(AND(ISNUMBER(AG79),ISNUMBER('Assumptions &amp; FX Reference'!$I$8)),AG79*'Assumptions &amp; FX Reference'!$I$8,"")</f>
        <v/>
      </c>
      <c r="AJ79" s="30" t="s">
        <v>473</v>
      </c>
      <c r="AK79" s="30" t="s">
        <v>474</v>
      </c>
      <c r="AL79" s="30" t="s">
        <v>119</v>
      </c>
      <c r="AM79" s="30" t="s">
        <v>119</v>
      </c>
      <c r="AN79" s="30" t="s">
        <v>119</v>
      </c>
      <c r="AO79" s="30" t="s">
        <v>119</v>
      </c>
      <c r="AP79" s="30" t="s">
        <v>119</v>
      </c>
      <c r="AQ79" s="30" t="s">
        <v>119</v>
      </c>
      <c r="AR79" s="30" t="s">
        <v>119</v>
      </c>
      <c r="AS79" s="33" t="str">
        <f t="shared" si="13"/>
        <v xml:space="preserve">No price; Seal missing; Size driver missing; </v>
      </c>
      <c r="AT79" s="36">
        <f>IFERROR(INDEX(Factors_ROT!$F$5:$F$200,MATCH("MAT|"&amp;G79,Factors_ROT!$A$5:$A$200,0)),1)</f>
        <v>1.9</v>
      </c>
      <c r="AU79" s="36">
        <f>IFERROR(INDEX(Factors_ROT!$F$5:$F$200,MATCH("SEAL_ARR|"&amp;P79,Factors_ROT!$A$5:$A$200,0)),1)*IFERROR(INDEX(Factors_ROT!$F$5:$F$200,MATCH("SEAL_CAT|"&amp;Q79,Factors_ROT!$A$5:$A$200,0)),1)*IFERROR(INDEX(Factors_ROT!$F$5:$F$200,MATCH("SEAL_PLAN|"&amp;R79,Factors_ROT!$A$5:$A$200,0)),1)</f>
        <v>1</v>
      </c>
      <c r="AV79" s="36">
        <f>IFERROR(INDEX(Factors_ROT!$F$5:$F$200,MATCH("DRV|"&amp;S79,Factors_ROT!$A$5:$A$200,0)),1)*IFERROR(INDEX(Factors_ROT!$F$5:$F$200,MATCH("NACE|"&amp;O79,Factors_ROT!$A$5:$A$200,0)),1)</f>
        <v>1.05</v>
      </c>
      <c r="AW79" s="36">
        <f>IFERROR(INDEX(Factors_ROT!$F$5:$F$200,MATCH("SC_DRV|"&amp;AL79,Factors_ROT!$A$5:$A$200,0)),1)*IFERROR(INDEX(Factors_ROT!$F$5:$F$200,MATCH("SC_BSP|"&amp;AM79,Factors_ROT!$A$5:$A$200,0)),1)*IFERROR(INDEX(Factors_ROT!$F$5:$F$200,MATCH("SC_SEAL|"&amp;AN79,Factors_ROT!$A$5:$A$200,0)),1)*IFERROR(INDEX(Factors_ROT!$F$5:$F$200,MATCH("SC_COMM|"&amp;AO79,Factors_ROT!$A$5:$A$200,0)),1)*IFERROR(INDEX(Factors_ROT!$F$5:$F$200,MATCH("SC_2Y|"&amp;AP79,Factors_ROT!$A$5:$A$200,0)),1)*IFERROR(INDEX(Factors_ROT!$F$5:$F$200,MATCH("SC_TPI|"&amp;AQ79,Factors_ROT!$A$5:$A$200,0)),1)*IFERROR(INDEX(Factors_ROT!$F$5:$F$200,MATCH("SC_FAT|"&amp;AR79,Factors_ROT!$A$5:$A$200,0)),1)</f>
        <v>1</v>
      </c>
      <c r="AX79" s="36">
        <f t="shared" si="14"/>
        <v>1.9949999999999999</v>
      </c>
      <c r="AY79" s="35" t="str">
        <f t="shared" si="15"/>
        <v/>
      </c>
      <c r="AZ79" s="37">
        <f>IFERROR(IF(N(INDEX(Escalation_Index!$B$5:$B$25,MATCH(Y79,Escalation_Index!$A$5:$A$25,0)))&gt;0,INDEX(Escalation_Index!$B$5:$B$25,MATCH(Y79,Escalation_Index!$A$5:$A$25,0)),""),"")</f>
        <v>91.346999999999994</v>
      </c>
      <c r="BA79" s="37">
        <f>IF(ISNUMBER('Assumptions &amp; FX Reference'!$I$12),'Assumptions &amp; FX Reference'!$I$12,"")</f>
        <v>123.416</v>
      </c>
      <c r="BB79" s="33" t="str">
        <f t="shared" si="16"/>
        <v>Y</v>
      </c>
      <c r="BC79" s="35" t="str">
        <f t="shared" si="17"/>
        <v/>
      </c>
      <c r="BD79" s="35" t="str">
        <f>IF(AND(ISNUMBER(BC79),ISNUMBER(K79)),IF(K79&gt;0,BC79/K79^'Assumptions &amp; FX Reference'!$I$16,""),"")</f>
        <v/>
      </c>
      <c r="BE79" s="30" t="s">
        <v>601</v>
      </c>
      <c r="BF79" s="30" t="s">
        <v>602</v>
      </c>
      <c r="BG79" s="30" t="s">
        <v>361</v>
      </c>
    </row>
    <row r="80" spans="1:59" ht="24" customHeight="1">
      <c r="A80" s="30">
        <v>76</v>
      </c>
      <c r="B80" s="30" t="s">
        <v>541</v>
      </c>
      <c r="C80" s="30" t="s">
        <v>550</v>
      </c>
      <c r="D80" s="30" t="s">
        <v>603</v>
      </c>
      <c r="E80" s="30" t="s">
        <v>50</v>
      </c>
      <c r="F80" s="30" t="s">
        <v>188</v>
      </c>
      <c r="G80" s="30" t="s">
        <v>107</v>
      </c>
      <c r="H80" s="31"/>
      <c r="I80" s="31"/>
      <c r="J80" s="31"/>
      <c r="K80" s="32" t="str">
        <f>IF(ISNUMBER(J80),J80,IF(AND(ISNUMBER(H80),ISNUMBER(I80)),H80*I80/(367*'Assumptions &amp; FX Reference'!$I$17),""))</f>
        <v/>
      </c>
      <c r="L80" s="33" t="str">
        <f t="shared" si="12"/>
        <v>API 676 + IPS-M-PM-140</v>
      </c>
      <c r="M80" s="30" t="s">
        <v>483</v>
      </c>
      <c r="N80" s="30" t="s">
        <v>484</v>
      </c>
      <c r="O80" s="38" t="s">
        <v>305</v>
      </c>
      <c r="P80" s="30" t="s">
        <v>119</v>
      </c>
      <c r="Q80" s="30" t="s">
        <v>119</v>
      </c>
      <c r="R80" s="30" t="s">
        <v>119</v>
      </c>
      <c r="S80" s="38" t="s">
        <v>297</v>
      </c>
      <c r="T80" s="30" t="s">
        <v>424</v>
      </c>
      <c r="U80" s="30">
        <v>1</v>
      </c>
      <c r="V80" s="30" t="s">
        <v>485</v>
      </c>
      <c r="W80" s="31"/>
      <c r="X80" s="30" t="s">
        <v>119</v>
      </c>
      <c r="Y80" s="38">
        <v>1393</v>
      </c>
      <c r="Z80" s="30" t="s">
        <v>446</v>
      </c>
      <c r="AA80" s="34" t="s">
        <v>300</v>
      </c>
      <c r="AB80" s="35" t="str">
        <f>IF(NOT(ISNUMBER(AA80)),"(Not stated)",IF(NOT(ISNUMBER(Y80)),"(Cost year not stated)",IFERROR(IF(Z80="EUR",AA80,IF(Z80="IRR",AA80/INDEX('Assumptions &amp; FX Reference'!$C$5:$C$25,MATCH(Y80,'Assumptions &amp; FX Reference'!$A$5:$A$25,0)),IF(Z80="USD",AA80*INDEX('Assumptions &amp; FX Reference'!$B$5:$B$25,MATCH(Y80,'Assumptions &amp; FX Reference'!$A$5:$A$25,0))/INDEX('Assumptions &amp; FX Reference'!$C$5:$C$25,MATCH(Y80,'Assumptions &amp; FX Reference'!$A$5:$A$25,0)),"(Currency?)"))),"(FX rate missing)")))</f>
        <v>(Not stated)</v>
      </c>
      <c r="AC80" s="35" t="str">
        <f>IF(NOT(ISNUMBER(AA80)),"(Not stated)",IF(NOT(ISNUMBER(Y80)),"(Cost year not stated)",IFERROR(IF(Z80="USD",AA80,IF(Z80="IRR",AA80/INDEX('Assumptions &amp; FX Reference'!$B$5:$B$25,MATCH(Y80,'Assumptions &amp; FX Reference'!$A$5:$A$25,0)),IF(Z80="EUR",AA80*INDEX('Assumptions &amp; FX Reference'!$C$5:$C$25,MATCH(Y80,'Assumptions &amp; FX Reference'!$A$5:$A$25,0))/INDEX('Assumptions &amp; FX Reference'!$B$5:$B$25,MATCH(Y80,'Assumptions &amp; FX Reference'!$A$5:$A$25,0)),"(Currency?)"))),"(FX rate missing)")))</f>
        <v>(Not stated)</v>
      </c>
      <c r="AD80" s="35" t="str">
        <f>IF(NOT(ISNUMBER(AA80)),"(Not stated)",IF(NOT(ISNUMBER(Y80)),"(Cost year not stated)",IFERROR(IF(Z80="IRR",AA80,IF(Z80="USD",AA80*INDEX('Assumptions &amp; FX Reference'!$B$5:$B$25,MATCH(Y80,'Assumptions &amp; FX Reference'!$A$5:$A$25,0)),IF(Z80="EUR",AA80*INDEX('Assumptions &amp; FX Reference'!$C$5:$C$25,MATCH(Y80,'Assumptions &amp; FX Reference'!$A$5:$A$25,0)),"(Currency?)"))),"(FX rate missing)")))</f>
        <v>(Not stated)</v>
      </c>
      <c r="AE80" s="30" t="s">
        <v>527</v>
      </c>
      <c r="AF80" s="30" t="s">
        <v>119</v>
      </c>
      <c r="AG80" s="35" t="str">
        <f>IF(AND(Z80="EUR",N(AA80)&gt;5000000),"(Check currency – excluded)",IF(AND(ISNUMBER(AB80),ISNUMBER(AZ80),ISNUMBER(BA80)),IF(AND(BB80="Y",ISNUMBER('Assumptions &amp; FX Reference'!$I$15)),MAX(AB80*BA80/AZ80,'Assumptions &amp; FX Reference'!$I$13*BA80/'Assumptions &amp; FX Reference'!$I$15),AB80*BA80/AZ80),"(PPI/FX missing)"))</f>
        <v>(PPI/FX missing)</v>
      </c>
      <c r="AH80" s="35" t="str">
        <f>IF(AND(ISNUMBER(AG80),ISNUMBER('Assumptions &amp; FX Reference'!$I$8),ISNUMBER('Assumptions &amp; FX Reference'!$I$11)),AG80*'Assumptions &amp; FX Reference'!$I$8/'Assumptions &amp; FX Reference'!$I$11,"")</f>
        <v/>
      </c>
      <c r="AI80" s="35" t="str">
        <f>IF(AND(ISNUMBER(AG80),ISNUMBER('Assumptions &amp; FX Reference'!$I$8)),AG80*'Assumptions &amp; FX Reference'!$I$8,"")</f>
        <v/>
      </c>
      <c r="AJ80" s="30" t="s">
        <v>473</v>
      </c>
      <c r="AK80" s="30" t="s">
        <v>474</v>
      </c>
      <c r="AL80" s="30" t="s">
        <v>119</v>
      </c>
      <c r="AM80" s="30" t="s">
        <v>119</v>
      </c>
      <c r="AN80" s="30" t="s">
        <v>119</v>
      </c>
      <c r="AO80" s="30" t="s">
        <v>119</v>
      </c>
      <c r="AP80" s="30" t="s">
        <v>119</v>
      </c>
      <c r="AQ80" s="30" t="s">
        <v>119</v>
      </c>
      <c r="AR80" s="30" t="s">
        <v>119</v>
      </c>
      <c r="AS80" s="33" t="str">
        <f t="shared" si="13"/>
        <v xml:space="preserve">No price; Seal missing; Size driver missing; </v>
      </c>
      <c r="AT80" s="36">
        <f>IFERROR(INDEX(Factors_ROT!$F$5:$F$200,MATCH("MAT|"&amp;G80,Factors_ROT!$A$5:$A$200,0)),1)</f>
        <v>1.7</v>
      </c>
      <c r="AU80" s="36">
        <f>IFERROR(INDEX(Factors_ROT!$F$5:$F$200,MATCH("SEAL_ARR|"&amp;P80,Factors_ROT!$A$5:$A$200,0)),1)*IFERROR(INDEX(Factors_ROT!$F$5:$F$200,MATCH("SEAL_CAT|"&amp;Q80,Factors_ROT!$A$5:$A$200,0)),1)*IFERROR(INDEX(Factors_ROT!$F$5:$F$200,MATCH("SEAL_PLAN|"&amp;R80,Factors_ROT!$A$5:$A$200,0)),1)</f>
        <v>1</v>
      </c>
      <c r="AV80" s="36">
        <f>IFERROR(INDEX(Factors_ROT!$F$5:$F$200,MATCH("DRV|"&amp;S80,Factors_ROT!$A$5:$A$200,0)),1)*IFERROR(INDEX(Factors_ROT!$F$5:$F$200,MATCH("NACE|"&amp;O80,Factors_ROT!$A$5:$A$200,0)),1)</f>
        <v>1</v>
      </c>
      <c r="AW80" s="36">
        <f>IFERROR(INDEX(Factors_ROT!$F$5:$F$200,MATCH("SC_DRV|"&amp;AL80,Factors_ROT!$A$5:$A$200,0)),1)*IFERROR(INDEX(Factors_ROT!$F$5:$F$200,MATCH("SC_BSP|"&amp;AM80,Factors_ROT!$A$5:$A$200,0)),1)*IFERROR(INDEX(Factors_ROT!$F$5:$F$200,MATCH("SC_SEAL|"&amp;AN80,Factors_ROT!$A$5:$A$200,0)),1)*IFERROR(INDEX(Factors_ROT!$F$5:$F$200,MATCH("SC_COMM|"&amp;AO80,Factors_ROT!$A$5:$A$200,0)),1)*IFERROR(INDEX(Factors_ROT!$F$5:$F$200,MATCH("SC_2Y|"&amp;AP80,Factors_ROT!$A$5:$A$200,0)),1)*IFERROR(INDEX(Factors_ROT!$F$5:$F$200,MATCH("SC_TPI|"&amp;AQ80,Factors_ROT!$A$5:$A$200,0)),1)*IFERROR(INDEX(Factors_ROT!$F$5:$F$200,MATCH("SC_FAT|"&amp;AR80,Factors_ROT!$A$5:$A$200,0)),1)</f>
        <v>1</v>
      </c>
      <c r="AX80" s="36">
        <f t="shared" si="14"/>
        <v>1.7</v>
      </c>
      <c r="AY80" s="35" t="str">
        <f t="shared" si="15"/>
        <v/>
      </c>
      <c r="AZ80" s="37">
        <f>IFERROR(IF(N(INDEX(Escalation_Index!$B$5:$B$25,MATCH(Y80,Escalation_Index!$A$5:$A$25,0)))&gt;0,INDEX(Escalation_Index!$B$5:$B$25,MATCH(Y80,Escalation_Index!$A$5:$A$25,0)),""),"")</f>
        <v>91.346999999999994</v>
      </c>
      <c r="BA80" s="37">
        <f>IF(ISNUMBER('Assumptions &amp; FX Reference'!$I$12),'Assumptions &amp; FX Reference'!$I$12,"")</f>
        <v>123.416</v>
      </c>
      <c r="BB80" s="33" t="str">
        <f t="shared" si="16"/>
        <v>N</v>
      </c>
      <c r="BC80" s="35" t="str">
        <f t="shared" si="17"/>
        <v/>
      </c>
      <c r="BD80" s="35" t="str">
        <f>IF(AND(ISNUMBER(BC80),ISNUMBER(K80)),IF(K80&gt;0,BC80/K80^'Assumptions &amp; FX Reference'!$I$16,""),"")</f>
        <v/>
      </c>
      <c r="BE80" s="30" t="s">
        <v>604</v>
      </c>
      <c r="BF80" s="30" t="s">
        <v>605</v>
      </c>
      <c r="BG80" s="30" t="s">
        <v>361</v>
      </c>
    </row>
    <row r="81" spans="1:59" ht="24" customHeight="1">
      <c r="A81" s="30">
        <v>77</v>
      </c>
      <c r="B81" s="30" t="s">
        <v>545</v>
      </c>
      <c r="C81" s="30" t="s">
        <v>550</v>
      </c>
      <c r="D81" s="30" t="s">
        <v>606</v>
      </c>
      <c r="E81" s="30" t="s">
        <v>50</v>
      </c>
      <c r="F81" s="30" t="s">
        <v>188</v>
      </c>
      <c r="G81" s="30" t="s">
        <v>111</v>
      </c>
      <c r="H81" s="31"/>
      <c r="I81" s="31"/>
      <c r="J81" s="31"/>
      <c r="K81" s="32" t="str">
        <f>IF(ISNUMBER(J81),J81,IF(AND(ISNUMBER(H81),ISNUMBER(I81)),H81*I81/(367*'Assumptions &amp; FX Reference'!$I$17),""))</f>
        <v/>
      </c>
      <c r="L81" s="33" t="str">
        <f t="shared" si="12"/>
        <v>API 610 + IPS-G-PM-105 + NACE MR0175</v>
      </c>
      <c r="M81" s="30" t="s">
        <v>470</v>
      </c>
      <c r="N81" s="30" t="s">
        <v>471</v>
      </c>
      <c r="O81" s="30" t="s">
        <v>361</v>
      </c>
      <c r="P81" s="30" t="s">
        <v>119</v>
      </c>
      <c r="Q81" s="30" t="s">
        <v>119</v>
      </c>
      <c r="R81" s="30" t="s">
        <v>119</v>
      </c>
      <c r="S81" s="38" t="s">
        <v>297</v>
      </c>
      <c r="T81" s="30" t="s">
        <v>547</v>
      </c>
      <c r="U81" s="30">
        <v>1</v>
      </c>
      <c r="V81" s="30" t="s">
        <v>343</v>
      </c>
      <c r="W81" s="31"/>
      <c r="X81" s="30" t="s">
        <v>119</v>
      </c>
      <c r="Y81" s="38">
        <v>1393</v>
      </c>
      <c r="Z81" s="30" t="s">
        <v>446</v>
      </c>
      <c r="AA81" s="34" t="s">
        <v>300</v>
      </c>
      <c r="AB81" s="35" t="str">
        <f>IF(NOT(ISNUMBER(AA81)),"(Not stated)",IF(NOT(ISNUMBER(Y81)),"(Cost year not stated)",IFERROR(IF(Z81="EUR",AA81,IF(Z81="IRR",AA81/INDEX('Assumptions &amp; FX Reference'!$C$5:$C$25,MATCH(Y81,'Assumptions &amp; FX Reference'!$A$5:$A$25,0)),IF(Z81="USD",AA81*INDEX('Assumptions &amp; FX Reference'!$B$5:$B$25,MATCH(Y81,'Assumptions &amp; FX Reference'!$A$5:$A$25,0))/INDEX('Assumptions &amp; FX Reference'!$C$5:$C$25,MATCH(Y81,'Assumptions &amp; FX Reference'!$A$5:$A$25,0)),"(Currency?)"))),"(FX rate missing)")))</f>
        <v>(Not stated)</v>
      </c>
      <c r="AC81" s="35" t="str">
        <f>IF(NOT(ISNUMBER(AA81)),"(Not stated)",IF(NOT(ISNUMBER(Y81)),"(Cost year not stated)",IFERROR(IF(Z81="USD",AA81,IF(Z81="IRR",AA81/INDEX('Assumptions &amp; FX Reference'!$B$5:$B$25,MATCH(Y81,'Assumptions &amp; FX Reference'!$A$5:$A$25,0)),IF(Z81="EUR",AA81*INDEX('Assumptions &amp; FX Reference'!$C$5:$C$25,MATCH(Y81,'Assumptions &amp; FX Reference'!$A$5:$A$25,0))/INDEX('Assumptions &amp; FX Reference'!$B$5:$B$25,MATCH(Y81,'Assumptions &amp; FX Reference'!$A$5:$A$25,0)),"(Currency?)"))),"(FX rate missing)")))</f>
        <v>(Not stated)</v>
      </c>
      <c r="AD81" s="35" t="str">
        <f>IF(NOT(ISNUMBER(AA81)),"(Not stated)",IF(NOT(ISNUMBER(Y81)),"(Cost year not stated)",IFERROR(IF(Z81="IRR",AA81,IF(Z81="USD",AA81*INDEX('Assumptions &amp; FX Reference'!$B$5:$B$25,MATCH(Y81,'Assumptions &amp; FX Reference'!$A$5:$A$25,0)),IF(Z81="EUR",AA81*INDEX('Assumptions &amp; FX Reference'!$C$5:$C$25,MATCH(Y81,'Assumptions &amp; FX Reference'!$A$5:$A$25,0)),"(Currency?)"))),"(FX rate missing)")))</f>
        <v>(Not stated)</v>
      </c>
      <c r="AE81" s="30" t="s">
        <v>527</v>
      </c>
      <c r="AF81" s="30" t="s">
        <v>119</v>
      </c>
      <c r="AG81" s="35" t="str">
        <f>IF(AND(Z81="EUR",N(AA81)&gt;5000000),"(Check currency – excluded)",IF(AND(ISNUMBER(AB81),ISNUMBER(AZ81),ISNUMBER(BA81)),IF(AND(BB81="Y",ISNUMBER('Assumptions &amp; FX Reference'!$I$15)),MAX(AB81*BA81/AZ81,'Assumptions &amp; FX Reference'!$I$13*BA81/'Assumptions &amp; FX Reference'!$I$15),AB81*BA81/AZ81),"(PPI/FX missing)"))</f>
        <v>(PPI/FX missing)</v>
      </c>
      <c r="AH81" s="35" t="str">
        <f>IF(AND(ISNUMBER(AG81),ISNUMBER('Assumptions &amp; FX Reference'!$I$8),ISNUMBER('Assumptions &amp; FX Reference'!$I$11)),AG81*'Assumptions &amp; FX Reference'!$I$8/'Assumptions &amp; FX Reference'!$I$11,"")</f>
        <v/>
      </c>
      <c r="AI81" s="35" t="str">
        <f>IF(AND(ISNUMBER(AG81),ISNUMBER('Assumptions &amp; FX Reference'!$I$8)),AG81*'Assumptions &amp; FX Reference'!$I$8,"")</f>
        <v/>
      </c>
      <c r="AJ81" s="30" t="s">
        <v>473</v>
      </c>
      <c r="AK81" s="30" t="s">
        <v>474</v>
      </c>
      <c r="AL81" s="30" t="s">
        <v>119</v>
      </c>
      <c r="AM81" s="30" t="s">
        <v>119</v>
      </c>
      <c r="AN81" s="30" t="s">
        <v>119</v>
      </c>
      <c r="AO81" s="30" t="s">
        <v>119</v>
      </c>
      <c r="AP81" s="30" t="s">
        <v>119</v>
      </c>
      <c r="AQ81" s="30" t="s">
        <v>119</v>
      </c>
      <c r="AR81" s="30" t="s">
        <v>119</v>
      </c>
      <c r="AS81" s="33" t="str">
        <f t="shared" si="13"/>
        <v xml:space="preserve">No price; Seal missing; Size driver missing; </v>
      </c>
      <c r="AT81" s="36">
        <f>IFERROR(INDEX(Factors_ROT!$F$5:$F$200,MATCH("MAT|"&amp;G81,Factors_ROT!$A$5:$A$200,0)),1)</f>
        <v>1.9</v>
      </c>
      <c r="AU81" s="36">
        <f>IFERROR(INDEX(Factors_ROT!$F$5:$F$200,MATCH("SEAL_ARR|"&amp;P81,Factors_ROT!$A$5:$A$200,0)),1)*IFERROR(INDEX(Factors_ROT!$F$5:$F$200,MATCH("SEAL_CAT|"&amp;Q81,Factors_ROT!$A$5:$A$200,0)),1)*IFERROR(INDEX(Factors_ROT!$F$5:$F$200,MATCH("SEAL_PLAN|"&amp;R81,Factors_ROT!$A$5:$A$200,0)),1)</f>
        <v>1</v>
      </c>
      <c r="AV81" s="36">
        <f>IFERROR(INDEX(Factors_ROT!$F$5:$F$200,MATCH("DRV|"&amp;S81,Factors_ROT!$A$5:$A$200,0)),1)*IFERROR(INDEX(Factors_ROT!$F$5:$F$200,MATCH("NACE|"&amp;O81,Factors_ROT!$A$5:$A$200,0)),1)</f>
        <v>1.05</v>
      </c>
      <c r="AW81" s="36">
        <f>IFERROR(INDEX(Factors_ROT!$F$5:$F$200,MATCH("SC_DRV|"&amp;AL81,Factors_ROT!$A$5:$A$200,0)),1)*IFERROR(INDEX(Factors_ROT!$F$5:$F$200,MATCH("SC_BSP|"&amp;AM81,Factors_ROT!$A$5:$A$200,0)),1)*IFERROR(INDEX(Factors_ROT!$F$5:$F$200,MATCH("SC_SEAL|"&amp;AN81,Factors_ROT!$A$5:$A$200,0)),1)*IFERROR(INDEX(Factors_ROT!$F$5:$F$200,MATCH("SC_COMM|"&amp;AO81,Factors_ROT!$A$5:$A$200,0)),1)*IFERROR(INDEX(Factors_ROT!$F$5:$F$200,MATCH("SC_2Y|"&amp;AP81,Factors_ROT!$A$5:$A$200,0)),1)*IFERROR(INDEX(Factors_ROT!$F$5:$F$200,MATCH("SC_TPI|"&amp;AQ81,Factors_ROT!$A$5:$A$200,0)),1)*IFERROR(INDEX(Factors_ROT!$F$5:$F$200,MATCH("SC_FAT|"&amp;AR81,Factors_ROT!$A$5:$A$200,0)),1)</f>
        <v>1</v>
      </c>
      <c r="AX81" s="36">
        <f t="shared" si="14"/>
        <v>1.9949999999999999</v>
      </c>
      <c r="AY81" s="35" t="str">
        <f t="shared" si="15"/>
        <v/>
      </c>
      <c r="AZ81" s="37">
        <f>IFERROR(IF(N(INDEX(Escalation_Index!$B$5:$B$25,MATCH(Y81,Escalation_Index!$A$5:$A$25,0)))&gt;0,INDEX(Escalation_Index!$B$5:$B$25,MATCH(Y81,Escalation_Index!$A$5:$A$25,0)),""),"")</f>
        <v>91.346999999999994</v>
      </c>
      <c r="BA81" s="37">
        <f>IF(ISNUMBER('Assumptions &amp; FX Reference'!$I$12),'Assumptions &amp; FX Reference'!$I$12,"")</f>
        <v>123.416</v>
      </c>
      <c r="BB81" s="33" t="str">
        <f t="shared" si="16"/>
        <v>N</v>
      </c>
      <c r="BC81" s="35" t="str">
        <f t="shared" si="17"/>
        <v/>
      </c>
      <c r="BD81" s="35" t="str">
        <f>IF(AND(ISNUMBER(BC81),ISNUMBER(K81)),IF(K81&gt;0,BC81/K81^'Assumptions &amp; FX Reference'!$I$16,""),"")</f>
        <v/>
      </c>
      <c r="BE81" s="30" t="s">
        <v>607</v>
      </c>
      <c r="BF81" s="30" t="s">
        <v>608</v>
      </c>
      <c r="BG81" s="30" t="s">
        <v>361</v>
      </c>
    </row>
    <row r="82" spans="1:59" ht="24" customHeight="1">
      <c r="A82" s="30">
        <v>78</v>
      </c>
      <c r="B82" s="30" t="s">
        <v>609</v>
      </c>
      <c r="C82" s="30" t="s">
        <v>550</v>
      </c>
      <c r="D82" s="30" t="s">
        <v>610</v>
      </c>
      <c r="E82" s="30" t="s">
        <v>47</v>
      </c>
      <c r="F82" s="30" t="s">
        <v>128</v>
      </c>
      <c r="G82" s="30" t="s">
        <v>111</v>
      </c>
      <c r="H82" s="31">
        <v>50</v>
      </c>
      <c r="I82" s="40">
        <v>30.6</v>
      </c>
      <c r="J82" s="31"/>
      <c r="K82" s="32">
        <f>IF(ISNUMBER(J82),J82,IF(AND(ISNUMBER(H82),ISNUMBER(I82)),H82*I82/(367*'Assumptions &amp; FX Reference'!$I$17),""))</f>
        <v>6.9482288828337877</v>
      </c>
      <c r="L82" s="33" t="str">
        <f t="shared" si="12"/>
        <v>API 610 + IPS-G-PM-105</v>
      </c>
      <c r="M82" s="30" t="s">
        <v>470</v>
      </c>
      <c r="N82" s="30" t="s">
        <v>471</v>
      </c>
      <c r="O82" s="38" t="s">
        <v>305</v>
      </c>
      <c r="P82" s="30" t="s">
        <v>119</v>
      </c>
      <c r="Q82" s="30" t="s">
        <v>119</v>
      </c>
      <c r="R82" s="30" t="s">
        <v>119</v>
      </c>
      <c r="S82" s="38" t="s">
        <v>297</v>
      </c>
      <c r="T82" s="30" t="s">
        <v>326</v>
      </c>
      <c r="U82" s="30">
        <v>1</v>
      </c>
      <c r="V82" s="30" t="s">
        <v>299</v>
      </c>
      <c r="W82" s="31"/>
      <c r="X82" s="30" t="s">
        <v>119</v>
      </c>
      <c r="Y82" s="38">
        <v>1393</v>
      </c>
      <c r="Z82" s="30" t="s">
        <v>446</v>
      </c>
      <c r="AA82" s="34" t="s">
        <v>300</v>
      </c>
      <c r="AB82" s="35" t="str">
        <f>IF(NOT(ISNUMBER(AA82)),"(Not stated)",IF(NOT(ISNUMBER(Y82)),"(Cost year not stated)",IFERROR(IF(Z82="EUR",AA82,IF(Z82="IRR",AA82/INDEX('Assumptions &amp; FX Reference'!$C$5:$C$25,MATCH(Y82,'Assumptions &amp; FX Reference'!$A$5:$A$25,0)),IF(Z82="USD",AA82*INDEX('Assumptions &amp; FX Reference'!$B$5:$B$25,MATCH(Y82,'Assumptions &amp; FX Reference'!$A$5:$A$25,0))/INDEX('Assumptions &amp; FX Reference'!$C$5:$C$25,MATCH(Y82,'Assumptions &amp; FX Reference'!$A$5:$A$25,0)),"(Currency?)"))),"(FX rate missing)")))</f>
        <v>(Not stated)</v>
      </c>
      <c r="AC82" s="35" t="str">
        <f>IF(NOT(ISNUMBER(AA82)),"(Not stated)",IF(NOT(ISNUMBER(Y82)),"(Cost year not stated)",IFERROR(IF(Z82="USD",AA82,IF(Z82="IRR",AA82/INDEX('Assumptions &amp; FX Reference'!$B$5:$B$25,MATCH(Y82,'Assumptions &amp; FX Reference'!$A$5:$A$25,0)),IF(Z82="EUR",AA82*INDEX('Assumptions &amp; FX Reference'!$C$5:$C$25,MATCH(Y82,'Assumptions &amp; FX Reference'!$A$5:$A$25,0))/INDEX('Assumptions &amp; FX Reference'!$B$5:$B$25,MATCH(Y82,'Assumptions &amp; FX Reference'!$A$5:$A$25,0)),"(Currency?)"))),"(FX rate missing)")))</f>
        <v>(Not stated)</v>
      </c>
      <c r="AD82" s="35" t="str">
        <f>IF(NOT(ISNUMBER(AA82)),"(Not stated)",IF(NOT(ISNUMBER(Y82)),"(Cost year not stated)",IFERROR(IF(Z82="IRR",AA82,IF(Z82="USD",AA82*INDEX('Assumptions &amp; FX Reference'!$B$5:$B$25,MATCH(Y82,'Assumptions &amp; FX Reference'!$A$5:$A$25,0)),IF(Z82="EUR",AA82*INDEX('Assumptions &amp; FX Reference'!$C$5:$C$25,MATCH(Y82,'Assumptions &amp; FX Reference'!$A$5:$A$25,0)),"(Currency?)"))),"(FX rate missing)")))</f>
        <v>(Not stated)</v>
      </c>
      <c r="AE82" s="30" t="s">
        <v>527</v>
      </c>
      <c r="AF82" s="30" t="s">
        <v>119</v>
      </c>
      <c r="AG82" s="35" t="str">
        <f>IF(AND(Z82="EUR",N(AA82)&gt;5000000),"(Check currency – excluded)",IF(AND(ISNUMBER(AB82),ISNUMBER(AZ82),ISNUMBER(BA82)),IF(AND(BB82="Y",ISNUMBER('Assumptions &amp; FX Reference'!$I$15)),MAX(AB82*BA82/AZ82,'Assumptions &amp; FX Reference'!$I$13*BA82/'Assumptions &amp; FX Reference'!$I$15),AB82*BA82/AZ82),"(PPI/FX missing)"))</f>
        <v>(PPI/FX missing)</v>
      </c>
      <c r="AH82" s="35" t="str">
        <f>IF(AND(ISNUMBER(AG82),ISNUMBER('Assumptions &amp; FX Reference'!$I$8),ISNUMBER('Assumptions &amp; FX Reference'!$I$11)),AG82*'Assumptions &amp; FX Reference'!$I$8/'Assumptions &amp; FX Reference'!$I$11,"")</f>
        <v/>
      </c>
      <c r="AI82" s="35" t="str">
        <f>IF(AND(ISNUMBER(AG82),ISNUMBER('Assumptions &amp; FX Reference'!$I$8)),AG82*'Assumptions &amp; FX Reference'!$I$8,"")</f>
        <v/>
      </c>
      <c r="AJ82" s="30" t="s">
        <v>473</v>
      </c>
      <c r="AK82" s="30" t="s">
        <v>474</v>
      </c>
      <c r="AL82" s="30" t="s">
        <v>119</v>
      </c>
      <c r="AM82" s="30" t="s">
        <v>119</v>
      </c>
      <c r="AN82" s="30" t="s">
        <v>119</v>
      </c>
      <c r="AO82" s="30" t="s">
        <v>119</v>
      </c>
      <c r="AP82" s="30" t="s">
        <v>119</v>
      </c>
      <c r="AQ82" s="30" t="s">
        <v>119</v>
      </c>
      <c r="AR82" s="30" t="s">
        <v>119</v>
      </c>
      <c r="AS82" s="33" t="str">
        <f t="shared" si="13"/>
        <v xml:space="preserve">No price; Seal missing; </v>
      </c>
      <c r="AT82" s="36">
        <f>IFERROR(INDEX(Factors_ROT!$F$5:$F$200,MATCH("MAT|"&amp;G82,Factors_ROT!$A$5:$A$200,0)),1)</f>
        <v>1.9</v>
      </c>
      <c r="AU82" s="36">
        <f>IFERROR(INDEX(Factors_ROT!$F$5:$F$200,MATCH("SEAL_ARR|"&amp;P82,Factors_ROT!$A$5:$A$200,0)),1)*IFERROR(INDEX(Factors_ROT!$F$5:$F$200,MATCH("SEAL_CAT|"&amp;Q82,Factors_ROT!$A$5:$A$200,0)),1)*IFERROR(INDEX(Factors_ROT!$F$5:$F$200,MATCH("SEAL_PLAN|"&amp;R82,Factors_ROT!$A$5:$A$200,0)),1)</f>
        <v>1</v>
      </c>
      <c r="AV82" s="36">
        <f>IFERROR(INDEX(Factors_ROT!$F$5:$F$200,MATCH("DRV|"&amp;S82,Factors_ROT!$A$5:$A$200,0)),1)*IFERROR(INDEX(Factors_ROT!$F$5:$F$200,MATCH("NACE|"&amp;O82,Factors_ROT!$A$5:$A$200,0)),1)</f>
        <v>1</v>
      </c>
      <c r="AW82" s="36">
        <f>IFERROR(INDEX(Factors_ROT!$F$5:$F$200,MATCH("SC_DRV|"&amp;AL82,Factors_ROT!$A$5:$A$200,0)),1)*IFERROR(INDEX(Factors_ROT!$F$5:$F$200,MATCH("SC_BSP|"&amp;AM82,Factors_ROT!$A$5:$A$200,0)),1)*IFERROR(INDEX(Factors_ROT!$F$5:$F$200,MATCH("SC_SEAL|"&amp;AN82,Factors_ROT!$A$5:$A$200,0)),1)*IFERROR(INDEX(Factors_ROT!$F$5:$F$200,MATCH("SC_COMM|"&amp;AO82,Factors_ROT!$A$5:$A$200,0)),1)*IFERROR(INDEX(Factors_ROT!$F$5:$F$200,MATCH("SC_2Y|"&amp;AP82,Factors_ROT!$A$5:$A$200,0)),1)*IFERROR(INDEX(Factors_ROT!$F$5:$F$200,MATCH("SC_TPI|"&amp;AQ82,Factors_ROT!$A$5:$A$200,0)),1)*IFERROR(INDEX(Factors_ROT!$F$5:$F$200,MATCH("SC_FAT|"&amp;AR82,Factors_ROT!$A$5:$A$200,0)),1)</f>
        <v>1</v>
      </c>
      <c r="AX82" s="36">
        <f t="shared" si="14"/>
        <v>1.9</v>
      </c>
      <c r="AY82" s="35" t="str">
        <f t="shared" si="15"/>
        <v/>
      </c>
      <c r="AZ82" s="37">
        <f>IFERROR(IF(N(INDEX(Escalation_Index!$B$5:$B$25,MATCH(Y82,Escalation_Index!$A$5:$A$25,0)))&gt;0,INDEX(Escalation_Index!$B$5:$B$25,MATCH(Y82,Escalation_Index!$A$5:$A$25,0)),""),"")</f>
        <v>91.346999999999994</v>
      </c>
      <c r="BA82" s="37">
        <f>IF(ISNUMBER('Assumptions &amp; FX Reference'!$I$12),'Assumptions &amp; FX Reference'!$I$12,"")</f>
        <v>123.416</v>
      </c>
      <c r="BB82" s="33" t="str">
        <f t="shared" si="16"/>
        <v>Y</v>
      </c>
      <c r="BC82" s="35" t="str">
        <f t="shared" si="17"/>
        <v/>
      </c>
      <c r="BD82" s="35" t="str">
        <f>IF(AND(ISNUMBER(BC82),ISNUMBER(K82)),IF(K82&gt;0,BC82/K82^'Assumptions &amp; FX Reference'!$I$16,""),"")</f>
        <v/>
      </c>
      <c r="BE82" s="30" t="s">
        <v>611</v>
      </c>
      <c r="BF82" s="30" t="s">
        <v>612</v>
      </c>
      <c r="BG82" s="30" t="s">
        <v>361</v>
      </c>
    </row>
    <row r="83" spans="1:59" ht="24" customHeight="1">
      <c r="A83" s="30">
        <v>79</v>
      </c>
      <c r="B83" s="30" t="s">
        <v>613</v>
      </c>
      <c r="C83" s="30" t="s">
        <v>468</v>
      </c>
      <c r="D83" s="30" t="s">
        <v>614</v>
      </c>
      <c r="E83" s="30" t="s">
        <v>44</v>
      </c>
      <c r="F83" s="30" t="s">
        <v>188</v>
      </c>
      <c r="G83" s="30" t="s">
        <v>70</v>
      </c>
      <c r="H83" s="31">
        <v>48</v>
      </c>
      <c r="I83" s="31">
        <v>36</v>
      </c>
      <c r="J83" s="31"/>
      <c r="K83" s="32">
        <f>IF(ISNUMBER(J83),J83,IF(AND(ISNUMBER(H83),ISNUMBER(I83)),H83*I83/(367*'Assumptions &amp; FX Reference'!$I$17),""))</f>
        <v>7.8474114441416898</v>
      </c>
      <c r="L83" s="33" t="str">
        <f t="shared" si="12"/>
        <v>ISO 5199 + IPS-M-PM-115</v>
      </c>
      <c r="M83" s="30" t="s">
        <v>615</v>
      </c>
      <c r="N83" s="30" t="s">
        <v>616</v>
      </c>
      <c r="O83" s="38" t="s">
        <v>305</v>
      </c>
      <c r="P83" s="30" t="s">
        <v>119</v>
      </c>
      <c r="Q83" s="30" t="s">
        <v>119</v>
      </c>
      <c r="R83" s="30" t="s">
        <v>119</v>
      </c>
      <c r="S83" s="38" t="s">
        <v>297</v>
      </c>
      <c r="T83" s="30" t="s">
        <v>383</v>
      </c>
      <c r="U83" s="30">
        <v>2</v>
      </c>
      <c r="V83" s="30" t="s">
        <v>299</v>
      </c>
      <c r="W83" s="31">
        <v>3</v>
      </c>
      <c r="X83" s="30" t="s">
        <v>119</v>
      </c>
      <c r="Y83" s="38">
        <v>1393</v>
      </c>
      <c r="Z83" s="30" t="s">
        <v>355</v>
      </c>
      <c r="AA83" s="34">
        <v>6500</v>
      </c>
      <c r="AB83" s="35">
        <f>IF(NOT(ISNUMBER(AA83)),"(Not stated)",IF(NOT(ISNUMBER(Y83)),"(Cost year not stated)",IFERROR(IF(Z83="EUR",AA83,IF(Z83="IRR",AA83/INDEX('Assumptions &amp; FX Reference'!$C$5:$C$25,MATCH(Y83,'Assumptions &amp; FX Reference'!$A$5:$A$25,0)),IF(Z83="USD",AA83*INDEX('Assumptions &amp; FX Reference'!$B$5:$B$25,MATCH(Y83,'Assumptions &amp; FX Reference'!$A$5:$A$25,0))/INDEX('Assumptions &amp; FX Reference'!$C$5:$C$25,MATCH(Y83,'Assumptions &amp; FX Reference'!$A$5:$A$25,0)),"(Currency?)"))),"(FX rate missing)")))</f>
        <v>6500</v>
      </c>
      <c r="AC83" s="35">
        <f>IF(NOT(ISNUMBER(AA83)),"(Not stated)",IF(NOT(ISNUMBER(Y83)),"(Cost year not stated)",IFERROR(IF(Z83="USD",AA83,IF(Z83="IRR",AA83/INDEX('Assumptions &amp; FX Reference'!$B$5:$B$25,MATCH(Y83,'Assumptions &amp; FX Reference'!$A$5:$A$25,0)),IF(Z83="EUR",AA83*INDEX('Assumptions &amp; FX Reference'!$C$5:$C$25,MATCH(Y83,'Assumptions &amp; FX Reference'!$A$5:$A$25,0))/INDEX('Assumptions &amp; FX Reference'!$B$5:$B$25,MATCH(Y83,'Assumptions &amp; FX Reference'!$A$5:$A$25,0)),"(Currency?)"))),"(FX rate missing)")))</f>
        <v>8498.3935483870973</v>
      </c>
      <c r="AD83" s="35">
        <f>IF(NOT(ISNUMBER(AA83)),"(Not stated)",IF(NOT(ISNUMBER(Y83)),"(Cost year not stated)",IFERROR(IF(Z83="IRR",AA83,IF(Z83="USD",AA83*INDEX('Assumptions &amp; FX Reference'!$B$5:$B$25,MATCH(Y83,'Assumptions &amp; FX Reference'!$A$5:$A$25,0)),IF(Z83="EUR",AA83*INDEX('Assumptions &amp; FX Reference'!$C$5:$C$25,MATCH(Y83,'Assumptions &amp; FX Reference'!$A$5:$A$25,0)),"(Currency?)"))),"(FX rate missing)")))</f>
        <v>263450200.00000003</v>
      </c>
      <c r="AE83" s="30" t="s">
        <v>472</v>
      </c>
      <c r="AF83" s="38" t="s">
        <v>204</v>
      </c>
      <c r="AG83" s="35">
        <f>IF(AND(Z83="EUR",N(AA83)&gt;5000000),"(Check currency – excluded)",IF(AND(ISNUMBER(AB83),ISNUMBER(AZ83),ISNUMBER(BA83)),IF(AND(BB83="Y",ISNUMBER('Assumptions &amp; FX Reference'!$I$15)),MAX(AB83*BA83/AZ83,'Assumptions &amp; FX Reference'!$I$13*BA83/'Assumptions &amp; FX Reference'!$I$15),AB83*BA83/AZ83),"(PPI/FX missing)"))</f>
        <v>8781.9413883324032</v>
      </c>
      <c r="AH83" s="35">
        <f>IF(AND(ISNUMBER(AG83),ISNUMBER('Assumptions &amp; FX Reference'!$I$8),ISNUMBER('Assumptions &amp; FX Reference'!$I$11)),AG83*'Assumptions &amp; FX Reference'!$I$8/'Assumptions &amp; FX Reference'!$I$11,"")</f>
        <v>9271.8251404000912</v>
      </c>
      <c r="AI83" s="35">
        <f>IF(AND(ISNUMBER(AG83),ISNUMBER('Assumptions &amp; FX Reference'!$I$8)),AG83*'Assumptions &amp; FX Reference'!$I$8,"")</f>
        <v>6105802825.1830931</v>
      </c>
      <c r="AJ83" s="30" t="s">
        <v>473</v>
      </c>
      <c r="AK83" s="30" t="s">
        <v>474</v>
      </c>
      <c r="AL83" s="30" t="s">
        <v>119</v>
      </c>
      <c r="AM83" s="30" t="s">
        <v>119</v>
      </c>
      <c r="AN83" s="30" t="s">
        <v>119</v>
      </c>
      <c r="AO83" s="30" t="s">
        <v>119</v>
      </c>
      <c r="AP83" s="30" t="s">
        <v>119</v>
      </c>
      <c r="AQ83" s="38" t="s">
        <v>305</v>
      </c>
      <c r="AR83" s="30" t="s">
        <v>119</v>
      </c>
      <c r="AS83" s="33" t="str">
        <f t="shared" si="13"/>
        <v xml:space="preserve">Seal missing; </v>
      </c>
      <c r="AT83" s="36">
        <f>IFERROR(INDEX(Factors_ROT!$F$5:$F$200,MATCH("MAT|"&amp;G83,Factors_ROT!$A$5:$A$200,0)),1)</f>
        <v>0.8</v>
      </c>
      <c r="AU83" s="36">
        <f>IFERROR(INDEX(Factors_ROT!$F$5:$F$200,MATCH("SEAL_ARR|"&amp;P83,Factors_ROT!$A$5:$A$200,0)),1)*IFERROR(INDEX(Factors_ROT!$F$5:$F$200,MATCH("SEAL_CAT|"&amp;Q83,Factors_ROT!$A$5:$A$200,0)),1)*IFERROR(INDEX(Factors_ROT!$F$5:$F$200,MATCH("SEAL_PLAN|"&amp;R83,Factors_ROT!$A$5:$A$200,0)),1)</f>
        <v>1</v>
      </c>
      <c r="AV83" s="36">
        <f>IFERROR(INDEX(Factors_ROT!$F$5:$F$200,MATCH("DRV|"&amp;S83,Factors_ROT!$A$5:$A$200,0)),1)*IFERROR(INDEX(Factors_ROT!$F$5:$F$200,MATCH("NACE|"&amp;O83,Factors_ROT!$A$5:$A$200,0)),1)</f>
        <v>1</v>
      </c>
      <c r="AW83" s="36">
        <f>IFERROR(INDEX(Factors_ROT!$F$5:$F$200,MATCH("SC_DRV|"&amp;AL83,Factors_ROT!$A$5:$A$200,0)),1)*IFERROR(INDEX(Factors_ROT!$F$5:$F$200,MATCH("SC_BSP|"&amp;AM83,Factors_ROT!$A$5:$A$200,0)),1)*IFERROR(INDEX(Factors_ROT!$F$5:$F$200,MATCH("SC_SEAL|"&amp;AN83,Factors_ROT!$A$5:$A$200,0)),1)*IFERROR(INDEX(Factors_ROT!$F$5:$F$200,MATCH("SC_COMM|"&amp;AO83,Factors_ROT!$A$5:$A$200,0)),1)*IFERROR(INDEX(Factors_ROT!$F$5:$F$200,MATCH("SC_2Y|"&amp;AP83,Factors_ROT!$A$5:$A$200,0)),1)*IFERROR(INDEX(Factors_ROT!$F$5:$F$200,MATCH("SC_TPI|"&amp;AQ83,Factors_ROT!$A$5:$A$200,0)),1)*IFERROR(INDEX(Factors_ROT!$F$5:$F$200,MATCH("SC_FAT|"&amp;AR83,Factors_ROT!$A$5:$A$200,0)),1)</f>
        <v>1</v>
      </c>
      <c r="AX83" s="36">
        <f t="shared" si="14"/>
        <v>0.8</v>
      </c>
      <c r="AY83" s="35">
        <f t="shared" si="15"/>
        <v>8125</v>
      </c>
      <c r="AZ83" s="37">
        <f>IFERROR(IF(N(INDEX(Escalation_Index!$B$5:$B$25,MATCH(Y83,Escalation_Index!$A$5:$A$25,0)))&gt;0,INDEX(Escalation_Index!$B$5:$B$25,MATCH(Y83,Escalation_Index!$A$5:$A$25,0)),""),"")</f>
        <v>91.346999999999994</v>
      </c>
      <c r="BA83" s="37">
        <f>IF(ISNUMBER('Assumptions &amp; FX Reference'!$I$12),'Assumptions &amp; FX Reference'!$I$12,"")</f>
        <v>123.416</v>
      </c>
      <c r="BB83" s="33" t="str">
        <f t="shared" si="16"/>
        <v>N</v>
      </c>
      <c r="BC83" s="35">
        <f t="shared" si="17"/>
        <v>10977.426735415504</v>
      </c>
      <c r="BD83" s="35">
        <f>IF(AND(ISNUMBER(BC83),ISNUMBER(K83)),IF(K83&gt;0,BC83/K83^'Assumptions &amp; FX Reference'!$I$16,""),"")</f>
        <v>3189.0747073139109</v>
      </c>
      <c r="BE83" s="30" t="s">
        <v>617</v>
      </c>
      <c r="BF83" s="30" t="s">
        <v>618</v>
      </c>
      <c r="BG83" s="30" t="s">
        <v>361</v>
      </c>
    </row>
    <row r="84" spans="1:59" ht="24" customHeight="1">
      <c r="A84" s="30">
        <v>80</v>
      </c>
      <c r="B84" s="30" t="s">
        <v>619</v>
      </c>
      <c r="C84" s="30" t="s">
        <v>468</v>
      </c>
      <c r="D84" s="30" t="s">
        <v>620</v>
      </c>
      <c r="E84" s="30" t="s">
        <v>44</v>
      </c>
      <c r="F84" s="30" t="s">
        <v>188</v>
      </c>
      <c r="G84" s="30" t="s">
        <v>70</v>
      </c>
      <c r="H84" s="31">
        <v>33</v>
      </c>
      <c r="I84" s="31">
        <v>31</v>
      </c>
      <c r="J84" s="31"/>
      <c r="K84" s="32">
        <f>IF(ISNUMBER(J84),J84,IF(AND(ISNUMBER(H84),ISNUMBER(I84)),H84*I84/(367*'Assumptions &amp; FX Reference'!$I$17),""))</f>
        <v>4.6457765667574931</v>
      </c>
      <c r="L84" s="33" t="str">
        <f t="shared" si="12"/>
        <v>ISO 5199 + IPS-M-PM-115</v>
      </c>
      <c r="M84" s="30" t="s">
        <v>615</v>
      </c>
      <c r="N84" s="30" t="s">
        <v>616</v>
      </c>
      <c r="O84" s="38" t="s">
        <v>305</v>
      </c>
      <c r="P84" s="30" t="s">
        <v>119</v>
      </c>
      <c r="Q84" s="30" t="s">
        <v>119</v>
      </c>
      <c r="R84" s="30" t="s">
        <v>119</v>
      </c>
      <c r="S84" s="38" t="s">
        <v>297</v>
      </c>
      <c r="T84" s="30" t="s">
        <v>330</v>
      </c>
      <c r="U84" s="30">
        <v>1</v>
      </c>
      <c r="V84" s="30" t="s">
        <v>299</v>
      </c>
      <c r="W84" s="31">
        <v>2.9</v>
      </c>
      <c r="X84" s="30" t="s">
        <v>119</v>
      </c>
      <c r="Y84" s="38">
        <v>1393</v>
      </c>
      <c r="Z84" s="30" t="s">
        <v>355</v>
      </c>
      <c r="AA84" s="34">
        <v>6500</v>
      </c>
      <c r="AB84" s="35">
        <f>IF(NOT(ISNUMBER(AA84)),"(Not stated)",IF(NOT(ISNUMBER(Y84)),"(Cost year not stated)",IFERROR(IF(Z84="EUR",AA84,IF(Z84="IRR",AA84/INDEX('Assumptions &amp; FX Reference'!$C$5:$C$25,MATCH(Y84,'Assumptions &amp; FX Reference'!$A$5:$A$25,0)),IF(Z84="USD",AA84*INDEX('Assumptions &amp; FX Reference'!$B$5:$B$25,MATCH(Y84,'Assumptions &amp; FX Reference'!$A$5:$A$25,0))/INDEX('Assumptions &amp; FX Reference'!$C$5:$C$25,MATCH(Y84,'Assumptions &amp; FX Reference'!$A$5:$A$25,0)),"(Currency?)"))),"(FX rate missing)")))</f>
        <v>6500</v>
      </c>
      <c r="AC84" s="35">
        <f>IF(NOT(ISNUMBER(AA84)),"(Not stated)",IF(NOT(ISNUMBER(Y84)),"(Cost year not stated)",IFERROR(IF(Z84="USD",AA84,IF(Z84="IRR",AA84/INDEX('Assumptions &amp; FX Reference'!$B$5:$B$25,MATCH(Y84,'Assumptions &amp; FX Reference'!$A$5:$A$25,0)),IF(Z84="EUR",AA84*INDEX('Assumptions &amp; FX Reference'!$C$5:$C$25,MATCH(Y84,'Assumptions &amp; FX Reference'!$A$5:$A$25,0))/INDEX('Assumptions &amp; FX Reference'!$B$5:$B$25,MATCH(Y84,'Assumptions &amp; FX Reference'!$A$5:$A$25,0)),"(Currency?)"))),"(FX rate missing)")))</f>
        <v>8498.3935483870973</v>
      </c>
      <c r="AD84" s="35">
        <f>IF(NOT(ISNUMBER(AA84)),"(Not stated)",IF(NOT(ISNUMBER(Y84)),"(Cost year not stated)",IFERROR(IF(Z84="IRR",AA84,IF(Z84="USD",AA84*INDEX('Assumptions &amp; FX Reference'!$B$5:$B$25,MATCH(Y84,'Assumptions &amp; FX Reference'!$A$5:$A$25,0)),IF(Z84="EUR",AA84*INDEX('Assumptions &amp; FX Reference'!$C$5:$C$25,MATCH(Y84,'Assumptions &amp; FX Reference'!$A$5:$A$25,0)),"(Currency?)"))),"(FX rate missing)")))</f>
        <v>263450200.00000003</v>
      </c>
      <c r="AE84" s="30" t="s">
        <v>472</v>
      </c>
      <c r="AF84" s="38" t="s">
        <v>204</v>
      </c>
      <c r="AG84" s="35">
        <f>IF(AND(Z84="EUR",N(AA84)&gt;5000000),"(Check currency – excluded)",IF(AND(ISNUMBER(AB84),ISNUMBER(AZ84),ISNUMBER(BA84)),IF(AND(BB84="Y",ISNUMBER('Assumptions &amp; FX Reference'!$I$15)),MAX(AB84*BA84/AZ84,'Assumptions &amp; FX Reference'!$I$13*BA84/'Assumptions &amp; FX Reference'!$I$15),AB84*BA84/AZ84),"(PPI/FX missing)"))</f>
        <v>8781.9413883324032</v>
      </c>
      <c r="AH84" s="35">
        <f>IF(AND(ISNUMBER(AG84),ISNUMBER('Assumptions &amp; FX Reference'!$I$8),ISNUMBER('Assumptions &amp; FX Reference'!$I$11)),AG84*'Assumptions &amp; FX Reference'!$I$8/'Assumptions &amp; FX Reference'!$I$11,"")</f>
        <v>9271.8251404000912</v>
      </c>
      <c r="AI84" s="35">
        <f>IF(AND(ISNUMBER(AG84),ISNUMBER('Assumptions &amp; FX Reference'!$I$8)),AG84*'Assumptions &amp; FX Reference'!$I$8,"")</f>
        <v>6105802825.1830931</v>
      </c>
      <c r="AJ84" s="30" t="s">
        <v>473</v>
      </c>
      <c r="AK84" s="30" t="s">
        <v>474</v>
      </c>
      <c r="AL84" s="30" t="s">
        <v>119</v>
      </c>
      <c r="AM84" s="30" t="s">
        <v>119</v>
      </c>
      <c r="AN84" s="30" t="s">
        <v>119</v>
      </c>
      <c r="AO84" s="30" t="s">
        <v>119</v>
      </c>
      <c r="AP84" s="30" t="s">
        <v>119</v>
      </c>
      <c r="AQ84" s="38" t="s">
        <v>305</v>
      </c>
      <c r="AR84" s="30" t="s">
        <v>119</v>
      </c>
      <c r="AS84" s="33" t="str">
        <f t="shared" si="13"/>
        <v xml:space="preserve">Seal missing; </v>
      </c>
      <c r="AT84" s="36">
        <f>IFERROR(INDEX(Factors_ROT!$F$5:$F$200,MATCH("MAT|"&amp;G84,Factors_ROT!$A$5:$A$200,0)),1)</f>
        <v>0.8</v>
      </c>
      <c r="AU84" s="36">
        <f>IFERROR(INDEX(Factors_ROT!$F$5:$F$200,MATCH("SEAL_ARR|"&amp;P84,Factors_ROT!$A$5:$A$200,0)),1)*IFERROR(INDEX(Factors_ROT!$F$5:$F$200,MATCH("SEAL_CAT|"&amp;Q84,Factors_ROT!$A$5:$A$200,0)),1)*IFERROR(INDEX(Factors_ROT!$F$5:$F$200,MATCH("SEAL_PLAN|"&amp;R84,Factors_ROT!$A$5:$A$200,0)),1)</f>
        <v>1</v>
      </c>
      <c r="AV84" s="36">
        <f>IFERROR(INDEX(Factors_ROT!$F$5:$F$200,MATCH("DRV|"&amp;S84,Factors_ROT!$A$5:$A$200,0)),1)*IFERROR(INDEX(Factors_ROT!$F$5:$F$200,MATCH("NACE|"&amp;O84,Factors_ROT!$A$5:$A$200,0)),1)</f>
        <v>1</v>
      </c>
      <c r="AW84" s="36">
        <f>IFERROR(INDEX(Factors_ROT!$F$5:$F$200,MATCH("SC_DRV|"&amp;AL84,Factors_ROT!$A$5:$A$200,0)),1)*IFERROR(INDEX(Factors_ROT!$F$5:$F$200,MATCH("SC_BSP|"&amp;AM84,Factors_ROT!$A$5:$A$200,0)),1)*IFERROR(INDEX(Factors_ROT!$F$5:$F$200,MATCH("SC_SEAL|"&amp;AN84,Factors_ROT!$A$5:$A$200,0)),1)*IFERROR(INDEX(Factors_ROT!$F$5:$F$200,MATCH("SC_COMM|"&amp;AO84,Factors_ROT!$A$5:$A$200,0)),1)*IFERROR(INDEX(Factors_ROT!$F$5:$F$200,MATCH("SC_2Y|"&amp;AP84,Factors_ROT!$A$5:$A$200,0)),1)*IFERROR(INDEX(Factors_ROT!$F$5:$F$200,MATCH("SC_TPI|"&amp;AQ84,Factors_ROT!$A$5:$A$200,0)),1)*IFERROR(INDEX(Factors_ROT!$F$5:$F$200,MATCH("SC_FAT|"&amp;AR84,Factors_ROT!$A$5:$A$200,0)),1)</f>
        <v>1</v>
      </c>
      <c r="AX84" s="36">
        <f t="shared" si="14"/>
        <v>0.8</v>
      </c>
      <c r="AY84" s="35">
        <f t="shared" si="15"/>
        <v>8125</v>
      </c>
      <c r="AZ84" s="37">
        <f>IFERROR(IF(N(INDEX(Escalation_Index!$B$5:$B$25,MATCH(Y84,Escalation_Index!$A$5:$A$25,0)))&gt;0,INDEX(Escalation_Index!$B$5:$B$25,MATCH(Y84,Escalation_Index!$A$5:$A$25,0)),""),"")</f>
        <v>91.346999999999994</v>
      </c>
      <c r="BA84" s="37">
        <f>IF(ISNUMBER('Assumptions &amp; FX Reference'!$I$12),'Assumptions &amp; FX Reference'!$I$12,"")</f>
        <v>123.416</v>
      </c>
      <c r="BB84" s="33" t="str">
        <f t="shared" si="16"/>
        <v>N</v>
      </c>
      <c r="BC84" s="35">
        <f t="shared" si="17"/>
        <v>10977.426735415504</v>
      </c>
      <c r="BD84" s="35">
        <f>IF(AND(ISNUMBER(BC84),ISNUMBER(K84)),IF(K84&gt;0,BC84/K84^'Assumptions &amp; FX Reference'!$I$16,""),"")</f>
        <v>4367.8282794861379</v>
      </c>
      <c r="BE84" s="30" t="s">
        <v>621</v>
      </c>
      <c r="BF84" s="30" t="s">
        <v>622</v>
      </c>
      <c r="BG84" s="30" t="s">
        <v>361</v>
      </c>
    </row>
    <row r="85" spans="1:59" ht="24" customHeight="1">
      <c r="A85" s="30">
        <v>81</v>
      </c>
      <c r="B85" s="30" t="s">
        <v>623</v>
      </c>
      <c r="C85" s="30" t="s">
        <v>468</v>
      </c>
      <c r="D85" s="30" t="s">
        <v>624</v>
      </c>
      <c r="E85" s="30" t="s">
        <v>50</v>
      </c>
      <c r="F85" s="30" t="s">
        <v>167</v>
      </c>
      <c r="G85" s="30" t="s">
        <v>86</v>
      </c>
      <c r="H85" s="31">
        <v>5.5</v>
      </c>
      <c r="I85" s="31">
        <v>43</v>
      </c>
      <c r="J85" s="31"/>
      <c r="K85" s="32">
        <f>IF(ISNUMBER(J85),J85,IF(AND(ISNUMBER(H85),ISNUMBER(I85)),H85*I85/(367*'Assumptions &amp; FX Reference'!$I$17),""))</f>
        <v>1.0740236148955495</v>
      </c>
      <c r="L85" s="33" t="str">
        <f t="shared" si="12"/>
        <v>API 610 + IPS-G-PM-105</v>
      </c>
      <c r="M85" s="30" t="s">
        <v>470</v>
      </c>
      <c r="N85" s="30" t="s">
        <v>471</v>
      </c>
      <c r="O85" s="38" t="s">
        <v>305</v>
      </c>
      <c r="P85" s="30" t="s">
        <v>119</v>
      </c>
      <c r="Q85" s="30" t="s">
        <v>119</v>
      </c>
      <c r="R85" s="30" t="s">
        <v>119</v>
      </c>
      <c r="S85" s="38" t="s">
        <v>297</v>
      </c>
      <c r="T85" s="30" t="s">
        <v>334</v>
      </c>
      <c r="U85" s="30">
        <v>1</v>
      </c>
      <c r="V85" s="30" t="s">
        <v>299</v>
      </c>
      <c r="W85" s="31">
        <v>3.03</v>
      </c>
      <c r="X85" s="30" t="s">
        <v>119</v>
      </c>
      <c r="Y85" s="38">
        <v>1393</v>
      </c>
      <c r="Z85" s="30" t="s">
        <v>355</v>
      </c>
      <c r="AA85" s="34">
        <v>10000</v>
      </c>
      <c r="AB85" s="35">
        <f>IF(NOT(ISNUMBER(AA85)),"(Not stated)",IF(NOT(ISNUMBER(Y85)),"(Cost year not stated)",IFERROR(IF(Z85="EUR",AA85,IF(Z85="IRR",AA85/INDEX('Assumptions &amp; FX Reference'!$C$5:$C$25,MATCH(Y85,'Assumptions &amp; FX Reference'!$A$5:$A$25,0)),IF(Z85="USD",AA85*INDEX('Assumptions &amp; FX Reference'!$B$5:$B$25,MATCH(Y85,'Assumptions &amp; FX Reference'!$A$5:$A$25,0))/INDEX('Assumptions &amp; FX Reference'!$C$5:$C$25,MATCH(Y85,'Assumptions &amp; FX Reference'!$A$5:$A$25,0)),"(Currency?)"))),"(FX rate missing)")))</f>
        <v>10000</v>
      </c>
      <c r="AC85" s="35">
        <f>IF(NOT(ISNUMBER(AA85)),"(Not stated)",IF(NOT(ISNUMBER(Y85)),"(Cost year not stated)",IFERROR(IF(Z85="USD",AA85,IF(Z85="IRR",AA85/INDEX('Assumptions &amp; FX Reference'!$B$5:$B$25,MATCH(Y85,'Assumptions &amp; FX Reference'!$A$5:$A$25,0)),IF(Z85="EUR",AA85*INDEX('Assumptions &amp; FX Reference'!$C$5:$C$25,MATCH(Y85,'Assumptions &amp; FX Reference'!$A$5:$A$25,0))/INDEX('Assumptions &amp; FX Reference'!$B$5:$B$25,MATCH(Y85,'Assumptions &amp; FX Reference'!$A$5:$A$25,0)),"(Currency?)"))),"(FX rate missing)")))</f>
        <v>13074.451612903225</v>
      </c>
      <c r="AD85" s="35">
        <f>IF(NOT(ISNUMBER(AA85)),"(Not stated)",IF(NOT(ISNUMBER(Y85)),"(Cost year not stated)",IFERROR(IF(Z85="IRR",AA85,IF(Z85="USD",AA85*INDEX('Assumptions &amp; FX Reference'!$B$5:$B$25,MATCH(Y85,'Assumptions &amp; FX Reference'!$A$5:$A$25,0)),IF(Z85="EUR",AA85*INDEX('Assumptions &amp; FX Reference'!$C$5:$C$25,MATCH(Y85,'Assumptions &amp; FX Reference'!$A$5:$A$25,0)),"(Currency?)"))),"(FX rate missing)")))</f>
        <v>405308000</v>
      </c>
      <c r="AE85" s="30" t="s">
        <v>472</v>
      </c>
      <c r="AF85" s="38" t="s">
        <v>204</v>
      </c>
      <c r="AG85" s="35">
        <f>IF(AND(Z85="EUR",N(AA85)&gt;5000000),"(Check currency – excluded)",IF(AND(ISNUMBER(AB85),ISNUMBER(AZ85),ISNUMBER(BA85)),IF(AND(BB85="Y",ISNUMBER('Assumptions &amp; FX Reference'!$I$15)),MAX(AB85*BA85/AZ85,'Assumptions &amp; FX Reference'!$I$13*BA85/'Assumptions &amp; FX Reference'!$I$15),AB85*BA85/AZ85),"(PPI/FX missing)"))</f>
        <v>25000</v>
      </c>
      <c r="AH85" s="35">
        <f>IF(AND(ISNUMBER(AG85),ISNUMBER('Assumptions &amp; FX Reference'!$I$8),ISNUMBER('Assumptions &amp; FX Reference'!$I$11)),AG85*'Assumptions &amp; FX Reference'!$I$8/'Assumptions &amp; FX Reference'!$I$11,"")</f>
        <v>26394.577037141647</v>
      </c>
      <c r="AI85" s="35">
        <f>IF(AND(ISNUMBER(AG85),ISNUMBER('Assumptions &amp; FX Reference'!$I$8)),AG85*'Assumptions &amp; FX Reference'!$I$8,"")</f>
        <v>17381700000</v>
      </c>
      <c r="AJ85" s="30" t="s">
        <v>473</v>
      </c>
      <c r="AK85" s="30" t="s">
        <v>474</v>
      </c>
      <c r="AL85" s="30" t="s">
        <v>119</v>
      </c>
      <c r="AM85" s="30" t="s">
        <v>119</v>
      </c>
      <c r="AN85" s="30" t="s">
        <v>119</v>
      </c>
      <c r="AO85" s="30" t="s">
        <v>119</v>
      </c>
      <c r="AP85" s="30" t="s">
        <v>119</v>
      </c>
      <c r="AQ85" s="38" t="s">
        <v>305</v>
      </c>
      <c r="AR85" s="30" t="s">
        <v>119</v>
      </c>
      <c r="AS85" s="33" t="str">
        <f t="shared" si="13"/>
        <v xml:space="preserve">Seal missing; </v>
      </c>
      <c r="AT85" s="36">
        <f>IFERROR(INDEX(Factors_ROT!$F$5:$F$200,MATCH("MAT|"&amp;G85,Factors_ROT!$A$5:$A$200,0)),1)</f>
        <v>1.1000000000000001</v>
      </c>
      <c r="AU85" s="36">
        <f>IFERROR(INDEX(Factors_ROT!$F$5:$F$200,MATCH("SEAL_ARR|"&amp;P85,Factors_ROT!$A$5:$A$200,0)),1)*IFERROR(INDEX(Factors_ROT!$F$5:$F$200,MATCH("SEAL_CAT|"&amp;Q85,Factors_ROT!$A$5:$A$200,0)),1)*IFERROR(INDEX(Factors_ROT!$F$5:$F$200,MATCH("SEAL_PLAN|"&amp;R85,Factors_ROT!$A$5:$A$200,0)),1)</f>
        <v>1</v>
      </c>
      <c r="AV85" s="36">
        <f>IFERROR(INDEX(Factors_ROT!$F$5:$F$200,MATCH("DRV|"&amp;S85,Factors_ROT!$A$5:$A$200,0)),1)*IFERROR(INDEX(Factors_ROT!$F$5:$F$200,MATCH("NACE|"&amp;O85,Factors_ROT!$A$5:$A$200,0)),1)</f>
        <v>1</v>
      </c>
      <c r="AW85" s="36">
        <f>IFERROR(INDEX(Factors_ROT!$F$5:$F$200,MATCH("SC_DRV|"&amp;AL85,Factors_ROT!$A$5:$A$200,0)),1)*IFERROR(INDEX(Factors_ROT!$F$5:$F$200,MATCH("SC_BSP|"&amp;AM85,Factors_ROT!$A$5:$A$200,0)),1)*IFERROR(INDEX(Factors_ROT!$F$5:$F$200,MATCH("SC_SEAL|"&amp;AN85,Factors_ROT!$A$5:$A$200,0)),1)*IFERROR(INDEX(Factors_ROT!$F$5:$F$200,MATCH("SC_COMM|"&amp;AO85,Factors_ROT!$A$5:$A$200,0)),1)*IFERROR(INDEX(Factors_ROT!$F$5:$F$200,MATCH("SC_2Y|"&amp;AP85,Factors_ROT!$A$5:$A$200,0)),1)*IFERROR(INDEX(Factors_ROT!$F$5:$F$200,MATCH("SC_TPI|"&amp;AQ85,Factors_ROT!$A$5:$A$200,0)),1)*IFERROR(INDEX(Factors_ROT!$F$5:$F$200,MATCH("SC_FAT|"&amp;AR85,Factors_ROT!$A$5:$A$200,0)),1)</f>
        <v>1</v>
      </c>
      <c r="AX85" s="36">
        <f t="shared" si="14"/>
        <v>1.1000000000000001</v>
      </c>
      <c r="AY85" s="35">
        <f t="shared" si="15"/>
        <v>9090.9090909090901</v>
      </c>
      <c r="AZ85" s="37">
        <f>IFERROR(IF(N(INDEX(Escalation_Index!$B$5:$B$25,MATCH(Y85,Escalation_Index!$A$5:$A$25,0)))&gt;0,INDEX(Escalation_Index!$B$5:$B$25,MATCH(Y85,Escalation_Index!$A$5:$A$25,0)),""),"")</f>
        <v>91.346999999999994</v>
      </c>
      <c r="BA85" s="37">
        <f>IF(ISNUMBER('Assumptions &amp; FX Reference'!$I$12),'Assumptions &amp; FX Reference'!$I$12,"")</f>
        <v>123.416</v>
      </c>
      <c r="BB85" s="33" t="str">
        <f t="shared" si="16"/>
        <v>Y</v>
      </c>
      <c r="BC85" s="35">
        <f t="shared" si="17"/>
        <v>22727.272727272724</v>
      </c>
      <c r="BD85" s="35">
        <f>IF(AND(ISNUMBER(BC85),ISNUMBER(K85)),IF(K85&gt;0,BC85/K85^'Assumptions &amp; FX Reference'!$I$16,""),"")</f>
        <v>21774.040443475438</v>
      </c>
      <c r="BE85" s="30" t="s">
        <v>625</v>
      </c>
      <c r="BF85" s="30" t="s">
        <v>626</v>
      </c>
      <c r="BG85" s="30" t="s">
        <v>361</v>
      </c>
    </row>
    <row r="86" spans="1:59" ht="24" customHeight="1">
      <c r="A86" s="30">
        <v>82</v>
      </c>
      <c r="B86" s="30" t="s">
        <v>627</v>
      </c>
      <c r="C86" s="30" t="s">
        <v>468</v>
      </c>
      <c r="D86" s="30" t="s">
        <v>628</v>
      </c>
      <c r="E86" s="30" t="s">
        <v>53</v>
      </c>
      <c r="F86" s="30" t="s">
        <v>188</v>
      </c>
      <c r="G86" s="30" t="s">
        <v>74</v>
      </c>
      <c r="H86" s="31">
        <v>10</v>
      </c>
      <c r="I86" s="31">
        <v>41</v>
      </c>
      <c r="J86" s="31"/>
      <c r="K86" s="32">
        <f>IF(ISNUMBER(J86),J86,IF(AND(ISNUMBER(H86),ISNUMBER(I86)),H86*I86/(367*'Assumptions &amp; FX Reference'!$I$17),""))</f>
        <v>1.8619436875567668</v>
      </c>
      <c r="L86" s="33" t="str">
        <f t="shared" si="12"/>
        <v>ISO 5199 + IPS-M-PM-115</v>
      </c>
      <c r="M86" s="30" t="s">
        <v>615</v>
      </c>
      <c r="N86" s="30" t="s">
        <v>616</v>
      </c>
      <c r="O86" s="38" t="s">
        <v>305</v>
      </c>
      <c r="P86" s="30" t="s">
        <v>119</v>
      </c>
      <c r="Q86" s="30" t="s">
        <v>119</v>
      </c>
      <c r="R86" s="30" t="s">
        <v>119</v>
      </c>
      <c r="S86" s="38" t="s">
        <v>297</v>
      </c>
      <c r="T86" s="30" t="s">
        <v>338</v>
      </c>
      <c r="U86" s="30">
        <v>1</v>
      </c>
      <c r="V86" s="30" t="s">
        <v>299</v>
      </c>
      <c r="W86" s="31">
        <v>3.1</v>
      </c>
      <c r="X86" s="30" t="s">
        <v>119</v>
      </c>
      <c r="Y86" s="38">
        <v>1393</v>
      </c>
      <c r="Z86" s="30" t="s">
        <v>355</v>
      </c>
      <c r="AA86" s="34">
        <v>7000</v>
      </c>
      <c r="AB86" s="35">
        <f>IF(NOT(ISNUMBER(AA86)),"(Not stated)",IF(NOT(ISNUMBER(Y86)),"(Cost year not stated)",IFERROR(IF(Z86="EUR",AA86,IF(Z86="IRR",AA86/INDEX('Assumptions &amp; FX Reference'!$C$5:$C$25,MATCH(Y86,'Assumptions &amp; FX Reference'!$A$5:$A$25,0)),IF(Z86="USD",AA86*INDEX('Assumptions &amp; FX Reference'!$B$5:$B$25,MATCH(Y86,'Assumptions &amp; FX Reference'!$A$5:$A$25,0))/INDEX('Assumptions &amp; FX Reference'!$C$5:$C$25,MATCH(Y86,'Assumptions &amp; FX Reference'!$A$5:$A$25,0)),"(Currency?)"))),"(FX rate missing)")))</f>
        <v>7000</v>
      </c>
      <c r="AC86" s="35">
        <f>IF(NOT(ISNUMBER(AA86)),"(Not stated)",IF(NOT(ISNUMBER(Y86)),"(Cost year not stated)",IFERROR(IF(Z86="USD",AA86,IF(Z86="IRR",AA86/INDEX('Assumptions &amp; FX Reference'!$B$5:$B$25,MATCH(Y86,'Assumptions &amp; FX Reference'!$A$5:$A$25,0)),IF(Z86="EUR",AA86*INDEX('Assumptions &amp; FX Reference'!$C$5:$C$25,MATCH(Y86,'Assumptions &amp; FX Reference'!$A$5:$A$25,0))/INDEX('Assumptions &amp; FX Reference'!$B$5:$B$25,MATCH(Y86,'Assumptions &amp; FX Reference'!$A$5:$A$25,0)),"(Currency?)"))),"(FX rate missing)")))</f>
        <v>9152.116129032258</v>
      </c>
      <c r="AD86" s="35">
        <f>IF(NOT(ISNUMBER(AA86)),"(Not stated)",IF(NOT(ISNUMBER(Y86)),"(Cost year not stated)",IFERROR(IF(Z86="IRR",AA86,IF(Z86="USD",AA86*INDEX('Assumptions &amp; FX Reference'!$B$5:$B$25,MATCH(Y86,'Assumptions &amp; FX Reference'!$A$5:$A$25,0)),IF(Z86="EUR",AA86*INDEX('Assumptions &amp; FX Reference'!$C$5:$C$25,MATCH(Y86,'Assumptions &amp; FX Reference'!$A$5:$A$25,0)),"(Currency?)"))),"(FX rate missing)")))</f>
        <v>283715600</v>
      </c>
      <c r="AE86" s="30" t="s">
        <v>472</v>
      </c>
      <c r="AF86" s="38" t="s">
        <v>204</v>
      </c>
      <c r="AG86" s="35">
        <f>IF(AND(Z86="EUR",N(AA86)&gt;5000000),"(Check currency – excluded)",IF(AND(ISNUMBER(AB86),ISNUMBER(AZ86),ISNUMBER(BA86)),IF(AND(BB86="Y",ISNUMBER('Assumptions &amp; FX Reference'!$I$15)),MAX(AB86*BA86/AZ86,'Assumptions &amp; FX Reference'!$I$13*BA86/'Assumptions &amp; FX Reference'!$I$15),AB86*BA86/AZ86),"(PPI/FX missing)"))</f>
        <v>9457.4753412810496</v>
      </c>
      <c r="AH86" s="35">
        <f>IF(AND(ISNUMBER(AG86),ISNUMBER('Assumptions &amp; FX Reference'!$I$8),ISNUMBER('Assumptions &amp; FX Reference'!$I$11)),AG86*'Assumptions &amp; FX Reference'!$I$8/'Assumptions &amp; FX Reference'!$I$11,"")</f>
        <v>9985.0424588924052</v>
      </c>
      <c r="AI86" s="35">
        <f>IF(AND(ISNUMBER(AG86),ISNUMBER('Assumptions &amp; FX Reference'!$I$8)),AG86*'Assumptions &amp; FX Reference'!$I$8,"")</f>
        <v>6575479965.5817928</v>
      </c>
      <c r="AJ86" s="30" t="s">
        <v>473</v>
      </c>
      <c r="AK86" s="30" t="s">
        <v>474</v>
      </c>
      <c r="AL86" s="30" t="s">
        <v>119</v>
      </c>
      <c r="AM86" s="30" t="s">
        <v>119</v>
      </c>
      <c r="AN86" s="30" t="s">
        <v>119</v>
      </c>
      <c r="AO86" s="30" t="s">
        <v>119</v>
      </c>
      <c r="AP86" s="30" t="s">
        <v>119</v>
      </c>
      <c r="AQ86" s="38" t="s">
        <v>305</v>
      </c>
      <c r="AR86" s="30" t="s">
        <v>119</v>
      </c>
      <c r="AS86" s="33" t="str">
        <f t="shared" si="13"/>
        <v xml:space="preserve">Seal missing; </v>
      </c>
      <c r="AT86" s="36">
        <f>IFERROR(INDEX(Factors_ROT!$F$5:$F$200,MATCH("MAT|"&amp;G86,Factors_ROT!$A$5:$A$200,0)),1)</f>
        <v>0.9</v>
      </c>
      <c r="AU86" s="36">
        <f>IFERROR(INDEX(Factors_ROT!$F$5:$F$200,MATCH("SEAL_ARR|"&amp;P86,Factors_ROT!$A$5:$A$200,0)),1)*IFERROR(INDEX(Factors_ROT!$F$5:$F$200,MATCH("SEAL_CAT|"&amp;Q86,Factors_ROT!$A$5:$A$200,0)),1)*IFERROR(INDEX(Factors_ROT!$F$5:$F$200,MATCH("SEAL_PLAN|"&amp;R86,Factors_ROT!$A$5:$A$200,0)),1)</f>
        <v>1</v>
      </c>
      <c r="AV86" s="36">
        <f>IFERROR(INDEX(Factors_ROT!$F$5:$F$200,MATCH("DRV|"&amp;S86,Factors_ROT!$A$5:$A$200,0)),1)*IFERROR(INDEX(Factors_ROT!$F$5:$F$200,MATCH("NACE|"&amp;O86,Factors_ROT!$A$5:$A$200,0)),1)</f>
        <v>1</v>
      </c>
      <c r="AW86" s="36">
        <f>IFERROR(INDEX(Factors_ROT!$F$5:$F$200,MATCH("SC_DRV|"&amp;AL86,Factors_ROT!$A$5:$A$200,0)),1)*IFERROR(INDEX(Factors_ROT!$F$5:$F$200,MATCH("SC_BSP|"&amp;AM86,Factors_ROT!$A$5:$A$200,0)),1)*IFERROR(INDEX(Factors_ROT!$F$5:$F$200,MATCH("SC_SEAL|"&amp;AN86,Factors_ROT!$A$5:$A$200,0)),1)*IFERROR(INDEX(Factors_ROT!$F$5:$F$200,MATCH("SC_COMM|"&amp;AO86,Factors_ROT!$A$5:$A$200,0)),1)*IFERROR(INDEX(Factors_ROT!$F$5:$F$200,MATCH("SC_2Y|"&amp;AP86,Factors_ROT!$A$5:$A$200,0)),1)*IFERROR(INDEX(Factors_ROT!$F$5:$F$200,MATCH("SC_TPI|"&amp;AQ86,Factors_ROT!$A$5:$A$200,0)),1)*IFERROR(INDEX(Factors_ROT!$F$5:$F$200,MATCH("SC_FAT|"&amp;AR86,Factors_ROT!$A$5:$A$200,0)),1)</f>
        <v>1</v>
      </c>
      <c r="AX86" s="36">
        <f t="shared" si="14"/>
        <v>0.9</v>
      </c>
      <c r="AY86" s="35">
        <f t="shared" si="15"/>
        <v>7777.7777777777774</v>
      </c>
      <c r="AZ86" s="37">
        <f>IFERROR(IF(N(INDEX(Escalation_Index!$B$5:$B$25,MATCH(Y86,Escalation_Index!$A$5:$A$25,0)))&gt;0,INDEX(Escalation_Index!$B$5:$B$25,MATCH(Y86,Escalation_Index!$A$5:$A$25,0)),""),"")</f>
        <v>91.346999999999994</v>
      </c>
      <c r="BA86" s="37">
        <f>IF(ISNUMBER('Assumptions &amp; FX Reference'!$I$12),'Assumptions &amp; FX Reference'!$I$12,"")</f>
        <v>123.416</v>
      </c>
      <c r="BB86" s="33" t="str">
        <f t="shared" si="16"/>
        <v>N</v>
      </c>
      <c r="BC86" s="35">
        <f t="shared" si="17"/>
        <v>10508.305934756721</v>
      </c>
      <c r="BD86" s="35">
        <f>IF(AND(ISNUMBER(BC86),ISNUMBER(K86)),IF(K86&gt;0,BC86/K86^'Assumptions &amp; FX Reference'!$I$16,""),"")</f>
        <v>7236.9035222469556</v>
      </c>
      <c r="BE86" s="30" t="s">
        <v>629</v>
      </c>
      <c r="BF86" s="30" t="s">
        <v>630</v>
      </c>
      <c r="BG86" s="30" t="s">
        <v>361</v>
      </c>
    </row>
    <row r="87" spans="1:59" ht="24" customHeight="1">
      <c r="A87" s="30">
        <v>83</v>
      </c>
      <c r="B87" s="30" t="s">
        <v>631</v>
      </c>
      <c r="C87" s="30" t="s">
        <v>468</v>
      </c>
      <c r="D87" s="30" t="s">
        <v>632</v>
      </c>
      <c r="E87" s="30" t="s">
        <v>50</v>
      </c>
      <c r="F87" s="30" t="s">
        <v>167</v>
      </c>
      <c r="G87" s="30" t="s">
        <v>86</v>
      </c>
      <c r="H87" s="31">
        <v>5.5</v>
      </c>
      <c r="I87" s="31">
        <v>31</v>
      </c>
      <c r="J87" s="31"/>
      <c r="K87" s="32">
        <f>IF(ISNUMBER(J87),J87,IF(AND(ISNUMBER(H87),ISNUMBER(I87)),H87*I87/(367*'Assumptions &amp; FX Reference'!$I$17),""))</f>
        <v>0.77429609445958225</v>
      </c>
      <c r="L87" s="33" t="str">
        <f t="shared" si="12"/>
        <v>API 610 + IPS-G-PM-105</v>
      </c>
      <c r="M87" s="30" t="s">
        <v>470</v>
      </c>
      <c r="N87" s="30" t="s">
        <v>471</v>
      </c>
      <c r="O87" s="38" t="s">
        <v>305</v>
      </c>
      <c r="P87" s="30" t="s">
        <v>119</v>
      </c>
      <c r="Q87" s="30" t="s">
        <v>119</v>
      </c>
      <c r="R87" s="30" t="s">
        <v>119</v>
      </c>
      <c r="S87" s="38" t="s">
        <v>297</v>
      </c>
      <c r="T87" s="30" t="s">
        <v>334</v>
      </c>
      <c r="U87" s="30">
        <v>1</v>
      </c>
      <c r="V87" s="30" t="s">
        <v>299</v>
      </c>
      <c r="W87" s="31">
        <v>3.4</v>
      </c>
      <c r="X87" s="30" t="s">
        <v>119</v>
      </c>
      <c r="Y87" s="38">
        <v>1393</v>
      </c>
      <c r="Z87" s="30" t="s">
        <v>355</v>
      </c>
      <c r="AA87" s="34">
        <v>10000</v>
      </c>
      <c r="AB87" s="35">
        <f>IF(NOT(ISNUMBER(AA87)),"(Not stated)",IF(NOT(ISNUMBER(Y87)),"(Cost year not stated)",IFERROR(IF(Z87="EUR",AA87,IF(Z87="IRR",AA87/INDEX('Assumptions &amp; FX Reference'!$C$5:$C$25,MATCH(Y87,'Assumptions &amp; FX Reference'!$A$5:$A$25,0)),IF(Z87="USD",AA87*INDEX('Assumptions &amp; FX Reference'!$B$5:$B$25,MATCH(Y87,'Assumptions &amp; FX Reference'!$A$5:$A$25,0))/INDEX('Assumptions &amp; FX Reference'!$C$5:$C$25,MATCH(Y87,'Assumptions &amp; FX Reference'!$A$5:$A$25,0)),"(Currency?)"))),"(FX rate missing)")))</f>
        <v>10000</v>
      </c>
      <c r="AC87" s="35">
        <f>IF(NOT(ISNUMBER(AA87)),"(Not stated)",IF(NOT(ISNUMBER(Y87)),"(Cost year not stated)",IFERROR(IF(Z87="USD",AA87,IF(Z87="IRR",AA87/INDEX('Assumptions &amp; FX Reference'!$B$5:$B$25,MATCH(Y87,'Assumptions &amp; FX Reference'!$A$5:$A$25,0)),IF(Z87="EUR",AA87*INDEX('Assumptions &amp; FX Reference'!$C$5:$C$25,MATCH(Y87,'Assumptions &amp; FX Reference'!$A$5:$A$25,0))/INDEX('Assumptions &amp; FX Reference'!$B$5:$B$25,MATCH(Y87,'Assumptions &amp; FX Reference'!$A$5:$A$25,0)),"(Currency?)"))),"(FX rate missing)")))</f>
        <v>13074.451612903225</v>
      </c>
      <c r="AD87" s="35">
        <f>IF(NOT(ISNUMBER(AA87)),"(Not stated)",IF(NOT(ISNUMBER(Y87)),"(Cost year not stated)",IFERROR(IF(Z87="IRR",AA87,IF(Z87="USD",AA87*INDEX('Assumptions &amp; FX Reference'!$B$5:$B$25,MATCH(Y87,'Assumptions &amp; FX Reference'!$A$5:$A$25,0)),IF(Z87="EUR",AA87*INDEX('Assumptions &amp; FX Reference'!$C$5:$C$25,MATCH(Y87,'Assumptions &amp; FX Reference'!$A$5:$A$25,0)),"(Currency?)"))),"(FX rate missing)")))</f>
        <v>405308000</v>
      </c>
      <c r="AE87" s="30" t="s">
        <v>472</v>
      </c>
      <c r="AF87" s="38" t="s">
        <v>204</v>
      </c>
      <c r="AG87" s="35">
        <f>IF(AND(Z87="EUR",N(AA87)&gt;5000000),"(Check currency – excluded)",IF(AND(ISNUMBER(AB87),ISNUMBER(AZ87),ISNUMBER(BA87)),IF(AND(BB87="Y",ISNUMBER('Assumptions &amp; FX Reference'!$I$15)),MAX(AB87*BA87/AZ87,'Assumptions &amp; FX Reference'!$I$13*BA87/'Assumptions &amp; FX Reference'!$I$15),AB87*BA87/AZ87),"(PPI/FX missing)"))</f>
        <v>25000</v>
      </c>
      <c r="AH87" s="35">
        <f>IF(AND(ISNUMBER(AG87),ISNUMBER('Assumptions &amp; FX Reference'!$I$8),ISNUMBER('Assumptions &amp; FX Reference'!$I$11)),AG87*'Assumptions &amp; FX Reference'!$I$8/'Assumptions &amp; FX Reference'!$I$11,"")</f>
        <v>26394.577037141647</v>
      </c>
      <c r="AI87" s="35">
        <f>IF(AND(ISNUMBER(AG87),ISNUMBER('Assumptions &amp; FX Reference'!$I$8)),AG87*'Assumptions &amp; FX Reference'!$I$8,"")</f>
        <v>17381700000</v>
      </c>
      <c r="AJ87" s="30" t="s">
        <v>473</v>
      </c>
      <c r="AK87" s="30" t="s">
        <v>474</v>
      </c>
      <c r="AL87" s="30" t="s">
        <v>119</v>
      </c>
      <c r="AM87" s="30" t="s">
        <v>119</v>
      </c>
      <c r="AN87" s="30" t="s">
        <v>119</v>
      </c>
      <c r="AO87" s="30" t="s">
        <v>119</v>
      </c>
      <c r="AP87" s="30" t="s">
        <v>119</v>
      </c>
      <c r="AQ87" s="38" t="s">
        <v>305</v>
      </c>
      <c r="AR87" s="30" t="s">
        <v>119</v>
      </c>
      <c r="AS87" s="33" t="str">
        <f t="shared" si="13"/>
        <v xml:space="preserve">Seal missing; </v>
      </c>
      <c r="AT87" s="36">
        <f>IFERROR(INDEX(Factors_ROT!$F$5:$F$200,MATCH("MAT|"&amp;G87,Factors_ROT!$A$5:$A$200,0)),1)</f>
        <v>1.1000000000000001</v>
      </c>
      <c r="AU87" s="36">
        <f>IFERROR(INDEX(Factors_ROT!$F$5:$F$200,MATCH("SEAL_ARR|"&amp;P87,Factors_ROT!$A$5:$A$200,0)),1)*IFERROR(INDEX(Factors_ROT!$F$5:$F$200,MATCH("SEAL_CAT|"&amp;Q87,Factors_ROT!$A$5:$A$200,0)),1)*IFERROR(INDEX(Factors_ROT!$F$5:$F$200,MATCH("SEAL_PLAN|"&amp;R87,Factors_ROT!$A$5:$A$200,0)),1)</f>
        <v>1</v>
      </c>
      <c r="AV87" s="36">
        <f>IFERROR(INDEX(Factors_ROT!$F$5:$F$200,MATCH("DRV|"&amp;S87,Factors_ROT!$A$5:$A$200,0)),1)*IFERROR(INDEX(Factors_ROT!$F$5:$F$200,MATCH("NACE|"&amp;O87,Factors_ROT!$A$5:$A$200,0)),1)</f>
        <v>1</v>
      </c>
      <c r="AW87" s="36">
        <f>IFERROR(INDEX(Factors_ROT!$F$5:$F$200,MATCH("SC_DRV|"&amp;AL87,Factors_ROT!$A$5:$A$200,0)),1)*IFERROR(INDEX(Factors_ROT!$F$5:$F$200,MATCH("SC_BSP|"&amp;AM87,Factors_ROT!$A$5:$A$200,0)),1)*IFERROR(INDEX(Factors_ROT!$F$5:$F$200,MATCH("SC_SEAL|"&amp;AN87,Factors_ROT!$A$5:$A$200,0)),1)*IFERROR(INDEX(Factors_ROT!$F$5:$F$200,MATCH("SC_COMM|"&amp;AO87,Factors_ROT!$A$5:$A$200,0)),1)*IFERROR(INDEX(Factors_ROT!$F$5:$F$200,MATCH("SC_2Y|"&amp;AP87,Factors_ROT!$A$5:$A$200,0)),1)*IFERROR(INDEX(Factors_ROT!$F$5:$F$200,MATCH("SC_TPI|"&amp;AQ87,Factors_ROT!$A$5:$A$200,0)),1)*IFERROR(INDEX(Factors_ROT!$F$5:$F$200,MATCH("SC_FAT|"&amp;AR87,Factors_ROT!$A$5:$A$200,0)),1)</f>
        <v>1</v>
      </c>
      <c r="AX87" s="36">
        <f t="shared" si="14"/>
        <v>1.1000000000000001</v>
      </c>
      <c r="AY87" s="35">
        <f t="shared" si="15"/>
        <v>9090.9090909090901</v>
      </c>
      <c r="AZ87" s="37">
        <f>IFERROR(IF(N(INDEX(Escalation_Index!$B$5:$B$25,MATCH(Y87,Escalation_Index!$A$5:$A$25,0)))&gt;0,INDEX(Escalation_Index!$B$5:$B$25,MATCH(Y87,Escalation_Index!$A$5:$A$25,0)),""),"")</f>
        <v>91.346999999999994</v>
      </c>
      <c r="BA87" s="37">
        <f>IF(ISNUMBER('Assumptions &amp; FX Reference'!$I$12),'Assumptions &amp; FX Reference'!$I$12,"")</f>
        <v>123.416</v>
      </c>
      <c r="BB87" s="33" t="str">
        <f t="shared" si="16"/>
        <v>Y</v>
      </c>
      <c r="BC87" s="35">
        <f t="shared" si="17"/>
        <v>22727.272727272724</v>
      </c>
      <c r="BD87" s="35">
        <f>IF(AND(ISNUMBER(BC87),ISNUMBER(K87)),IF(K87&gt;0,BC87/K87^'Assumptions &amp; FX Reference'!$I$16,""),"")</f>
        <v>26497.389046816192</v>
      </c>
      <c r="BE87" s="30" t="s">
        <v>633</v>
      </c>
      <c r="BF87" s="30" t="s">
        <v>634</v>
      </c>
      <c r="BG87" s="30" t="s">
        <v>361</v>
      </c>
    </row>
    <row r="88" spans="1:59" ht="24" customHeight="1">
      <c r="A88" s="30">
        <v>84</v>
      </c>
      <c r="B88" s="30" t="s">
        <v>635</v>
      </c>
      <c r="C88" s="30" t="s">
        <v>468</v>
      </c>
      <c r="D88" s="30" t="s">
        <v>636</v>
      </c>
      <c r="E88" s="30" t="s">
        <v>56</v>
      </c>
      <c r="F88" s="30" t="s">
        <v>182</v>
      </c>
      <c r="G88" s="30" t="s">
        <v>70</v>
      </c>
      <c r="H88" s="31">
        <v>770</v>
      </c>
      <c r="I88" s="31">
        <v>107</v>
      </c>
      <c r="J88" s="31"/>
      <c r="K88" s="32">
        <f>IF(ISNUMBER(J88),J88,IF(AND(ISNUMBER(H88),ISNUMBER(I88)),H88*I88/(367*'Assumptions &amp; FX Reference'!$I$17),""))</f>
        <v>374.15985467756587</v>
      </c>
      <c r="L88" s="33" t="str">
        <f t="shared" si="12"/>
        <v>NFPA 20 + IPS-M-PM-125</v>
      </c>
      <c r="M88" s="30" t="s">
        <v>637</v>
      </c>
      <c r="N88" s="30" t="s">
        <v>638</v>
      </c>
      <c r="O88" s="38" t="s">
        <v>305</v>
      </c>
      <c r="P88" s="30" t="s">
        <v>119</v>
      </c>
      <c r="Q88" s="30" t="s">
        <v>119</v>
      </c>
      <c r="R88" s="30" t="s">
        <v>119</v>
      </c>
      <c r="S88" s="30" t="s">
        <v>297</v>
      </c>
      <c r="T88" s="30" t="s">
        <v>445</v>
      </c>
      <c r="U88" s="30">
        <v>1</v>
      </c>
      <c r="V88" s="30" t="s">
        <v>299</v>
      </c>
      <c r="W88" s="31">
        <v>11.3</v>
      </c>
      <c r="X88" s="30" t="s">
        <v>119</v>
      </c>
      <c r="Y88" s="38">
        <v>1393</v>
      </c>
      <c r="Z88" s="30" t="s">
        <v>355</v>
      </c>
      <c r="AA88" s="34">
        <v>70000</v>
      </c>
      <c r="AB88" s="35">
        <f>IF(NOT(ISNUMBER(AA88)),"(Not stated)",IF(NOT(ISNUMBER(Y88)),"(Cost year not stated)",IFERROR(IF(Z88="EUR",AA88,IF(Z88="IRR",AA88/INDEX('Assumptions &amp; FX Reference'!$C$5:$C$25,MATCH(Y88,'Assumptions &amp; FX Reference'!$A$5:$A$25,0)),IF(Z88="USD",AA88*INDEX('Assumptions &amp; FX Reference'!$B$5:$B$25,MATCH(Y88,'Assumptions &amp; FX Reference'!$A$5:$A$25,0))/INDEX('Assumptions &amp; FX Reference'!$C$5:$C$25,MATCH(Y88,'Assumptions &amp; FX Reference'!$A$5:$A$25,0)),"(Currency?)"))),"(FX rate missing)")))</f>
        <v>70000</v>
      </c>
      <c r="AC88" s="35">
        <f>IF(NOT(ISNUMBER(AA88)),"(Not stated)",IF(NOT(ISNUMBER(Y88)),"(Cost year not stated)",IFERROR(IF(Z88="USD",AA88,IF(Z88="IRR",AA88/INDEX('Assumptions &amp; FX Reference'!$B$5:$B$25,MATCH(Y88,'Assumptions &amp; FX Reference'!$A$5:$A$25,0)),IF(Z88="EUR",AA88*INDEX('Assumptions &amp; FX Reference'!$C$5:$C$25,MATCH(Y88,'Assumptions &amp; FX Reference'!$A$5:$A$25,0))/INDEX('Assumptions &amp; FX Reference'!$B$5:$B$25,MATCH(Y88,'Assumptions &amp; FX Reference'!$A$5:$A$25,0)),"(Currency?)"))),"(FX rate missing)")))</f>
        <v>91521.161290322576</v>
      </c>
      <c r="AD88" s="35">
        <f>IF(NOT(ISNUMBER(AA88)),"(Not stated)",IF(NOT(ISNUMBER(Y88)),"(Cost year not stated)",IFERROR(IF(Z88="IRR",AA88,IF(Z88="USD",AA88*INDEX('Assumptions &amp; FX Reference'!$B$5:$B$25,MATCH(Y88,'Assumptions &amp; FX Reference'!$A$5:$A$25,0)),IF(Z88="EUR",AA88*INDEX('Assumptions &amp; FX Reference'!$C$5:$C$25,MATCH(Y88,'Assumptions &amp; FX Reference'!$A$5:$A$25,0)),"(Currency?)"))),"(FX rate missing)")))</f>
        <v>2837156000</v>
      </c>
      <c r="AE88" s="30" t="s">
        <v>472</v>
      </c>
      <c r="AF88" s="38" t="s">
        <v>204</v>
      </c>
      <c r="AG88" s="35">
        <f>IF(AND(Z88="EUR",N(AA88)&gt;5000000),"(Check currency – excluded)",IF(AND(ISNUMBER(AB88),ISNUMBER(AZ88),ISNUMBER(BA88)),IF(AND(BB88="Y",ISNUMBER('Assumptions &amp; FX Reference'!$I$15)),MAX(AB88*BA88/AZ88,'Assumptions &amp; FX Reference'!$I$13*BA88/'Assumptions &amp; FX Reference'!$I$15),AB88*BA88/AZ88),"(PPI/FX missing)"))</f>
        <v>94574.753412810504</v>
      </c>
      <c r="AH88" s="35">
        <f>IF(AND(ISNUMBER(AG88),ISNUMBER('Assumptions &amp; FX Reference'!$I$8),ISNUMBER('Assumptions &amp; FX Reference'!$I$11)),AG88*'Assumptions &amp; FX Reference'!$I$8/'Assumptions &amp; FX Reference'!$I$11,"")</f>
        <v>99850.42458892407</v>
      </c>
      <c r="AI88" s="35">
        <f>IF(AND(ISNUMBER(AG88),ISNUMBER('Assumptions &amp; FX Reference'!$I$8)),AG88*'Assumptions &amp; FX Reference'!$I$8,"")</f>
        <v>65754799655.817932</v>
      </c>
      <c r="AJ88" s="30" t="s">
        <v>473</v>
      </c>
      <c r="AK88" s="30" t="s">
        <v>474</v>
      </c>
      <c r="AL88" s="30" t="s">
        <v>119</v>
      </c>
      <c r="AM88" s="30" t="s">
        <v>119</v>
      </c>
      <c r="AN88" s="30" t="s">
        <v>119</v>
      </c>
      <c r="AO88" s="30" t="s">
        <v>119</v>
      </c>
      <c r="AP88" s="30" t="s">
        <v>119</v>
      </c>
      <c r="AQ88" s="38" t="s">
        <v>305</v>
      </c>
      <c r="AR88" s="30" t="s">
        <v>119</v>
      </c>
      <c r="AS88" s="33" t="str">
        <f t="shared" si="13"/>
        <v xml:space="preserve">Seal missing; </v>
      </c>
      <c r="AT88" s="36">
        <f>IFERROR(INDEX(Factors_ROT!$F$5:$F$200,MATCH("MAT|"&amp;G88,Factors_ROT!$A$5:$A$200,0)),1)</f>
        <v>0.8</v>
      </c>
      <c r="AU88" s="36">
        <f>IFERROR(INDEX(Factors_ROT!$F$5:$F$200,MATCH("SEAL_ARR|"&amp;P88,Factors_ROT!$A$5:$A$200,0)),1)*IFERROR(INDEX(Factors_ROT!$F$5:$F$200,MATCH("SEAL_CAT|"&amp;Q88,Factors_ROT!$A$5:$A$200,0)),1)*IFERROR(INDEX(Factors_ROT!$F$5:$F$200,MATCH("SEAL_PLAN|"&amp;R88,Factors_ROT!$A$5:$A$200,0)),1)</f>
        <v>1</v>
      </c>
      <c r="AV88" s="36">
        <f>IFERROR(INDEX(Factors_ROT!$F$5:$F$200,MATCH("DRV|"&amp;S88,Factors_ROT!$A$5:$A$200,0)),1)*IFERROR(INDEX(Factors_ROT!$F$5:$F$200,MATCH("NACE|"&amp;O88,Factors_ROT!$A$5:$A$200,0)),1)</f>
        <v>1</v>
      </c>
      <c r="AW88" s="36">
        <f>IFERROR(INDEX(Factors_ROT!$F$5:$F$200,MATCH("SC_DRV|"&amp;AL88,Factors_ROT!$A$5:$A$200,0)),1)*IFERROR(INDEX(Factors_ROT!$F$5:$F$200,MATCH("SC_BSP|"&amp;AM88,Factors_ROT!$A$5:$A$200,0)),1)*IFERROR(INDEX(Factors_ROT!$F$5:$F$200,MATCH("SC_SEAL|"&amp;AN88,Factors_ROT!$A$5:$A$200,0)),1)*IFERROR(INDEX(Factors_ROT!$F$5:$F$200,MATCH("SC_COMM|"&amp;AO88,Factors_ROT!$A$5:$A$200,0)),1)*IFERROR(INDEX(Factors_ROT!$F$5:$F$200,MATCH("SC_2Y|"&amp;AP88,Factors_ROT!$A$5:$A$200,0)),1)*IFERROR(INDEX(Factors_ROT!$F$5:$F$200,MATCH("SC_TPI|"&amp;AQ88,Factors_ROT!$A$5:$A$200,0)),1)*IFERROR(INDEX(Factors_ROT!$F$5:$F$200,MATCH("SC_FAT|"&amp;AR88,Factors_ROT!$A$5:$A$200,0)),1)</f>
        <v>1</v>
      </c>
      <c r="AX88" s="36">
        <f t="shared" si="14"/>
        <v>0.8</v>
      </c>
      <c r="AY88" s="35">
        <f t="shared" si="15"/>
        <v>87500</v>
      </c>
      <c r="AZ88" s="37">
        <f>IFERROR(IF(N(INDEX(Escalation_Index!$B$5:$B$25,MATCH(Y88,Escalation_Index!$A$5:$A$25,0)))&gt;0,INDEX(Escalation_Index!$B$5:$B$25,MATCH(Y88,Escalation_Index!$A$5:$A$25,0)),""),"")</f>
        <v>91.346999999999994</v>
      </c>
      <c r="BA88" s="37">
        <f>IF(ISNUMBER('Assumptions &amp; FX Reference'!$I$12),'Assumptions &amp; FX Reference'!$I$12,"")</f>
        <v>123.416</v>
      </c>
      <c r="BB88" s="33" t="str">
        <f t="shared" si="16"/>
        <v>N</v>
      </c>
      <c r="BC88" s="35">
        <f t="shared" si="17"/>
        <v>118218.44176601313</v>
      </c>
      <c r="BD88" s="35">
        <f>IF(AND(ISNUMBER(BC88),ISNUMBER(K88)),IF(K88&gt;0,BC88/K88^'Assumptions &amp; FX Reference'!$I$16,""),"")</f>
        <v>3379.4880701834554</v>
      </c>
      <c r="BE88" s="30" t="s">
        <v>639</v>
      </c>
      <c r="BF88" s="30" t="s">
        <v>640</v>
      </c>
      <c r="BG88" s="30" t="s">
        <v>361</v>
      </c>
    </row>
    <row r="89" spans="1:59" ht="24" customHeight="1">
      <c r="A89" s="30">
        <v>85</v>
      </c>
      <c r="B89" s="30" t="s">
        <v>641</v>
      </c>
      <c r="C89" s="30" t="s">
        <v>468</v>
      </c>
      <c r="D89" s="30" t="s">
        <v>642</v>
      </c>
      <c r="E89" s="30" t="s">
        <v>56</v>
      </c>
      <c r="F89" s="30" t="s">
        <v>182</v>
      </c>
      <c r="G89" s="30" t="s">
        <v>70</v>
      </c>
      <c r="H89" s="31">
        <v>770</v>
      </c>
      <c r="I89" s="31">
        <v>88.7</v>
      </c>
      <c r="J89" s="31"/>
      <c r="K89" s="32">
        <f>IF(ISNUMBER(J89),J89,IF(AND(ISNUMBER(H89),ISNUMBER(I89)),H89*I89/(367*'Assumptions &amp; FX Reference'!$I$17),""))</f>
        <v>310.16802906448686</v>
      </c>
      <c r="L89" s="33" t="str">
        <f t="shared" si="12"/>
        <v>NFPA 20 + IPS-M-PM-125</v>
      </c>
      <c r="M89" s="30" t="s">
        <v>637</v>
      </c>
      <c r="N89" s="30" t="s">
        <v>638</v>
      </c>
      <c r="O89" s="38" t="s">
        <v>305</v>
      </c>
      <c r="P89" s="30" t="s">
        <v>119</v>
      </c>
      <c r="Q89" s="30" t="s">
        <v>119</v>
      </c>
      <c r="R89" s="30" t="s">
        <v>119</v>
      </c>
      <c r="S89" s="30" t="s">
        <v>452</v>
      </c>
      <c r="T89" s="30" t="s">
        <v>445</v>
      </c>
      <c r="U89" s="30">
        <v>1</v>
      </c>
      <c r="V89" s="30" t="s">
        <v>299</v>
      </c>
      <c r="W89" s="31">
        <v>9.5</v>
      </c>
      <c r="X89" s="30" t="s">
        <v>119</v>
      </c>
      <c r="Y89" s="38">
        <v>1393</v>
      </c>
      <c r="Z89" s="30" t="s">
        <v>355</v>
      </c>
      <c r="AA89" s="34">
        <v>90000</v>
      </c>
      <c r="AB89" s="35">
        <f>IF(NOT(ISNUMBER(AA89)),"(Not stated)",IF(NOT(ISNUMBER(Y89)),"(Cost year not stated)",IFERROR(IF(Z89="EUR",AA89,IF(Z89="IRR",AA89/INDEX('Assumptions &amp; FX Reference'!$C$5:$C$25,MATCH(Y89,'Assumptions &amp; FX Reference'!$A$5:$A$25,0)),IF(Z89="USD",AA89*INDEX('Assumptions &amp; FX Reference'!$B$5:$B$25,MATCH(Y89,'Assumptions &amp; FX Reference'!$A$5:$A$25,0))/INDEX('Assumptions &amp; FX Reference'!$C$5:$C$25,MATCH(Y89,'Assumptions &amp; FX Reference'!$A$5:$A$25,0)),"(Currency?)"))),"(FX rate missing)")))</f>
        <v>90000</v>
      </c>
      <c r="AC89" s="35">
        <f>IF(NOT(ISNUMBER(AA89)),"(Not stated)",IF(NOT(ISNUMBER(Y89)),"(Cost year not stated)",IFERROR(IF(Z89="USD",AA89,IF(Z89="IRR",AA89/INDEX('Assumptions &amp; FX Reference'!$B$5:$B$25,MATCH(Y89,'Assumptions &amp; FX Reference'!$A$5:$A$25,0)),IF(Z89="EUR",AA89*INDEX('Assumptions &amp; FX Reference'!$C$5:$C$25,MATCH(Y89,'Assumptions &amp; FX Reference'!$A$5:$A$25,0))/INDEX('Assumptions &amp; FX Reference'!$B$5:$B$25,MATCH(Y89,'Assumptions &amp; FX Reference'!$A$5:$A$25,0)),"(Currency?)"))),"(FX rate missing)")))</f>
        <v>117670.06451612904</v>
      </c>
      <c r="AD89" s="35">
        <f>IF(NOT(ISNUMBER(AA89)),"(Not stated)",IF(NOT(ISNUMBER(Y89)),"(Cost year not stated)",IFERROR(IF(Z89="IRR",AA89,IF(Z89="USD",AA89*INDEX('Assumptions &amp; FX Reference'!$B$5:$B$25,MATCH(Y89,'Assumptions &amp; FX Reference'!$A$5:$A$25,0)),IF(Z89="EUR",AA89*INDEX('Assumptions &amp; FX Reference'!$C$5:$C$25,MATCH(Y89,'Assumptions &amp; FX Reference'!$A$5:$A$25,0)),"(Currency?)"))),"(FX rate missing)")))</f>
        <v>3647772000.0000005</v>
      </c>
      <c r="AE89" s="30" t="s">
        <v>472</v>
      </c>
      <c r="AF89" s="38" t="s">
        <v>204</v>
      </c>
      <c r="AG89" s="35">
        <f>IF(AND(Z89="EUR",N(AA89)&gt;5000000),"(Check currency – excluded)",IF(AND(ISNUMBER(AB89),ISNUMBER(AZ89),ISNUMBER(BA89)),IF(AND(BB89="Y",ISNUMBER('Assumptions &amp; FX Reference'!$I$15)),MAX(AB89*BA89/AZ89,'Assumptions &amp; FX Reference'!$I$13*BA89/'Assumptions &amp; FX Reference'!$I$15),AB89*BA89/AZ89),"(PPI/FX missing)"))</f>
        <v>121596.11153075636</v>
      </c>
      <c r="AH89" s="35">
        <f>IF(AND(ISNUMBER(AG89),ISNUMBER('Assumptions &amp; FX Reference'!$I$8),ISNUMBER('Assumptions &amp; FX Reference'!$I$11)),AG89*'Assumptions &amp; FX Reference'!$I$8/'Assumptions &amp; FX Reference'!$I$11,"")</f>
        <v>128379.11732861666</v>
      </c>
      <c r="AI89" s="35">
        <f>IF(AND(ISNUMBER(AG89),ISNUMBER('Assumptions &amp; FX Reference'!$I$8)),AG89*'Assumptions &amp; FX Reference'!$I$8,"")</f>
        <v>84541885271.765915</v>
      </c>
      <c r="AJ89" s="30" t="s">
        <v>473</v>
      </c>
      <c r="AK89" s="30" t="s">
        <v>474</v>
      </c>
      <c r="AL89" s="30" t="s">
        <v>119</v>
      </c>
      <c r="AM89" s="30" t="s">
        <v>119</v>
      </c>
      <c r="AN89" s="30" t="s">
        <v>119</v>
      </c>
      <c r="AO89" s="30" t="s">
        <v>119</v>
      </c>
      <c r="AP89" s="30" t="s">
        <v>119</v>
      </c>
      <c r="AQ89" s="38" t="s">
        <v>305</v>
      </c>
      <c r="AR89" s="30" t="s">
        <v>119</v>
      </c>
      <c r="AS89" s="33" t="str">
        <f t="shared" si="13"/>
        <v xml:space="preserve">Seal missing; </v>
      </c>
      <c r="AT89" s="36">
        <f>IFERROR(INDEX(Factors_ROT!$F$5:$F$200,MATCH("MAT|"&amp;G89,Factors_ROT!$A$5:$A$200,0)),1)</f>
        <v>0.8</v>
      </c>
      <c r="AU89" s="36">
        <f>IFERROR(INDEX(Factors_ROT!$F$5:$F$200,MATCH("SEAL_ARR|"&amp;P89,Factors_ROT!$A$5:$A$200,0)),1)*IFERROR(INDEX(Factors_ROT!$F$5:$F$200,MATCH("SEAL_CAT|"&amp;Q89,Factors_ROT!$A$5:$A$200,0)),1)*IFERROR(INDEX(Factors_ROT!$F$5:$F$200,MATCH("SEAL_PLAN|"&amp;R89,Factors_ROT!$A$5:$A$200,0)),1)</f>
        <v>1</v>
      </c>
      <c r="AV89" s="36">
        <f>IFERROR(INDEX(Factors_ROT!$F$5:$F$200,MATCH("DRV|"&amp;S89,Factors_ROT!$A$5:$A$200,0)),1)*IFERROR(INDEX(Factors_ROT!$F$5:$F$200,MATCH("NACE|"&amp;O89,Factors_ROT!$A$5:$A$200,0)),1)</f>
        <v>1.35</v>
      </c>
      <c r="AW89" s="36">
        <f>IFERROR(INDEX(Factors_ROT!$F$5:$F$200,MATCH("SC_DRV|"&amp;AL89,Factors_ROT!$A$5:$A$200,0)),1)*IFERROR(INDEX(Factors_ROT!$F$5:$F$200,MATCH("SC_BSP|"&amp;AM89,Factors_ROT!$A$5:$A$200,0)),1)*IFERROR(INDEX(Factors_ROT!$F$5:$F$200,MATCH("SC_SEAL|"&amp;AN89,Factors_ROT!$A$5:$A$200,0)),1)*IFERROR(INDEX(Factors_ROT!$F$5:$F$200,MATCH("SC_COMM|"&amp;AO89,Factors_ROT!$A$5:$A$200,0)),1)*IFERROR(INDEX(Factors_ROT!$F$5:$F$200,MATCH("SC_2Y|"&amp;AP89,Factors_ROT!$A$5:$A$200,0)),1)*IFERROR(INDEX(Factors_ROT!$F$5:$F$200,MATCH("SC_TPI|"&amp;AQ89,Factors_ROT!$A$5:$A$200,0)),1)*IFERROR(INDEX(Factors_ROT!$F$5:$F$200,MATCH("SC_FAT|"&amp;AR89,Factors_ROT!$A$5:$A$200,0)),1)</f>
        <v>1</v>
      </c>
      <c r="AX89" s="36">
        <f t="shared" si="14"/>
        <v>1.08</v>
      </c>
      <c r="AY89" s="35">
        <f t="shared" si="15"/>
        <v>83333.333333333328</v>
      </c>
      <c r="AZ89" s="37">
        <f>IFERROR(IF(N(INDEX(Escalation_Index!$B$5:$B$25,MATCH(Y89,Escalation_Index!$A$5:$A$25,0)))&gt;0,INDEX(Escalation_Index!$B$5:$B$25,MATCH(Y89,Escalation_Index!$A$5:$A$25,0)),""),"")</f>
        <v>91.346999999999994</v>
      </c>
      <c r="BA89" s="37">
        <f>IF(ISNUMBER('Assumptions &amp; FX Reference'!$I$12),'Assumptions &amp; FX Reference'!$I$12,"")</f>
        <v>123.416</v>
      </c>
      <c r="BB89" s="33" t="str">
        <f t="shared" si="16"/>
        <v>N</v>
      </c>
      <c r="BC89" s="35">
        <f t="shared" si="17"/>
        <v>112588.99215810774</v>
      </c>
      <c r="BD89" s="35">
        <f>IF(AND(ISNUMBER(BC89),ISNUMBER(K89)),IF(K89&gt;0,BC89/K89^'Assumptions &amp; FX Reference'!$I$16,""),"")</f>
        <v>3601.9502771211382</v>
      </c>
      <c r="BE89" s="30" t="s">
        <v>643</v>
      </c>
      <c r="BF89" s="30" t="s">
        <v>644</v>
      </c>
      <c r="BG89" s="30" t="s">
        <v>361</v>
      </c>
    </row>
    <row r="90" spans="1:59" ht="24" customHeight="1">
      <c r="A90" s="30">
        <v>86</v>
      </c>
      <c r="B90" s="30" t="s">
        <v>645</v>
      </c>
      <c r="C90" s="30" t="s">
        <v>468</v>
      </c>
      <c r="D90" s="30" t="s">
        <v>646</v>
      </c>
      <c r="E90" s="30" t="s">
        <v>56</v>
      </c>
      <c r="F90" s="30" t="s">
        <v>179</v>
      </c>
      <c r="G90" s="30" t="s">
        <v>70</v>
      </c>
      <c r="H90" s="31">
        <v>16.5</v>
      </c>
      <c r="I90" s="31">
        <v>107</v>
      </c>
      <c r="J90" s="31"/>
      <c r="K90" s="32">
        <f>IF(ISNUMBER(J90),J90,IF(AND(ISNUMBER(H90),ISNUMBER(I90)),H90*I90/(367*'Assumptions &amp; FX Reference'!$I$17),""))</f>
        <v>8.0177111716621265</v>
      </c>
      <c r="L90" s="33" t="str">
        <f t="shared" si="12"/>
        <v>NFPA 20 + IPS-M-PM-125</v>
      </c>
      <c r="M90" s="30" t="s">
        <v>637</v>
      </c>
      <c r="N90" s="30" t="s">
        <v>638</v>
      </c>
      <c r="O90" s="38" t="s">
        <v>305</v>
      </c>
      <c r="P90" s="30" t="s">
        <v>119</v>
      </c>
      <c r="Q90" s="30" t="s">
        <v>119</v>
      </c>
      <c r="R90" s="30" t="s">
        <v>119</v>
      </c>
      <c r="S90" s="38" t="s">
        <v>297</v>
      </c>
      <c r="T90" s="30" t="s">
        <v>445</v>
      </c>
      <c r="U90" s="30">
        <v>2</v>
      </c>
      <c r="V90" s="30" t="s">
        <v>299</v>
      </c>
      <c r="W90" s="31">
        <v>11.3</v>
      </c>
      <c r="X90" s="30" t="s">
        <v>119</v>
      </c>
      <c r="Y90" s="38">
        <v>1393</v>
      </c>
      <c r="Z90" s="30" t="s">
        <v>355</v>
      </c>
      <c r="AA90" s="34">
        <v>15000</v>
      </c>
      <c r="AB90" s="35">
        <f>IF(NOT(ISNUMBER(AA90)),"(Not stated)",IF(NOT(ISNUMBER(Y90)),"(Cost year not stated)",IFERROR(IF(Z90="EUR",AA90,IF(Z90="IRR",AA90/INDEX('Assumptions &amp; FX Reference'!$C$5:$C$25,MATCH(Y90,'Assumptions &amp; FX Reference'!$A$5:$A$25,0)),IF(Z90="USD",AA90*INDEX('Assumptions &amp; FX Reference'!$B$5:$B$25,MATCH(Y90,'Assumptions &amp; FX Reference'!$A$5:$A$25,0))/INDEX('Assumptions &amp; FX Reference'!$C$5:$C$25,MATCH(Y90,'Assumptions &amp; FX Reference'!$A$5:$A$25,0)),"(Currency?)"))),"(FX rate missing)")))</f>
        <v>15000</v>
      </c>
      <c r="AC90" s="35">
        <f>IF(NOT(ISNUMBER(AA90)),"(Not stated)",IF(NOT(ISNUMBER(Y90)),"(Cost year not stated)",IFERROR(IF(Z90="USD",AA90,IF(Z90="IRR",AA90/INDEX('Assumptions &amp; FX Reference'!$B$5:$B$25,MATCH(Y90,'Assumptions &amp; FX Reference'!$A$5:$A$25,0)),IF(Z90="EUR",AA90*INDEX('Assumptions &amp; FX Reference'!$C$5:$C$25,MATCH(Y90,'Assumptions &amp; FX Reference'!$A$5:$A$25,0))/INDEX('Assumptions &amp; FX Reference'!$B$5:$B$25,MATCH(Y90,'Assumptions &amp; FX Reference'!$A$5:$A$25,0)),"(Currency?)"))),"(FX rate missing)")))</f>
        <v>19611.677419354837</v>
      </c>
      <c r="AD90" s="35">
        <f>IF(NOT(ISNUMBER(AA90)),"(Not stated)",IF(NOT(ISNUMBER(Y90)),"(Cost year not stated)",IFERROR(IF(Z90="IRR",AA90,IF(Z90="USD",AA90*INDEX('Assumptions &amp; FX Reference'!$B$5:$B$25,MATCH(Y90,'Assumptions &amp; FX Reference'!$A$5:$A$25,0)),IF(Z90="EUR",AA90*INDEX('Assumptions &amp; FX Reference'!$C$5:$C$25,MATCH(Y90,'Assumptions &amp; FX Reference'!$A$5:$A$25,0)),"(Currency?)"))),"(FX rate missing)")))</f>
        <v>607962000</v>
      </c>
      <c r="AE90" s="30" t="s">
        <v>472</v>
      </c>
      <c r="AF90" s="38" t="s">
        <v>204</v>
      </c>
      <c r="AG90" s="35">
        <f>IF(AND(Z90="EUR",N(AA90)&gt;5000000),"(Check currency – excluded)",IF(AND(ISNUMBER(AB90),ISNUMBER(AZ90),ISNUMBER(BA90)),IF(AND(BB90="Y",ISNUMBER('Assumptions &amp; FX Reference'!$I$15)),MAX(AB90*BA90/AZ90,'Assumptions &amp; FX Reference'!$I$13*BA90/'Assumptions &amp; FX Reference'!$I$15),AB90*BA90/AZ90),"(PPI/FX missing)"))</f>
        <v>20266.018588459392</v>
      </c>
      <c r="AH90" s="35">
        <f>IF(AND(ISNUMBER(AG90),ISNUMBER('Assumptions &amp; FX Reference'!$I$8),ISNUMBER('Assumptions &amp; FX Reference'!$I$11)),AG90*'Assumptions &amp; FX Reference'!$I$8/'Assumptions &amp; FX Reference'!$I$11,"")</f>
        <v>21396.519554769442</v>
      </c>
      <c r="AI90" s="35">
        <f>IF(AND(ISNUMBER(AG90),ISNUMBER('Assumptions &amp; FX Reference'!$I$8)),AG90*'Assumptions &amp; FX Reference'!$I$8,"")</f>
        <v>14090314211.960985</v>
      </c>
      <c r="AJ90" s="30" t="s">
        <v>473</v>
      </c>
      <c r="AK90" s="30" t="s">
        <v>474</v>
      </c>
      <c r="AL90" s="30" t="s">
        <v>119</v>
      </c>
      <c r="AM90" s="30" t="s">
        <v>119</v>
      </c>
      <c r="AN90" s="30" t="s">
        <v>119</v>
      </c>
      <c r="AO90" s="30" t="s">
        <v>119</v>
      </c>
      <c r="AP90" s="30" t="s">
        <v>119</v>
      </c>
      <c r="AQ90" s="38" t="s">
        <v>305</v>
      </c>
      <c r="AR90" s="30" t="s">
        <v>119</v>
      </c>
      <c r="AS90" s="33" t="str">
        <f t="shared" si="13"/>
        <v xml:space="preserve">Seal missing; </v>
      </c>
      <c r="AT90" s="36">
        <f>IFERROR(INDEX(Factors_ROT!$F$5:$F$200,MATCH("MAT|"&amp;G90,Factors_ROT!$A$5:$A$200,0)),1)</f>
        <v>0.8</v>
      </c>
      <c r="AU90" s="36">
        <f>IFERROR(INDEX(Factors_ROT!$F$5:$F$200,MATCH("SEAL_ARR|"&amp;P90,Factors_ROT!$A$5:$A$200,0)),1)*IFERROR(INDEX(Factors_ROT!$F$5:$F$200,MATCH("SEAL_CAT|"&amp;Q90,Factors_ROT!$A$5:$A$200,0)),1)*IFERROR(INDEX(Factors_ROT!$F$5:$F$200,MATCH("SEAL_PLAN|"&amp;R90,Factors_ROT!$A$5:$A$200,0)),1)</f>
        <v>1</v>
      </c>
      <c r="AV90" s="36">
        <f>IFERROR(INDEX(Factors_ROT!$F$5:$F$200,MATCH("DRV|"&amp;S90,Factors_ROT!$A$5:$A$200,0)),1)*IFERROR(INDEX(Factors_ROT!$F$5:$F$200,MATCH("NACE|"&amp;O90,Factors_ROT!$A$5:$A$200,0)),1)</f>
        <v>1</v>
      </c>
      <c r="AW90" s="36">
        <f>IFERROR(INDEX(Factors_ROT!$F$5:$F$200,MATCH("SC_DRV|"&amp;AL90,Factors_ROT!$A$5:$A$200,0)),1)*IFERROR(INDEX(Factors_ROT!$F$5:$F$200,MATCH("SC_BSP|"&amp;AM90,Factors_ROT!$A$5:$A$200,0)),1)*IFERROR(INDEX(Factors_ROT!$F$5:$F$200,MATCH("SC_SEAL|"&amp;AN90,Factors_ROT!$A$5:$A$200,0)),1)*IFERROR(INDEX(Factors_ROT!$F$5:$F$200,MATCH("SC_COMM|"&amp;AO90,Factors_ROT!$A$5:$A$200,0)),1)*IFERROR(INDEX(Factors_ROT!$F$5:$F$200,MATCH("SC_2Y|"&amp;AP90,Factors_ROT!$A$5:$A$200,0)),1)*IFERROR(INDEX(Factors_ROT!$F$5:$F$200,MATCH("SC_TPI|"&amp;AQ90,Factors_ROT!$A$5:$A$200,0)),1)*IFERROR(INDEX(Factors_ROT!$F$5:$F$200,MATCH("SC_FAT|"&amp;AR90,Factors_ROT!$A$5:$A$200,0)),1)</f>
        <v>1</v>
      </c>
      <c r="AX90" s="36">
        <f t="shared" si="14"/>
        <v>0.8</v>
      </c>
      <c r="AY90" s="35">
        <f t="shared" si="15"/>
        <v>18750</v>
      </c>
      <c r="AZ90" s="37">
        <f>IFERROR(IF(N(INDEX(Escalation_Index!$B$5:$B$25,MATCH(Y90,Escalation_Index!$A$5:$A$25,0)))&gt;0,INDEX(Escalation_Index!$B$5:$B$25,MATCH(Y90,Escalation_Index!$A$5:$A$25,0)),""),"")</f>
        <v>91.346999999999994</v>
      </c>
      <c r="BA90" s="37">
        <f>IF(ISNUMBER('Assumptions &amp; FX Reference'!$I$12),'Assumptions &amp; FX Reference'!$I$12,"")</f>
        <v>123.416</v>
      </c>
      <c r="BB90" s="33" t="str">
        <f t="shared" si="16"/>
        <v>N</v>
      </c>
      <c r="BC90" s="35">
        <f t="shared" si="17"/>
        <v>25332.523235574237</v>
      </c>
      <c r="BD90" s="35">
        <f>IF(AND(ISNUMBER(BC90),ISNUMBER(K90)),IF(K90&gt;0,BC90/K90^'Assumptions &amp; FX Reference'!$I$16,""),"")</f>
        <v>7265.2105565084685</v>
      </c>
      <c r="BE90" s="30" t="s">
        <v>647</v>
      </c>
      <c r="BF90" s="30" t="s">
        <v>648</v>
      </c>
      <c r="BG90" s="30" t="s">
        <v>361</v>
      </c>
    </row>
    <row r="91" spans="1:59" ht="24" customHeight="1">
      <c r="A91" s="30">
        <v>87</v>
      </c>
      <c r="B91" s="30" t="s">
        <v>649</v>
      </c>
      <c r="C91" s="30" t="s">
        <v>468</v>
      </c>
      <c r="D91" s="30" t="s">
        <v>650</v>
      </c>
      <c r="E91" s="30" t="s">
        <v>56</v>
      </c>
      <c r="F91" s="30" t="s">
        <v>188</v>
      </c>
      <c r="G91" s="30" t="s">
        <v>70</v>
      </c>
      <c r="H91" s="31">
        <v>33</v>
      </c>
      <c r="I91" s="31">
        <v>30.6</v>
      </c>
      <c r="J91" s="31"/>
      <c r="K91" s="32">
        <f>IF(ISNUMBER(J91),J91,IF(AND(ISNUMBER(H91),ISNUMBER(I91)),H91*I91/(367*'Assumptions &amp; FX Reference'!$I$17),""))</f>
        <v>4.5858310626703007</v>
      </c>
      <c r="L91" s="33" t="str">
        <f t="shared" si="12"/>
        <v>ISO 5199 + IPS-M-PM-115</v>
      </c>
      <c r="M91" s="30" t="s">
        <v>615</v>
      </c>
      <c r="N91" s="30" t="s">
        <v>616</v>
      </c>
      <c r="O91" s="38" t="s">
        <v>305</v>
      </c>
      <c r="P91" s="30" t="s">
        <v>119</v>
      </c>
      <c r="Q91" s="30" t="s">
        <v>119</v>
      </c>
      <c r="R91" s="30" t="s">
        <v>119</v>
      </c>
      <c r="S91" s="38" t="s">
        <v>297</v>
      </c>
      <c r="T91" s="30" t="s">
        <v>445</v>
      </c>
      <c r="U91" s="30">
        <v>1</v>
      </c>
      <c r="V91" s="30" t="s">
        <v>299</v>
      </c>
      <c r="W91" s="31">
        <v>2.9</v>
      </c>
      <c r="X91" s="30" t="s">
        <v>119</v>
      </c>
      <c r="Y91" s="38">
        <v>1393</v>
      </c>
      <c r="Z91" s="30" t="s">
        <v>355</v>
      </c>
      <c r="AA91" s="34">
        <v>6500</v>
      </c>
      <c r="AB91" s="35">
        <f>IF(NOT(ISNUMBER(AA91)),"(Not stated)",IF(NOT(ISNUMBER(Y91)),"(Cost year not stated)",IFERROR(IF(Z91="EUR",AA91,IF(Z91="IRR",AA91/INDEX('Assumptions &amp; FX Reference'!$C$5:$C$25,MATCH(Y91,'Assumptions &amp; FX Reference'!$A$5:$A$25,0)),IF(Z91="USD",AA91*INDEX('Assumptions &amp; FX Reference'!$B$5:$B$25,MATCH(Y91,'Assumptions &amp; FX Reference'!$A$5:$A$25,0))/INDEX('Assumptions &amp; FX Reference'!$C$5:$C$25,MATCH(Y91,'Assumptions &amp; FX Reference'!$A$5:$A$25,0)),"(Currency?)"))),"(FX rate missing)")))</f>
        <v>6500</v>
      </c>
      <c r="AC91" s="35">
        <f>IF(NOT(ISNUMBER(AA91)),"(Not stated)",IF(NOT(ISNUMBER(Y91)),"(Cost year not stated)",IFERROR(IF(Z91="USD",AA91,IF(Z91="IRR",AA91/INDEX('Assumptions &amp; FX Reference'!$B$5:$B$25,MATCH(Y91,'Assumptions &amp; FX Reference'!$A$5:$A$25,0)),IF(Z91="EUR",AA91*INDEX('Assumptions &amp; FX Reference'!$C$5:$C$25,MATCH(Y91,'Assumptions &amp; FX Reference'!$A$5:$A$25,0))/INDEX('Assumptions &amp; FX Reference'!$B$5:$B$25,MATCH(Y91,'Assumptions &amp; FX Reference'!$A$5:$A$25,0)),"(Currency?)"))),"(FX rate missing)")))</f>
        <v>8498.3935483870973</v>
      </c>
      <c r="AD91" s="35">
        <f>IF(NOT(ISNUMBER(AA91)),"(Not stated)",IF(NOT(ISNUMBER(Y91)),"(Cost year not stated)",IFERROR(IF(Z91="IRR",AA91,IF(Z91="USD",AA91*INDEX('Assumptions &amp; FX Reference'!$B$5:$B$25,MATCH(Y91,'Assumptions &amp; FX Reference'!$A$5:$A$25,0)),IF(Z91="EUR",AA91*INDEX('Assumptions &amp; FX Reference'!$C$5:$C$25,MATCH(Y91,'Assumptions &amp; FX Reference'!$A$5:$A$25,0)),"(Currency?)"))),"(FX rate missing)")))</f>
        <v>263450200.00000003</v>
      </c>
      <c r="AE91" s="30" t="s">
        <v>472</v>
      </c>
      <c r="AF91" s="38" t="s">
        <v>204</v>
      </c>
      <c r="AG91" s="35">
        <f>IF(AND(Z91="EUR",N(AA91)&gt;5000000),"(Check currency – excluded)",IF(AND(ISNUMBER(AB91),ISNUMBER(AZ91),ISNUMBER(BA91)),IF(AND(BB91="Y",ISNUMBER('Assumptions &amp; FX Reference'!$I$15)),MAX(AB91*BA91/AZ91,'Assumptions &amp; FX Reference'!$I$13*BA91/'Assumptions &amp; FX Reference'!$I$15),AB91*BA91/AZ91),"(PPI/FX missing)"))</f>
        <v>8781.9413883324032</v>
      </c>
      <c r="AH91" s="35">
        <f>IF(AND(ISNUMBER(AG91),ISNUMBER('Assumptions &amp; FX Reference'!$I$8),ISNUMBER('Assumptions &amp; FX Reference'!$I$11)),AG91*'Assumptions &amp; FX Reference'!$I$8/'Assumptions &amp; FX Reference'!$I$11,"")</f>
        <v>9271.8251404000912</v>
      </c>
      <c r="AI91" s="35">
        <f>IF(AND(ISNUMBER(AG91),ISNUMBER('Assumptions &amp; FX Reference'!$I$8)),AG91*'Assumptions &amp; FX Reference'!$I$8,"")</f>
        <v>6105802825.1830931</v>
      </c>
      <c r="AJ91" s="30" t="s">
        <v>473</v>
      </c>
      <c r="AK91" s="30" t="s">
        <v>474</v>
      </c>
      <c r="AL91" s="30" t="s">
        <v>119</v>
      </c>
      <c r="AM91" s="30" t="s">
        <v>119</v>
      </c>
      <c r="AN91" s="30" t="s">
        <v>119</v>
      </c>
      <c r="AO91" s="30" t="s">
        <v>119</v>
      </c>
      <c r="AP91" s="30" t="s">
        <v>119</v>
      </c>
      <c r="AQ91" s="38" t="s">
        <v>305</v>
      </c>
      <c r="AR91" s="30" t="s">
        <v>119</v>
      </c>
      <c r="AS91" s="33" t="str">
        <f t="shared" si="13"/>
        <v xml:space="preserve">Seal missing; </v>
      </c>
      <c r="AT91" s="36">
        <f>IFERROR(INDEX(Factors_ROT!$F$5:$F$200,MATCH("MAT|"&amp;G91,Factors_ROT!$A$5:$A$200,0)),1)</f>
        <v>0.8</v>
      </c>
      <c r="AU91" s="36">
        <f>IFERROR(INDEX(Factors_ROT!$F$5:$F$200,MATCH("SEAL_ARR|"&amp;P91,Factors_ROT!$A$5:$A$200,0)),1)*IFERROR(INDEX(Factors_ROT!$F$5:$F$200,MATCH("SEAL_CAT|"&amp;Q91,Factors_ROT!$A$5:$A$200,0)),1)*IFERROR(INDEX(Factors_ROT!$F$5:$F$200,MATCH("SEAL_PLAN|"&amp;R91,Factors_ROT!$A$5:$A$200,0)),1)</f>
        <v>1</v>
      </c>
      <c r="AV91" s="36">
        <f>IFERROR(INDEX(Factors_ROT!$F$5:$F$200,MATCH("DRV|"&amp;S91,Factors_ROT!$A$5:$A$200,0)),1)*IFERROR(INDEX(Factors_ROT!$F$5:$F$200,MATCH("NACE|"&amp;O91,Factors_ROT!$A$5:$A$200,0)),1)</f>
        <v>1</v>
      </c>
      <c r="AW91" s="36">
        <f>IFERROR(INDEX(Factors_ROT!$F$5:$F$200,MATCH("SC_DRV|"&amp;AL91,Factors_ROT!$A$5:$A$200,0)),1)*IFERROR(INDEX(Factors_ROT!$F$5:$F$200,MATCH("SC_BSP|"&amp;AM91,Factors_ROT!$A$5:$A$200,0)),1)*IFERROR(INDEX(Factors_ROT!$F$5:$F$200,MATCH("SC_SEAL|"&amp;AN91,Factors_ROT!$A$5:$A$200,0)),1)*IFERROR(INDEX(Factors_ROT!$F$5:$F$200,MATCH("SC_COMM|"&amp;AO91,Factors_ROT!$A$5:$A$200,0)),1)*IFERROR(INDEX(Factors_ROT!$F$5:$F$200,MATCH("SC_2Y|"&amp;AP91,Factors_ROT!$A$5:$A$200,0)),1)*IFERROR(INDEX(Factors_ROT!$F$5:$F$200,MATCH("SC_TPI|"&amp;AQ91,Factors_ROT!$A$5:$A$200,0)),1)*IFERROR(INDEX(Factors_ROT!$F$5:$F$200,MATCH("SC_FAT|"&amp;AR91,Factors_ROT!$A$5:$A$200,0)),1)</f>
        <v>1</v>
      </c>
      <c r="AX91" s="36">
        <f t="shared" si="14"/>
        <v>0.8</v>
      </c>
      <c r="AY91" s="35">
        <f t="shared" si="15"/>
        <v>8125</v>
      </c>
      <c r="AZ91" s="37">
        <f>IFERROR(IF(N(INDEX(Escalation_Index!$B$5:$B$25,MATCH(Y91,Escalation_Index!$A$5:$A$25,0)))&gt;0,INDEX(Escalation_Index!$B$5:$B$25,MATCH(Y91,Escalation_Index!$A$5:$A$25,0)),""),"")</f>
        <v>91.346999999999994</v>
      </c>
      <c r="BA91" s="37">
        <f>IF(ISNUMBER('Assumptions &amp; FX Reference'!$I$12),'Assumptions &amp; FX Reference'!$I$12,"")</f>
        <v>123.416</v>
      </c>
      <c r="BB91" s="33" t="str">
        <f t="shared" si="16"/>
        <v>N</v>
      </c>
      <c r="BC91" s="35">
        <f t="shared" si="17"/>
        <v>10977.426735415504</v>
      </c>
      <c r="BD91" s="35">
        <f>IF(AND(ISNUMBER(BC91),ISNUMBER(K91)),IF(K91&gt;0,BC91/K91^'Assumptions &amp; FX Reference'!$I$16,""),"")</f>
        <v>4401.9967362579409</v>
      </c>
      <c r="BE91" s="30" t="s">
        <v>651</v>
      </c>
      <c r="BF91" s="30" t="s">
        <v>652</v>
      </c>
      <c r="BG91" s="30" t="s">
        <v>361</v>
      </c>
    </row>
    <row r="92" spans="1:59" ht="24" customHeight="1">
      <c r="A92" s="30">
        <v>88</v>
      </c>
      <c r="B92" s="30" t="s">
        <v>653</v>
      </c>
      <c r="C92" s="30" t="s">
        <v>468</v>
      </c>
      <c r="D92" s="30" t="s">
        <v>654</v>
      </c>
      <c r="E92" s="30" t="s">
        <v>44</v>
      </c>
      <c r="F92" s="30" t="s">
        <v>188</v>
      </c>
      <c r="G92" s="30" t="s">
        <v>70</v>
      </c>
      <c r="H92" s="31">
        <v>3</v>
      </c>
      <c r="I92" s="40">
        <v>30.6</v>
      </c>
      <c r="J92" s="31"/>
      <c r="K92" s="32">
        <f>IF(ISNUMBER(J92),J92,IF(AND(ISNUMBER(H92),ISNUMBER(I92)),H92*I92/(367*'Assumptions &amp; FX Reference'!$I$17),""))</f>
        <v>0.4168937329700273</v>
      </c>
      <c r="L92" s="33" t="str">
        <f t="shared" si="12"/>
        <v>ISO 5199 + IPS-M-PM-115</v>
      </c>
      <c r="M92" s="30" t="s">
        <v>615</v>
      </c>
      <c r="N92" s="30" t="s">
        <v>616</v>
      </c>
      <c r="O92" s="38" t="s">
        <v>305</v>
      </c>
      <c r="P92" s="30" t="s">
        <v>119</v>
      </c>
      <c r="Q92" s="30" t="s">
        <v>119</v>
      </c>
      <c r="R92" s="30" t="s">
        <v>119</v>
      </c>
      <c r="S92" s="38" t="s">
        <v>297</v>
      </c>
      <c r="T92" s="30" t="s">
        <v>655</v>
      </c>
      <c r="U92" s="30">
        <v>2</v>
      </c>
      <c r="V92" s="30" t="s">
        <v>299</v>
      </c>
      <c r="W92" s="31"/>
      <c r="X92" s="30" t="s">
        <v>119</v>
      </c>
      <c r="Y92" s="38">
        <v>1393</v>
      </c>
      <c r="Z92" s="30" t="s">
        <v>446</v>
      </c>
      <c r="AA92" s="34">
        <v>300000000</v>
      </c>
      <c r="AB92" s="35">
        <f>IF(NOT(ISNUMBER(AA92)),"(Not stated)",IF(NOT(ISNUMBER(Y92)),"(Cost year not stated)",IFERROR(IF(Z92="EUR",AA92,IF(Z92="IRR",AA92/INDEX('Assumptions &amp; FX Reference'!$C$5:$C$25,MATCH(Y92,'Assumptions &amp; FX Reference'!$A$5:$A$25,0)),IF(Z92="USD",AA92*INDEX('Assumptions &amp; FX Reference'!$B$5:$B$25,MATCH(Y92,'Assumptions &amp; FX Reference'!$A$5:$A$25,0))/INDEX('Assumptions &amp; FX Reference'!$C$5:$C$25,MATCH(Y92,'Assumptions &amp; FX Reference'!$A$5:$A$25,0)),"(Currency?)"))),"(FX rate missing)")))</f>
        <v>7401.7784006237225</v>
      </c>
      <c r="AC92" s="35">
        <f>IF(NOT(ISNUMBER(AA92)),"(Not stated)",IF(NOT(ISNUMBER(Y92)),"(Cost year not stated)",IFERROR(IF(Z92="USD",AA92,IF(Z92="IRR",AA92/INDEX('Assumptions &amp; FX Reference'!$B$5:$B$25,MATCH(Y92,'Assumptions &amp; FX Reference'!$A$5:$A$25,0)),IF(Z92="EUR",AA92*INDEX('Assumptions &amp; FX Reference'!$C$5:$C$25,MATCH(Y92,'Assumptions &amp; FX Reference'!$A$5:$A$25,0))/INDEX('Assumptions &amp; FX Reference'!$B$5:$B$25,MATCH(Y92,'Assumptions &amp; FX Reference'!$A$5:$A$25,0)),"(Currency?)"))),"(FX rate missing)")))</f>
        <v>9677.4193548387102</v>
      </c>
      <c r="AD92" s="35">
        <f>IF(NOT(ISNUMBER(AA92)),"(Not stated)",IF(NOT(ISNUMBER(Y92)),"(Cost year not stated)",IFERROR(IF(Z92="IRR",AA92,IF(Z92="USD",AA92*INDEX('Assumptions &amp; FX Reference'!$B$5:$B$25,MATCH(Y92,'Assumptions &amp; FX Reference'!$A$5:$A$25,0)),IF(Z92="EUR",AA92*INDEX('Assumptions &amp; FX Reference'!$C$5:$C$25,MATCH(Y92,'Assumptions &amp; FX Reference'!$A$5:$A$25,0)),"(Currency?)"))),"(FX rate missing)")))</f>
        <v>300000000</v>
      </c>
      <c r="AE92" s="30" t="s">
        <v>656</v>
      </c>
      <c r="AF92" s="38" t="s">
        <v>197</v>
      </c>
      <c r="AG92" s="35">
        <f>IF(AND(Z92="EUR",N(AA92)&gt;5000000),"(Check currency – excluded)",IF(AND(ISNUMBER(AB92),ISNUMBER(AZ92),ISNUMBER(BA92)),IF(AND(BB92="Y",ISNUMBER('Assumptions &amp; FX Reference'!$I$15)),MAX(AB92*BA92/AZ92,'Assumptions &amp; FX Reference'!$I$13*BA92/'Assumptions &amp; FX Reference'!$I$15),AB92*BA92/AZ92),"(PPI/FX missing)"))</f>
        <v>10000.305243646506</v>
      </c>
      <c r="AH92" s="35">
        <f>IF(AND(ISNUMBER(AG92),ISNUMBER('Assumptions &amp; FX Reference'!$I$8),ISNUMBER('Assumptions &amp; FX Reference'!$I$11)),AG92*'Assumptions &amp; FX Reference'!$I$8/'Assumptions &amp; FX Reference'!$I$11,"")</f>
        <v>10558.153085934371</v>
      </c>
      <c r="AI92" s="35">
        <f>IF(AND(ISNUMBER(AG92),ISNUMBER('Assumptions &amp; FX Reference'!$I$8)),AG92*'Assumptions &amp; FX Reference'!$I$8,"")</f>
        <v>6952892226.1396189</v>
      </c>
      <c r="AJ92" s="30" t="s">
        <v>473</v>
      </c>
      <c r="AK92" s="30" t="s">
        <v>474</v>
      </c>
      <c r="AL92" s="30" t="s">
        <v>119</v>
      </c>
      <c r="AM92" s="30" t="s">
        <v>119</v>
      </c>
      <c r="AN92" s="30" t="s">
        <v>119</v>
      </c>
      <c r="AO92" s="30" t="s">
        <v>119</v>
      </c>
      <c r="AP92" s="30" t="s">
        <v>119</v>
      </c>
      <c r="AQ92" s="38" t="s">
        <v>305</v>
      </c>
      <c r="AR92" s="30" t="s">
        <v>119</v>
      </c>
      <c r="AS92" s="33" t="str">
        <f t="shared" si="13"/>
        <v xml:space="preserve">Seal missing; </v>
      </c>
      <c r="AT92" s="36">
        <f>IFERROR(INDEX(Factors_ROT!$F$5:$F$200,MATCH("MAT|"&amp;G92,Factors_ROT!$A$5:$A$200,0)),1)</f>
        <v>0.8</v>
      </c>
      <c r="AU92" s="36">
        <f>IFERROR(INDEX(Factors_ROT!$F$5:$F$200,MATCH("SEAL_ARR|"&amp;P92,Factors_ROT!$A$5:$A$200,0)),1)*IFERROR(INDEX(Factors_ROT!$F$5:$F$200,MATCH("SEAL_CAT|"&amp;Q92,Factors_ROT!$A$5:$A$200,0)),1)*IFERROR(INDEX(Factors_ROT!$F$5:$F$200,MATCH("SEAL_PLAN|"&amp;R92,Factors_ROT!$A$5:$A$200,0)),1)</f>
        <v>1</v>
      </c>
      <c r="AV92" s="36">
        <f>IFERROR(INDEX(Factors_ROT!$F$5:$F$200,MATCH("DRV|"&amp;S92,Factors_ROT!$A$5:$A$200,0)),1)*IFERROR(INDEX(Factors_ROT!$F$5:$F$200,MATCH("NACE|"&amp;O92,Factors_ROT!$A$5:$A$200,0)),1)</f>
        <v>1</v>
      </c>
      <c r="AW92" s="36">
        <f>IFERROR(INDEX(Factors_ROT!$F$5:$F$200,MATCH("SC_DRV|"&amp;AL92,Factors_ROT!$A$5:$A$200,0)),1)*IFERROR(INDEX(Factors_ROT!$F$5:$F$200,MATCH("SC_BSP|"&amp;AM92,Factors_ROT!$A$5:$A$200,0)),1)*IFERROR(INDEX(Factors_ROT!$F$5:$F$200,MATCH("SC_SEAL|"&amp;AN92,Factors_ROT!$A$5:$A$200,0)),1)*IFERROR(INDEX(Factors_ROT!$F$5:$F$200,MATCH("SC_COMM|"&amp;AO92,Factors_ROT!$A$5:$A$200,0)),1)*IFERROR(INDEX(Factors_ROT!$F$5:$F$200,MATCH("SC_2Y|"&amp;AP92,Factors_ROT!$A$5:$A$200,0)),1)*IFERROR(INDEX(Factors_ROT!$F$5:$F$200,MATCH("SC_TPI|"&amp;AQ92,Factors_ROT!$A$5:$A$200,0)),1)*IFERROR(INDEX(Factors_ROT!$F$5:$F$200,MATCH("SC_FAT|"&amp;AR92,Factors_ROT!$A$5:$A$200,0)),1)</f>
        <v>1</v>
      </c>
      <c r="AX92" s="36">
        <f t="shared" si="14"/>
        <v>0.8</v>
      </c>
      <c r="AY92" s="35">
        <f t="shared" si="15"/>
        <v>9252.2230007796534</v>
      </c>
      <c r="AZ92" s="37">
        <f>IFERROR(IF(N(INDEX(Escalation_Index!$B$5:$B$25,MATCH(Y92,Escalation_Index!$A$5:$A$25,0)))&gt;0,INDEX(Escalation_Index!$B$5:$B$25,MATCH(Y92,Escalation_Index!$A$5:$A$25,0)),""),"")</f>
        <v>91.346999999999994</v>
      </c>
      <c r="BA92" s="37">
        <f>IF(ISNUMBER('Assumptions &amp; FX Reference'!$I$12),'Assumptions &amp; FX Reference'!$I$12,"")</f>
        <v>123.416</v>
      </c>
      <c r="BB92" s="33" t="str">
        <f t="shared" si="16"/>
        <v>N</v>
      </c>
      <c r="BC92" s="35">
        <f t="shared" si="17"/>
        <v>12500.381554558131</v>
      </c>
      <c r="BD92" s="35">
        <f>IF(AND(ISNUMBER(BC92),ISNUMBER(K92)),IF(K92&gt;0,BC92/K92^'Assumptions &amp; FX Reference'!$I$16,""),"")</f>
        <v>21130.416108235648</v>
      </c>
      <c r="BE92" s="30" t="s">
        <v>657</v>
      </c>
      <c r="BF92" s="30" t="s">
        <v>658</v>
      </c>
      <c r="BG92" s="30" t="s">
        <v>361</v>
      </c>
    </row>
    <row r="93" spans="1:59" ht="24" customHeight="1">
      <c r="A93" s="30">
        <v>89</v>
      </c>
      <c r="B93" s="30" t="s">
        <v>659</v>
      </c>
      <c r="C93" s="30" t="s">
        <v>468</v>
      </c>
      <c r="D93" s="30" t="s">
        <v>660</v>
      </c>
      <c r="E93" s="30" t="s">
        <v>44</v>
      </c>
      <c r="F93" s="30" t="s">
        <v>188</v>
      </c>
      <c r="G93" s="30" t="s">
        <v>70</v>
      </c>
      <c r="H93" s="31">
        <v>2</v>
      </c>
      <c r="I93" s="40">
        <v>30.6</v>
      </c>
      <c r="J93" s="31"/>
      <c r="K93" s="32">
        <f>IF(ISNUMBER(J93),J93,IF(AND(ISNUMBER(H93),ISNUMBER(I93)),H93*I93/(367*'Assumptions &amp; FX Reference'!$I$17),""))</f>
        <v>0.27792915531335155</v>
      </c>
      <c r="L93" s="33" t="str">
        <f t="shared" si="12"/>
        <v>ISO 5199 + IPS-M-PM-115</v>
      </c>
      <c r="M93" s="30" t="s">
        <v>615</v>
      </c>
      <c r="N93" s="30" t="s">
        <v>616</v>
      </c>
      <c r="O93" s="38" t="s">
        <v>305</v>
      </c>
      <c r="P93" s="30" t="s">
        <v>119</v>
      </c>
      <c r="Q93" s="30" t="s">
        <v>119</v>
      </c>
      <c r="R93" s="30" t="s">
        <v>119</v>
      </c>
      <c r="S93" s="38" t="s">
        <v>297</v>
      </c>
      <c r="T93" s="30" t="s">
        <v>655</v>
      </c>
      <c r="U93" s="30">
        <v>2</v>
      </c>
      <c r="V93" s="30" t="s">
        <v>299</v>
      </c>
      <c r="W93" s="31"/>
      <c r="X93" s="30" t="s">
        <v>119</v>
      </c>
      <c r="Y93" s="38">
        <v>1393</v>
      </c>
      <c r="Z93" s="30" t="s">
        <v>446</v>
      </c>
      <c r="AA93" s="34">
        <v>250000000</v>
      </c>
      <c r="AB93" s="35">
        <f>IF(NOT(ISNUMBER(AA93)),"(Not stated)",IF(NOT(ISNUMBER(Y93)),"(Cost year not stated)",IFERROR(IF(Z93="EUR",AA93,IF(Z93="IRR",AA93/INDEX('Assumptions &amp; FX Reference'!$C$5:$C$25,MATCH(Y93,'Assumptions &amp; FX Reference'!$A$5:$A$25,0)),IF(Z93="USD",AA93*INDEX('Assumptions &amp; FX Reference'!$B$5:$B$25,MATCH(Y93,'Assumptions &amp; FX Reference'!$A$5:$A$25,0))/INDEX('Assumptions &amp; FX Reference'!$C$5:$C$25,MATCH(Y93,'Assumptions &amp; FX Reference'!$A$5:$A$25,0)),"(Currency?)"))),"(FX rate missing)")))</f>
        <v>6168.1486671864359</v>
      </c>
      <c r="AC93" s="35">
        <f>IF(NOT(ISNUMBER(AA93)),"(Not stated)",IF(NOT(ISNUMBER(Y93)),"(Cost year not stated)",IFERROR(IF(Z93="USD",AA93,IF(Z93="IRR",AA93/INDEX('Assumptions &amp; FX Reference'!$B$5:$B$25,MATCH(Y93,'Assumptions &amp; FX Reference'!$A$5:$A$25,0)),IF(Z93="EUR",AA93*INDEX('Assumptions &amp; FX Reference'!$C$5:$C$25,MATCH(Y93,'Assumptions &amp; FX Reference'!$A$5:$A$25,0))/INDEX('Assumptions &amp; FX Reference'!$B$5:$B$25,MATCH(Y93,'Assumptions &amp; FX Reference'!$A$5:$A$25,0)),"(Currency?)"))),"(FX rate missing)")))</f>
        <v>8064.5161290322585</v>
      </c>
      <c r="AD93" s="35">
        <f>IF(NOT(ISNUMBER(AA93)),"(Not stated)",IF(NOT(ISNUMBER(Y93)),"(Cost year not stated)",IFERROR(IF(Z93="IRR",AA93,IF(Z93="USD",AA93*INDEX('Assumptions &amp; FX Reference'!$B$5:$B$25,MATCH(Y93,'Assumptions &amp; FX Reference'!$A$5:$A$25,0)),IF(Z93="EUR",AA93*INDEX('Assumptions &amp; FX Reference'!$C$5:$C$25,MATCH(Y93,'Assumptions &amp; FX Reference'!$A$5:$A$25,0)),"(Currency?)"))),"(FX rate missing)")))</f>
        <v>250000000</v>
      </c>
      <c r="AE93" s="30" t="s">
        <v>656</v>
      </c>
      <c r="AF93" s="38" t="s">
        <v>197</v>
      </c>
      <c r="AG93" s="35">
        <f>IF(AND(Z93="EUR",N(AA93)&gt;5000000),"(Check currency – excluded)",IF(AND(ISNUMBER(AB93),ISNUMBER(AZ93),ISNUMBER(BA93)),IF(AND(BB93="Y",ISNUMBER('Assumptions &amp; FX Reference'!$I$15)),MAX(AB93*BA93/AZ93,'Assumptions &amp; FX Reference'!$I$13*BA93/'Assumptions &amp; FX Reference'!$I$15),AB93*BA93/AZ93),"(PPI/FX missing)"))</f>
        <v>8333.5877030387564</v>
      </c>
      <c r="AH93" s="35">
        <f>IF(AND(ISNUMBER(AG93),ISNUMBER('Assumptions &amp; FX Reference'!$I$8),ISNUMBER('Assumptions &amp; FX Reference'!$I$11)),AG93*'Assumptions &amp; FX Reference'!$I$8/'Assumptions &amp; FX Reference'!$I$11,"")</f>
        <v>8798.4609049453102</v>
      </c>
      <c r="AI93" s="35">
        <f>IF(AND(ISNUMBER(AG93),ISNUMBER('Assumptions &amp; FX Reference'!$I$8)),AG93*'Assumptions &amp; FX Reference'!$I$8,"")</f>
        <v>5794076855.1163502</v>
      </c>
      <c r="AJ93" s="30" t="s">
        <v>473</v>
      </c>
      <c r="AK93" s="30" t="s">
        <v>474</v>
      </c>
      <c r="AL93" s="30" t="s">
        <v>119</v>
      </c>
      <c r="AM93" s="30" t="s">
        <v>119</v>
      </c>
      <c r="AN93" s="30" t="s">
        <v>119</v>
      </c>
      <c r="AO93" s="30" t="s">
        <v>119</v>
      </c>
      <c r="AP93" s="30" t="s">
        <v>119</v>
      </c>
      <c r="AQ93" s="38" t="s">
        <v>305</v>
      </c>
      <c r="AR93" s="30" t="s">
        <v>119</v>
      </c>
      <c r="AS93" s="33" t="str">
        <f t="shared" si="13"/>
        <v xml:space="preserve">Seal missing; </v>
      </c>
      <c r="AT93" s="36">
        <f>IFERROR(INDEX(Factors_ROT!$F$5:$F$200,MATCH("MAT|"&amp;G93,Factors_ROT!$A$5:$A$200,0)),1)</f>
        <v>0.8</v>
      </c>
      <c r="AU93" s="36">
        <f>IFERROR(INDEX(Factors_ROT!$F$5:$F$200,MATCH("SEAL_ARR|"&amp;P93,Factors_ROT!$A$5:$A$200,0)),1)*IFERROR(INDEX(Factors_ROT!$F$5:$F$200,MATCH("SEAL_CAT|"&amp;Q93,Factors_ROT!$A$5:$A$200,0)),1)*IFERROR(INDEX(Factors_ROT!$F$5:$F$200,MATCH("SEAL_PLAN|"&amp;R93,Factors_ROT!$A$5:$A$200,0)),1)</f>
        <v>1</v>
      </c>
      <c r="AV93" s="36">
        <f>IFERROR(INDEX(Factors_ROT!$F$5:$F$200,MATCH("DRV|"&amp;S93,Factors_ROT!$A$5:$A$200,0)),1)*IFERROR(INDEX(Factors_ROT!$F$5:$F$200,MATCH("NACE|"&amp;O93,Factors_ROT!$A$5:$A$200,0)),1)</f>
        <v>1</v>
      </c>
      <c r="AW93" s="36">
        <f>IFERROR(INDEX(Factors_ROT!$F$5:$F$200,MATCH("SC_DRV|"&amp;AL93,Factors_ROT!$A$5:$A$200,0)),1)*IFERROR(INDEX(Factors_ROT!$F$5:$F$200,MATCH("SC_BSP|"&amp;AM93,Factors_ROT!$A$5:$A$200,0)),1)*IFERROR(INDEX(Factors_ROT!$F$5:$F$200,MATCH("SC_SEAL|"&amp;AN93,Factors_ROT!$A$5:$A$200,0)),1)*IFERROR(INDEX(Factors_ROT!$F$5:$F$200,MATCH("SC_COMM|"&amp;AO93,Factors_ROT!$A$5:$A$200,0)),1)*IFERROR(INDEX(Factors_ROT!$F$5:$F$200,MATCH("SC_2Y|"&amp;AP93,Factors_ROT!$A$5:$A$200,0)),1)*IFERROR(INDEX(Factors_ROT!$F$5:$F$200,MATCH("SC_TPI|"&amp;AQ93,Factors_ROT!$A$5:$A$200,0)),1)*IFERROR(INDEX(Factors_ROT!$F$5:$F$200,MATCH("SC_FAT|"&amp;AR93,Factors_ROT!$A$5:$A$200,0)),1)</f>
        <v>1</v>
      </c>
      <c r="AX93" s="36">
        <f t="shared" si="14"/>
        <v>0.8</v>
      </c>
      <c r="AY93" s="35">
        <f t="shared" si="15"/>
        <v>7710.1858339830442</v>
      </c>
      <c r="AZ93" s="37">
        <f>IFERROR(IF(N(INDEX(Escalation_Index!$B$5:$B$25,MATCH(Y93,Escalation_Index!$A$5:$A$25,0)))&gt;0,INDEX(Escalation_Index!$B$5:$B$25,MATCH(Y93,Escalation_Index!$A$5:$A$25,0)),""),"")</f>
        <v>91.346999999999994</v>
      </c>
      <c r="BA93" s="37">
        <f>IF(ISNUMBER('Assumptions &amp; FX Reference'!$I$12),'Assumptions &amp; FX Reference'!$I$12,"")</f>
        <v>123.416</v>
      </c>
      <c r="BB93" s="33" t="str">
        <f t="shared" si="16"/>
        <v>N</v>
      </c>
      <c r="BC93" s="35">
        <f t="shared" si="17"/>
        <v>10416.984628798446</v>
      </c>
      <c r="BD93" s="35">
        <f>IF(AND(ISNUMBER(BC93),ISNUMBER(K93)),IF(K93&gt;0,BC93/K93^'Assumptions &amp; FX Reference'!$I$16,""),"")</f>
        <v>22458.542010718018</v>
      </c>
      <c r="BE93" s="30" t="s">
        <v>661</v>
      </c>
      <c r="BF93" s="30" t="s">
        <v>662</v>
      </c>
      <c r="BG93" s="30" t="s">
        <v>361</v>
      </c>
    </row>
    <row r="94" spans="1:59" ht="24" customHeight="1">
      <c r="A94" s="30">
        <v>90</v>
      </c>
      <c r="B94" s="30" t="s">
        <v>663</v>
      </c>
      <c r="C94" s="30" t="s">
        <v>468</v>
      </c>
      <c r="D94" s="30" t="s">
        <v>664</v>
      </c>
      <c r="E94" s="30" t="s">
        <v>47</v>
      </c>
      <c r="F94" s="30" t="s">
        <v>188</v>
      </c>
      <c r="G94" s="30" t="s">
        <v>111</v>
      </c>
      <c r="H94" s="31">
        <v>6</v>
      </c>
      <c r="I94" s="40">
        <v>20.399999999999999</v>
      </c>
      <c r="J94" s="31"/>
      <c r="K94" s="32">
        <f>IF(ISNUMBER(J94),J94,IF(AND(ISNUMBER(H94),ISNUMBER(I94)),H94*I94/(367*'Assumptions &amp; FX Reference'!$I$17),""))</f>
        <v>0.55585831062670299</v>
      </c>
      <c r="L94" s="33" t="str">
        <f t="shared" si="12"/>
        <v>JIS B 8325</v>
      </c>
      <c r="M94" s="30" t="s">
        <v>665</v>
      </c>
      <c r="N94" s="30" t="s">
        <v>296</v>
      </c>
      <c r="O94" s="38" t="s">
        <v>305</v>
      </c>
      <c r="P94" s="30" t="s">
        <v>119</v>
      </c>
      <c r="Q94" s="30" t="s">
        <v>119</v>
      </c>
      <c r="R94" s="30" t="s">
        <v>119</v>
      </c>
      <c r="S94" s="30" t="s">
        <v>297</v>
      </c>
      <c r="T94" s="30" t="s">
        <v>326</v>
      </c>
      <c r="U94" s="30">
        <v>1</v>
      </c>
      <c r="V94" s="30" t="s">
        <v>666</v>
      </c>
      <c r="W94" s="31"/>
      <c r="X94" s="30" t="s">
        <v>119</v>
      </c>
      <c r="Y94" s="38">
        <v>1393</v>
      </c>
      <c r="Z94" s="30" t="s">
        <v>355</v>
      </c>
      <c r="AA94" s="34">
        <v>20000</v>
      </c>
      <c r="AB94" s="35">
        <f>IF(NOT(ISNUMBER(AA94)),"(Not stated)",IF(NOT(ISNUMBER(Y94)),"(Cost year not stated)",IFERROR(IF(Z94="EUR",AA94,IF(Z94="IRR",AA94/INDEX('Assumptions &amp; FX Reference'!$C$5:$C$25,MATCH(Y94,'Assumptions &amp; FX Reference'!$A$5:$A$25,0)),IF(Z94="USD",AA94*INDEX('Assumptions &amp; FX Reference'!$B$5:$B$25,MATCH(Y94,'Assumptions &amp; FX Reference'!$A$5:$A$25,0))/INDEX('Assumptions &amp; FX Reference'!$C$5:$C$25,MATCH(Y94,'Assumptions &amp; FX Reference'!$A$5:$A$25,0)),"(Currency?)"))),"(FX rate missing)")))</f>
        <v>20000</v>
      </c>
      <c r="AC94" s="35">
        <f>IF(NOT(ISNUMBER(AA94)),"(Not stated)",IF(NOT(ISNUMBER(Y94)),"(Cost year not stated)",IFERROR(IF(Z94="USD",AA94,IF(Z94="IRR",AA94/INDEX('Assumptions &amp; FX Reference'!$B$5:$B$25,MATCH(Y94,'Assumptions &amp; FX Reference'!$A$5:$A$25,0)),IF(Z94="EUR",AA94*INDEX('Assumptions &amp; FX Reference'!$C$5:$C$25,MATCH(Y94,'Assumptions &amp; FX Reference'!$A$5:$A$25,0))/INDEX('Assumptions &amp; FX Reference'!$B$5:$B$25,MATCH(Y94,'Assumptions &amp; FX Reference'!$A$5:$A$25,0)),"(Currency?)"))),"(FX rate missing)")))</f>
        <v>26148.903225806451</v>
      </c>
      <c r="AD94" s="35">
        <f>IF(NOT(ISNUMBER(AA94)),"(Not stated)",IF(NOT(ISNUMBER(Y94)),"(Cost year not stated)",IFERROR(IF(Z94="IRR",AA94,IF(Z94="USD",AA94*INDEX('Assumptions &amp; FX Reference'!$B$5:$B$25,MATCH(Y94,'Assumptions &amp; FX Reference'!$A$5:$A$25,0)),IF(Z94="EUR",AA94*INDEX('Assumptions &amp; FX Reference'!$C$5:$C$25,MATCH(Y94,'Assumptions &amp; FX Reference'!$A$5:$A$25,0)),"(Currency?)"))),"(FX rate missing)")))</f>
        <v>810616000</v>
      </c>
      <c r="AE94" s="30" t="s">
        <v>472</v>
      </c>
      <c r="AF94" s="38" t="s">
        <v>204</v>
      </c>
      <c r="AG94" s="35">
        <f>IF(AND(Z94="EUR",N(AA94)&gt;5000000),"(Check currency – excluded)",IF(AND(ISNUMBER(AB94),ISNUMBER(AZ94),ISNUMBER(BA94)),IF(AND(BB94="Y",ISNUMBER('Assumptions &amp; FX Reference'!$I$15)),MAX(AB94*BA94/AZ94,'Assumptions &amp; FX Reference'!$I$13*BA94/'Assumptions &amp; FX Reference'!$I$15),AB94*BA94/AZ94),"(PPI/FX missing)"))</f>
        <v>27021.358117945856</v>
      </c>
      <c r="AH94" s="35">
        <f>IF(AND(ISNUMBER(AG94),ISNUMBER('Assumptions &amp; FX Reference'!$I$8),ISNUMBER('Assumptions &amp; FX Reference'!$I$11)),AG94*'Assumptions &amp; FX Reference'!$I$8/'Assumptions &amp; FX Reference'!$I$11,"")</f>
        <v>28528.692739692589</v>
      </c>
      <c r="AI94" s="35">
        <f>IF(AND(ISNUMBER(AG94),ISNUMBER('Assumptions &amp; FX Reference'!$I$8)),AG94*'Assumptions &amp; FX Reference'!$I$8,"")</f>
        <v>18787085615.947979</v>
      </c>
      <c r="AJ94" s="30" t="s">
        <v>473</v>
      </c>
      <c r="AK94" s="30" t="s">
        <v>474</v>
      </c>
      <c r="AL94" s="30" t="s">
        <v>119</v>
      </c>
      <c r="AM94" s="30" t="s">
        <v>119</v>
      </c>
      <c r="AN94" s="30" t="s">
        <v>119</v>
      </c>
      <c r="AO94" s="30" t="s">
        <v>119</v>
      </c>
      <c r="AP94" s="30" t="s">
        <v>119</v>
      </c>
      <c r="AQ94" s="38" t="s">
        <v>305</v>
      </c>
      <c r="AR94" s="30" t="s">
        <v>119</v>
      </c>
      <c r="AS94" s="33" t="str">
        <f t="shared" si="13"/>
        <v xml:space="preserve">Seal missing; </v>
      </c>
      <c r="AT94" s="36">
        <f>IFERROR(INDEX(Factors_ROT!$F$5:$F$200,MATCH("MAT|"&amp;G94,Factors_ROT!$A$5:$A$200,0)),1)</f>
        <v>1.9</v>
      </c>
      <c r="AU94" s="36">
        <f>IFERROR(INDEX(Factors_ROT!$F$5:$F$200,MATCH("SEAL_ARR|"&amp;P94,Factors_ROT!$A$5:$A$200,0)),1)*IFERROR(INDEX(Factors_ROT!$F$5:$F$200,MATCH("SEAL_CAT|"&amp;Q94,Factors_ROT!$A$5:$A$200,0)),1)*IFERROR(INDEX(Factors_ROT!$F$5:$F$200,MATCH("SEAL_PLAN|"&amp;R94,Factors_ROT!$A$5:$A$200,0)),1)</f>
        <v>1</v>
      </c>
      <c r="AV94" s="36">
        <f>IFERROR(INDEX(Factors_ROT!$F$5:$F$200,MATCH("DRV|"&amp;S94,Factors_ROT!$A$5:$A$200,0)),1)*IFERROR(INDEX(Factors_ROT!$F$5:$F$200,MATCH("NACE|"&amp;O94,Factors_ROT!$A$5:$A$200,0)),1)</f>
        <v>1</v>
      </c>
      <c r="AW94" s="36">
        <f>IFERROR(INDEX(Factors_ROT!$F$5:$F$200,MATCH("SC_DRV|"&amp;AL94,Factors_ROT!$A$5:$A$200,0)),1)*IFERROR(INDEX(Factors_ROT!$F$5:$F$200,MATCH("SC_BSP|"&amp;AM94,Factors_ROT!$A$5:$A$200,0)),1)*IFERROR(INDEX(Factors_ROT!$F$5:$F$200,MATCH("SC_SEAL|"&amp;AN94,Factors_ROT!$A$5:$A$200,0)),1)*IFERROR(INDEX(Factors_ROT!$F$5:$F$200,MATCH("SC_COMM|"&amp;AO94,Factors_ROT!$A$5:$A$200,0)),1)*IFERROR(INDEX(Factors_ROT!$F$5:$F$200,MATCH("SC_2Y|"&amp;AP94,Factors_ROT!$A$5:$A$200,0)),1)*IFERROR(INDEX(Factors_ROT!$F$5:$F$200,MATCH("SC_TPI|"&amp;AQ94,Factors_ROT!$A$5:$A$200,0)),1)*IFERROR(INDEX(Factors_ROT!$F$5:$F$200,MATCH("SC_FAT|"&amp;AR94,Factors_ROT!$A$5:$A$200,0)),1)</f>
        <v>1</v>
      </c>
      <c r="AX94" s="36">
        <f t="shared" si="14"/>
        <v>1.9</v>
      </c>
      <c r="AY94" s="35">
        <f t="shared" si="15"/>
        <v>10526.315789473685</v>
      </c>
      <c r="AZ94" s="37">
        <f>IFERROR(IF(N(INDEX(Escalation_Index!$B$5:$B$25,MATCH(Y94,Escalation_Index!$A$5:$A$25,0)))&gt;0,INDEX(Escalation_Index!$B$5:$B$25,MATCH(Y94,Escalation_Index!$A$5:$A$25,0)),""),"")</f>
        <v>91.346999999999994</v>
      </c>
      <c r="BA94" s="37">
        <f>IF(ISNUMBER('Assumptions &amp; FX Reference'!$I$12),'Assumptions &amp; FX Reference'!$I$12,"")</f>
        <v>123.416</v>
      </c>
      <c r="BB94" s="33" t="str">
        <f t="shared" si="16"/>
        <v>N</v>
      </c>
      <c r="BC94" s="35">
        <f t="shared" si="17"/>
        <v>14221.767430497819</v>
      </c>
      <c r="BD94" s="35">
        <f>IF(AND(ISNUMBER(BC94),ISNUMBER(K94)),IF(K94&gt;0,BC94/K94^'Assumptions &amp; FX Reference'!$I$16,""),"")</f>
        <v>20229.032419722131</v>
      </c>
      <c r="BE94" s="30" t="s">
        <v>667</v>
      </c>
      <c r="BF94" s="30" t="s">
        <v>668</v>
      </c>
      <c r="BG94" s="30" t="s">
        <v>361</v>
      </c>
    </row>
    <row r="95" spans="1:59" ht="24" customHeight="1">
      <c r="A95" s="30">
        <v>91</v>
      </c>
      <c r="B95" s="30" t="s">
        <v>663</v>
      </c>
      <c r="C95" s="30" t="s">
        <v>550</v>
      </c>
      <c r="D95" s="30" t="s">
        <v>669</v>
      </c>
      <c r="E95" s="30" t="s">
        <v>47</v>
      </c>
      <c r="F95" s="30" t="s">
        <v>188</v>
      </c>
      <c r="G95" s="30" t="s">
        <v>111</v>
      </c>
      <c r="H95" s="31">
        <v>6</v>
      </c>
      <c r="I95" s="40">
        <v>20.399999999999999</v>
      </c>
      <c r="J95" s="31"/>
      <c r="K95" s="32">
        <f>IF(ISNUMBER(J95),J95,IF(AND(ISNUMBER(H95),ISNUMBER(I95)),H95*I95/(367*'Assumptions &amp; FX Reference'!$I$17),""))</f>
        <v>0.55585831062670299</v>
      </c>
      <c r="L95" s="33" t="str">
        <f t="shared" si="12"/>
        <v>JIS B 8325</v>
      </c>
      <c r="M95" s="30" t="s">
        <v>665</v>
      </c>
      <c r="N95" s="30" t="s">
        <v>296</v>
      </c>
      <c r="O95" s="38" t="s">
        <v>305</v>
      </c>
      <c r="P95" s="30" t="s">
        <v>119</v>
      </c>
      <c r="Q95" s="30" t="s">
        <v>119</v>
      </c>
      <c r="R95" s="30" t="s">
        <v>119</v>
      </c>
      <c r="S95" s="30" t="s">
        <v>297</v>
      </c>
      <c r="T95" s="30" t="s">
        <v>326</v>
      </c>
      <c r="U95" s="30">
        <v>1</v>
      </c>
      <c r="V95" s="30" t="s">
        <v>666</v>
      </c>
      <c r="W95" s="31"/>
      <c r="X95" s="30" t="s">
        <v>119</v>
      </c>
      <c r="Y95" s="38">
        <v>1393</v>
      </c>
      <c r="Z95" s="30" t="s">
        <v>355</v>
      </c>
      <c r="AA95" s="34">
        <v>20000</v>
      </c>
      <c r="AB95" s="35">
        <f>IF(NOT(ISNUMBER(AA95)),"(Not stated)",IF(NOT(ISNUMBER(Y95)),"(Cost year not stated)",IFERROR(IF(Z95="EUR",AA95,IF(Z95="IRR",AA95/INDEX('Assumptions &amp; FX Reference'!$C$5:$C$25,MATCH(Y95,'Assumptions &amp; FX Reference'!$A$5:$A$25,0)),IF(Z95="USD",AA95*INDEX('Assumptions &amp; FX Reference'!$B$5:$B$25,MATCH(Y95,'Assumptions &amp; FX Reference'!$A$5:$A$25,0))/INDEX('Assumptions &amp; FX Reference'!$C$5:$C$25,MATCH(Y95,'Assumptions &amp; FX Reference'!$A$5:$A$25,0)),"(Currency?)"))),"(FX rate missing)")))</f>
        <v>20000</v>
      </c>
      <c r="AC95" s="35">
        <f>IF(NOT(ISNUMBER(AA95)),"(Not stated)",IF(NOT(ISNUMBER(Y95)),"(Cost year not stated)",IFERROR(IF(Z95="USD",AA95,IF(Z95="IRR",AA95/INDEX('Assumptions &amp; FX Reference'!$B$5:$B$25,MATCH(Y95,'Assumptions &amp; FX Reference'!$A$5:$A$25,0)),IF(Z95="EUR",AA95*INDEX('Assumptions &amp; FX Reference'!$C$5:$C$25,MATCH(Y95,'Assumptions &amp; FX Reference'!$A$5:$A$25,0))/INDEX('Assumptions &amp; FX Reference'!$B$5:$B$25,MATCH(Y95,'Assumptions &amp; FX Reference'!$A$5:$A$25,0)),"(Currency?)"))),"(FX rate missing)")))</f>
        <v>26148.903225806451</v>
      </c>
      <c r="AD95" s="35">
        <f>IF(NOT(ISNUMBER(AA95)),"(Not stated)",IF(NOT(ISNUMBER(Y95)),"(Cost year not stated)",IFERROR(IF(Z95="IRR",AA95,IF(Z95="USD",AA95*INDEX('Assumptions &amp; FX Reference'!$B$5:$B$25,MATCH(Y95,'Assumptions &amp; FX Reference'!$A$5:$A$25,0)),IF(Z95="EUR",AA95*INDEX('Assumptions &amp; FX Reference'!$C$5:$C$25,MATCH(Y95,'Assumptions &amp; FX Reference'!$A$5:$A$25,0)),"(Currency?)"))),"(FX rate missing)")))</f>
        <v>810616000</v>
      </c>
      <c r="AE95" s="30" t="s">
        <v>472</v>
      </c>
      <c r="AF95" s="38" t="s">
        <v>204</v>
      </c>
      <c r="AG95" s="35">
        <f>IF(AND(Z95="EUR",N(AA95)&gt;5000000),"(Check currency – excluded)",IF(AND(ISNUMBER(AB95),ISNUMBER(AZ95),ISNUMBER(BA95)),IF(AND(BB95="Y",ISNUMBER('Assumptions &amp; FX Reference'!$I$15)),MAX(AB95*BA95/AZ95,'Assumptions &amp; FX Reference'!$I$13*BA95/'Assumptions &amp; FX Reference'!$I$15),AB95*BA95/AZ95),"(PPI/FX missing)"))</f>
        <v>27021.358117945856</v>
      </c>
      <c r="AH95" s="35">
        <f>IF(AND(ISNUMBER(AG95),ISNUMBER('Assumptions &amp; FX Reference'!$I$8),ISNUMBER('Assumptions &amp; FX Reference'!$I$11)),AG95*'Assumptions &amp; FX Reference'!$I$8/'Assumptions &amp; FX Reference'!$I$11,"")</f>
        <v>28528.692739692589</v>
      </c>
      <c r="AI95" s="35">
        <f>IF(AND(ISNUMBER(AG95),ISNUMBER('Assumptions &amp; FX Reference'!$I$8)),AG95*'Assumptions &amp; FX Reference'!$I$8,"")</f>
        <v>18787085615.947979</v>
      </c>
      <c r="AJ95" s="30" t="s">
        <v>473</v>
      </c>
      <c r="AK95" s="30" t="s">
        <v>474</v>
      </c>
      <c r="AL95" s="30" t="s">
        <v>119</v>
      </c>
      <c r="AM95" s="30" t="s">
        <v>119</v>
      </c>
      <c r="AN95" s="30" t="s">
        <v>119</v>
      </c>
      <c r="AO95" s="30" t="s">
        <v>119</v>
      </c>
      <c r="AP95" s="30" t="s">
        <v>119</v>
      </c>
      <c r="AQ95" s="38" t="s">
        <v>305</v>
      </c>
      <c r="AR95" s="30" t="s">
        <v>119</v>
      </c>
      <c r="AS95" s="33" t="str">
        <f t="shared" si="13"/>
        <v xml:space="preserve">Seal missing; </v>
      </c>
      <c r="AT95" s="36">
        <f>IFERROR(INDEX(Factors_ROT!$F$5:$F$200,MATCH("MAT|"&amp;G95,Factors_ROT!$A$5:$A$200,0)),1)</f>
        <v>1.9</v>
      </c>
      <c r="AU95" s="36">
        <f>IFERROR(INDEX(Factors_ROT!$F$5:$F$200,MATCH("SEAL_ARR|"&amp;P95,Factors_ROT!$A$5:$A$200,0)),1)*IFERROR(INDEX(Factors_ROT!$F$5:$F$200,MATCH("SEAL_CAT|"&amp;Q95,Factors_ROT!$A$5:$A$200,0)),1)*IFERROR(INDEX(Factors_ROT!$F$5:$F$200,MATCH("SEAL_PLAN|"&amp;R95,Factors_ROT!$A$5:$A$200,0)),1)</f>
        <v>1</v>
      </c>
      <c r="AV95" s="36">
        <f>IFERROR(INDEX(Factors_ROT!$F$5:$F$200,MATCH("DRV|"&amp;S95,Factors_ROT!$A$5:$A$200,0)),1)*IFERROR(INDEX(Factors_ROT!$F$5:$F$200,MATCH("NACE|"&amp;O95,Factors_ROT!$A$5:$A$200,0)),1)</f>
        <v>1</v>
      </c>
      <c r="AW95" s="36">
        <f>IFERROR(INDEX(Factors_ROT!$F$5:$F$200,MATCH("SC_DRV|"&amp;AL95,Factors_ROT!$A$5:$A$200,0)),1)*IFERROR(INDEX(Factors_ROT!$F$5:$F$200,MATCH("SC_BSP|"&amp;AM95,Factors_ROT!$A$5:$A$200,0)),1)*IFERROR(INDEX(Factors_ROT!$F$5:$F$200,MATCH("SC_SEAL|"&amp;AN95,Factors_ROT!$A$5:$A$200,0)),1)*IFERROR(INDEX(Factors_ROT!$F$5:$F$200,MATCH("SC_COMM|"&amp;AO95,Factors_ROT!$A$5:$A$200,0)),1)*IFERROR(INDEX(Factors_ROT!$F$5:$F$200,MATCH("SC_2Y|"&amp;AP95,Factors_ROT!$A$5:$A$200,0)),1)*IFERROR(INDEX(Factors_ROT!$F$5:$F$200,MATCH("SC_TPI|"&amp;AQ95,Factors_ROT!$A$5:$A$200,0)),1)*IFERROR(INDEX(Factors_ROT!$F$5:$F$200,MATCH("SC_FAT|"&amp;AR95,Factors_ROT!$A$5:$A$200,0)),1)</f>
        <v>1</v>
      </c>
      <c r="AX95" s="36">
        <f t="shared" si="14"/>
        <v>1.9</v>
      </c>
      <c r="AY95" s="35">
        <f t="shared" si="15"/>
        <v>10526.315789473685</v>
      </c>
      <c r="AZ95" s="37">
        <f>IFERROR(IF(N(INDEX(Escalation_Index!$B$5:$B$25,MATCH(Y95,Escalation_Index!$A$5:$A$25,0)))&gt;0,INDEX(Escalation_Index!$B$5:$B$25,MATCH(Y95,Escalation_Index!$A$5:$A$25,0)),""),"")</f>
        <v>91.346999999999994</v>
      </c>
      <c r="BA95" s="37">
        <f>IF(ISNUMBER('Assumptions &amp; FX Reference'!$I$12),'Assumptions &amp; FX Reference'!$I$12,"")</f>
        <v>123.416</v>
      </c>
      <c r="BB95" s="33" t="str">
        <f t="shared" si="16"/>
        <v>N</v>
      </c>
      <c r="BC95" s="35">
        <f t="shared" si="17"/>
        <v>14221.767430497819</v>
      </c>
      <c r="BD95" s="35">
        <f>IF(AND(ISNUMBER(BC95),ISNUMBER(K95)),IF(K95&gt;0,BC95/K95^'Assumptions &amp; FX Reference'!$I$16,""),"")</f>
        <v>20229.032419722131</v>
      </c>
      <c r="BE95" s="30" t="s">
        <v>670</v>
      </c>
      <c r="BF95" s="30" t="s">
        <v>671</v>
      </c>
      <c r="BG95" s="30" t="s">
        <v>361</v>
      </c>
    </row>
    <row r="96" spans="1:59" ht="24" customHeight="1">
      <c r="A96" s="30">
        <v>92</v>
      </c>
      <c r="B96" s="30" t="s">
        <v>672</v>
      </c>
      <c r="C96" s="30" t="s">
        <v>468</v>
      </c>
      <c r="D96" s="30" t="s">
        <v>673</v>
      </c>
      <c r="E96" s="30" t="s">
        <v>53</v>
      </c>
      <c r="F96" s="30" t="s">
        <v>188</v>
      </c>
      <c r="G96" s="30" t="s">
        <v>115</v>
      </c>
      <c r="H96" s="31">
        <v>9.6</v>
      </c>
      <c r="I96" s="31"/>
      <c r="J96" s="31"/>
      <c r="K96" s="32" t="str">
        <f>IF(ISNUMBER(J96),J96,IF(AND(ISNUMBER(H96),ISNUMBER(I96)),H96*I96/(367*'Assumptions &amp; FX Reference'!$I$17),""))</f>
        <v/>
      </c>
      <c r="L96" s="33" t="str">
        <f t="shared" si="12"/>
        <v>Not stated</v>
      </c>
      <c r="M96" s="30" t="s">
        <v>119</v>
      </c>
      <c r="N96" s="30" t="s">
        <v>296</v>
      </c>
      <c r="O96" s="38" t="s">
        <v>305</v>
      </c>
      <c r="P96" s="30" t="s">
        <v>119</v>
      </c>
      <c r="Q96" s="30" t="s">
        <v>119</v>
      </c>
      <c r="R96" s="30" t="s">
        <v>119</v>
      </c>
      <c r="S96" s="38" t="s">
        <v>297</v>
      </c>
      <c r="T96" s="30" t="s">
        <v>403</v>
      </c>
      <c r="U96" s="30">
        <v>5</v>
      </c>
      <c r="V96" s="30" t="s">
        <v>674</v>
      </c>
      <c r="W96" s="31"/>
      <c r="X96" s="30" t="s">
        <v>119</v>
      </c>
      <c r="Y96" s="38">
        <v>1393</v>
      </c>
      <c r="Z96" s="30" t="s">
        <v>446</v>
      </c>
      <c r="AA96" s="34">
        <v>100000000</v>
      </c>
      <c r="AB96" s="35">
        <f>IF(NOT(ISNUMBER(AA96)),"(Not stated)",IF(NOT(ISNUMBER(Y96)),"(Cost year not stated)",IFERROR(IF(Z96="EUR",AA96,IF(Z96="IRR",AA96/INDEX('Assumptions &amp; FX Reference'!$C$5:$C$25,MATCH(Y96,'Assumptions &amp; FX Reference'!$A$5:$A$25,0)),IF(Z96="USD",AA96*INDEX('Assumptions &amp; FX Reference'!$B$5:$B$25,MATCH(Y96,'Assumptions &amp; FX Reference'!$A$5:$A$25,0))/INDEX('Assumptions &amp; FX Reference'!$C$5:$C$25,MATCH(Y96,'Assumptions &amp; FX Reference'!$A$5:$A$25,0)),"(Currency?)"))),"(FX rate missing)")))</f>
        <v>2467.2594668745742</v>
      </c>
      <c r="AC96" s="35">
        <f>IF(NOT(ISNUMBER(AA96)),"(Not stated)",IF(NOT(ISNUMBER(Y96)),"(Cost year not stated)",IFERROR(IF(Z96="USD",AA96,IF(Z96="IRR",AA96/INDEX('Assumptions &amp; FX Reference'!$B$5:$B$25,MATCH(Y96,'Assumptions &amp; FX Reference'!$A$5:$A$25,0)),IF(Z96="EUR",AA96*INDEX('Assumptions &amp; FX Reference'!$C$5:$C$25,MATCH(Y96,'Assumptions &amp; FX Reference'!$A$5:$A$25,0))/INDEX('Assumptions &amp; FX Reference'!$B$5:$B$25,MATCH(Y96,'Assumptions &amp; FX Reference'!$A$5:$A$25,0)),"(Currency?)"))),"(FX rate missing)")))</f>
        <v>3225.8064516129034</v>
      </c>
      <c r="AD96" s="35">
        <f>IF(NOT(ISNUMBER(AA96)),"(Not stated)",IF(NOT(ISNUMBER(Y96)),"(Cost year not stated)",IFERROR(IF(Z96="IRR",AA96,IF(Z96="USD",AA96*INDEX('Assumptions &amp; FX Reference'!$B$5:$B$25,MATCH(Y96,'Assumptions &amp; FX Reference'!$A$5:$A$25,0)),IF(Z96="EUR",AA96*INDEX('Assumptions &amp; FX Reference'!$C$5:$C$25,MATCH(Y96,'Assumptions &amp; FX Reference'!$A$5:$A$25,0)),"(Currency?)"))),"(FX rate missing)")))</f>
        <v>100000000</v>
      </c>
      <c r="AE96" s="30" t="s">
        <v>656</v>
      </c>
      <c r="AF96" s="38" t="s">
        <v>197</v>
      </c>
      <c r="AG96" s="35">
        <f>IF(AND(Z96="EUR",N(AA96)&gt;5000000),"(Check currency – excluded)",IF(AND(ISNUMBER(AB96),ISNUMBER(AZ96),ISNUMBER(BA96)),IF(AND(BB96="Y",ISNUMBER('Assumptions &amp; FX Reference'!$I$15)),MAX(AB96*BA96/AZ96,'Assumptions &amp; FX Reference'!$I$13*BA96/'Assumptions &amp; FX Reference'!$I$15),AB96*BA96/AZ96),"(PPI/FX missing)"))</f>
        <v>3333.4350812155021</v>
      </c>
      <c r="AH96" s="35">
        <f>IF(AND(ISNUMBER(AG96),ISNUMBER('Assumptions &amp; FX Reference'!$I$8),ISNUMBER('Assumptions &amp; FX Reference'!$I$11)),AG96*'Assumptions &amp; FX Reference'!$I$8/'Assumptions &amp; FX Reference'!$I$11,"")</f>
        <v>3519.3843619781237</v>
      </c>
      <c r="AI96" s="35">
        <f>IF(AND(ISNUMBER(AG96),ISNUMBER('Assumptions &amp; FX Reference'!$I$8)),AG96*'Assumptions &amp; FX Reference'!$I$8,"")</f>
        <v>2317630742.0465398</v>
      </c>
      <c r="AJ96" s="30" t="s">
        <v>473</v>
      </c>
      <c r="AK96" s="30" t="s">
        <v>474</v>
      </c>
      <c r="AL96" s="30" t="s">
        <v>119</v>
      </c>
      <c r="AM96" s="30" t="s">
        <v>119</v>
      </c>
      <c r="AN96" s="30" t="s">
        <v>119</v>
      </c>
      <c r="AO96" s="30" t="s">
        <v>119</v>
      </c>
      <c r="AP96" s="30" t="s">
        <v>119</v>
      </c>
      <c r="AQ96" s="38" t="s">
        <v>305</v>
      </c>
      <c r="AR96" s="30" t="s">
        <v>119</v>
      </c>
      <c r="AS96" s="33" t="str">
        <f t="shared" si="13"/>
        <v xml:space="preserve">Seal missing; Size driver missing; </v>
      </c>
      <c r="AT96" s="36">
        <f>IFERROR(INDEX(Factors_ROT!$F$5:$F$200,MATCH("MAT|"&amp;G96,Factors_ROT!$A$5:$A$200,0)),1)</f>
        <v>1.35</v>
      </c>
      <c r="AU96" s="36">
        <f>IFERROR(INDEX(Factors_ROT!$F$5:$F$200,MATCH("SEAL_ARR|"&amp;P96,Factors_ROT!$A$5:$A$200,0)),1)*IFERROR(INDEX(Factors_ROT!$F$5:$F$200,MATCH("SEAL_CAT|"&amp;Q96,Factors_ROT!$A$5:$A$200,0)),1)*IFERROR(INDEX(Factors_ROT!$F$5:$F$200,MATCH("SEAL_PLAN|"&amp;R96,Factors_ROT!$A$5:$A$200,0)),1)</f>
        <v>1</v>
      </c>
      <c r="AV96" s="36">
        <f>IFERROR(INDEX(Factors_ROT!$F$5:$F$200,MATCH("DRV|"&amp;S96,Factors_ROT!$A$5:$A$200,0)),1)*IFERROR(INDEX(Factors_ROT!$F$5:$F$200,MATCH("NACE|"&amp;O96,Factors_ROT!$A$5:$A$200,0)),1)</f>
        <v>1</v>
      </c>
      <c r="AW96" s="36">
        <f>IFERROR(INDEX(Factors_ROT!$F$5:$F$200,MATCH("SC_DRV|"&amp;AL96,Factors_ROT!$A$5:$A$200,0)),1)*IFERROR(INDEX(Factors_ROT!$F$5:$F$200,MATCH("SC_BSP|"&amp;AM96,Factors_ROT!$A$5:$A$200,0)),1)*IFERROR(INDEX(Factors_ROT!$F$5:$F$200,MATCH("SC_SEAL|"&amp;AN96,Factors_ROT!$A$5:$A$200,0)),1)*IFERROR(INDEX(Factors_ROT!$F$5:$F$200,MATCH("SC_COMM|"&amp;AO96,Factors_ROT!$A$5:$A$200,0)),1)*IFERROR(INDEX(Factors_ROT!$F$5:$F$200,MATCH("SC_2Y|"&amp;AP96,Factors_ROT!$A$5:$A$200,0)),1)*IFERROR(INDEX(Factors_ROT!$F$5:$F$200,MATCH("SC_TPI|"&amp;AQ96,Factors_ROT!$A$5:$A$200,0)),1)*IFERROR(INDEX(Factors_ROT!$F$5:$F$200,MATCH("SC_FAT|"&amp;AR96,Factors_ROT!$A$5:$A$200,0)),1)</f>
        <v>1</v>
      </c>
      <c r="AX96" s="36">
        <f t="shared" si="14"/>
        <v>1.35</v>
      </c>
      <c r="AY96" s="35">
        <f t="shared" si="15"/>
        <v>1827.599605092277</v>
      </c>
      <c r="AZ96" s="37">
        <f>IFERROR(IF(N(INDEX(Escalation_Index!$B$5:$B$25,MATCH(Y96,Escalation_Index!$A$5:$A$25,0)))&gt;0,INDEX(Escalation_Index!$B$5:$B$25,MATCH(Y96,Escalation_Index!$A$5:$A$25,0)),""),"")</f>
        <v>91.346999999999994</v>
      </c>
      <c r="BA96" s="37">
        <f>IF(ISNUMBER('Assumptions &amp; FX Reference'!$I$12),'Assumptions &amp; FX Reference'!$I$12,"")</f>
        <v>123.416</v>
      </c>
      <c r="BB96" s="33" t="str">
        <f t="shared" si="16"/>
        <v>N</v>
      </c>
      <c r="BC96" s="35">
        <f t="shared" si="17"/>
        <v>2469.2111712707419</v>
      </c>
      <c r="BD96" s="35" t="str">
        <f>IF(AND(ISNUMBER(BC96),ISNUMBER(K96)),IF(K96&gt;0,BC96/K96^'Assumptions &amp; FX Reference'!$I$16,""),"")</f>
        <v/>
      </c>
      <c r="BE96" s="30" t="s">
        <v>675</v>
      </c>
      <c r="BF96" s="30" t="s">
        <v>676</v>
      </c>
      <c r="BG96" s="30" t="s">
        <v>361</v>
      </c>
    </row>
    <row r="97" spans="1:59" ht="24" customHeight="1">
      <c r="A97" s="30">
        <v>93</v>
      </c>
      <c r="B97" s="30" t="s">
        <v>677</v>
      </c>
      <c r="C97" s="30" t="s">
        <v>468</v>
      </c>
      <c r="D97" s="30" t="s">
        <v>678</v>
      </c>
      <c r="E97" s="30" t="s">
        <v>53</v>
      </c>
      <c r="F97" s="30" t="s">
        <v>188</v>
      </c>
      <c r="G97" s="30" t="s">
        <v>115</v>
      </c>
      <c r="H97" s="31">
        <v>9.6</v>
      </c>
      <c r="I97" s="31"/>
      <c r="J97" s="31"/>
      <c r="K97" s="32" t="str">
        <f>IF(ISNUMBER(J97),J97,IF(AND(ISNUMBER(H97),ISNUMBER(I97)),H97*I97/(367*'Assumptions &amp; FX Reference'!$I$17),""))</f>
        <v/>
      </c>
      <c r="L97" s="33" t="str">
        <f t="shared" si="12"/>
        <v>Not stated</v>
      </c>
      <c r="M97" s="30" t="s">
        <v>119</v>
      </c>
      <c r="N97" s="30" t="s">
        <v>296</v>
      </c>
      <c r="O97" s="38" t="s">
        <v>305</v>
      </c>
      <c r="P97" s="30" t="s">
        <v>119</v>
      </c>
      <c r="Q97" s="30" t="s">
        <v>119</v>
      </c>
      <c r="R97" s="30" t="s">
        <v>119</v>
      </c>
      <c r="S97" s="38" t="s">
        <v>297</v>
      </c>
      <c r="T97" s="30" t="s">
        <v>403</v>
      </c>
      <c r="U97" s="30">
        <v>1</v>
      </c>
      <c r="V97" s="30" t="s">
        <v>674</v>
      </c>
      <c r="W97" s="31"/>
      <c r="X97" s="30" t="s">
        <v>119</v>
      </c>
      <c r="Y97" s="38">
        <v>1393</v>
      </c>
      <c r="Z97" s="30" t="s">
        <v>446</v>
      </c>
      <c r="AA97" s="34">
        <v>100000000</v>
      </c>
      <c r="AB97" s="35">
        <f>IF(NOT(ISNUMBER(AA97)),"(Not stated)",IF(NOT(ISNUMBER(Y97)),"(Cost year not stated)",IFERROR(IF(Z97="EUR",AA97,IF(Z97="IRR",AA97/INDEX('Assumptions &amp; FX Reference'!$C$5:$C$25,MATCH(Y97,'Assumptions &amp; FX Reference'!$A$5:$A$25,0)),IF(Z97="USD",AA97*INDEX('Assumptions &amp; FX Reference'!$B$5:$B$25,MATCH(Y97,'Assumptions &amp; FX Reference'!$A$5:$A$25,0))/INDEX('Assumptions &amp; FX Reference'!$C$5:$C$25,MATCH(Y97,'Assumptions &amp; FX Reference'!$A$5:$A$25,0)),"(Currency?)"))),"(FX rate missing)")))</f>
        <v>2467.2594668745742</v>
      </c>
      <c r="AC97" s="35">
        <f>IF(NOT(ISNUMBER(AA97)),"(Not stated)",IF(NOT(ISNUMBER(Y97)),"(Cost year not stated)",IFERROR(IF(Z97="USD",AA97,IF(Z97="IRR",AA97/INDEX('Assumptions &amp; FX Reference'!$B$5:$B$25,MATCH(Y97,'Assumptions &amp; FX Reference'!$A$5:$A$25,0)),IF(Z97="EUR",AA97*INDEX('Assumptions &amp; FX Reference'!$C$5:$C$25,MATCH(Y97,'Assumptions &amp; FX Reference'!$A$5:$A$25,0))/INDEX('Assumptions &amp; FX Reference'!$B$5:$B$25,MATCH(Y97,'Assumptions &amp; FX Reference'!$A$5:$A$25,0)),"(Currency?)"))),"(FX rate missing)")))</f>
        <v>3225.8064516129034</v>
      </c>
      <c r="AD97" s="35">
        <f>IF(NOT(ISNUMBER(AA97)),"(Not stated)",IF(NOT(ISNUMBER(Y97)),"(Cost year not stated)",IFERROR(IF(Z97="IRR",AA97,IF(Z97="USD",AA97*INDEX('Assumptions &amp; FX Reference'!$B$5:$B$25,MATCH(Y97,'Assumptions &amp; FX Reference'!$A$5:$A$25,0)),IF(Z97="EUR",AA97*INDEX('Assumptions &amp; FX Reference'!$C$5:$C$25,MATCH(Y97,'Assumptions &amp; FX Reference'!$A$5:$A$25,0)),"(Currency?)"))),"(FX rate missing)")))</f>
        <v>100000000</v>
      </c>
      <c r="AE97" s="30" t="s">
        <v>656</v>
      </c>
      <c r="AF97" s="38" t="s">
        <v>197</v>
      </c>
      <c r="AG97" s="35">
        <f>IF(AND(Z97="EUR",N(AA97)&gt;5000000),"(Check currency – excluded)",IF(AND(ISNUMBER(AB97),ISNUMBER(AZ97),ISNUMBER(BA97)),IF(AND(BB97="Y",ISNUMBER('Assumptions &amp; FX Reference'!$I$15)),MAX(AB97*BA97/AZ97,'Assumptions &amp; FX Reference'!$I$13*BA97/'Assumptions &amp; FX Reference'!$I$15),AB97*BA97/AZ97),"(PPI/FX missing)"))</f>
        <v>3333.4350812155021</v>
      </c>
      <c r="AH97" s="35">
        <f>IF(AND(ISNUMBER(AG97),ISNUMBER('Assumptions &amp; FX Reference'!$I$8),ISNUMBER('Assumptions &amp; FX Reference'!$I$11)),AG97*'Assumptions &amp; FX Reference'!$I$8/'Assumptions &amp; FX Reference'!$I$11,"")</f>
        <v>3519.3843619781237</v>
      </c>
      <c r="AI97" s="35">
        <f>IF(AND(ISNUMBER(AG97),ISNUMBER('Assumptions &amp; FX Reference'!$I$8)),AG97*'Assumptions &amp; FX Reference'!$I$8,"")</f>
        <v>2317630742.0465398</v>
      </c>
      <c r="AJ97" s="30" t="s">
        <v>473</v>
      </c>
      <c r="AK97" s="30" t="s">
        <v>474</v>
      </c>
      <c r="AL97" s="30" t="s">
        <v>119</v>
      </c>
      <c r="AM97" s="30" t="s">
        <v>119</v>
      </c>
      <c r="AN97" s="30" t="s">
        <v>119</v>
      </c>
      <c r="AO97" s="30" t="s">
        <v>119</v>
      </c>
      <c r="AP97" s="30" t="s">
        <v>119</v>
      </c>
      <c r="AQ97" s="38" t="s">
        <v>305</v>
      </c>
      <c r="AR97" s="30" t="s">
        <v>119</v>
      </c>
      <c r="AS97" s="33" t="str">
        <f t="shared" si="13"/>
        <v xml:space="preserve">Seal missing; Size driver missing; </v>
      </c>
      <c r="AT97" s="36">
        <f>IFERROR(INDEX(Factors_ROT!$F$5:$F$200,MATCH("MAT|"&amp;G97,Factors_ROT!$A$5:$A$200,0)),1)</f>
        <v>1.35</v>
      </c>
      <c r="AU97" s="36">
        <f>IFERROR(INDEX(Factors_ROT!$F$5:$F$200,MATCH("SEAL_ARR|"&amp;P97,Factors_ROT!$A$5:$A$200,0)),1)*IFERROR(INDEX(Factors_ROT!$F$5:$F$200,MATCH("SEAL_CAT|"&amp;Q97,Factors_ROT!$A$5:$A$200,0)),1)*IFERROR(INDEX(Factors_ROT!$F$5:$F$200,MATCH("SEAL_PLAN|"&amp;R97,Factors_ROT!$A$5:$A$200,0)),1)</f>
        <v>1</v>
      </c>
      <c r="AV97" s="36">
        <f>IFERROR(INDEX(Factors_ROT!$F$5:$F$200,MATCH("DRV|"&amp;S97,Factors_ROT!$A$5:$A$200,0)),1)*IFERROR(INDEX(Factors_ROT!$F$5:$F$200,MATCH("NACE|"&amp;O97,Factors_ROT!$A$5:$A$200,0)),1)</f>
        <v>1</v>
      </c>
      <c r="AW97" s="36">
        <f>IFERROR(INDEX(Factors_ROT!$F$5:$F$200,MATCH("SC_DRV|"&amp;AL97,Factors_ROT!$A$5:$A$200,0)),1)*IFERROR(INDEX(Factors_ROT!$F$5:$F$200,MATCH("SC_BSP|"&amp;AM97,Factors_ROT!$A$5:$A$200,0)),1)*IFERROR(INDEX(Factors_ROT!$F$5:$F$200,MATCH("SC_SEAL|"&amp;AN97,Factors_ROT!$A$5:$A$200,0)),1)*IFERROR(INDEX(Factors_ROT!$F$5:$F$200,MATCH("SC_COMM|"&amp;AO97,Factors_ROT!$A$5:$A$200,0)),1)*IFERROR(INDEX(Factors_ROT!$F$5:$F$200,MATCH("SC_2Y|"&amp;AP97,Factors_ROT!$A$5:$A$200,0)),1)*IFERROR(INDEX(Factors_ROT!$F$5:$F$200,MATCH("SC_TPI|"&amp;AQ97,Factors_ROT!$A$5:$A$200,0)),1)*IFERROR(INDEX(Factors_ROT!$F$5:$F$200,MATCH("SC_FAT|"&amp;AR97,Factors_ROT!$A$5:$A$200,0)),1)</f>
        <v>1</v>
      </c>
      <c r="AX97" s="36">
        <f t="shared" si="14"/>
        <v>1.35</v>
      </c>
      <c r="AY97" s="35">
        <f t="shared" si="15"/>
        <v>1827.599605092277</v>
      </c>
      <c r="AZ97" s="37">
        <f>IFERROR(IF(N(INDEX(Escalation_Index!$B$5:$B$25,MATCH(Y97,Escalation_Index!$A$5:$A$25,0)))&gt;0,INDEX(Escalation_Index!$B$5:$B$25,MATCH(Y97,Escalation_Index!$A$5:$A$25,0)),""),"")</f>
        <v>91.346999999999994</v>
      </c>
      <c r="BA97" s="37">
        <f>IF(ISNUMBER('Assumptions &amp; FX Reference'!$I$12),'Assumptions &amp; FX Reference'!$I$12,"")</f>
        <v>123.416</v>
      </c>
      <c r="BB97" s="33" t="str">
        <f t="shared" si="16"/>
        <v>N</v>
      </c>
      <c r="BC97" s="35">
        <f t="shared" si="17"/>
        <v>2469.2111712707419</v>
      </c>
      <c r="BD97" s="35" t="str">
        <f>IF(AND(ISNUMBER(BC97),ISNUMBER(K97)),IF(K97&gt;0,BC97/K97^'Assumptions &amp; FX Reference'!$I$16,""),"")</f>
        <v/>
      </c>
      <c r="BE97" s="30" t="s">
        <v>679</v>
      </c>
      <c r="BF97" s="30" t="s">
        <v>680</v>
      </c>
      <c r="BG97" s="30" t="s">
        <v>361</v>
      </c>
    </row>
    <row r="98" spans="1:59" ht="24" customHeight="1">
      <c r="A98" s="30">
        <v>94</v>
      </c>
      <c r="B98" s="30" t="s">
        <v>681</v>
      </c>
      <c r="C98" s="30" t="s">
        <v>682</v>
      </c>
      <c r="D98" s="30" t="s">
        <v>683</v>
      </c>
      <c r="E98" s="30" t="s">
        <v>41</v>
      </c>
      <c r="F98" s="30" t="s">
        <v>173</v>
      </c>
      <c r="G98" s="30" t="s">
        <v>107</v>
      </c>
      <c r="H98" s="31">
        <v>45</v>
      </c>
      <c r="I98" s="31">
        <v>139.1</v>
      </c>
      <c r="J98" s="31"/>
      <c r="K98" s="32">
        <f>IF(ISNUMBER(J98),J98,IF(AND(ISNUMBER(H98),ISNUMBER(I98)),H98*I98/(367*'Assumptions &amp; FX Reference'!$I$17),""))</f>
        <v>28.426430517711172</v>
      </c>
      <c r="L98" s="33" t="str">
        <f t="shared" si="12"/>
        <v>API 610 + IPS-G-PM-105 + NACE MR0175</v>
      </c>
      <c r="M98" s="30" t="s">
        <v>470</v>
      </c>
      <c r="N98" s="30" t="s">
        <v>471</v>
      </c>
      <c r="O98" s="30" t="s">
        <v>361</v>
      </c>
      <c r="P98" s="30" t="s">
        <v>119</v>
      </c>
      <c r="Q98" s="30" t="s">
        <v>119</v>
      </c>
      <c r="R98" s="30" t="s">
        <v>119</v>
      </c>
      <c r="S98" s="38" t="s">
        <v>297</v>
      </c>
      <c r="T98" s="30" t="s">
        <v>298</v>
      </c>
      <c r="U98" s="30">
        <v>2</v>
      </c>
      <c r="V98" s="30" t="s">
        <v>299</v>
      </c>
      <c r="W98" s="31">
        <v>14.5</v>
      </c>
      <c r="X98" s="30" t="s">
        <v>119</v>
      </c>
      <c r="Y98" s="30">
        <v>1404</v>
      </c>
      <c r="Z98" s="30" t="s">
        <v>355</v>
      </c>
      <c r="AA98" s="34">
        <v>111500</v>
      </c>
      <c r="AB98" s="35">
        <f>IF(NOT(ISNUMBER(AA98)),"(Not stated)",IF(NOT(ISNUMBER(Y98)),"(Cost year not stated)",IFERROR(IF(Z98="EUR",AA98,IF(Z98="IRR",AA98/INDEX('Assumptions &amp; FX Reference'!$C$5:$C$25,MATCH(Y98,'Assumptions &amp; FX Reference'!$A$5:$A$25,0)),IF(Z98="USD",AA98*INDEX('Assumptions &amp; FX Reference'!$B$5:$B$25,MATCH(Y98,'Assumptions &amp; FX Reference'!$A$5:$A$25,0))/INDEX('Assumptions &amp; FX Reference'!$C$5:$C$25,MATCH(Y98,'Assumptions &amp; FX Reference'!$A$5:$A$25,0)),"(Currency?)"))),"(FX rate missing)")))</f>
        <v>111500</v>
      </c>
      <c r="AC98" s="35">
        <f>IF(NOT(ISNUMBER(AA98)),"(Not stated)",IF(NOT(ISNUMBER(Y98)),"(Cost year not stated)",IFERROR(IF(Z98="USD",AA98,IF(Z98="IRR",AA98/INDEX('Assumptions &amp; FX Reference'!$B$5:$B$25,MATCH(Y98,'Assumptions &amp; FX Reference'!$A$5:$A$25,0)),IF(Z98="EUR",AA98*INDEX('Assumptions &amp; FX Reference'!$C$5:$C$25,MATCH(Y98,'Assumptions &amp; FX Reference'!$A$5:$A$25,0))/INDEX('Assumptions &amp; FX Reference'!$B$5:$B$25,MATCH(Y98,'Assumptions &amp; FX Reference'!$A$5:$A$25,0)),"(Currency?)"))),"(FX rate missing)")))</f>
        <v>117719.81358565175</v>
      </c>
      <c r="AD98" s="35">
        <f>IF(NOT(ISNUMBER(AA98)),"(Not stated)",IF(NOT(ISNUMBER(Y98)),"(Cost year not stated)",IFERROR(IF(Z98="IRR",AA98,IF(Z98="USD",AA98*INDEX('Assumptions &amp; FX Reference'!$B$5:$B$25,MATCH(Y98,'Assumptions &amp; FX Reference'!$A$5:$A$25,0)),IF(Z98="EUR",AA98*INDEX('Assumptions &amp; FX Reference'!$C$5:$C$25,MATCH(Y98,'Assumptions &amp; FX Reference'!$A$5:$A$25,0)),"(Currency?)"))),"(FX rate missing)")))</f>
        <v>77522382000</v>
      </c>
      <c r="AE98" s="30" t="s">
        <v>684</v>
      </c>
      <c r="AF98" s="30" t="s">
        <v>204</v>
      </c>
      <c r="AG98" s="35">
        <f>IF(AND(Z98="EUR",N(AA98)&gt;5000000),"(Check currency – excluded)",IF(AND(ISNUMBER(AB98),ISNUMBER(AZ98),ISNUMBER(BA98)),IF(AND(BB98="Y",ISNUMBER('Assumptions &amp; FX Reference'!$I$15)),MAX(AB98*BA98/AZ98,'Assumptions &amp; FX Reference'!$I$13*BA98/'Assumptions &amp; FX Reference'!$I$15),AB98*BA98/AZ98),"(PPI/FX missing)"))</f>
        <v>111500</v>
      </c>
      <c r="AH98" s="35">
        <f>IF(AND(ISNUMBER(AG98),ISNUMBER('Assumptions &amp; FX Reference'!$I$8),ISNUMBER('Assumptions &amp; FX Reference'!$I$11)),AG98*'Assumptions &amp; FX Reference'!$I$8/'Assumptions &amp; FX Reference'!$I$11,"")</f>
        <v>117719.81358565175</v>
      </c>
      <c r="AI98" s="35">
        <f>IF(AND(ISNUMBER(AG98),ISNUMBER('Assumptions &amp; FX Reference'!$I$8)),AG98*'Assumptions &amp; FX Reference'!$I$8,"")</f>
        <v>77522382000</v>
      </c>
      <c r="AJ98" s="30" t="s">
        <v>685</v>
      </c>
      <c r="AK98" s="30" t="s">
        <v>358</v>
      </c>
      <c r="AL98" s="30" t="s">
        <v>119</v>
      </c>
      <c r="AM98" s="30" t="s">
        <v>119</v>
      </c>
      <c r="AN98" s="30" t="s">
        <v>119</v>
      </c>
      <c r="AO98" s="30" t="s">
        <v>119</v>
      </c>
      <c r="AP98" s="30" t="s">
        <v>119</v>
      </c>
      <c r="AQ98" s="30" t="s">
        <v>119</v>
      </c>
      <c r="AR98" s="30" t="s">
        <v>119</v>
      </c>
      <c r="AS98" s="33" t="str">
        <f t="shared" si="13"/>
        <v xml:space="preserve">Seal missing; </v>
      </c>
      <c r="AT98" s="36">
        <f>IFERROR(INDEX(Factors_ROT!$F$5:$F$200,MATCH("MAT|"&amp;G98,Factors_ROT!$A$5:$A$200,0)),1)</f>
        <v>1.7</v>
      </c>
      <c r="AU98" s="36">
        <f>IFERROR(INDEX(Factors_ROT!$F$5:$F$200,MATCH("SEAL_ARR|"&amp;P98,Factors_ROT!$A$5:$A$200,0)),1)*IFERROR(INDEX(Factors_ROT!$F$5:$F$200,MATCH("SEAL_CAT|"&amp;Q98,Factors_ROT!$A$5:$A$200,0)),1)*IFERROR(INDEX(Factors_ROT!$F$5:$F$200,MATCH("SEAL_PLAN|"&amp;R98,Factors_ROT!$A$5:$A$200,0)),1)</f>
        <v>1</v>
      </c>
      <c r="AV98" s="36">
        <f>IFERROR(INDEX(Factors_ROT!$F$5:$F$200,MATCH("DRV|"&amp;S98,Factors_ROT!$A$5:$A$200,0)),1)*IFERROR(INDEX(Factors_ROT!$F$5:$F$200,MATCH("NACE|"&amp;O98,Factors_ROT!$A$5:$A$200,0)),1)</f>
        <v>1.05</v>
      </c>
      <c r="AW98" s="36">
        <f>IFERROR(INDEX(Factors_ROT!$F$5:$F$200,MATCH("SC_DRV|"&amp;AL98,Factors_ROT!$A$5:$A$200,0)),1)*IFERROR(INDEX(Factors_ROT!$F$5:$F$200,MATCH("SC_BSP|"&amp;AM98,Factors_ROT!$A$5:$A$200,0)),1)*IFERROR(INDEX(Factors_ROT!$F$5:$F$200,MATCH("SC_SEAL|"&amp;AN98,Factors_ROT!$A$5:$A$200,0)),1)*IFERROR(INDEX(Factors_ROT!$F$5:$F$200,MATCH("SC_COMM|"&amp;AO98,Factors_ROT!$A$5:$A$200,0)),1)*IFERROR(INDEX(Factors_ROT!$F$5:$F$200,MATCH("SC_2Y|"&amp;AP98,Factors_ROT!$A$5:$A$200,0)),1)*IFERROR(INDEX(Factors_ROT!$F$5:$F$200,MATCH("SC_TPI|"&amp;AQ98,Factors_ROT!$A$5:$A$200,0)),1)*IFERROR(INDEX(Factors_ROT!$F$5:$F$200,MATCH("SC_FAT|"&amp;AR98,Factors_ROT!$A$5:$A$200,0)),1)</f>
        <v>1</v>
      </c>
      <c r="AX98" s="36">
        <f t="shared" si="14"/>
        <v>1.7849999999999999</v>
      </c>
      <c r="AY98" s="35">
        <f t="shared" si="15"/>
        <v>62464.985994397764</v>
      </c>
      <c r="AZ98" s="37">
        <f>IFERROR(IF(N(INDEX(Escalation_Index!$B$5:$B$25,MATCH(Y98,Escalation_Index!$A$5:$A$25,0)))&gt;0,INDEX(Escalation_Index!$B$5:$B$25,MATCH(Y98,Escalation_Index!$A$5:$A$25,0)),""),"")</f>
        <v>123.416</v>
      </c>
      <c r="BA98" s="37">
        <f>IF(ISNUMBER('Assumptions &amp; FX Reference'!$I$12),'Assumptions &amp; FX Reference'!$I$12,"")</f>
        <v>123.416</v>
      </c>
      <c r="BB98" s="33" t="str">
        <f t="shared" si="16"/>
        <v>Y</v>
      </c>
      <c r="BC98" s="35">
        <f t="shared" si="17"/>
        <v>62464.985994397764</v>
      </c>
      <c r="BD98" s="35">
        <f>IF(AND(ISNUMBER(BC98),ISNUMBER(K98)),IF(K98&gt;0,BC98/K98^'Assumptions &amp; FX Reference'!$I$16,""),"")</f>
        <v>8383.0730277006751</v>
      </c>
      <c r="BE98" s="30" t="s">
        <v>686</v>
      </c>
      <c r="BF98" s="30" t="s">
        <v>687</v>
      </c>
      <c r="BG98" s="30" t="s">
        <v>361</v>
      </c>
    </row>
    <row r="99" spans="1:59" ht="24" customHeight="1">
      <c r="A99" s="30">
        <v>95</v>
      </c>
      <c r="B99" s="30" t="s">
        <v>613</v>
      </c>
      <c r="C99" s="30" t="s">
        <v>682</v>
      </c>
      <c r="D99" s="30" t="s">
        <v>555</v>
      </c>
      <c r="E99" s="30" t="s">
        <v>44</v>
      </c>
      <c r="F99" s="30" t="s">
        <v>188</v>
      </c>
      <c r="G99" s="30" t="s">
        <v>70</v>
      </c>
      <c r="H99" s="31">
        <v>53</v>
      </c>
      <c r="I99" s="31">
        <v>35.700000000000003</v>
      </c>
      <c r="J99" s="31"/>
      <c r="K99" s="32">
        <f>IF(ISNUMBER(J99),J99,IF(AND(ISNUMBER(H99),ISNUMBER(I99)),H99*I99/(367*'Assumptions &amp; FX Reference'!$I$17),""))</f>
        <v>8.5926430517711179</v>
      </c>
      <c r="L99" s="33" t="str">
        <f t="shared" si="12"/>
        <v>ISO 5199 + IPS-M-PM-115</v>
      </c>
      <c r="M99" s="30" t="s">
        <v>615</v>
      </c>
      <c r="N99" s="30" t="s">
        <v>616</v>
      </c>
      <c r="O99" s="38" t="s">
        <v>305</v>
      </c>
      <c r="P99" s="30" t="s">
        <v>119</v>
      </c>
      <c r="Q99" s="30" t="s">
        <v>119</v>
      </c>
      <c r="R99" s="30" t="s">
        <v>119</v>
      </c>
      <c r="S99" s="38" t="s">
        <v>297</v>
      </c>
      <c r="T99" s="30" t="s">
        <v>383</v>
      </c>
      <c r="U99" s="30">
        <v>2</v>
      </c>
      <c r="V99" s="30" t="s">
        <v>299</v>
      </c>
      <c r="W99" s="31">
        <v>2.9</v>
      </c>
      <c r="X99" s="30" t="s">
        <v>119</v>
      </c>
      <c r="Y99" s="30">
        <v>1404</v>
      </c>
      <c r="Z99" s="30" t="s">
        <v>355</v>
      </c>
      <c r="AA99" s="34">
        <v>15050</v>
      </c>
      <c r="AB99" s="35">
        <f>IF(NOT(ISNUMBER(AA99)),"(Not stated)",IF(NOT(ISNUMBER(Y99)),"(Cost year not stated)",IFERROR(IF(Z99="EUR",AA99,IF(Z99="IRR",AA99/INDEX('Assumptions &amp; FX Reference'!$C$5:$C$25,MATCH(Y99,'Assumptions &amp; FX Reference'!$A$5:$A$25,0)),IF(Z99="USD",AA99*INDEX('Assumptions &amp; FX Reference'!$B$5:$B$25,MATCH(Y99,'Assumptions &amp; FX Reference'!$A$5:$A$25,0))/INDEX('Assumptions &amp; FX Reference'!$C$5:$C$25,MATCH(Y99,'Assumptions &amp; FX Reference'!$A$5:$A$25,0)),"(Currency?)"))),"(FX rate missing)")))</f>
        <v>15050</v>
      </c>
      <c r="AC99" s="35">
        <f>IF(NOT(ISNUMBER(AA99)),"(Not stated)",IF(NOT(ISNUMBER(Y99)),"(Cost year not stated)",IFERROR(IF(Z99="USD",AA99,IF(Z99="IRR",AA99/INDEX('Assumptions &amp; FX Reference'!$B$5:$B$25,MATCH(Y99,'Assumptions &amp; FX Reference'!$A$5:$A$25,0)),IF(Z99="EUR",AA99*INDEX('Assumptions &amp; FX Reference'!$C$5:$C$25,MATCH(Y99,'Assumptions &amp; FX Reference'!$A$5:$A$25,0))/INDEX('Assumptions &amp; FX Reference'!$B$5:$B$25,MATCH(Y99,'Assumptions &amp; FX Reference'!$A$5:$A$25,0)),"(Currency?)"))),"(FX rate missing)")))</f>
        <v>15889.535376359272</v>
      </c>
      <c r="AD99" s="35">
        <f>IF(NOT(ISNUMBER(AA99)),"(Not stated)",IF(NOT(ISNUMBER(Y99)),"(Cost year not stated)",IFERROR(IF(Z99="IRR",AA99,IF(Z99="USD",AA99*INDEX('Assumptions &amp; FX Reference'!$B$5:$B$25,MATCH(Y99,'Assumptions &amp; FX Reference'!$A$5:$A$25,0)),IF(Z99="EUR",AA99*INDEX('Assumptions &amp; FX Reference'!$C$5:$C$25,MATCH(Y99,'Assumptions &amp; FX Reference'!$A$5:$A$25,0)),"(Currency?)"))),"(FX rate missing)")))</f>
        <v>10463783400</v>
      </c>
      <c r="AE99" s="30" t="s">
        <v>684</v>
      </c>
      <c r="AF99" s="30" t="s">
        <v>204</v>
      </c>
      <c r="AG99" s="35">
        <f>IF(AND(Z99="EUR",N(AA99)&gt;5000000),"(Check currency – excluded)",IF(AND(ISNUMBER(AB99),ISNUMBER(AZ99),ISNUMBER(BA99)),IF(AND(BB99="Y",ISNUMBER('Assumptions &amp; FX Reference'!$I$15)),MAX(AB99*BA99/AZ99,'Assumptions &amp; FX Reference'!$I$13*BA99/'Assumptions &amp; FX Reference'!$I$15),AB99*BA99/AZ99),"(PPI/FX missing)"))</f>
        <v>15050</v>
      </c>
      <c r="AH99" s="35">
        <f>IF(AND(ISNUMBER(AG99),ISNUMBER('Assumptions &amp; FX Reference'!$I$8),ISNUMBER('Assumptions &amp; FX Reference'!$I$11)),AG99*'Assumptions &amp; FX Reference'!$I$8/'Assumptions &amp; FX Reference'!$I$11,"")</f>
        <v>15889.535376359272</v>
      </c>
      <c r="AI99" s="35">
        <f>IF(AND(ISNUMBER(AG99),ISNUMBER('Assumptions &amp; FX Reference'!$I$8)),AG99*'Assumptions &amp; FX Reference'!$I$8,"")</f>
        <v>10463783400</v>
      </c>
      <c r="AJ99" s="30" t="s">
        <v>685</v>
      </c>
      <c r="AK99" s="30" t="s">
        <v>358</v>
      </c>
      <c r="AL99" s="30" t="s">
        <v>119</v>
      </c>
      <c r="AM99" s="30" t="s">
        <v>119</v>
      </c>
      <c r="AN99" s="30" t="s">
        <v>119</v>
      </c>
      <c r="AO99" s="30" t="s">
        <v>119</v>
      </c>
      <c r="AP99" s="30" t="s">
        <v>119</v>
      </c>
      <c r="AQ99" s="30" t="s">
        <v>119</v>
      </c>
      <c r="AR99" s="30" t="s">
        <v>119</v>
      </c>
      <c r="AS99" s="33" t="str">
        <f t="shared" si="13"/>
        <v xml:space="preserve">Seal missing; </v>
      </c>
      <c r="AT99" s="36">
        <f>IFERROR(INDEX(Factors_ROT!$F$5:$F$200,MATCH("MAT|"&amp;G99,Factors_ROT!$A$5:$A$200,0)),1)</f>
        <v>0.8</v>
      </c>
      <c r="AU99" s="36">
        <f>IFERROR(INDEX(Factors_ROT!$F$5:$F$200,MATCH("SEAL_ARR|"&amp;P99,Factors_ROT!$A$5:$A$200,0)),1)*IFERROR(INDEX(Factors_ROT!$F$5:$F$200,MATCH("SEAL_CAT|"&amp;Q99,Factors_ROT!$A$5:$A$200,0)),1)*IFERROR(INDEX(Factors_ROT!$F$5:$F$200,MATCH("SEAL_PLAN|"&amp;R99,Factors_ROT!$A$5:$A$200,0)),1)</f>
        <v>1</v>
      </c>
      <c r="AV99" s="36">
        <f>IFERROR(INDEX(Factors_ROT!$F$5:$F$200,MATCH("DRV|"&amp;S99,Factors_ROT!$A$5:$A$200,0)),1)*IFERROR(INDEX(Factors_ROT!$F$5:$F$200,MATCH("NACE|"&amp;O99,Factors_ROT!$A$5:$A$200,0)),1)</f>
        <v>1</v>
      </c>
      <c r="AW99" s="36">
        <f>IFERROR(INDEX(Factors_ROT!$F$5:$F$200,MATCH("SC_DRV|"&amp;AL99,Factors_ROT!$A$5:$A$200,0)),1)*IFERROR(INDEX(Factors_ROT!$F$5:$F$200,MATCH("SC_BSP|"&amp;AM99,Factors_ROT!$A$5:$A$200,0)),1)*IFERROR(INDEX(Factors_ROT!$F$5:$F$200,MATCH("SC_SEAL|"&amp;AN99,Factors_ROT!$A$5:$A$200,0)),1)*IFERROR(INDEX(Factors_ROT!$F$5:$F$200,MATCH("SC_COMM|"&amp;AO99,Factors_ROT!$A$5:$A$200,0)),1)*IFERROR(INDEX(Factors_ROT!$F$5:$F$200,MATCH("SC_2Y|"&amp;AP99,Factors_ROT!$A$5:$A$200,0)),1)*IFERROR(INDEX(Factors_ROT!$F$5:$F$200,MATCH("SC_TPI|"&amp;AQ99,Factors_ROT!$A$5:$A$200,0)),1)*IFERROR(INDEX(Factors_ROT!$F$5:$F$200,MATCH("SC_FAT|"&amp;AR99,Factors_ROT!$A$5:$A$200,0)),1)</f>
        <v>1</v>
      </c>
      <c r="AX99" s="36">
        <f t="shared" si="14"/>
        <v>0.8</v>
      </c>
      <c r="AY99" s="35">
        <f t="shared" si="15"/>
        <v>18812.5</v>
      </c>
      <c r="AZ99" s="37">
        <f>IFERROR(IF(N(INDEX(Escalation_Index!$B$5:$B$25,MATCH(Y99,Escalation_Index!$A$5:$A$25,0)))&gt;0,INDEX(Escalation_Index!$B$5:$B$25,MATCH(Y99,Escalation_Index!$A$5:$A$25,0)),""),"")</f>
        <v>123.416</v>
      </c>
      <c r="BA99" s="37">
        <f>IF(ISNUMBER('Assumptions &amp; FX Reference'!$I$12),'Assumptions &amp; FX Reference'!$I$12,"")</f>
        <v>123.416</v>
      </c>
      <c r="BB99" s="33" t="str">
        <f t="shared" si="16"/>
        <v>N</v>
      </c>
      <c r="BC99" s="35">
        <f t="shared" si="17"/>
        <v>18812.5</v>
      </c>
      <c r="BD99" s="35">
        <f>IF(AND(ISNUMBER(BC99),ISNUMBER(K99)),IF(K99&gt;0,BC99/K99^'Assumptions &amp; FX Reference'!$I$16,""),"")</f>
        <v>5175.7161480812338</v>
      </c>
      <c r="BE99" s="30" t="s">
        <v>688</v>
      </c>
      <c r="BF99" s="30" t="s">
        <v>689</v>
      </c>
      <c r="BG99" s="30" t="s">
        <v>361</v>
      </c>
    </row>
    <row r="100" spans="1:59" ht="24" customHeight="1">
      <c r="A100" s="30">
        <v>96</v>
      </c>
      <c r="B100" s="30" t="s">
        <v>504</v>
      </c>
      <c r="C100" s="30" t="s">
        <v>682</v>
      </c>
      <c r="D100" s="30" t="s">
        <v>690</v>
      </c>
      <c r="E100" s="30" t="s">
        <v>44</v>
      </c>
      <c r="F100" s="30" t="s">
        <v>128</v>
      </c>
      <c r="G100" s="30" t="s">
        <v>70</v>
      </c>
      <c r="H100" s="31">
        <v>53</v>
      </c>
      <c r="I100" s="31">
        <v>122.3</v>
      </c>
      <c r="J100" s="31"/>
      <c r="K100" s="32">
        <f>IF(ISNUMBER(J100),J100,IF(AND(ISNUMBER(H100),ISNUMBER(I100)),H100*I100/(367*'Assumptions &amp; FX Reference'!$I$17),""))</f>
        <v>29.436421435059039</v>
      </c>
      <c r="L100" s="33" t="str">
        <f t="shared" si="12"/>
        <v>API 610 + IPS-G-PM-105</v>
      </c>
      <c r="M100" s="30" t="s">
        <v>470</v>
      </c>
      <c r="N100" s="30" t="s">
        <v>471</v>
      </c>
      <c r="O100" s="38" t="s">
        <v>305</v>
      </c>
      <c r="P100" s="30" t="s">
        <v>119</v>
      </c>
      <c r="Q100" s="30" t="s">
        <v>119</v>
      </c>
      <c r="R100" s="30" t="s">
        <v>119</v>
      </c>
      <c r="S100" s="38" t="s">
        <v>297</v>
      </c>
      <c r="T100" s="30" t="s">
        <v>319</v>
      </c>
      <c r="U100" s="30">
        <v>1</v>
      </c>
      <c r="V100" s="30" t="s">
        <v>299</v>
      </c>
      <c r="W100" s="31">
        <v>12</v>
      </c>
      <c r="X100" s="30" t="s">
        <v>119</v>
      </c>
      <c r="Y100" s="30">
        <v>1404</v>
      </c>
      <c r="Z100" s="30" t="s">
        <v>355</v>
      </c>
      <c r="AA100" s="34">
        <v>22250</v>
      </c>
      <c r="AB100" s="35">
        <f>IF(NOT(ISNUMBER(AA100)),"(Not stated)",IF(NOT(ISNUMBER(Y100)),"(Cost year not stated)",IFERROR(IF(Z100="EUR",AA100,IF(Z100="IRR",AA100/INDEX('Assumptions &amp; FX Reference'!$C$5:$C$25,MATCH(Y100,'Assumptions &amp; FX Reference'!$A$5:$A$25,0)),IF(Z100="USD",AA100*INDEX('Assumptions &amp; FX Reference'!$B$5:$B$25,MATCH(Y100,'Assumptions &amp; FX Reference'!$A$5:$A$25,0))/INDEX('Assumptions &amp; FX Reference'!$C$5:$C$25,MATCH(Y100,'Assumptions &amp; FX Reference'!$A$5:$A$25,0)),"(Currency?)"))),"(FX rate missing)")))</f>
        <v>22250</v>
      </c>
      <c r="AC100" s="35">
        <f>IF(NOT(ISNUMBER(AA100)),"(Not stated)",IF(NOT(ISNUMBER(Y100)),"(Cost year not stated)",IFERROR(IF(Z100="USD",AA100,IF(Z100="IRR",AA100/INDEX('Assumptions &amp; FX Reference'!$B$5:$B$25,MATCH(Y100,'Assumptions &amp; FX Reference'!$A$5:$A$25,0)),IF(Z100="EUR",AA100*INDEX('Assumptions &amp; FX Reference'!$C$5:$C$25,MATCH(Y100,'Assumptions &amp; FX Reference'!$A$5:$A$25,0))/INDEX('Assumptions &amp; FX Reference'!$B$5:$B$25,MATCH(Y100,'Assumptions &amp; FX Reference'!$A$5:$A$25,0)),"(Currency?)"))),"(FX rate missing)")))</f>
        <v>23491.173563056065</v>
      </c>
      <c r="AD100" s="35">
        <f>IF(NOT(ISNUMBER(AA100)),"(Not stated)",IF(NOT(ISNUMBER(Y100)),"(Cost year not stated)",IFERROR(IF(Z100="IRR",AA100,IF(Z100="USD",AA100*INDEX('Assumptions &amp; FX Reference'!$B$5:$B$25,MATCH(Y100,'Assumptions &amp; FX Reference'!$A$5:$A$25,0)),IF(Z100="EUR",AA100*INDEX('Assumptions &amp; FX Reference'!$C$5:$C$25,MATCH(Y100,'Assumptions &amp; FX Reference'!$A$5:$A$25,0)),"(Currency?)"))),"(FX rate missing)")))</f>
        <v>15469713000</v>
      </c>
      <c r="AE100" s="30" t="s">
        <v>684</v>
      </c>
      <c r="AF100" s="30" t="s">
        <v>204</v>
      </c>
      <c r="AG100" s="35">
        <f>IF(AND(Z100="EUR",N(AA100)&gt;5000000),"(Check currency – excluded)",IF(AND(ISNUMBER(AB100),ISNUMBER(AZ100),ISNUMBER(BA100)),IF(AND(BB100="Y",ISNUMBER('Assumptions &amp; FX Reference'!$I$15)),MAX(AB100*BA100/AZ100,'Assumptions &amp; FX Reference'!$I$13*BA100/'Assumptions &amp; FX Reference'!$I$15),AB100*BA100/AZ100),"(PPI/FX missing)"))</f>
        <v>22250</v>
      </c>
      <c r="AH100" s="35">
        <f>IF(AND(ISNUMBER(AG100),ISNUMBER('Assumptions &amp; FX Reference'!$I$8),ISNUMBER('Assumptions &amp; FX Reference'!$I$11)),AG100*'Assumptions &amp; FX Reference'!$I$8/'Assumptions &amp; FX Reference'!$I$11,"")</f>
        <v>23491.173563056065</v>
      </c>
      <c r="AI100" s="35">
        <f>IF(AND(ISNUMBER(AG100),ISNUMBER('Assumptions &amp; FX Reference'!$I$8)),AG100*'Assumptions &amp; FX Reference'!$I$8,"")</f>
        <v>15469713000</v>
      </c>
      <c r="AJ100" s="30" t="s">
        <v>685</v>
      </c>
      <c r="AK100" s="30" t="s">
        <v>358</v>
      </c>
      <c r="AL100" s="30" t="s">
        <v>119</v>
      </c>
      <c r="AM100" s="30" t="s">
        <v>119</v>
      </c>
      <c r="AN100" s="30" t="s">
        <v>119</v>
      </c>
      <c r="AO100" s="30" t="s">
        <v>119</v>
      </c>
      <c r="AP100" s="30" t="s">
        <v>119</v>
      </c>
      <c r="AQ100" s="30" t="s">
        <v>119</v>
      </c>
      <c r="AR100" s="30" t="s">
        <v>119</v>
      </c>
      <c r="AS100" s="33" t="str">
        <f t="shared" si="13"/>
        <v xml:space="preserve">Seal missing; </v>
      </c>
      <c r="AT100" s="36">
        <f>IFERROR(INDEX(Factors_ROT!$F$5:$F$200,MATCH("MAT|"&amp;G100,Factors_ROT!$A$5:$A$200,0)),1)</f>
        <v>0.8</v>
      </c>
      <c r="AU100" s="36">
        <f>IFERROR(INDEX(Factors_ROT!$F$5:$F$200,MATCH("SEAL_ARR|"&amp;P100,Factors_ROT!$A$5:$A$200,0)),1)*IFERROR(INDEX(Factors_ROT!$F$5:$F$200,MATCH("SEAL_CAT|"&amp;Q100,Factors_ROT!$A$5:$A$200,0)),1)*IFERROR(INDEX(Factors_ROT!$F$5:$F$200,MATCH("SEAL_PLAN|"&amp;R100,Factors_ROT!$A$5:$A$200,0)),1)</f>
        <v>1</v>
      </c>
      <c r="AV100" s="36">
        <f>IFERROR(INDEX(Factors_ROT!$F$5:$F$200,MATCH("DRV|"&amp;S100,Factors_ROT!$A$5:$A$200,0)),1)*IFERROR(INDEX(Factors_ROT!$F$5:$F$200,MATCH("NACE|"&amp;O100,Factors_ROT!$A$5:$A$200,0)),1)</f>
        <v>1</v>
      </c>
      <c r="AW100" s="36">
        <f>IFERROR(INDEX(Factors_ROT!$F$5:$F$200,MATCH("SC_DRV|"&amp;AL100,Factors_ROT!$A$5:$A$200,0)),1)*IFERROR(INDEX(Factors_ROT!$F$5:$F$200,MATCH("SC_BSP|"&amp;AM100,Factors_ROT!$A$5:$A$200,0)),1)*IFERROR(INDEX(Factors_ROT!$F$5:$F$200,MATCH("SC_SEAL|"&amp;AN100,Factors_ROT!$A$5:$A$200,0)),1)*IFERROR(INDEX(Factors_ROT!$F$5:$F$200,MATCH("SC_COMM|"&amp;AO100,Factors_ROT!$A$5:$A$200,0)),1)*IFERROR(INDEX(Factors_ROT!$F$5:$F$200,MATCH("SC_2Y|"&amp;AP100,Factors_ROT!$A$5:$A$200,0)),1)*IFERROR(INDEX(Factors_ROT!$F$5:$F$200,MATCH("SC_TPI|"&amp;AQ100,Factors_ROT!$A$5:$A$200,0)),1)*IFERROR(INDEX(Factors_ROT!$F$5:$F$200,MATCH("SC_FAT|"&amp;AR100,Factors_ROT!$A$5:$A$200,0)),1)</f>
        <v>1</v>
      </c>
      <c r="AX100" s="36">
        <f t="shared" si="14"/>
        <v>0.8</v>
      </c>
      <c r="AY100" s="35">
        <f t="shared" si="15"/>
        <v>27812.5</v>
      </c>
      <c r="AZ100" s="37">
        <f>IFERROR(IF(N(INDEX(Escalation_Index!$B$5:$B$25,MATCH(Y100,Escalation_Index!$A$5:$A$25,0)))&gt;0,INDEX(Escalation_Index!$B$5:$B$25,MATCH(Y100,Escalation_Index!$A$5:$A$25,0)),""),"")</f>
        <v>123.416</v>
      </c>
      <c r="BA100" s="37">
        <f>IF(ISNUMBER('Assumptions &amp; FX Reference'!$I$12),'Assumptions &amp; FX Reference'!$I$12,"")</f>
        <v>123.416</v>
      </c>
      <c r="BB100" s="33" t="str">
        <f t="shared" si="16"/>
        <v>N</v>
      </c>
      <c r="BC100" s="35">
        <f t="shared" si="17"/>
        <v>27812.5</v>
      </c>
      <c r="BD100" s="35">
        <f>IF(AND(ISNUMBER(BC100),ISNUMBER(K100)),IF(K100&gt;0,BC100/K100^'Assumptions &amp; FX Reference'!$I$16,""),"")</f>
        <v>3655.1821242352303</v>
      </c>
      <c r="BE100" s="30" t="s">
        <v>691</v>
      </c>
      <c r="BF100" s="30" t="s">
        <v>692</v>
      </c>
      <c r="BG100" s="30" t="s">
        <v>361</v>
      </c>
    </row>
    <row r="101" spans="1:59" ht="24" customHeight="1">
      <c r="A101" s="30">
        <v>97</v>
      </c>
      <c r="B101" s="30" t="s">
        <v>500</v>
      </c>
      <c r="C101" s="30" t="s">
        <v>682</v>
      </c>
      <c r="D101" s="30" t="s">
        <v>693</v>
      </c>
      <c r="E101" s="30" t="s">
        <v>44</v>
      </c>
      <c r="F101" s="30" t="s">
        <v>128</v>
      </c>
      <c r="G101" s="30" t="s">
        <v>70</v>
      </c>
      <c r="H101" s="31">
        <v>31</v>
      </c>
      <c r="I101" s="31">
        <v>122</v>
      </c>
      <c r="J101" s="31"/>
      <c r="K101" s="32">
        <f>IF(ISNUMBER(J101),J101,IF(AND(ISNUMBER(H101),ISNUMBER(I101)),H101*I101/(367*'Assumptions &amp; FX Reference'!$I$17),""))</f>
        <v>17.175295186194369</v>
      </c>
      <c r="L101" s="33" t="str">
        <f t="shared" ref="L101:L132" si="18">IF(IF(OR(M101="Not stated",M101=""),""," + "&amp;M101)&amp;IF(OR(N101="None",N101=""),""," + "&amp;N101)&amp;IF(O101="Y"," + NACE MR0175","")="","Not stated",MID(IF(OR(M101="Not stated",M101=""),""," + "&amp;M101)&amp;IF(OR(N101="None",N101=""),""," + "&amp;N101)&amp;IF(O101="Y"," + NACE MR0175",""),4,300))</f>
        <v>API 610 + IPS-G-PM-105</v>
      </c>
      <c r="M101" s="30" t="s">
        <v>470</v>
      </c>
      <c r="N101" s="30" t="s">
        <v>471</v>
      </c>
      <c r="O101" s="38" t="s">
        <v>305</v>
      </c>
      <c r="P101" s="30" t="s">
        <v>119</v>
      </c>
      <c r="Q101" s="30" t="s">
        <v>119</v>
      </c>
      <c r="R101" s="30" t="s">
        <v>119</v>
      </c>
      <c r="S101" s="38" t="s">
        <v>297</v>
      </c>
      <c r="T101" s="30" t="s">
        <v>319</v>
      </c>
      <c r="U101" s="30">
        <v>2</v>
      </c>
      <c r="V101" s="30" t="s">
        <v>299</v>
      </c>
      <c r="W101" s="31">
        <v>13</v>
      </c>
      <c r="X101" s="30" t="s">
        <v>119</v>
      </c>
      <c r="Y101" s="30">
        <v>1404</v>
      </c>
      <c r="Z101" s="30" t="s">
        <v>355</v>
      </c>
      <c r="AA101" s="34">
        <v>21500</v>
      </c>
      <c r="AB101" s="35">
        <f>IF(NOT(ISNUMBER(AA101)),"(Not stated)",IF(NOT(ISNUMBER(Y101)),"(Cost year not stated)",IFERROR(IF(Z101="EUR",AA101,IF(Z101="IRR",AA101/INDEX('Assumptions &amp; FX Reference'!$C$5:$C$25,MATCH(Y101,'Assumptions &amp; FX Reference'!$A$5:$A$25,0)),IF(Z101="USD",AA101*INDEX('Assumptions &amp; FX Reference'!$B$5:$B$25,MATCH(Y101,'Assumptions &amp; FX Reference'!$A$5:$A$25,0))/INDEX('Assumptions &amp; FX Reference'!$C$5:$C$25,MATCH(Y101,'Assumptions &amp; FX Reference'!$A$5:$A$25,0)),"(Currency?)"))),"(FX rate missing)")))</f>
        <v>21500</v>
      </c>
      <c r="AC101" s="35">
        <f>IF(NOT(ISNUMBER(AA101)),"(Not stated)",IF(NOT(ISNUMBER(Y101)),"(Cost year not stated)",IFERROR(IF(Z101="USD",AA101,IF(Z101="IRR",AA101/INDEX('Assumptions &amp; FX Reference'!$B$5:$B$25,MATCH(Y101,'Assumptions &amp; FX Reference'!$A$5:$A$25,0)),IF(Z101="EUR",AA101*INDEX('Assumptions &amp; FX Reference'!$C$5:$C$25,MATCH(Y101,'Assumptions &amp; FX Reference'!$A$5:$A$25,0))/INDEX('Assumptions &amp; FX Reference'!$B$5:$B$25,MATCH(Y101,'Assumptions &amp; FX Reference'!$A$5:$A$25,0)),"(Currency?)"))),"(FX rate missing)")))</f>
        <v>22699.336251941815</v>
      </c>
      <c r="AD101" s="35">
        <f>IF(NOT(ISNUMBER(AA101)),"(Not stated)",IF(NOT(ISNUMBER(Y101)),"(Cost year not stated)",IFERROR(IF(Z101="IRR",AA101,IF(Z101="USD",AA101*INDEX('Assumptions &amp; FX Reference'!$B$5:$B$25,MATCH(Y101,'Assumptions &amp; FX Reference'!$A$5:$A$25,0)),IF(Z101="EUR",AA101*INDEX('Assumptions &amp; FX Reference'!$C$5:$C$25,MATCH(Y101,'Assumptions &amp; FX Reference'!$A$5:$A$25,0)),"(Currency?)"))),"(FX rate missing)")))</f>
        <v>14948262000</v>
      </c>
      <c r="AE101" s="30" t="s">
        <v>684</v>
      </c>
      <c r="AF101" s="30" t="s">
        <v>204</v>
      </c>
      <c r="AG101" s="35">
        <f>IF(AND(Z101="EUR",N(AA101)&gt;5000000),"(Check currency – excluded)",IF(AND(ISNUMBER(AB101),ISNUMBER(AZ101),ISNUMBER(BA101)),IF(AND(BB101="Y",ISNUMBER('Assumptions &amp; FX Reference'!$I$15)),MAX(AB101*BA101/AZ101,'Assumptions &amp; FX Reference'!$I$13*BA101/'Assumptions &amp; FX Reference'!$I$15),AB101*BA101/AZ101),"(PPI/FX missing)"))</f>
        <v>21500</v>
      </c>
      <c r="AH101" s="35">
        <f>IF(AND(ISNUMBER(AG101),ISNUMBER('Assumptions &amp; FX Reference'!$I$8),ISNUMBER('Assumptions &amp; FX Reference'!$I$11)),AG101*'Assumptions &amp; FX Reference'!$I$8/'Assumptions &amp; FX Reference'!$I$11,"")</f>
        <v>22699.336251941815</v>
      </c>
      <c r="AI101" s="35">
        <f>IF(AND(ISNUMBER(AG101),ISNUMBER('Assumptions &amp; FX Reference'!$I$8)),AG101*'Assumptions &amp; FX Reference'!$I$8,"")</f>
        <v>14948262000</v>
      </c>
      <c r="AJ101" s="30" t="s">
        <v>685</v>
      </c>
      <c r="AK101" s="30" t="s">
        <v>358</v>
      </c>
      <c r="AL101" s="30" t="s">
        <v>119</v>
      </c>
      <c r="AM101" s="30" t="s">
        <v>119</v>
      </c>
      <c r="AN101" s="30" t="s">
        <v>119</v>
      </c>
      <c r="AO101" s="30" t="s">
        <v>119</v>
      </c>
      <c r="AP101" s="30" t="s">
        <v>119</v>
      </c>
      <c r="AQ101" s="30" t="s">
        <v>119</v>
      </c>
      <c r="AR101" s="30" t="s">
        <v>119</v>
      </c>
      <c r="AS101" s="33" t="str">
        <f t="shared" ref="AS101:AS132" si="19">IF(AND(Z101="EUR",N(AA101)&gt;5000000),"Check currency (EUR&gt;5M); ","")&amp;IF(NOT(ISNUMBER(AA101)),"No price; ","")&amp;IF(G101="Not stated","Material missing; ","")&amp;IF(P101="Not stated","Seal missing; ","")&amp;IF(K101="","Size driver missing; ","")&amp;IF(NOT(ISNUMBER(AZ101)),"Base-year PPI missing; ","")</f>
        <v xml:space="preserve">Seal missing; </v>
      </c>
      <c r="AT101" s="36">
        <f>IFERROR(INDEX(Factors_ROT!$F$5:$F$200,MATCH("MAT|"&amp;G101,Factors_ROT!$A$5:$A$200,0)),1)</f>
        <v>0.8</v>
      </c>
      <c r="AU101" s="36">
        <f>IFERROR(INDEX(Factors_ROT!$F$5:$F$200,MATCH("SEAL_ARR|"&amp;P101,Factors_ROT!$A$5:$A$200,0)),1)*IFERROR(INDEX(Factors_ROT!$F$5:$F$200,MATCH("SEAL_CAT|"&amp;Q101,Factors_ROT!$A$5:$A$200,0)),1)*IFERROR(INDEX(Factors_ROT!$F$5:$F$200,MATCH("SEAL_PLAN|"&amp;R101,Factors_ROT!$A$5:$A$200,0)),1)</f>
        <v>1</v>
      </c>
      <c r="AV101" s="36">
        <f>IFERROR(INDEX(Factors_ROT!$F$5:$F$200,MATCH("DRV|"&amp;S101,Factors_ROT!$A$5:$A$200,0)),1)*IFERROR(INDEX(Factors_ROT!$F$5:$F$200,MATCH("NACE|"&amp;O101,Factors_ROT!$A$5:$A$200,0)),1)</f>
        <v>1</v>
      </c>
      <c r="AW101" s="36">
        <f>IFERROR(INDEX(Factors_ROT!$F$5:$F$200,MATCH("SC_DRV|"&amp;AL101,Factors_ROT!$A$5:$A$200,0)),1)*IFERROR(INDEX(Factors_ROT!$F$5:$F$200,MATCH("SC_BSP|"&amp;AM101,Factors_ROT!$A$5:$A$200,0)),1)*IFERROR(INDEX(Factors_ROT!$F$5:$F$200,MATCH("SC_SEAL|"&amp;AN101,Factors_ROT!$A$5:$A$200,0)),1)*IFERROR(INDEX(Factors_ROT!$F$5:$F$200,MATCH("SC_COMM|"&amp;AO101,Factors_ROT!$A$5:$A$200,0)),1)*IFERROR(INDEX(Factors_ROT!$F$5:$F$200,MATCH("SC_2Y|"&amp;AP101,Factors_ROT!$A$5:$A$200,0)),1)*IFERROR(INDEX(Factors_ROT!$F$5:$F$200,MATCH("SC_TPI|"&amp;AQ101,Factors_ROT!$A$5:$A$200,0)),1)*IFERROR(INDEX(Factors_ROT!$F$5:$F$200,MATCH("SC_FAT|"&amp;AR101,Factors_ROT!$A$5:$A$200,0)),1)</f>
        <v>1</v>
      </c>
      <c r="AX101" s="36">
        <f t="shared" ref="AX101:AX132" si="20">AT101*AU101*AV101*AW101</f>
        <v>0.8</v>
      </c>
      <c r="AY101" s="35">
        <f t="shared" ref="AY101:AY132" si="21">IF(ISNUMBER(AB101),AB101/AX101,"")</f>
        <v>26875</v>
      </c>
      <c r="AZ101" s="37">
        <f>IFERROR(IF(N(INDEX(Escalation_Index!$B$5:$B$25,MATCH(Y101,Escalation_Index!$A$5:$A$25,0)))&gt;0,INDEX(Escalation_Index!$B$5:$B$25,MATCH(Y101,Escalation_Index!$A$5:$A$25,0)),""),"")</f>
        <v>123.416</v>
      </c>
      <c r="BA101" s="37">
        <f>IF(ISNUMBER('Assumptions &amp; FX Reference'!$I$12),'Assumptions &amp; FX Reference'!$I$12,"")</f>
        <v>123.416</v>
      </c>
      <c r="BB101" s="33" t="str">
        <f t="shared" ref="BB101:BB132" si="22">IF(AND(M101="API 610",LEFT(V101,11)="Centrifugal",OR(LEFT(G101,2)="S-",LEFT(G101,2)="D-")),"Y","N")</f>
        <v>N</v>
      </c>
      <c r="BC101" s="35">
        <f t="shared" ref="BC101:BC132" si="23">IF(ISNUMBER(AG101),AG101/AX101,"")</f>
        <v>26875</v>
      </c>
      <c r="BD101" s="35">
        <f>IF(AND(ISNUMBER(BC101),ISNUMBER(K101)),IF(K101&gt;0,BC101/K101^'Assumptions &amp; FX Reference'!$I$16,""),"")</f>
        <v>4879.8440944198792</v>
      </c>
      <c r="BE101" s="30" t="s">
        <v>694</v>
      </c>
      <c r="BF101" s="30" t="s">
        <v>695</v>
      </c>
      <c r="BG101" s="30" t="s">
        <v>361</v>
      </c>
    </row>
    <row r="102" spans="1:59" ht="24" customHeight="1">
      <c r="A102" s="30">
        <v>98</v>
      </c>
      <c r="B102" s="30" t="s">
        <v>696</v>
      </c>
      <c r="C102" s="30" t="s">
        <v>682</v>
      </c>
      <c r="D102" s="30" t="s">
        <v>489</v>
      </c>
      <c r="E102" s="30" t="s">
        <v>47</v>
      </c>
      <c r="F102" s="30" t="s">
        <v>149</v>
      </c>
      <c r="G102" s="30" t="s">
        <v>111</v>
      </c>
      <c r="H102" s="31">
        <v>91</v>
      </c>
      <c r="I102" s="31">
        <v>650</v>
      </c>
      <c r="J102" s="31"/>
      <c r="K102" s="32">
        <f>IF(ISNUMBER(J102),J102,IF(AND(ISNUMBER(H102),ISNUMBER(I102)),H102*I102/(367*'Assumptions &amp; FX Reference'!$I$17),""))</f>
        <v>268.61943687556766</v>
      </c>
      <c r="L102" s="33" t="str">
        <f t="shared" si="18"/>
        <v>API 610 + IPS-G-PM-105 + NACE MR0175</v>
      </c>
      <c r="M102" s="30" t="s">
        <v>470</v>
      </c>
      <c r="N102" s="30" t="s">
        <v>471</v>
      </c>
      <c r="O102" s="30" t="s">
        <v>361</v>
      </c>
      <c r="P102" s="30" t="s">
        <v>119</v>
      </c>
      <c r="Q102" s="30" t="s">
        <v>119</v>
      </c>
      <c r="R102" s="30" t="s">
        <v>119</v>
      </c>
      <c r="S102" s="38" t="s">
        <v>297</v>
      </c>
      <c r="T102" s="30" t="s">
        <v>326</v>
      </c>
      <c r="U102" s="30">
        <v>2</v>
      </c>
      <c r="V102" s="30" t="s">
        <v>299</v>
      </c>
      <c r="W102" s="31">
        <v>72.8</v>
      </c>
      <c r="X102" s="30" t="s">
        <v>119</v>
      </c>
      <c r="Y102" s="30">
        <v>1404</v>
      </c>
      <c r="Z102" s="30" t="s">
        <v>355</v>
      </c>
      <c r="AA102" s="34">
        <v>317500</v>
      </c>
      <c r="AB102" s="35">
        <f>IF(NOT(ISNUMBER(AA102)),"(Not stated)",IF(NOT(ISNUMBER(Y102)),"(Cost year not stated)",IFERROR(IF(Z102="EUR",AA102,IF(Z102="IRR",AA102/INDEX('Assumptions &amp; FX Reference'!$C$5:$C$25,MATCH(Y102,'Assumptions &amp; FX Reference'!$A$5:$A$25,0)),IF(Z102="USD",AA102*INDEX('Assumptions &amp; FX Reference'!$B$5:$B$25,MATCH(Y102,'Assumptions &amp; FX Reference'!$A$5:$A$25,0))/INDEX('Assumptions &amp; FX Reference'!$C$5:$C$25,MATCH(Y102,'Assumptions &amp; FX Reference'!$A$5:$A$25,0)),"(Currency?)"))),"(FX rate missing)")))</f>
        <v>317500</v>
      </c>
      <c r="AC102" s="35">
        <f>IF(NOT(ISNUMBER(AA102)),"(Not stated)",IF(NOT(ISNUMBER(Y102)),"(Cost year not stated)",IFERROR(IF(Z102="USD",AA102,IF(Z102="IRR",AA102/INDEX('Assumptions &amp; FX Reference'!$B$5:$B$25,MATCH(Y102,'Assumptions &amp; FX Reference'!$A$5:$A$25,0)),IF(Z102="EUR",AA102*INDEX('Assumptions &amp; FX Reference'!$C$5:$C$25,MATCH(Y102,'Assumptions &amp; FX Reference'!$A$5:$A$25,0))/INDEX('Assumptions &amp; FX Reference'!$B$5:$B$25,MATCH(Y102,'Assumptions &amp; FX Reference'!$A$5:$A$25,0)),"(Currency?)"))),"(FX rate missing)")))</f>
        <v>335211.1283716989</v>
      </c>
      <c r="AD102" s="35">
        <f>IF(NOT(ISNUMBER(AA102)),"(Not stated)",IF(NOT(ISNUMBER(Y102)),"(Cost year not stated)",IFERROR(IF(Z102="IRR",AA102,IF(Z102="USD",AA102*INDEX('Assumptions &amp; FX Reference'!$B$5:$B$25,MATCH(Y102,'Assumptions &amp; FX Reference'!$A$5:$A$25,0)),IF(Z102="EUR",AA102*INDEX('Assumptions &amp; FX Reference'!$C$5:$C$25,MATCH(Y102,'Assumptions &amp; FX Reference'!$A$5:$A$25,0)),"(Currency?)"))),"(FX rate missing)")))</f>
        <v>220747590000</v>
      </c>
      <c r="AE102" s="30" t="s">
        <v>684</v>
      </c>
      <c r="AF102" s="30" t="s">
        <v>204</v>
      </c>
      <c r="AG102" s="35">
        <f>IF(AND(Z102="EUR",N(AA102)&gt;5000000),"(Check currency – excluded)",IF(AND(ISNUMBER(AB102),ISNUMBER(AZ102),ISNUMBER(BA102)),IF(AND(BB102="Y",ISNUMBER('Assumptions &amp; FX Reference'!$I$15)),MAX(AB102*BA102/AZ102,'Assumptions &amp; FX Reference'!$I$13*BA102/'Assumptions &amp; FX Reference'!$I$15),AB102*BA102/AZ102),"(PPI/FX missing)"))</f>
        <v>317500</v>
      </c>
      <c r="AH102" s="35">
        <f>IF(AND(ISNUMBER(AG102),ISNUMBER('Assumptions &amp; FX Reference'!$I$8),ISNUMBER('Assumptions &amp; FX Reference'!$I$11)),AG102*'Assumptions &amp; FX Reference'!$I$8/'Assumptions &amp; FX Reference'!$I$11,"")</f>
        <v>335211.1283716989</v>
      </c>
      <c r="AI102" s="35">
        <f>IF(AND(ISNUMBER(AG102),ISNUMBER('Assumptions &amp; FX Reference'!$I$8)),AG102*'Assumptions &amp; FX Reference'!$I$8,"")</f>
        <v>220747590000</v>
      </c>
      <c r="AJ102" s="30" t="s">
        <v>685</v>
      </c>
      <c r="AK102" s="30" t="s">
        <v>358</v>
      </c>
      <c r="AL102" s="30" t="s">
        <v>119</v>
      </c>
      <c r="AM102" s="30" t="s">
        <v>119</v>
      </c>
      <c r="AN102" s="30" t="s">
        <v>119</v>
      </c>
      <c r="AO102" s="30" t="s">
        <v>119</v>
      </c>
      <c r="AP102" s="30" t="s">
        <v>119</v>
      </c>
      <c r="AQ102" s="30" t="s">
        <v>119</v>
      </c>
      <c r="AR102" s="30" t="s">
        <v>119</v>
      </c>
      <c r="AS102" s="33" t="str">
        <f t="shared" si="19"/>
        <v xml:space="preserve">Seal missing; </v>
      </c>
      <c r="AT102" s="36">
        <f>IFERROR(INDEX(Factors_ROT!$F$5:$F$200,MATCH("MAT|"&amp;G102,Factors_ROT!$A$5:$A$200,0)),1)</f>
        <v>1.9</v>
      </c>
      <c r="AU102" s="36">
        <f>IFERROR(INDEX(Factors_ROT!$F$5:$F$200,MATCH("SEAL_ARR|"&amp;P102,Factors_ROT!$A$5:$A$200,0)),1)*IFERROR(INDEX(Factors_ROT!$F$5:$F$200,MATCH("SEAL_CAT|"&amp;Q102,Factors_ROT!$A$5:$A$200,0)),1)*IFERROR(INDEX(Factors_ROT!$F$5:$F$200,MATCH("SEAL_PLAN|"&amp;R102,Factors_ROT!$A$5:$A$200,0)),1)</f>
        <v>1</v>
      </c>
      <c r="AV102" s="36">
        <f>IFERROR(INDEX(Factors_ROT!$F$5:$F$200,MATCH("DRV|"&amp;S102,Factors_ROT!$A$5:$A$200,0)),1)*IFERROR(INDEX(Factors_ROT!$F$5:$F$200,MATCH("NACE|"&amp;O102,Factors_ROT!$A$5:$A$200,0)),1)</f>
        <v>1.05</v>
      </c>
      <c r="AW102" s="36">
        <f>IFERROR(INDEX(Factors_ROT!$F$5:$F$200,MATCH("SC_DRV|"&amp;AL102,Factors_ROT!$A$5:$A$200,0)),1)*IFERROR(INDEX(Factors_ROT!$F$5:$F$200,MATCH("SC_BSP|"&amp;AM102,Factors_ROT!$A$5:$A$200,0)),1)*IFERROR(INDEX(Factors_ROT!$F$5:$F$200,MATCH("SC_SEAL|"&amp;AN102,Factors_ROT!$A$5:$A$200,0)),1)*IFERROR(INDEX(Factors_ROT!$F$5:$F$200,MATCH("SC_COMM|"&amp;AO102,Factors_ROT!$A$5:$A$200,0)),1)*IFERROR(INDEX(Factors_ROT!$F$5:$F$200,MATCH("SC_2Y|"&amp;AP102,Factors_ROT!$A$5:$A$200,0)),1)*IFERROR(INDEX(Factors_ROT!$F$5:$F$200,MATCH("SC_TPI|"&amp;AQ102,Factors_ROT!$A$5:$A$200,0)),1)*IFERROR(INDEX(Factors_ROT!$F$5:$F$200,MATCH("SC_FAT|"&amp;AR102,Factors_ROT!$A$5:$A$200,0)),1)</f>
        <v>1</v>
      </c>
      <c r="AX102" s="36">
        <f t="shared" si="20"/>
        <v>1.9949999999999999</v>
      </c>
      <c r="AY102" s="35">
        <f t="shared" si="21"/>
        <v>159147.86967418547</v>
      </c>
      <c r="AZ102" s="37">
        <f>IFERROR(IF(N(INDEX(Escalation_Index!$B$5:$B$25,MATCH(Y102,Escalation_Index!$A$5:$A$25,0)))&gt;0,INDEX(Escalation_Index!$B$5:$B$25,MATCH(Y102,Escalation_Index!$A$5:$A$25,0)),""),"")</f>
        <v>123.416</v>
      </c>
      <c r="BA102" s="37">
        <f>IF(ISNUMBER('Assumptions &amp; FX Reference'!$I$12),'Assumptions &amp; FX Reference'!$I$12,"")</f>
        <v>123.416</v>
      </c>
      <c r="BB102" s="33" t="str">
        <f t="shared" si="22"/>
        <v>Y</v>
      </c>
      <c r="BC102" s="35">
        <f t="shared" si="23"/>
        <v>159147.86967418547</v>
      </c>
      <c r="BD102" s="35">
        <f>IF(AND(ISNUMBER(BC102),ISNUMBER(K102)),IF(K102&gt;0,BC102/K102^'Assumptions &amp; FX Reference'!$I$16,""),"")</f>
        <v>5550.3244245297437</v>
      </c>
      <c r="BE102" s="30" t="s">
        <v>697</v>
      </c>
      <c r="BF102" s="30" t="s">
        <v>698</v>
      </c>
      <c r="BG102" s="30" t="s">
        <v>361</v>
      </c>
    </row>
    <row r="103" spans="1:59" ht="24" customHeight="1">
      <c r="A103" s="30">
        <v>99</v>
      </c>
      <c r="B103" s="30" t="s">
        <v>481</v>
      </c>
      <c r="C103" s="30" t="s">
        <v>682</v>
      </c>
      <c r="D103" s="30" t="s">
        <v>493</v>
      </c>
      <c r="E103" s="30" t="s">
        <v>50</v>
      </c>
      <c r="F103" s="30" t="s">
        <v>188</v>
      </c>
      <c r="G103" s="30" t="s">
        <v>107</v>
      </c>
      <c r="H103" s="31">
        <v>5</v>
      </c>
      <c r="I103" s="31"/>
      <c r="J103" s="31"/>
      <c r="K103" s="32" t="str">
        <f>IF(ISNUMBER(J103),J103,IF(AND(ISNUMBER(H103),ISNUMBER(I103)),H103*I103/(367*'Assumptions &amp; FX Reference'!$I$17),""))</f>
        <v/>
      </c>
      <c r="L103" s="33" t="str">
        <f t="shared" si="18"/>
        <v>API 676 + IPS-M-PM-140 + NACE MR0175</v>
      </c>
      <c r="M103" s="30" t="s">
        <v>483</v>
      </c>
      <c r="N103" s="30" t="s">
        <v>484</v>
      </c>
      <c r="O103" s="30" t="s">
        <v>361</v>
      </c>
      <c r="P103" s="30" t="s">
        <v>119</v>
      </c>
      <c r="Q103" s="30" t="s">
        <v>119</v>
      </c>
      <c r="R103" s="30" t="s">
        <v>119</v>
      </c>
      <c r="S103" s="38" t="s">
        <v>297</v>
      </c>
      <c r="T103" s="30" t="s">
        <v>424</v>
      </c>
      <c r="U103" s="30">
        <v>2</v>
      </c>
      <c r="V103" s="30" t="s">
        <v>485</v>
      </c>
      <c r="W103" s="31">
        <v>8</v>
      </c>
      <c r="X103" s="30" t="s">
        <v>119</v>
      </c>
      <c r="Y103" s="30">
        <v>1404</v>
      </c>
      <c r="Z103" s="30" t="s">
        <v>355</v>
      </c>
      <c r="AA103" s="34">
        <v>30000</v>
      </c>
      <c r="AB103" s="35">
        <f>IF(NOT(ISNUMBER(AA103)),"(Not stated)",IF(NOT(ISNUMBER(Y103)),"(Cost year not stated)",IFERROR(IF(Z103="EUR",AA103,IF(Z103="IRR",AA103/INDEX('Assumptions &amp; FX Reference'!$C$5:$C$25,MATCH(Y103,'Assumptions &amp; FX Reference'!$A$5:$A$25,0)),IF(Z103="USD",AA103*INDEX('Assumptions &amp; FX Reference'!$B$5:$B$25,MATCH(Y103,'Assumptions &amp; FX Reference'!$A$5:$A$25,0))/INDEX('Assumptions &amp; FX Reference'!$C$5:$C$25,MATCH(Y103,'Assumptions &amp; FX Reference'!$A$5:$A$25,0)),"(Currency?)"))),"(FX rate missing)")))</f>
        <v>30000</v>
      </c>
      <c r="AC103" s="35">
        <f>IF(NOT(ISNUMBER(AA103)),"(Not stated)",IF(NOT(ISNUMBER(Y103)),"(Cost year not stated)",IFERROR(IF(Z103="USD",AA103,IF(Z103="IRR",AA103/INDEX('Assumptions &amp; FX Reference'!$B$5:$B$25,MATCH(Y103,'Assumptions &amp; FX Reference'!$A$5:$A$25,0)),IF(Z103="EUR",AA103*INDEX('Assumptions &amp; FX Reference'!$C$5:$C$25,MATCH(Y103,'Assumptions &amp; FX Reference'!$A$5:$A$25,0))/INDEX('Assumptions &amp; FX Reference'!$B$5:$B$25,MATCH(Y103,'Assumptions &amp; FX Reference'!$A$5:$A$25,0)),"(Currency?)"))),"(FX rate missing)")))</f>
        <v>31673.492444569976</v>
      </c>
      <c r="AD103" s="35">
        <f>IF(NOT(ISNUMBER(AA103)),"(Not stated)",IF(NOT(ISNUMBER(Y103)),"(Cost year not stated)",IFERROR(IF(Z103="IRR",AA103,IF(Z103="USD",AA103*INDEX('Assumptions &amp; FX Reference'!$B$5:$B$25,MATCH(Y103,'Assumptions &amp; FX Reference'!$A$5:$A$25,0)),IF(Z103="EUR",AA103*INDEX('Assumptions &amp; FX Reference'!$C$5:$C$25,MATCH(Y103,'Assumptions &amp; FX Reference'!$A$5:$A$25,0)),"(Currency?)"))),"(FX rate missing)")))</f>
        <v>20858040000</v>
      </c>
      <c r="AE103" s="30" t="s">
        <v>699</v>
      </c>
      <c r="AF103" s="30" t="s">
        <v>204</v>
      </c>
      <c r="AG103" s="35">
        <f>IF(AND(Z103="EUR",N(AA103)&gt;5000000),"(Check currency – excluded)",IF(AND(ISNUMBER(AB103),ISNUMBER(AZ103),ISNUMBER(BA103)),IF(AND(BB103="Y",ISNUMBER('Assumptions &amp; FX Reference'!$I$15)),MAX(AB103*BA103/AZ103,'Assumptions &amp; FX Reference'!$I$13*BA103/'Assumptions &amp; FX Reference'!$I$15),AB103*BA103/AZ103),"(PPI/FX missing)"))</f>
        <v>30000</v>
      </c>
      <c r="AH103" s="35">
        <f>IF(AND(ISNUMBER(AG103),ISNUMBER('Assumptions &amp; FX Reference'!$I$8),ISNUMBER('Assumptions &amp; FX Reference'!$I$11)),AG103*'Assumptions &amp; FX Reference'!$I$8/'Assumptions &amp; FX Reference'!$I$11,"")</f>
        <v>31673.492444569976</v>
      </c>
      <c r="AI103" s="35">
        <f>IF(AND(ISNUMBER(AG103),ISNUMBER('Assumptions &amp; FX Reference'!$I$8)),AG103*'Assumptions &amp; FX Reference'!$I$8,"")</f>
        <v>20858040000</v>
      </c>
      <c r="AJ103" s="30" t="s">
        <v>685</v>
      </c>
      <c r="AK103" s="30" t="s">
        <v>358</v>
      </c>
      <c r="AL103" s="30" t="s">
        <v>119</v>
      </c>
      <c r="AM103" s="30" t="s">
        <v>119</v>
      </c>
      <c r="AN103" s="30" t="s">
        <v>119</v>
      </c>
      <c r="AO103" s="30" t="s">
        <v>119</v>
      </c>
      <c r="AP103" s="30" t="s">
        <v>119</v>
      </c>
      <c r="AQ103" s="30" t="s">
        <v>119</v>
      </c>
      <c r="AR103" s="30" t="s">
        <v>119</v>
      </c>
      <c r="AS103" s="33" t="str">
        <f t="shared" si="19"/>
        <v xml:space="preserve">Seal missing; Size driver missing; </v>
      </c>
      <c r="AT103" s="36">
        <f>IFERROR(INDEX(Factors_ROT!$F$5:$F$200,MATCH("MAT|"&amp;G103,Factors_ROT!$A$5:$A$200,0)),1)</f>
        <v>1.7</v>
      </c>
      <c r="AU103" s="36">
        <f>IFERROR(INDEX(Factors_ROT!$F$5:$F$200,MATCH("SEAL_ARR|"&amp;P103,Factors_ROT!$A$5:$A$200,0)),1)*IFERROR(INDEX(Factors_ROT!$F$5:$F$200,MATCH("SEAL_CAT|"&amp;Q103,Factors_ROT!$A$5:$A$200,0)),1)*IFERROR(INDEX(Factors_ROT!$F$5:$F$200,MATCH("SEAL_PLAN|"&amp;R103,Factors_ROT!$A$5:$A$200,0)),1)</f>
        <v>1</v>
      </c>
      <c r="AV103" s="36">
        <f>IFERROR(INDEX(Factors_ROT!$F$5:$F$200,MATCH("DRV|"&amp;S103,Factors_ROT!$A$5:$A$200,0)),1)*IFERROR(INDEX(Factors_ROT!$F$5:$F$200,MATCH("NACE|"&amp;O103,Factors_ROT!$A$5:$A$200,0)),1)</f>
        <v>1.05</v>
      </c>
      <c r="AW103" s="36">
        <f>IFERROR(INDEX(Factors_ROT!$F$5:$F$200,MATCH("SC_DRV|"&amp;AL103,Factors_ROT!$A$5:$A$200,0)),1)*IFERROR(INDEX(Factors_ROT!$F$5:$F$200,MATCH("SC_BSP|"&amp;AM103,Factors_ROT!$A$5:$A$200,0)),1)*IFERROR(INDEX(Factors_ROT!$F$5:$F$200,MATCH("SC_SEAL|"&amp;AN103,Factors_ROT!$A$5:$A$200,0)),1)*IFERROR(INDEX(Factors_ROT!$F$5:$F$200,MATCH("SC_COMM|"&amp;AO103,Factors_ROT!$A$5:$A$200,0)),1)*IFERROR(INDEX(Factors_ROT!$F$5:$F$200,MATCH("SC_2Y|"&amp;AP103,Factors_ROT!$A$5:$A$200,0)),1)*IFERROR(INDEX(Factors_ROT!$F$5:$F$200,MATCH("SC_TPI|"&amp;AQ103,Factors_ROT!$A$5:$A$200,0)),1)*IFERROR(INDEX(Factors_ROT!$F$5:$F$200,MATCH("SC_FAT|"&amp;AR103,Factors_ROT!$A$5:$A$200,0)),1)</f>
        <v>1</v>
      </c>
      <c r="AX103" s="36">
        <f t="shared" si="20"/>
        <v>1.7849999999999999</v>
      </c>
      <c r="AY103" s="35">
        <f t="shared" si="21"/>
        <v>16806.722689075632</v>
      </c>
      <c r="AZ103" s="37">
        <f>IFERROR(IF(N(INDEX(Escalation_Index!$B$5:$B$25,MATCH(Y103,Escalation_Index!$A$5:$A$25,0)))&gt;0,INDEX(Escalation_Index!$B$5:$B$25,MATCH(Y103,Escalation_Index!$A$5:$A$25,0)),""),"")</f>
        <v>123.416</v>
      </c>
      <c r="BA103" s="37">
        <f>IF(ISNUMBER('Assumptions &amp; FX Reference'!$I$12),'Assumptions &amp; FX Reference'!$I$12,"")</f>
        <v>123.416</v>
      </c>
      <c r="BB103" s="33" t="str">
        <f t="shared" si="22"/>
        <v>N</v>
      </c>
      <c r="BC103" s="35">
        <f t="shared" si="23"/>
        <v>16806.722689075632</v>
      </c>
      <c r="BD103" s="35" t="str">
        <f>IF(AND(ISNUMBER(BC103),ISNUMBER(K103)),IF(K103&gt;0,BC103/K103^'Assumptions &amp; FX Reference'!$I$16,""),"")</f>
        <v/>
      </c>
      <c r="BE103" s="30" t="s">
        <v>700</v>
      </c>
      <c r="BF103" s="30" t="s">
        <v>701</v>
      </c>
      <c r="BG103" s="30" t="s">
        <v>361</v>
      </c>
    </row>
    <row r="104" spans="1:59" ht="24" customHeight="1">
      <c r="A104" s="30">
        <v>100</v>
      </c>
      <c r="B104" s="30" t="s">
        <v>702</v>
      </c>
      <c r="C104" s="30" t="s">
        <v>682</v>
      </c>
      <c r="D104" s="30" t="s">
        <v>703</v>
      </c>
      <c r="E104" s="30" t="s">
        <v>47</v>
      </c>
      <c r="F104" s="30" t="s">
        <v>128</v>
      </c>
      <c r="G104" s="30" t="s">
        <v>111</v>
      </c>
      <c r="H104" s="31">
        <v>15</v>
      </c>
      <c r="I104" s="31">
        <v>27</v>
      </c>
      <c r="J104" s="31"/>
      <c r="K104" s="32">
        <f>IF(ISNUMBER(J104),J104,IF(AND(ISNUMBER(H104),ISNUMBER(I104)),H104*I104/(367*'Assumptions &amp; FX Reference'!$I$17),""))</f>
        <v>1.8392370572207086</v>
      </c>
      <c r="L104" s="33" t="str">
        <f t="shared" si="18"/>
        <v>API 610 + IPS-G-PM-105</v>
      </c>
      <c r="M104" s="30" t="s">
        <v>470</v>
      </c>
      <c r="N104" s="30" t="s">
        <v>471</v>
      </c>
      <c r="O104" s="38" t="s">
        <v>305</v>
      </c>
      <c r="P104" s="30" t="s">
        <v>119</v>
      </c>
      <c r="Q104" s="30" t="s">
        <v>119</v>
      </c>
      <c r="R104" s="30" t="s">
        <v>119</v>
      </c>
      <c r="S104" s="38" t="s">
        <v>297</v>
      </c>
      <c r="T104" s="30" t="s">
        <v>326</v>
      </c>
      <c r="U104" s="30">
        <v>2</v>
      </c>
      <c r="V104" s="30" t="s">
        <v>299</v>
      </c>
      <c r="W104" s="31">
        <v>3.2</v>
      </c>
      <c r="X104" s="30" t="s">
        <v>119</v>
      </c>
      <c r="Y104" s="30">
        <v>1404</v>
      </c>
      <c r="Z104" s="30" t="s">
        <v>355</v>
      </c>
      <c r="AA104" s="34">
        <v>29000</v>
      </c>
      <c r="AB104" s="35">
        <f>IF(NOT(ISNUMBER(AA104)),"(Not stated)",IF(NOT(ISNUMBER(Y104)),"(Cost year not stated)",IFERROR(IF(Z104="EUR",AA104,IF(Z104="IRR",AA104/INDEX('Assumptions &amp; FX Reference'!$C$5:$C$25,MATCH(Y104,'Assumptions &amp; FX Reference'!$A$5:$A$25,0)),IF(Z104="USD",AA104*INDEX('Assumptions &amp; FX Reference'!$B$5:$B$25,MATCH(Y104,'Assumptions &amp; FX Reference'!$A$5:$A$25,0))/INDEX('Assumptions &amp; FX Reference'!$C$5:$C$25,MATCH(Y104,'Assumptions &amp; FX Reference'!$A$5:$A$25,0)),"(Currency?)"))),"(FX rate missing)")))</f>
        <v>29000</v>
      </c>
      <c r="AC104" s="35">
        <f>IF(NOT(ISNUMBER(AA104)),"(Not stated)",IF(NOT(ISNUMBER(Y104)),"(Cost year not stated)",IFERROR(IF(Z104="USD",AA104,IF(Z104="IRR",AA104/INDEX('Assumptions &amp; FX Reference'!$B$5:$B$25,MATCH(Y104,'Assumptions &amp; FX Reference'!$A$5:$A$25,0)),IF(Z104="EUR",AA104*INDEX('Assumptions &amp; FX Reference'!$C$5:$C$25,MATCH(Y104,'Assumptions &amp; FX Reference'!$A$5:$A$25,0))/INDEX('Assumptions &amp; FX Reference'!$B$5:$B$25,MATCH(Y104,'Assumptions &amp; FX Reference'!$A$5:$A$25,0)),"(Currency?)"))),"(FX rate missing)")))</f>
        <v>30617.709363084312</v>
      </c>
      <c r="AD104" s="35">
        <f>IF(NOT(ISNUMBER(AA104)),"(Not stated)",IF(NOT(ISNUMBER(Y104)),"(Cost year not stated)",IFERROR(IF(Z104="IRR",AA104,IF(Z104="USD",AA104*INDEX('Assumptions &amp; FX Reference'!$B$5:$B$25,MATCH(Y104,'Assumptions &amp; FX Reference'!$A$5:$A$25,0)),IF(Z104="EUR",AA104*INDEX('Assumptions &amp; FX Reference'!$C$5:$C$25,MATCH(Y104,'Assumptions &amp; FX Reference'!$A$5:$A$25,0)),"(Currency?)"))),"(FX rate missing)")))</f>
        <v>20162772000</v>
      </c>
      <c r="AE104" s="30" t="s">
        <v>684</v>
      </c>
      <c r="AF104" s="30" t="s">
        <v>204</v>
      </c>
      <c r="AG104" s="35">
        <f>IF(AND(Z104="EUR",N(AA104)&gt;5000000),"(Check currency – excluded)",IF(AND(ISNUMBER(AB104),ISNUMBER(AZ104),ISNUMBER(BA104)),IF(AND(BB104="Y",ISNUMBER('Assumptions &amp; FX Reference'!$I$15)),MAX(AB104*BA104/AZ104,'Assumptions &amp; FX Reference'!$I$13*BA104/'Assumptions &amp; FX Reference'!$I$15),AB104*BA104/AZ104),"(PPI/FX missing)"))</f>
        <v>29000</v>
      </c>
      <c r="AH104" s="35">
        <f>IF(AND(ISNUMBER(AG104),ISNUMBER('Assumptions &amp; FX Reference'!$I$8),ISNUMBER('Assumptions &amp; FX Reference'!$I$11)),AG104*'Assumptions &amp; FX Reference'!$I$8/'Assumptions &amp; FX Reference'!$I$11,"")</f>
        <v>30617.709363084312</v>
      </c>
      <c r="AI104" s="35">
        <f>IF(AND(ISNUMBER(AG104),ISNUMBER('Assumptions &amp; FX Reference'!$I$8)),AG104*'Assumptions &amp; FX Reference'!$I$8,"")</f>
        <v>20162772000</v>
      </c>
      <c r="AJ104" s="30" t="s">
        <v>685</v>
      </c>
      <c r="AK104" s="30" t="s">
        <v>358</v>
      </c>
      <c r="AL104" s="30" t="s">
        <v>119</v>
      </c>
      <c r="AM104" s="30" t="s">
        <v>119</v>
      </c>
      <c r="AN104" s="30" t="s">
        <v>119</v>
      </c>
      <c r="AO104" s="30" t="s">
        <v>119</v>
      </c>
      <c r="AP104" s="30" t="s">
        <v>119</v>
      </c>
      <c r="AQ104" s="30" t="s">
        <v>119</v>
      </c>
      <c r="AR104" s="30" t="s">
        <v>119</v>
      </c>
      <c r="AS104" s="33" t="str">
        <f t="shared" si="19"/>
        <v xml:space="preserve">Seal missing; </v>
      </c>
      <c r="AT104" s="36">
        <f>IFERROR(INDEX(Factors_ROT!$F$5:$F$200,MATCH("MAT|"&amp;G104,Factors_ROT!$A$5:$A$200,0)),1)</f>
        <v>1.9</v>
      </c>
      <c r="AU104" s="36">
        <f>IFERROR(INDEX(Factors_ROT!$F$5:$F$200,MATCH("SEAL_ARR|"&amp;P104,Factors_ROT!$A$5:$A$200,0)),1)*IFERROR(INDEX(Factors_ROT!$F$5:$F$200,MATCH("SEAL_CAT|"&amp;Q104,Factors_ROT!$A$5:$A$200,0)),1)*IFERROR(INDEX(Factors_ROT!$F$5:$F$200,MATCH("SEAL_PLAN|"&amp;R104,Factors_ROT!$A$5:$A$200,0)),1)</f>
        <v>1</v>
      </c>
      <c r="AV104" s="36">
        <f>IFERROR(INDEX(Factors_ROT!$F$5:$F$200,MATCH("DRV|"&amp;S104,Factors_ROT!$A$5:$A$200,0)),1)*IFERROR(INDEX(Factors_ROT!$F$5:$F$200,MATCH("NACE|"&amp;O104,Factors_ROT!$A$5:$A$200,0)),1)</f>
        <v>1</v>
      </c>
      <c r="AW104" s="36">
        <f>IFERROR(INDEX(Factors_ROT!$F$5:$F$200,MATCH("SC_DRV|"&amp;AL104,Factors_ROT!$A$5:$A$200,0)),1)*IFERROR(INDEX(Factors_ROT!$F$5:$F$200,MATCH("SC_BSP|"&amp;AM104,Factors_ROT!$A$5:$A$200,0)),1)*IFERROR(INDEX(Factors_ROT!$F$5:$F$200,MATCH("SC_SEAL|"&amp;AN104,Factors_ROT!$A$5:$A$200,0)),1)*IFERROR(INDEX(Factors_ROT!$F$5:$F$200,MATCH("SC_COMM|"&amp;AO104,Factors_ROT!$A$5:$A$200,0)),1)*IFERROR(INDEX(Factors_ROT!$F$5:$F$200,MATCH("SC_2Y|"&amp;AP104,Factors_ROT!$A$5:$A$200,0)),1)*IFERROR(INDEX(Factors_ROT!$F$5:$F$200,MATCH("SC_TPI|"&amp;AQ104,Factors_ROT!$A$5:$A$200,0)),1)*IFERROR(INDEX(Factors_ROT!$F$5:$F$200,MATCH("SC_FAT|"&amp;AR104,Factors_ROT!$A$5:$A$200,0)),1)</f>
        <v>1</v>
      </c>
      <c r="AX104" s="36">
        <f t="shared" si="20"/>
        <v>1.9</v>
      </c>
      <c r="AY104" s="35">
        <f t="shared" si="21"/>
        <v>15263.157894736843</v>
      </c>
      <c r="AZ104" s="37">
        <f>IFERROR(IF(N(INDEX(Escalation_Index!$B$5:$B$25,MATCH(Y104,Escalation_Index!$A$5:$A$25,0)))&gt;0,INDEX(Escalation_Index!$B$5:$B$25,MATCH(Y104,Escalation_Index!$A$5:$A$25,0)),""),"")</f>
        <v>123.416</v>
      </c>
      <c r="BA104" s="37">
        <f>IF(ISNUMBER('Assumptions &amp; FX Reference'!$I$12),'Assumptions &amp; FX Reference'!$I$12,"")</f>
        <v>123.416</v>
      </c>
      <c r="BB104" s="33" t="str">
        <f t="shared" si="22"/>
        <v>Y</v>
      </c>
      <c r="BC104" s="35">
        <f t="shared" si="23"/>
        <v>15263.157894736843</v>
      </c>
      <c r="BD104" s="35">
        <f>IF(AND(ISNUMBER(BC104),ISNUMBER(K104)),IF(K104&gt;0,BC104/K104^'Assumptions &amp; FX Reference'!$I$16,""),"")</f>
        <v>10589.166372233418</v>
      </c>
      <c r="BE104" s="30" t="s">
        <v>704</v>
      </c>
      <c r="BF104" s="30" t="s">
        <v>705</v>
      </c>
      <c r="BG104" s="30" t="s">
        <v>361</v>
      </c>
    </row>
    <row r="105" spans="1:59" ht="24" customHeight="1">
      <c r="A105" s="30">
        <v>101</v>
      </c>
      <c r="B105" s="30" t="s">
        <v>696</v>
      </c>
      <c r="C105" s="30" t="s">
        <v>682</v>
      </c>
      <c r="D105" s="30" t="s">
        <v>706</v>
      </c>
      <c r="E105" s="30" t="s">
        <v>47</v>
      </c>
      <c r="F105" s="30" t="s">
        <v>149</v>
      </c>
      <c r="G105" s="30" t="s">
        <v>111</v>
      </c>
      <c r="H105" s="31">
        <v>44</v>
      </c>
      <c r="I105" s="31">
        <v>385</v>
      </c>
      <c r="J105" s="31"/>
      <c r="K105" s="32">
        <f>IF(ISNUMBER(J105),J105,IF(AND(ISNUMBER(H105),ISNUMBER(I105)),H105*I105/(367*'Assumptions &amp; FX Reference'!$I$17),""))</f>
        <v>76.93006357856494</v>
      </c>
      <c r="L105" s="33" t="str">
        <f t="shared" si="18"/>
        <v>API 610 + IPS-G-PM-105 + NACE MR0175</v>
      </c>
      <c r="M105" s="30" t="s">
        <v>470</v>
      </c>
      <c r="N105" s="30" t="s">
        <v>471</v>
      </c>
      <c r="O105" s="30" t="s">
        <v>361</v>
      </c>
      <c r="P105" s="30" t="s">
        <v>119</v>
      </c>
      <c r="Q105" s="30" t="s">
        <v>119</v>
      </c>
      <c r="R105" s="30" t="s">
        <v>119</v>
      </c>
      <c r="S105" s="38" t="s">
        <v>297</v>
      </c>
      <c r="T105" s="30" t="s">
        <v>326</v>
      </c>
      <c r="U105" s="30">
        <v>3</v>
      </c>
      <c r="V105" s="30" t="s">
        <v>299</v>
      </c>
      <c r="W105" s="31">
        <v>48.2</v>
      </c>
      <c r="X105" s="30" t="s">
        <v>119</v>
      </c>
      <c r="Y105" s="30">
        <v>1404</v>
      </c>
      <c r="Z105" s="30" t="s">
        <v>355</v>
      </c>
      <c r="AA105" s="34">
        <v>247500</v>
      </c>
      <c r="AB105" s="35">
        <f>IF(NOT(ISNUMBER(AA105)),"(Not stated)",IF(NOT(ISNUMBER(Y105)),"(Cost year not stated)",IFERROR(IF(Z105="EUR",AA105,IF(Z105="IRR",AA105/INDEX('Assumptions &amp; FX Reference'!$C$5:$C$25,MATCH(Y105,'Assumptions &amp; FX Reference'!$A$5:$A$25,0)),IF(Z105="USD",AA105*INDEX('Assumptions &amp; FX Reference'!$B$5:$B$25,MATCH(Y105,'Assumptions &amp; FX Reference'!$A$5:$A$25,0))/INDEX('Assumptions &amp; FX Reference'!$C$5:$C$25,MATCH(Y105,'Assumptions &amp; FX Reference'!$A$5:$A$25,0)),"(Currency?)"))),"(FX rate missing)")))</f>
        <v>247500</v>
      </c>
      <c r="AC105" s="35">
        <f>IF(NOT(ISNUMBER(AA105)),"(Not stated)",IF(NOT(ISNUMBER(Y105)),"(Cost year not stated)",IFERROR(IF(Z105="USD",AA105,IF(Z105="IRR",AA105/INDEX('Assumptions &amp; FX Reference'!$B$5:$B$25,MATCH(Y105,'Assumptions &amp; FX Reference'!$A$5:$A$25,0)),IF(Z105="EUR",AA105*INDEX('Assumptions &amp; FX Reference'!$C$5:$C$25,MATCH(Y105,'Assumptions &amp; FX Reference'!$A$5:$A$25,0))/INDEX('Assumptions &amp; FX Reference'!$B$5:$B$25,MATCH(Y105,'Assumptions &amp; FX Reference'!$A$5:$A$25,0)),"(Currency?)"))),"(FX rate missing)")))</f>
        <v>261306.3126677023</v>
      </c>
      <c r="AD105" s="35">
        <f>IF(NOT(ISNUMBER(AA105)),"(Not stated)",IF(NOT(ISNUMBER(Y105)),"(Cost year not stated)",IFERROR(IF(Z105="IRR",AA105,IF(Z105="USD",AA105*INDEX('Assumptions &amp; FX Reference'!$B$5:$B$25,MATCH(Y105,'Assumptions &amp; FX Reference'!$A$5:$A$25,0)),IF(Z105="EUR",AA105*INDEX('Assumptions &amp; FX Reference'!$C$5:$C$25,MATCH(Y105,'Assumptions &amp; FX Reference'!$A$5:$A$25,0)),"(Currency?)"))),"(FX rate missing)")))</f>
        <v>172078830000</v>
      </c>
      <c r="AE105" s="30" t="s">
        <v>684</v>
      </c>
      <c r="AF105" s="30" t="s">
        <v>204</v>
      </c>
      <c r="AG105" s="35">
        <f>IF(AND(Z105="EUR",N(AA105)&gt;5000000),"(Check currency – excluded)",IF(AND(ISNUMBER(AB105),ISNUMBER(AZ105),ISNUMBER(BA105)),IF(AND(BB105="Y",ISNUMBER('Assumptions &amp; FX Reference'!$I$15)),MAX(AB105*BA105/AZ105,'Assumptions &amp; FX Reference'!$I$13*BA105/'Assumptions &amp; FX Reference'!$I$15),AB105*BA105/AZ105),"(PPI/FX missing)"))</f>
        <v>247500</v>
      </c>
      <c r="AH105" s="35">
        <f>IF(AND(ISNUMBER(AG105),ISNUMBER('Assumptions &amp; FX Reference'!$I$8),ISNUMBER('Assumptions &amp; FX Reference'!$I$11)),AG105*'Assumptions &amp; FX Reference'!$I$8/'Assumptions &amp; FX Reference'!$I$11,"")</f>
        <v>261306.3126677023</v>
      </c>
      <c r="AI105" s="35">
        <f>IF(AND(ISNUMBER(AG105),ISNUMBER('Assumptions &amp; FX Reference'!$I$8)),AG105*'Assumptions &amp; FX Reference'!$I$8,"")</f>
        <v>172078830000</v>
      </c>
      <c r="AJ105" s="30" t="s">
        <v>685</v>
      </c>
      <c r="AK105" s="30" t="s">
        <v>358</v>
      </c>
      <c r="AL105" s="30" t="s">
        <v>119</v>
      </c>
      <c r="AM105" s="30" t="s">
        <v>119</v>
      </c>
      <c r="AN105" s="30" t="s">
        <v>119</v>
      </c>
      <c r="AO105" s="30" t="s">
        <v>119</v>
      </c>
      <c r="AP105" s="30" t="s">
        <v>119</v>
      </c>
      <c r="AQ105" s="30" t="s">
        <v>119</v>
      </c>
      <c r="AR105" s="30" t="s">
        <v>119</v>
      </c>
      <c r="AS105" s="33" t="str">
        <f t="shared" si="19"/>
        <v xml:space="preserve">Seal missing; </v>
      </c>
      <c r="AT105" s="36">
        <f>IFERROR(INDEX(Factors_ROT!$F$5:$F$200,MATCH("MAT|"&amp;G105,Factors_ROT!$A$5:$A$200,0)),1)</f>
        <v>1.9</v>
      </c>
      <c r="AU105" s="36">
        <f>IFERROR(INDEX(Factors_ROT!$F$5:$F$200,MATCH("SEAL_ARR|"&amp;P105,Factors_ROT!$A$5:$A$200,0)),1)*IFERROR(INDEX(Factors_ROT!$F$5:$F$200,MATCH("SEAL_CAT|"&amp;Q105,Factors_ROT!$A$5:$A$200,0)),1)*IFERROR(INDEX(Factors_ROT!$F$5:$F$200,MATCH("SEAL_PLAN|"&amp;R105,Factors_ROT!$A$5:$A$200,0)),1)</f>
        <v>1</v>
      </c>
      <c r="AV105" s="36">
        <f>IFERROR(INDEX(Factors_ROT!$F$5:$F$200,MATCH("DRV|"&amp;S105,Factors_ROT!$A$5:$A$200,0)),1)*IFERROR(INDEX(Factors_ROT!$F$5:$F$200,MATCH("NACE|"&amp;O105,Factors_ROT!$A$5:$A$200,0)),1)</f>
        <v>1.05</v>
      </c>
      <c r="AW105" s="36">
        <f>IFERROR(INDEX(Factors_ROT!$F$5:$F$200,MATCH("SC_DRV|"&amp;AL105,Factors_ROT!$A$5:$A$200,0)),1)*IFERROR(INDEX(Factors_ROT!$F$5:$F$200,MATCH("SC_BSP|"&amp;AM105,Factors_ROT!$A$5:$A$200,0)),1)*IFERROR(INDEX(Factors_ROT!$F$5:$F$200,MATCH("SC_SEAL|"&amp;AN105,Factors_ROT!$A$5:$A$200,0)),1)*IFERROR(INDEX(Factors_ROT!$F$5:$F$200,MATCH("SC_COMM|"&amp;AO105,Factors_ROT!$A$5:$A$200,0)),1)*IFERROR(INDEX(Factors_ROT!$F$5:$F$200,MATCH("SC_2Y|"&amp;AP105,Factors_ROT!$A$5:$A$200,0)),1)*IFERROR(INDEX(Factors_ROT!$F$5:$F$200,MATCH("SC_TPI|"&amp;AQ105,Factors_ROT!$A$5:$A$200,0)),1)*IFERROR(INDEX(Factors_ROT!$F$5:$F$200,MATCH("SC_FAT|"&amp;AR105,Factors_ROT!$A$5:$A$200,0)),1)</f>
        <v>1</v>
      </c>
      <c r="AX105" s="36">
        <f t="shared" si="20"/>
        <v>1.9949999999999999</v>
      </c>
      <c r="AY105" s="35">
        <f t="shared" si="21"/>
        <v>124060.15037593986</v>
      </c>
      <c r="AZ105" s="37">
        <f>IFERROR(IF(N(INDEX(Escalation_Index!$B$5:$B$25,MATCH(Y105,Escalation_Index!$A$5:$A$25,0)))&gt;0,INDEX(Escalation_Index!$B$5:$B$25,MATCH(Y105,Escalation_Index!$A$5:$A$25,0)),""),"")</f>
        <v>123.416</v>
      </c>
      <c r="BA105" s="37">
        <f>IF(ISNUMBER('Assumptions &amp; FX Reference'!$I$12),'Assumptions &amp; FX Reference'!$I$12,"")</f>
        <v>123.416</v>
      </c>
      <c r="BB105" s="33" t="str">
        <f t="shared" si="22"/>
        <v>Y</v>
      </c>
      <c r="BC105" s="35">
        <f t="shared" si="23"/>
        <v>124060.15037593986</v>
      </c>
      <c r="BD105" s="35">
        <f>IF(AND(ISNUMBER(BC105),ISNUMBER(K105)),IF(K105&gt;0,BC105/K105^'Assumptions &amp; FX Reference'!$I$16,""),"")</f>
        <v>9161.670080963253</v>
      </c>
      <c r="BE105" s="30" t="s">
        <v>707</v>
      </c>
      <c r="BF105" s="30" t="s">
        <v>708</v>
      </c>
      <c r="BG105" s="30" t="s">
        <v>361</v>
      </c>
    </row>
    <row r="106" spans="1:59" ht="24" customHeight="1">
      <c r="A106" s="30">
        <v>102</v>
      </c>
      <c r="B106" s="30" t="s">
        <v>508</v>
      </c>
      <c r="C106" s="30" t="s">
        <v>682</v>
      </c>
      <c r="D106" s="30" t="s">
        <v>501</v>
      </c>
      <c r="E106" s="30" t="s">
        <v>50</v>
      </c>
      <c r="F106" s="30" t="s">
        <v>128</v>
      </c>
      <c r="G106" s="30" t="s">
        <v>86</v>
      </c>
      <c r="H106" s="31">
        <v>10</v>
      </c>
      <c r="I106" s="31">
        <v>40</v>
      </c>
      <c r="J106" s="31"/>
      <c r="K106" s="32">
        <f>IF(ISNUMBER(J106),J106,IF(AND(ISNUMBER(H106),ISNUMBER(I106)),H106*I106/(367*'Assumptions &amp; FX Reference'!$I$17),""))</f>
        <v>1.8165304268846505</v>
      </c>
      <c r="L106" s="33" t="str">
        <f t="shared" si="18"/>
        <v>API 610 + IPS-G-PM-105</v>
      </c>
      <c r="M106" s="30" t="s">
        <v>470</v>
      </c>
      <c r="N106" s="30" t="s">
        <v>471</v>
      </c>
      <c r="O106" s="38" t="s">
        <v>305</v>
      </c>
      <c r="P106" s="30" t="s">
        <v>119</v>
      </c>
      <c r="Q106" s="30" t="s">
        <v>119</v>
      </c>
      <c r="R106" s="30" t="s">
        <v>119</v>
      </c>
      <c r="S106" s="38" t="s">
        <v>297</v>
      </c>
      <c r="T106" s="30" t="s">
        <v>334</v>
      </c>
      <c r="U106" s="30">
        <v>2</v>
      </c>
      <c r="V106" s="30" t="s">
        <v>299</v>
      </c>
      <c r="W106" s="31">
        <v>6.8</v>
      </c>
      <c r="X106" s="30" t="s">
        <v>119</v>
      </c>
      <c r="Y106" s="30">
        <v>1404</v>
      </c>
      <c r="Z106" s="30" t="s">
        <v>355</v>
      </c>
      <c r="AA106" s="34">
        <v>25500</v>
      </c>
      <c r="AB106" s="35">
        <f>IF(NOT(ISNUMBER(AA106)),"(Not stated)",IF(NOT(ISNUMBER(Y106)),"(Cost year not stated)",IFERROR(IF(Z106="EUR",AA106,IF(Z106="IRR",AA106/INDEX('Assumptions &amp; FX Reference'!$C$5:$C$25,MATCH(Y106,'Assumptions &amp; FX Reference'!$A$5:$A$25,0)),IF(Z106="USD",AA106*INDEX('Assumptions &amp; FX Reference'!$B$5:$B$25,MATCH(Y106,'Assumptions &amp; FX Reference'!$A$5:$A$25,0))/INDEX('Assumptions &amp; FX Reference'!$C$5:$C$25,MATCH(Y106,'Assumptions &amp; FX Reference'!$A$5:$A$25,0)),"(Currency?)"))),"(FX rate missing)")))</f>
        <v>25500</v>
      </c>
      <c r="AC106" s="35">
        <f>IF(NOT(ISNUMBER(AA106)),"(Not stated)",IF(NOT(ISNUMBER(Y106)),"(Cost year not stated)",IFERROR(IF(Z106="USD",AA106,IF(Z106="IRR",AA106/INDEX('Assumptions &amp; FX Reference'!$B$5:$B$25,MATCH(Y106,'Assumptions &amp; FX Reference'!$A$5:$A$25,0)),IF(Z106="EUR",AA106*INDEX('Assumptions &amp; FX Reference'!$C$5:$C$25,MATCH(Y106,'Assumptions &amp; FX Reference'!$A$5:$A$25,0))/INDEX('Assumptions &amp; FX Reference'!$B$5:$B$25,MATCH(Y106,'Assumptions &amp; FX Reference'!$A$5:$A$25,0)),"(Currency?)"))),"(FX rate missing)")))</f>
        <v>26922.46857788448</v>
      </c>
      <c r="AD106" s="35">
        <f>IF(NOT(ISNUMBER(AA106)),"(Not stated)",IF(NOT(ISNUMBER(Y106)),"(Cost year not stated)",IFERROR(IF(Z106="IRR",AA106,IF(Z106="USD",AA106*INDEX('Assumptions &amp; FX Reference'!$B$5:$B$25,MATCH(Y106,'Assumptions &amp; FX Reference'!$A$5:$A$25,0)),IF(Z106="EUR",AA106*INDEX('Assumptions &amp; FX Reference'!$C$5:$C$25,MATCH(Y106,'Assumptions &amp; FX Reference'!$A$5:$A$25,0)),"(Currency?)"))),"(FX rate missing)")))</f>
        <v>17729334000</v>
      </c>
      <c r="AE106" s="30" t="s">
        <v>684</v>
      </c>
      <c r="AF106" s="30" t="s">
        <v>204</v>
      </c>
      <c r="AG106" s="35">
        <f>IF(AND(Z106="EUR",N(AA106)&gt;5000000),"(Check currency – excluded)",IF(AND(ISNUMBER(AB106),ISNUMBER(AZ106),ISNUMBER(BA106)),IF(AND(BB106="Y",ISNUMBER('Assumptions &amp; FX Reference'!$I$15)),MAX(AB106*BA106/AZ106,'Assumptions &amp; FX Reference'!$I$13*BA106/'Assumptions &amp; FX Reference'!$I$15),AB106*BA106/AZ106),"(PPI/FX missing)"))</f>
        <v>25500</v>
      </c>
      <c r="AH106" s="35">
        <f>IF(AND(ISNUMBER(AG106),ISNUMBER('Assumptions &amp; FX Reference'!$I$8),ISNUMBER('Assumptions &amp; FX Reference'!$I$11)),AG106*'Assumptions &amp; FX Reference'!$I$8/'Assumptions &amp; FX Reference'!$I$11,"")</f>
        <v>26922.46857788448</v>
      </c>
      <c r="AI106" s="35">
        <f>IF(AND(ISNUMBER(AG106),ISNUMBER('Assumptions &amp; FX Reference'!$I$8)),AG106*'Assumptions &amp; FX Reference'!$I$8,"")</f>
        <v>17729334000</v>
      </c>
      <c r="AJ106" s="30" t="s">
        <v>685</v>
      </c>
      <c r="AK106" s="30" t="s">
        <v>358</v>
      </c>
      <c r="AL106" s="30" t="s">
        <v>119</v>
      </c>
      <c r="AM106" s="30" t="s">
        <v>119</v>
      </c>
      <c r="AN106" s="30" t="s">
        <v>119</v>
      </c>
      <c r="AO106" s="30" t="s">
        <v>119</v>
      </c>
      <c r="AP106" s="30" t="s">
        <v>119</v>
      </c>
      <c r="AQ106" s="30" t="s">
        <v>119</v>
      </c>
      <c r="AR106" s="30" t="s">
        <v>119</v>
      </c>
      <c r="AS106" s="33" t="str">
        <f t="shared" si="19"/>
        <v xml:space="preserve">Seal missing; </v>
      </c>
      <c r="AT106" s="36">
        <f>IFERROR(INDEX(Factors_ROT!$F$5:$F$200,MATCH("MAT|"&amp;G106,Factors_ROT!$A$5:$A$200,0)),1)</f>
        <v>1.1000000000000001</v>
      </c>
      <c r="AU106" s="36">
        <f>IFERROR(INDEX(Factors_ROT!$F$5:$F$200,MATCH("SEAL_ARR|"&amp;P106,Factors_ROT!$A$5:$A$200,0)),1)*IFERROR(INDEX(Factors_ROT!$F$5:$F$200,MATCH("SEAL_CAT|"&amp;Q106,Factors_ROT!$A$5:$A$200,0)),1)*IFERROR(INDEX(Factors_ROT!$F$5:$F$200,MATCH("SEAL_PLAN|"&amp;R106,Factors_ROT!$A$5:$A$200,0)),1)</f>
        <v>1</v>
      </c>
      <c r="AV106" s="36">
        <f>IFERROR(INDEX(Factors_ROT!$F$5:$F$200,MATCH("DRV|"&amp;S106,Factors_ROT!$A$5:$A$200,0)),1)*IFERROR(INDEX(Factors_ROT!$F$5:$F$200,MATCH("NACE|"&amp;O106,Factors_ROT!$A$5:$A$200,0)),1)</f>
        <v>1</v>
      </c>
      <c r="AW106" s="36">
        <f>IFERROR(INDEX(Factors_ROT!$F$5:$F$200,MATCH("SC_DRV|"&amp;AL106,Factors_ROT!$A$5:$A$200,0)),1)*IFERROR(INDEX(Factors_ROT!$F$5:$F$200,MATCH("SC_BSP|"&amp;AM106,Factors_ROT!$A$5:$A$200,0)),1)*IFERROR(INDEX(Factors_ROT!$F$5:$F$200,MATCH("SC_SEAL|"&amp;AN106,Factors_ROT!$A$5:$A$200,0)),1)*IFERROR(INDEX(Factors_ROT!$F$5:$F$200,MATCH("SC_COMM|"&amp;AO106,Factors_ROT!$A$5:$A$200,0)),1)*IFERROR(INDEX(Factors_ROT!$F$5:$F$200,MATCH("SC_2Y|"&amp;AP106,Factors_ROT!$A$5:$A$200,0)),1)*IFERROR(INDEX(Factors_ROT!$F$5:$F$200,MATCH("SC_TPI|"&amp;AQ106,Factors_ROT!$A$5:$A$200,0)),1)*IFERROR(INDEX(Factors_ROT!$F$5:$F$200,MATCH("SC_FAT|"&amp;AR106,Factors_ROT!$A$5:$A$200,0)),1)</f>
        <v>1</v>
      </c>
      <c r="AX106" s="36">
        <f t="shared" si="20"/>
        <v>1.1000000000000001</v>
      </c>
      <c r="AY106" s="35">
        <f t="shared" si="21"/>
        <v>23181.81818181818</v>
      </c>
      <c r="AZ106" s="37">
        <f>IFERROR(IF(N(INDEX(Escalation_Index!$B$5:$B$25,MATCH(Y106,Escalation_Index!$A$5:$A$25,0)))&gt;0,INDEX(Escalation_Index!$B$5:$B$25,MATCH(Y106,Escalation_Index!$A$5:$A$25,0)),""),"")</f>
        <v>123.416</v>
      </c>
      <c r="BA106" s="37">
        <f>IF(ISNUMBER('Assumptions &amp; FX Reference'!$I$12),'Assumptions &amp; FX Reference'!$I$12,"")</f>
        <v>123.416</v>
      </c>
      <c r="BB106" s="33" t="str">
        <f t="shared" si="22"/>
        <v>Y</v>
      </c>
      <c r="BC106" s="35">
        <f t="shared" si="23"/>
        <v>23181.81818181818</v>
      </c>
      <c r="BD106" s="35">
        <f>IF(AND(ISNUMBER(BC106),ISNUMBER(K106)),IF(K106&gt;0,BC106/K106^'Assumptions &amp; FX Reference'!$I$16,""),"")</f>
        <v>16203.240914306882</v>
      </c>
      <c r="BE106" s="30" t="s">
        <v>709</v>
      </c>
      <c r="BF106" s="30" t="s">
        <v>710</v>
      </c>
      <c r="BG106" s="30" t="s">
        <v>361</v>
      </c>
    </row>
    <row r="107" spans="1:59" ht="24" customHeight="1">
      <c r="A107" s="30">
        <v>103</v>
      </c>
      <c r="B107" s="30" t="s">
        <v>521</v>
      </c>
      <c r="C107" s="30" t="s">
        <v>682</v>
      </c>
      <c r="D107" s="30" t="s">
        <v>573</v>
      </c>
      <c r="E107" s="30" t="s">
        <v>50</v>
      </c>
      <c r="F107" s="30" t="s">
        <v>128</v>
      </c>
      <c r="G107" s="30" t="s">
        <v>111</v>
      </c>
      <c r="H107" s="31">
        <v>25</v>
      </c>
      <c r="I107" s="31">
        <v>55</v>
      </c>
      <c r="J107" s="31"/>
      <c r="K107" s="32">
        <f>IF(ISNUMBER(J107),J107,IF(AND(ISNUMBER(H107),ISNUMBER(I107)),H107*I107/(367*'Assumptions &amp; FX Reference'!$I$17),""))</f>
        <v>6.2443233424159859</v>
      </c>
      <c r="L107" s="33" t="str">
        <f t="shared" si="18"/>
        <v>API 610 + IPS-G-PM-105 + NACE MR0175</v>
      </c>
      <c r="M107" s="30" t="s">
        <v>470</v>
      </c>
      <c r="N107" s="30" t="s">
        <v>471</v>
      </c>
      <c r="O107" s="30" t="s">
        <v>361</v>
      </c>
      <c r="P107" s="30" t="s">
        <v>119</v>
      </c>
      <c r="Q107" s="30" t="s">
        <v>119</v>
      </c>
      <c r="R107" s="30" t="s">
        <v>119</v>
      </c>
      <c r="S107" s="38" t="s">
        <v>297</v>
      </c>
      <c r="T107" s="30" t="s">
        <v>334</v>
      </c>
      <c r="U107" s="30">
        <v>2</v>
      </c>
      <c r="V107" s="30" t="s">
        <v>299</v>
      </c>
      <c r="W107" s="31">
        <v>5</v>
      </c>
      <c r="X107" s="30" t="s">
        <v>119</v>
      </c>
      <c r="Y107" s="30">
        <v>1404</v>
      </c>
      <c r="Z107" s="30" t="s">
        <v>355</v>
      </c>
      <c r="AA107" s="34">
        <v>31000</v>
      </c>
      <c r="AB107" s="35">
        <f>IF(NOT(ISNUMBER(AA107)),"(Not stated)",IF(NOT(ISNUMBER(Y107)),"(Cost year not stated)",IFERROR(IF(Z107="EUR",AA107,IF(Z107="IRR",AA107/INDEX('Assumptions &amp; FX Reference'!$C$5:$C$25,MATCH(Y107,'Assumptions &amp; FX Reference'!$A$5:$A$25,0)),IF(Z107="USD",AA107*INDEX('Assumptions &amp; FX Reference'!$B$5:$B$25,MATCH(Y107,'Assumptions &amp; FX Reference'!$A$5:$A$25,0))/INDEX('Assumptions &amp; FX Reference'!$C$5:$C$25,MATCH(Y107,'Assumptions &amp; FX Reference'!$A$5:$A$25,0)),"(Currency?)"))),"(FX rate missing)")))</f>
        <v>31000</v>
      </c>
      <c r="AC107" s="35">
        <f>IF(NOT(ISNUMBER(AA107)),"(Not stated)",IF(NOT(ISNUMBER(Y107)),"(Cost year not stated)",IFERROR(IF(Z107="USD",AA107,IF(Z107="IRR",AA107/INDEX('Assumptions &amp; FX Reference'!$B$5:$B$25,MATCH(Y107,'Assumptions &amp; FX Reference'!$A$5:$A$25,0)),IF(Z107="EUR",AA107*INDEX('Assumptions &amp; FX Reference'!$C$5:$C$25,MATCH(Y107,'Assumptions &amp; FX Reference'!$A$5:$A$25,0))/INDEX('Assumptions &amp; FX Reference'!$B$5:$B$25,MATCH(Y107,'Assumptions &amp; FX Reference'!$A$5:$A$25,0)),"(Currency?)"))),"(FX rate missing)")))</f>
        <v>32729.275526055641</v>
      </c>
      <c r="AD107" s="35">
        <f>IF(NOT(ISNUMBER(AA107)),"(Not stated)",IF(NOT(ISNUMBER(Y107)),"(Cost year not stated)",IFERROR(IF(Z107="IRR",AA107,IF(Z107="USD",AA107*INDEX('Assumptions &amp; FX Reference'!$B$5:$B$25,MATCH(Y107,'Assumptions &amp; FX Reference'!$A$5:$A$25,0)),IF(Z107="EUR",AA107*INDEX('Assumptions &amp; FX Reference'!$C$5:$C$25,MATCH(Y107,'Assumptions &amp; FX Reference'!$A$5:$A$25,0)),"(Currency?)"))),"(FX rate missing)")))</f>
        <v>21553308000</v>
      </c>
      <c r="AE107" s="30" t="s">
        <v>684</v>
      </c>
      <c r="AF107" s="30" t="s">
        <v>204</v>
      </c>
      <c r="AG107" s="35">
        <f>IF(AND(Z107="EUR",N(AA107)&gt;5000000),"(Check currency – excluded)",IF(AND(ISNUMBER(AB107),ISNUMBER(AZ107),ISNUMBER(BA107)),IF(AND(BB107="Y",ISNUMBER('Assumptions &amp; FX Reference'!$I$15)),MAX(AB107*BA107/AZ107,'Assumptions &amp; FX Reference'!$I$13*BA107/'Assumptions &amp; FX Reference'!$I$15),AB107*BA107/AZ107),"(PPI/FX missing)"))</f>
        <v>31000</v>
      </c>
      <c r="AH107" s="35">
        <f>IF(AND(ISNUMBER(AG107),ISNUMBER('Assumptions &amp; FX Reference'!$I$8),ISNUMBER('Assumptions &amp; FX Reference'!$I$11)),AG107*'Assumptions &amp; FX Reference'!$I$8/'Assumptions &amp; FX Reference'!$I$11,"")</f>
        <v>32729.275526055641</v>
      </c>
      <c r="AI107" s="35">
        <f>IF(AND(ISNUMBER(AG107),ISNUMBER('Assumptions &amp; FX Reference'!$I$8)),AG107*'Assumptions &amp; FX Reference'!$I$8,"")</f>
        <v>21553308000</v>
      </c>
      <c r="AJ107" s="30" t="s">
        <v>685</v>
      </c>
      <c r="AK107" s="30" t="s">
        <v>358</v>
      </c>
      <c r="AL107" s="30" t="s">
        <v>119</v>
      </c>
      <c r="AM107" s="30" t="s">
        <v>119</v>
      </c>
      <c r="AN107" s="30" t="s">
        <v>119</v>
      </c>
      <c r="AO107" s="30" t="s">
        <v>119</v>
      </c>
      <c r="AP107" s="30" t="s">
        <v>119</v>
      </c>
      <c r="AQ107" s="30" t="s">
        <v>119</v>
      </c>
      <c r="AR107" s="30" t="s">
        <v>119</v>
      </c>
      <c r="AS107" s="33" t="str">
        <f t="shared" si="19"/>
        <v xml:space="preserve">Seal missing; </v>
      </c>
      <c r="AT107" s="36">
        <f>IFERROR(INDEX(Factors_ROT!$F$5:$F$200,MATCH("MAT|"&amp;G107,Factors_ROT!$A$5:$A$200,0)),1)</f>
        <v>1.9</v>
      </c>
      <c r="AU107" s="36">
        <f>IFERROR(INDEX(Factors_ROT!$F$5:$F$200,MATCH("SEAL_ARR|"&amp;P107,Factors_ROT!$A$5:$A$200,0)),1)*IFERROR(INDEX(Factors_ROT!$F$5:$F$200,MATCH("SEAL_CAT|"&amp;Q107,Factors_ROT!$A$5:$A$200,0)),1)*IFERROR(INDEX(Factors_ROT!$F$5:$F$200,MATCH("SEAL_PLAN|"&amp;R107,Factors_ROT!$A$5:$A$200,0)),1)</f>
        <v>1</v>
      </c>
      <c r="AV107" s="36">
        <f>IFERROR(INDEX(Factors_ROT!$F$5:$F$200,MATCH("DRV|"&amp;S107,Factors_ROT!$A$5:$A$200,0)),1)*IFERROR(INDEX(Factors_ROT!$F$5:$F$200,MATCH("NACE|"&amp;O107,Factors_ROT!$A$5:$A$200,0)),1)</f>
        <v>1.05</v>
      </c>
      <c r="AW107" s="36">
        <f>IFERROR(INDEX(Factors_ROT!$F$5:$F$200,MATCH("SC_DRV|"&amp;AL107,Factors_ROT!$A$5:$A$200,0)),1)*IFERROR(INDEX(Factors_ROT!$F$5:$F$200,MATCH("SC_BSP|"&amp;AM107,Factors_ROT!$A$5:$A$200,0)),1)*IFERROR(INDEX(Factors_ROT!$F$5:$F$200,MATCH("SC_SEAL|"&amp;AN107,Factors_ROT!$A$5:$A$200,0)),1)*IFERROR(INDEX(Factors_ROT!$F$5:$F$200,MATCH("SC_COMM|"&amp;AO107,Factors_ROT!$A$5:$A$200,0)),1)*IFERROR(INDEX(Factors_ROT!$F$5:$F$200,MATCH("SC_2Y|"&amp;AP107,Factors_ROT!$A$5:$A$200,0)),1)*IFERROR(INDEX(Factors_ROT!$F$5:$F$200,MATCH("SC_TPI|"&amp;AQ107,Factors_ROT!$A$5:$A$200,0)),1)*IFERROR(INDEX(Factors_ROT!$F$5:$F$200,MATCH("SC_FAT|"&amp;AR107,Factors_ROT!$A$5:$A$200,0)),1)</f>
        <v>1</v>
      </c>
      <c r="AX107" s="36">
        <f t="shared" si="20"/>
        <v>1.9949999999999999</v>
      </c>
      <c r="AY107" s="35">
        <f t="shared" si="21"/>
        <v>15538.847117794487</v>
      </c>
      <c r="AZ107" s="37">
        <f>IFERROR(IF(N(INDEX(Escalation_Index!$B$5:$B$25,MATCH(Y107,Escalation_Index!$A$5:$A$25,0)))&gt;0,INDEX(Escalation_Index!$B$5:$B$25,MATCH(Y107,Escalation_Index!$A$5:$A$25,0)),""),"")</f>
        <v>123.416</v>
      </c>
      <c r="BA107" s="37">
        <f>IF(ISNUMBER('Assumptions &amp; FX Reference'!$I$12),'Assumptions &amp; FX Reference'!$I$12,"")</f>
        <v>123.416</v>
      </c>
      <c r="BB107" s="33" t="str">
        <f t="shared" si="22"/>
        <v>Y</v>
      </c>
      <c r="BC107" s="35">
        <f t="shared" si="23"/>
        <v>15538.847117794487</v>
      </c>
      <c r="BD107" s="35">
        <f>IF(AND(ISNUMBER(BC107),ISNUMBER(K107)),IF(K107&gt;0,BC107/K107^'Assumptions &amp; FX Reference'!$I$16,""),"")</f>
        <v>5177.5888899907577</v>
      </c>
      <c r="BE107" s="30" t="s">
        <v>711</v>
      </c>
      <c r="BF107" s="30" t="s">
        <v>712</v>
      </c>
      <c r="BG107" s="30" t="s">
        <v>361</v>
      </c>
    </row>
    <row r="108" spans="1:59" ht="24" customHeight="1">
      <c r="A108" s="30">
        <v>104</v>
      </c>
      <c r="B108" s="30" t="s">
        <v>713</v>
      </c>
      <c r="C108" s="30" t="s">
        <v>682</v>
      </c>
      <c r="D108" s="30" t="s">
        <v>576</v>
      </c>
      <c r="E108" s="30" t="s">
        <v>50</v>
      </c>
      <c r="F108" s="30" t="s">
        <v>167</v>
      </c>
      <c r="G108" s="30" t="s">
        <v>86</v>
      </c>
      <c r="H108" s="31">
        <v>5</v>
      </c>
      <c r="I108" s="31">
        <v>21.4</v>
      </c>
      <c r="J108" s="31"/>
      <c r="K108" s="32">
        <f>IF(ISNUMBER(J108),J108,IF(AND(ISNUMBER(H108),ISNUMBER(I108)),H108*I108/(367*'Assumptions &amp; FX Reference'!$I$17),""))</f>
        <v>0.48592188919164397</v>
      </c>
      <c r="L108" s="33" t="str">
        <f t="shared" si="18"/>
        <v>API 610 + IPS-G-PM-105</v>
      </c>
      <c r="M108" s="30" t="s">
        <v>470</v>
      </c>
      <c r="N108" s="30" t="s">
        <v>471</v>
      </c>
      <c r="O108" s="38" t="s">
        <v>305</v>
      </c>
      <c r="P108" s="30" t="s">
        <v>119</v>
      </c>
      <c r="Q108" s="30" t="s">
        <v>119</v>
      </c>
      <c r="R108" s="30" t="s">
        <v>119</v>
      </c>
      <c r="S108" s="38" t="s">
        <v>297</v>
      </c>
      <c r="T108" s="30" t="s">
        <v>334</v>
      </c>
      <c r="U108" s="30">
        <v>1</v>
      </c>
      <c r="V108" s="30" t="s">
        <v>299</v>
      </c>
      <c r="W108" s="31">
        <v>2</v>
      </c>
      <c r="X108" s="30" t="s">
        <v>119</v>
      </c>
      <c r="Y108" s="30">
        <v>1404</v>
      </c>
      <c r="Z108" s="30" t="s">
        <v>355</v>
      </c>
      <c r="AA108" s="34">
        <v>34500</v>
      </c>
      <c r="AB108" s="35">
        <f>IF(NOT(ISNUMBER(AA108)),"(Not stated)",IF(NOT(ISNUMBER(Y108)),"(Cost year not stated)",IFERROR(IF(Z108="EUR",AA108,IF(Z108="IRR",AA108/INDEX('Assumptions &amp; FX Reference'!$C$5:$C$25,MATCH(Y108,'Assumptions &amp; FX Reference'!$A$5:$A$25,0)),IF(Z108="USD",AA108*INDEX('Assumptions &amp; FX Reference'!$B$5:$B$25,MATCH(Y108,'Assumptions &amp; FX Reference'!$A$5:$A$25,0))/INDEX('Assumptions &amp; FX Reference'!$C$5:$C$25,MATCH(Y108,'Assumptions &amp; FX Reference'!$A$5:$A$25,0)),"(Currency?)"))),"(FX rate missing)")))</f>
        <v>34500</v>
      </c>
      <c r="AC108" s="35">
        <f>IF(NOT(ISNUMBER(AA108)),"(Not stated)",IF(NOT(ISNUMBER(Y108)),"(Cost year not stated)",IFERROR(IF(Z108="USD",AA108,IF(Z108="IRR",AA108/INDEX('Assumptions &amp; FX Reference'!$B$5:$B$25,MATCH(Y108,'Assumptions &amp; FX Reference'!$A$5:$A$25,0)),IF(Z108="EUR",AA108*INDEX('Assumptions &amp; FX Reference'!$C$5:$C$25,MATCH(Y108,'Assumptions &amp; FX Reference'!$A$5:$A$25,0))/INDEX('Assumptions &amp; FX Reference'!$B$5:$B$25,MATCH(Y108,'Assumptions &amp; FX Reference'!$A$5:$A$25,0)),"(Currency?)"))),"(FX rate missing)")))</f>
        <v>36424.516311255473</v>
      </c>
      <c r="AD108" s="35">
        <f>IF(NOT(ISNUMBER(AA108)),"(Not stated)",IF(NOT(ISNUMBER(Y108)),"(Cost year not stated)",IFERROR(IF(Z108="IRR",AA108,IF(Z108="USD",AA108*INDEX('Assumptions &amp; FX Reference'!$B$5:$B$25,MATCH(Y108,'Assumptions &amp; FX Reference'!$A$5:$A$25,0)),IF(Z108="EUR",AA108*INDEX('Assumptions &amp; FX Reference'!$C$5:$C$25,MATCH(Y108,'Assumptions &amp; FX Reference'!$A$5:$A$25,0)),"(Currency?)"))),"(FX rate missing)")))</f>
        <v>23986746000</v>
      </c>
      <c r="AE108" s="30" t="s">
        <v>684</v>
      </c>
      <c r="AF108" s="30" t="s">
        <v>204</v>
      </c>
      <c r="AG108" s="35">
        <f>IF(AND(Z108="EUR",N(AA108)&gt;5000000),"(Check currency – excluded)",IF(AND(ISNUMBER(AB108),ISNUMBER(AZ108),ISNUMBER(BA108)),IF(AND(BB108="Y",ISNUMBER('Assumptions &amp; FX Reference'!$I$15)),MAX(AB108*BA108/AZ108,'Assumptions &amp; FX Reference'!$I$13*BA108/'Assumptions &amp; FX Reference'!$I$15),AB108*BA108/AZ108),"(PPI/FX missing)"))</f>
        <v>34500</v>
      </c>
      <c r="AH108" s="35">
        <f>IF(AND(ISNUMBER(AG108),ISNUMBER('Assumptions &amp; FX Reference'!$I$8),ISNUMBER('Assumptions &amp; FX Reference'!$I$11)),AG108*'Assumptions &amp; FX Reference'!$I$8/'Assumptions &amp; FX Reference'!$I$11,"")</f>
        <v>36424.516311255473</v>
      </c>
      <c r="AI108" s="35">
        <f>IF(AND(ISNUMBER(AG108),ISNUMBER('Assumptions &amp; FX Reference'!$I$8)),AG108*'Assumptions &amp; FX Reference'!$I$8,"")</f>
        <v>23986746000</v>
      </c>
      <c r="AJ108" s="30" t="s">
        <v>685</v>
      </c>
      <c r="AK108" s="30" t="s">
        <v>358</v>
      </c>
      <c r="AL108" s="30" t="s">
        <v>119</v>
      </c>
      <c r="AM108" s="30" t="s">
        <v>119</v>
      </c>
      <c r="AN108" s="30" t="s">
        <v>119</v>
      </c>
      <c r="AO108" s="30" t="s">
        <v>119</v>
      </c>
      <c r="AP108" s="30" t="s">
        <v>119</v>
      </c>
      <c r="AQ108" s="30" t="s">
        <v>119</v>
      </c>
      <c r="AR108" s="30" t="s">
        <v>119</v>
      </c>
      <c r="AS108" s="33" t="str">
        <f t="shared" si="19"/>
        <v xml:space="preserve">Seal missing; </v>
      </c>
      <c r="AT108" s="36">
        <f>IFERROR(INDEX(Factors_ROT!$F$5:$F$200,MATCH("MAT|"&amp;G108,Factors_ROT!$A$5:$A$200,0)),1)</f>
        <v>1.1000000000000001</v>
      </c>
      <c r="AU108" s="36">
        <f>IFERROR(INDEX(Factors_ROT!$F$5:$F$200,MATCH("SEAL_ARR|"&amp;P108,Factors_ROT!$A$5:$A$200,0)),1)*IFERROR(INDEX(Factors_ROT!$F$5:$F$200,MATCH("SEAL_CAT|"&amp;Q108,Factors_ROT!$A$5:$A$200,0)),1)*IFERROR(INDEX(Factors_ROT!$F$5:$F$200,MATCH("SEAL_PLAN|"&amp;R108,Factors_ROT!$A$5:$A$200,0)),1)</f>
        <v>1</v>
      </c>
      <c r="AV108" s="36">
        <f>IFERROR(INDEX(Factors_ROT!$F$5:$F$200,MATCH("DRV|"&amp;S108,Factors_ROT!$A$5:$A$200,0)),1)*IFERROR(INDEX(Factors_ROT!$F$5:$F$200,MATCH("NACE|"&amp;O108,Factors_ROT!$A$5:$A$200,0)),1)</f>
        <v>1</v>
      </c>
      <c r="AW108" s="36">
        <f>IFERROR(INDEX(Factors_ROT!$F$5:$F$200,MATCH("SC_DRV|"&amp;AL108,Factors_ROT!$A$5:$A$200,0)),1)*IFERROR(INDEX(Factors_ROT!$F$5:$F$200,MATCH("SC_BSP|"&amp;AM108,Factors_ROT!$A$5:$A$200,0)),1)*IFERROR(INDEX(Factors_ROT!$F$5:$F$200,MATCH("SC_SEAL|"&amp;AN108,Factors_ROT!$A$5:$A$200,0)),1)*IFERROR(INDEX(Factors_ROT!$F$5:$F$200,MATCH("SC_COMM|"&amp;AO108,Factors_ROT!$A$5:$A$200,0)),1)*IFERROR(INDEX(Factors_ROT!$F$5:$F$200,MATCH("SC_2Y|"&amp;AP108,Factors_ROT!$A$5:$A$200,0)),1)*IFERROR(INDEX(Factors_ROT!$F$5:$F$200,MATCH("SC_TPI|"&amp;AQ108,Factors_ROT!$A$5:$A$200,0)),1)*IFERROR(INDEX(Factors_ROT!$F$5:$F$200,MATCH("SC_FAT|"&amp;AR108,Factors_ROT!$A$5:$A$200,0)),1)</f>
        <v>1</v>
      </c>
      <c r="AX108" s="36">
        <f t="shared" si="20"/>
        <v>1.1000000000000001</v>
      </c>
      <c r="AY108" s="35">
        <f t="shared" si="21"/>
        <v>31363.63636363636</v>
      </c>
      <c r="AZ108" s="37">
        <f>IFERROR(IF(N(INDEX(Escalation_Index!$B$5:$B$25,MATCH(Y108,Escalation_Index!$A$5:$A$25,0)))&gt;0,INDEX(Escalation_Index!$B$5:$B$25,MATCH(Y108,Escalation_Index!$A$5:$A$25,0)),""),"")</f>
        <v>123.416</v>
      </c>
      <c r="BA108" s="37">
        <f>IF(ISNUMBER('Assumptions &amp; FX Reference'!$I$12),'Assumptions &amp; FX Reference'!$I$12,"")</f>
        <v>123.416</v>
      </c>
      <c r="BB108" s="33" t="str">
        <f t="shared" si="22"/>
        <v>Y</v>
      </c>
      <c r="BC108" s="35">
        <f t="shared" si="23"/>
        <v>31363.63636363636</v>
      </c>
      <c r="BD108" s="35">
        <f>IF(AND(ISNUMBER(BC108),ISNUMBER(K108)),IF(K108&gt;0,BC108/K108^'Assumptions &amp; FX Reference'!$I$16,""),"")</f>
        <v>48360.026713220301</v>
      </c>
      <c r="BE108" s="30" t="s">
        <v>714</v>
      </c>
      <c r="BF108" s="30" t="s">
        <v>715</v>
      </c>
      <c r="BG108" s="30" t="s">
        <v>361</v>
      </c>
    </row>
    <row r="109" spans="1:59" ht="24" customHeight="1">
      <c r="A109" s="30">
        <v>105</v>
      </c>
      <c r="B109" s="30" t="s">
        <v>512</v>
      </c>
      <c r="C109" s="30" t="s">
        <v>682</v>
      </c>
      <c r="D109" s="30" t="s">
        <v>716</v>
      </c>
      <c r="E109" s="30" t="s">
        <v>50</v>
      </c>
      <c r="F109" s="30" t="s">
        <v>188</v>
      </c>
      <c r="G109" s="30" t="s">
        <v>107</v>
      </c>
      <c r="H109" s="31">
        <v>5</v>
      </c>
      <c r="I109" s="31"/>
      <c r="J109" s="31"/>
      <c r="K109" s="32" t="str">
        <f>IF(ISNUMBER(J109),J109,IF(AND(ISNUMBER(H109),ISNUMBER(I109)),H109*I109/(367*'Assumptions &amp; FX Reference'!$I$17),""))</f>
        <v/>
      </c>
      <c r="L109" s="33" t="str">
        <f t="shared" si="18"/>
        <v>API 676 + IPS-M-PM-140 + NACE MR0175</v>
      </c>
      <c r="M109" s="30" t="s">
        <v>483</v>
      </c>
      <c r="N109" s="30" t="s">
        <v>484</v>
      </c>
      <c r="O109" s="30" t="s">
        <v>361</v>
      </c>
      <c r="P109" s="30" t="s">
        <v>119</v>
      </c>
      <c r="Q109" s="30" t="s">
        <v>119</v>
      </c>
      <c r="R109" s="30" t="s">
        <v>119</v>
      </c>
      <c r="S109" s="38" t="s">
        <v>297</v>
      </c>
      <c r="T109" s="30" t="s">
        <v>424</v>
      </c>
      <c r="U109" s="30">
        <v>2</v>
      </c>
      <c r="V109" s="30" t="s">
        <v>514</v>
      </c>
      <c r="W109" s="31">
        <v>6.4</v>
      </c>
      <c r="X109" s="30" t="s">
        <v>119</v>
      </c>
      <c r="Y109" s="30">
        <v>1393</v>
      </c>
      <c r="Z109" s="30" t="s">
        <v>355</v>
      </c>
      <c r="AA109" s="34">
        <v>25000</v>
      </c>
      <c r="AB109" s="35">
        <f>IF(NOT(ISNUMBER(AA109)),"(Not stated)",IF(NOT(ISNUMBER(Y109)),"(Cost year not stated)",IFERROR(IF(Z109="EUR",AA109,IF(Z109="IRR",AA109/INDEX('Assumptions &amp; FX Reference'!$C$5:$C$25,MATCH(Y109,'Assumptions &amp; FX Reference'!$A$5:$A$25,0)),IF(Z109="USD",AA109*INDEX('Assumptions &amp; FX Reference'!$B$5:$B$25,MATCH(Y109,'Assumptions &amp; FX Reference'!$A$5:$A$25,0))/INDEX('Assumptions &amp; FX Reference'!$C$5:$C$25,MATCH(Y109,'Assumptions &amp; FX Reference'!$A$5:$A$25,0)),"(Currency?)"))),"(FX rate missing)")))</f>
        <v>25000</v>
      </c>
      <c r="AC109" s="35">
        <f>IF(NOT(ISNUMBER(AA109)),"(Not stated)",IF(NOT(ISNUMBER(Y109)),"(Cost year not stated)",IFERROR(IF(Z109="USD",AA109,IF(Z109="IRR",AA109/INDEX('Assumptions &amp; FX Reference'!$B$5:$B$25,MATCH(Y109,'Assumptions &amp; FX Reference'!$A$5:$A$25,0)),IF(Z109="EUR",AA109*INDEX('Assumptions &amp; FX Reference'!$C$5:$C$25,MATCH(Y109,'Assumptions &amp; FX Reference'!$A$5:$A$25,0))/INDEX('Assumptions &amp; FX Reference'!$B$5:$B$25,MATCH(Y109,'Assumptions &amp; FX Reference'!$A$5:$A$25,0)),"(Currency?)"))),"(FX rate missing)")))</f>
        <v>32686.129032258068</v>
      </c>
      <c r="AD109" s="35">
        <f>IF(NOT(ISNUMBER(AA109)),"(Not stated)",IF(NOT(ISNUMBER(Y109)),"(Cost year not stated)",IFERROR(IF(Z109="IRR",AA109,IF(Z109="USD",AA109*INDEX('Assumptions &amp; FX Reference'!$B$5:$B$25,MATCH(Y109,'Assumptions &amp; FX Reference'!$A$5:$A$25,0)),IF(Z109="EUR",AA109*INDEX('Assumptions &amp; FX Reference'!$C$5:$C$25,MATCH(Y109,'Assumptions &amp; FX Reference'!$A$5:$A$25,0)),"(Currency?)"))),"(FX rate missing)")))</f>
        <v>1013270000.0000001</v>
      </c>
      <c r="AE109" s="30" t="s">
        <v>717</v>
      </c>
      <c r="AF109" s="30" t="s">
        <v>204</v>
      </c>
      <c r="AG109" s="35">
        <f>IF(AND(Z109="EUR",N(AA109)&gt;5000000),"(Check currency – excluded)",IF(AND(ISNUMBER(AB109),ISNUMBER(AZ109),ISNUMBER(BA109)),IF(AND(BB109="Y",ISNUMBER('Assumptions &amp; FX Reference'!$I$15)),MAX(AB109*BA109/AZ109,'Assumptions &amp; FX Reference'!$I$13*BA109/'Assumptions &amp; FX Reference'!$I$15),AB109*BA109/AZ109),"(PPI/FX missing)"))</f>
        <v>33776.697647432324</v>
      </c>
      <c r="AH109" s="35">
        <f>IF(AND(ISNUMBER(AG109),ISNUMBER('Assumptions &amp; FX Reference'!$I$8),ISNUMBER('Assumptions &amp; FX Reference'!$I$11)),AG109*'Assumptions &amp; FX Reference'!$I$8/'Assumptions &amp; FX Reference'!$I$11,"")</f>
        <v>35660.86592461574</v>
      </c>
      <c r="AI109" s="35">
        <f>IF(AND(ISNUMBER(AG109),ISNUMBER('Assumptions &amp; FX Reference'!$I$8)),AG109*'Assumptions &amp; FX Reference'!$I$8,"")</f>
        <v>23483857019.934978</v>
      </c>
      <c r="AJ109" s="30" t="s">
        <v>685</v>
      </c>
      <c r="AK109" s="30" t="s">
        <v>358</v>
      </c>
      <c r="AL109" s="30" t="s">
        <v>119</v>
      </c>
      <c r="AM109" s="30" t="s">
        <v>119</v>
      </c>
      <c r="AN109" s="30" t="s">
        <v>119</v>
      </c>
      <c r="AO109" s="30" t="s">
        <v>119</v>
      </c>
      <c r="AP109" s="30" t="s">
        <v>119</v>
      </c>
      <c r="AQ109" s="30" t="s">
        <v>119</v>
      </c>
      <c r="AR109" s="30" t="s">
        <v>119</v>
      </c>
      <c r="AS109" s="33" t="str">
        <f t="shared" si="19"/>
        <v xml:space="preserve">Seal missing; Size driver missing; </v>
      </c>
      <c r="AT109" s="36">
        <f>IFERROR(INDEX(Factors_ROT!$F$5:$F$200,MATCH("MAT|"&amp;G109,Factors_ROT!$A$5:$A$200,0)),1)</f>
        <v>1.7</v>
      </c>
      <c r="AU109" s="36">
        <f>IFERROR(INDEX(Factors_ROT!$F$5:$F$200,MATCH("SEAL_ARR|"&amp;P109,Factors_ROT!$A$5:$A$200,0)),1)*IFERROR(INDEX(Factors_ROT!$F$5:$F$200,MATCH("SEAL_CAT|"&amp;Q109,Factors_ROT!$A$5:$A$200,0)),1)*IFERROR(INDEX(Factors_ROT!$F$5:$F$200,MATCH("SEAL_PLAN|"&amp;R109,Factors_ROT!$A$5:$A$200,0)),1)</f>
        <v>1</v>
      </c>
      <c r="AV109" s="36">
        <f>IFERROR(INDEX(Factors_ROT!$F$5:$F$200,MATCH("DRV|"&amp;S109,Factors_ROT!$A$5:$A$200,0)),1)*IFERROR(INDEX(Factors_ROT!$F$5:$F$200,MATCH("NACE|"&amp;O109,Factors_ROT!$A$5:$A$200,0)),1)</f>
        <v>1.05</v>
      </c>
      <c r="AW109" s="36">
        <f>IFERROR(INDEX(Factors_ROT!$F$5:$F$200,MATCH("SC_DRV|"&amp;AL109,Factors_ROT!$A$5:$A$200,0)),1)*IFERROR(INDEX(Factors_ROT!$F$5:$F$200,MATCH("SC_BSP|"&amp;AM109,Factors_ROT!$A$5:$A$200,0)),1)*IFERROR(INDEX(Factors_ROT!$F$5:$F$200,MATCH("SC_SEAL|"&amp;AN109,Factors_ROT!$A$5:$A$200,0)),1)*IFERROR(INDEX(Factors_ROT!$F$5:$F$200,MATCH("SC_COMM|"&amp;AO109,Factors_ROT!$A$5:$A$200,0)),1)*IFERROR(INDEX(Factors_ROT!$F$5:$F$200,MATCH("SC_2Y|"&amp;AP109,Factors_ROT!$A$5:$A$200,0)),1)*IFERROR(INDEX(Factors_ROT!$F$5:$F$200,MATCH("SC_TPI|"&amp;AQ109,Factors_ROT!$A$5:$A$200,0)),1)*IFERROR(INDEX(Factors_ROT!$F$5:$F$200,MATCH("SC_FAT|"&amp;AR109,Factors_ROT!$A$5:$A$200,0)),1)</f>
        <v>1</v>
      </c>
      <c r="AX109" s="36">
        <f t="shared" si="20"/>
        <v>1.7849999999999999</v>
      </c>
      <c r="AY109" s="35">
        <f t="shared" si="21"/>
        <v>14005.60224089636</v>
      </c>
      <c r="AZ109" s="37">
        <f>IFERROR(IF(N(INDEX(Escalation_Index!$B$5:$B$25,MATCH(Y109,Escalation_Index!$A$5:$A$25,0)))&gt;0,INDEX(Escalation_Index!$B$5:$B$25,MATCH(Y109,Escalation_Index!$A$5:$A$25,0)),""),"")</f>
        <v>91.346999999999994</v>
      </c>
      <c r="BA109" s="37">
        <f>IF(ISNUMBER('Assumptions &amp; FX Reference'!$I$12),'Assumptions &amp; FX Reference'!$I$12,"")</f>
        <v>123.416</v>
      </c>
      <c r="BB109" s="33" t="str">
        <f t="shared" si="22"/>
        <v>N</v>
      </c>
      <c r="BC109" s="35">
        <f t="shared" si="23"/>
        <v>18922.519690438279</v>
      </c>
      <c r="BD109" s="35" t="str">
        <f>IF(AND(ISNUMBER(BC109),ISNUMBER(K109)),IF(K109&gt;0,BC109/K109^'Assumptions &amp; FX Reference'!$I$16,""),"")</f>
        <v/>
      </c>
      <c r="BE109" s="30" t="s">
        <v>718</v>
      </c>
      <c r="BF109" s="30" t="s">
        <v>719</v>
      </c>
      <c r="BG109" s="30" t="s">
        <v>361</v>
      </c>
    </row>
    <row r="110" spans="1:59" ht="24" customHeight="1">
      <c r="A110" s="30">
        <v>106</v>
      </c>
      <c r="B110" s="30" t="s">
        <v>517</v>
      </c>
      <c r="C110" s="30" t="s">
        <v>682</v>
      </c>
      <c r="D110" s="30" t="s">
        <v>720</v>
      </c>
      <c r="E110" s="30" t="s">
        <v>44</v>
      </c>
      <c r="F110" s="30" t="s">
        <v>128</v>
      </c>
      <c r="G110" s="30" t="s">
        <v>111</v>
      </c>
      <c r="H110" s="31">
        <v>15</v>
      </c>
      <c r="I110" s="31">
        <v>50</v>
      </c>
      <c r="J110" s="31"/>
      <c r="K110" s="32">
        <f>IF(ISNUMBER(J110),J110,IF(AND(ISNUMBER(H110),ISNUMBER(I110)),H110*I110/(367*'Assumptions &amp; FX Reference'!$I$17),""))</f>
        <v>3.4059945504087197</v>
      </c>
      <c r="L110" s="33" t="str">
        <f t="shared" si="18"/>
        <v>API 610 + IPS-G-PM-105 + NACE MR0175</v>
      </c>
      <c r="M110" s="30" t="s">
        <v>470</v>
      </c>
      <c r="N110" s="30" t="s">
        <v>471</v>
      </c>
      <c r="O110" s="30" t="s">
        <v>361</v>
      </c>
      <c r="P110" s="30" t="s">
        <v>119</v>
      </c>
      <c r="Q110" s="30" t="s">
        <v>119</v>
      </c>
      <c r="R110" s="30" t="s">
        <v>119</v>
      </c>
      <c r="S110" s="38" t="s">
        <v>297</v>
      </c>
      <c r="T110" s="30" t="s">
        <v>334</v>
      </c>
      <c r="U110" s="30">
        <v>2</v>
      </c>
      <c r="V110" s="30" t="s">
        <v>299</v>
      </c>
      <c r="W110" s="31">
        <v>5.7</v>
      </c>
      <c r="X110" s="30" t="s">
        <v>119</v>
      </c>
      <c r="Y110" s="30">
        <v>1404</v>
      </c>
      <c r="Z110" s="30" t="s">
        <v>355</v>
      </c>
      <c r="AA110" s="34">
        <v>29600</v>
      </c>
      <c r="AB110" s="35">
        <f>IF(NOT(ISNUMBER(AA110)),"(Not stated)",IF(NOT(ISNUMBER(Y110)),"(Cost year not stated)",IFERROR(IF(Z110="EUR",AA110,IF(Z110="IRR",AA110/INDEX('Assumptions &amp; FX Reference'!$C$5:$C$25,MATCH(Y110,'Assumptions &amp; FX Reference'!$A$5:$A$25,0)),IF(Z110="USD",AA110*INDEX('Assumptions &amp; FX Reference'!$B$5:$B$25,MATCH(Y110,'Assumptions &amp; FX Reference'!$A$5:$A$25,0))/INDEX('Assumptions &amp; FX Reference'!$C$5:$C$25,MATCH(Y110,'Assumptions &amp; FX Reference'!$A$5:$A$25,0)),"(Currency?)"))),"(FX rate missing)")))</f>
        <v>29600</v>
      </c>
      <c r="AC110" s="35">
        <f>IF(NOT(ISNUMBER(AA110)),"(Not stated)",IF(NOT(ISNUMBER(Y110)),"(Cost year not stated)",IFERROR(IF(Z110="USD",AA110,IF(Z110="IRR",AA110/INDEX('Assumptions &amp; FX Reference'!$B$5:$B$25,MATCH(Y110,'Assumptions &amp; FX Reference'!$A$5:$A$25,0)),IF(Z110="EUR",AA110*INDEX('Assumptions &amp; FX Reference'!$C$5:$C$25,MATCH(Y110,'Assumptions &amp; FX Reference'!$A$5:$A$25,0))/INDEX('Assumptions &amp; FX Reference'!$B$5:$B$25,MATCH(Y110,'Assumptions &amp; FX Reference'!$A$5:$A$25,0)),"(Currency?)"))),"(FX rate missing)")))</f>
        <v>31251.179211975708</v>
      </c>
      <c r="AD110" s="35">
        <f>IF(NOT(ISNUMBER(AA110)),"(Not stated)",IF(NOT(ISNUMBER(Y110)),"(Cost year not stated)",IFERROR(IF(Z110="IRR",AA110,IF(Z110="USD",AA110*INDEX('Assumptions &amp; FX Reference'!$B$5:$B$25,MATCH(Y110,'Assumptions &amp; FX Reference'!$A$5:$A$25,0)),IF(Z110="EUR",AA110*INDEX('Assumptions &amp; FX Reference'!$C$5:$C$25,MATCH(Y110,'Assumptions &amp; FX Reference'!$A$5:$A$25,0)),"(Currency?)"))),"(FX rate missing)")))</f>
        <v>20579932800</v>
      </c>
      <c r="AE110" s="30" t="s">
        <v>684</v>
      </c>
      <c r="AF110" s="30" t="s">
        <v>204</v>
      </c>
      <c r="AG110" s="35">
        <f>IF(AND(Z110="EUR",N(AA110)&gt;5000000),"(Check currency – excluded)",IF(AND(ISNUMBER(AB110),ISNUMBER(AZ110),ISNUMBER(BA110)),IF(AND(BB110="Y",ISNUMBER('Assumptions &amp; FX Reference'!$I$15)),MAX(AB110*BA110/AZ110,'Assumptions &amp; FX Reference'!$I$13*BA110/'Assumptions &amp; FX Reference'!$I$15),AB110*BA110/AZ110),"(PPI/FX missing)"))</f>
        <v>29600</v>
      </c>
      <c r="AH110" s="35">
        <f>IF(AND(ISNUMBER(AG110),ISNUMBER('Assumptions &amp; FX Reference'!$I$8),ISNUMBER('Assumptions &amp; FX Reference'!$I$11)),AG110*'Assumptions &amp; FX Reference'!$I$8/'Assumptions &amp; FX Reference'!$I$11,"")</f>
        <v>31251.179211975708</v>
      </c>
      <c r="AI110" s="35">
        <f>IF(AND(ISNUMBER(AG110),ISNUMBER('Assumptions &amp; FX Reference'!$I$8)),AG110*'Assumptions &amp; FX Reference'!$I$8,"")</f>
        <v>20579932800</v>
      </c>
      <c r="AJ110" s="30" t="s">
        <v>685</v>
      </c>
      <c r="AK110" s="30" t="s">
        <v>358</v>
      </c>
      <c r="AL110" s="30" t="s">
        <v>119</v>
      </c>
      <c r="AM110" s="30" t="s">
        <v>119</v>
      </c>
      <c r="AN110" s="30" t="s">
        <v>119</v>
      </c>
      <c r="AO110" s="30" t="s">
        <v>119</v>
      </c>
      <c r="AP110" s="30" t="s">
        <v>119</v>
      </c>
      <c r="AQ110" s="30" t="s">
        <v>119</v>
      </c>
      <c r="AR110" s="30" t="s">
        <v>119</v>
      </c>
      <c r="AS110" s="33" t="str">
        <f t="shared" si="19"/>
        <v xml:space="preserve">Seal missing; </v>
      </c>
      <c r="AT110" s="36">
        <f>IFERROR(INDEX(Factors_ROT!$F$5:$F$200,MATCH("MAT|"&amp;G110,Factors_ROT!$A$5:$A$200,0)),1)</f>
        <v>1.9</v>
      </c>
      <c r="AU110" s="36">
        <f>IFERROR(INDEX(Factors_ROT!$F$5:$F$200,MATCH("SEAL_ARR|"&amp;P110,Factors_ROT!$A$5:$A$200,0)),1)*IFERROR(INDEX(Factors_ROT!$F$5:$F$200,MATCH("SEAL_CAT|"&amp;Q110,Factors_ROT!$A$5:$A$200,0)),1)*IFERROR(INDEX(Factors_ROT!$F$5:$F$200,MATCH("SEAL_PLAN|"&amp;R110,Factors_ROT!$A$5:$A$200,0)),1)</f>
        <v>1</v>
      </c>
      <c r="AV110" s="36">
        <f>IFERROR(INDEX(Factors_ROT!$F$5:$F$200,MATCH("DRV|"&amp;S110,Factors_ROT!$A$5:$A$200,0)),1)*IFERROR(INDEX(Factors_ROT!$F$5:$F$200,MATCH("NACE|"&amp;O110,Factors_ROT!$A$5:$A$200,0)),1)</f>
        <v>1.05</v>
      </c>
      <c r="AW110" s="36">
        <f>IFERROR(INDEX(Factors_ROT!$F$5:$F$200,MATCH("SC_DRV|"&amp;AL110,Factors_ROT!$A$5:$A$200,0)),1)*IFERROR(INDEX(Factors_ROT!$F$5:$F$200,MATCH("SC_BSP|"&amp;AM110,Factors_ROT!$A$5:$A$200,0)),1)*IFERROR(INDEX(Factors_ROT!$F$5:$F$200,MATCH("SC_SEAL|"&amp;AN110,Factors_ROT!$A$5:$A$200,0)),1)*IFERROR(INDEX(Factors_ROT!$F$5:$F$200,MATCH("SC_COMM|"&amp;AO110,Factors_ROT!$A$5:$A$200,0)),1)*IFERROR(INDEX(Factors_ROT!$F$5:$F$200,MATCH("SC_2Y|"&amp;AP110,Factors_ROT!$A$5:$A$200,0)),1)*IFERROR(INDEX(Factors_ROT!$F$5:$F$200,MATCH("SC_TPI|"&amp;AQ110,Factors_ROT!$A$5:$A$200,0)),1)*IFERROR(INDEX(Factors_ROT!$F$5:$F$200,MATCH("SC_FAT|"&amp;AR110,Factors_ROT!$A$5:$A$200,0)),1)</f>
        <v>1</v>
      </c>
      <c r="AX110" s="36">
        <f t="shared" si="20"/>
        <v>1.9949999999999999</v>
      </c>
      <c r="AY110" s="35">
        <f t="shared" si="21"/>
        <v>14837.092731829574</v>
      </c>
      <c r="AZ110" s="37">
        <f>IFERROR(IF(N(INDEX(Escalation_Index!$B$5:$B$25,MATCH(Y110,Escalation_Index!$A$5:$A$25,0)))&gt;0,INDEX(Escalation_Index!$B$5:$B$25,MATCH(Y110,Escalation_Index!$A$5:$A$25,0)),""),"")</f>
        <v>123.416</v>
      </c>
      <c r="BA110" s="37">
        <f>IF(ISNUMBER('Assumptions &amp; FX Reference'!$I$12),'Assumptions &amp; FX Reference'!$I$12,"")</f>
        <v>123.416</v>
      </c>
      <c r="BB110" s="33" t="str">
        <f t="shared" si="22"/>
        <v>Y</v>
      </c>
      <c r="BC110" s="35">
        <f t="shared" si="23"/>
        <v>14837.092731829574</v>
      </c>
      <c r="BD110" s="35">
        <f>IF(AND(ISNUMBER(BC110),ISNUMBER(K110)),IF(K110&gt;0,BC110/K110^'Assumptions &amp; FX Reference'!$I$16,""),"")</f>
        <v>7112.175124001029</v>
      </c>
      <c r="BE110" s="30" t="s">
        <v>721</v>
      </c>
      <c r="BF110" s="30" t="s">
        <v>722</v>
      </c>
      <c r="BG110" s="30" t="s">
        <v>361</v>
      </c>
    </row>
    <row r="111" spans="1:59" ht="24" customHeight="1">
      <c r="A111" s="30">
        <v>107</v>
      </c>
      <c r="B111" s="30" t="s">
        <v>723</v>
      </c>
      <c r="C111" s="30" t="s">
        <v>682</v>
      </c>
      <c r="D111" s="30" t="s">
        <v>724</v>
      </c>
      <c r="E111" s="30" t="s">
        <v>50</v>
      </c>
      <c r="F111" s="30" t="s">
        <v>128</v>
      </c>
      <c r="G111" s="30" t="s">
        <v>86</v>
      </c>
      <c r="H111" s="31">
        <v>15</v>
      </c>
      <c r="I111" s="31">
        <v>20</v>
      </c>
      <c r="J111" s="31"/>
      <c r="K111" s="32">
        <f>IF(ISNUMBER(J111),J111,IF(AND(ISNUMBER(H111),ISNUMBER(I111)),H111*I111/(367*'Assumptions &amp; FX Reference'!$I$17),""))</f>
        <v>1.3623978201634879</v>
      </c>
      <c r="L111" s="33" t="str">
        <f t="shared" si="18"/>
        <v>API 610 + IPS-G-PM-105</v>
      </c>
      <c r="M111" s="30" t="s">
        <v>470</v>
      </c>
      <c r="N111" s="30" t="s">
        <v>471</v>
      </c>
      <c r="O111" s="38" t="s">
        <v>305</v>
      </c>
      <c r="P111" s="30" t="s">
        <v>119</v>
      </c>
      <c r="Q111" s="30" t="s">
        <v>119</v>
      </c>
      <c r="R111" s="30" t="s">
        <v>119</v>
      </c>
      <c r="S111" s="38" t="s">
        <v>297</v>
      </c>
      <c r="T111" s="30" t="s">
        <v>334</v>
      </c>
      <c r="U111" s="30">
        <v>2</v>
      </c>
      <c r="V111" s="30" t="s">
        <v>299</v>
      </c>
      <c r="W111" s="31">
        <v>2.5</v>
      </c>
      <c r="X111" s="30" t="s">
        <v>119</v>
      </c>
      <c r="Y111" s="30">
        <v>1404</v>
      </c>
      <c r="Z111" s="30" t="s">
        <v>355</v>
      </c>
      <c r="AA111" s="34">
        <v>26250</v>
      </c>
      <c r="AB111" s="35">
        <f>IF(NOT(ISNUMBER(AA111)),"(Not stated)",IF(NOT(ISNUMBER(Y111)),"(Cost year not stated)",IFERROR(IF(Z111="EUR",AA111,IF(Z111="IRR",AA111/INDEX('Assumptions &amp; FX Reference'!$C$5:$C$25,MATCH(Y111,'Assumptions &amp; FX Reference'!$A$5:$A$25,0)),IF(Z111="USD",AA111*INDEX('Assumptions &amp; FX Reference'!$B$5:$B$25,MATCH(Y111,'Assumptions &amp; FX Reference'!$A$5:$A$25,0))/INDEX('Assumptions &amp; FX Reference'!$C$5:$C$25,MATCH(Y111,'Assumptions &amp; FX Reference'!$A$5:$A$25,0)),"(Currency?)"))),"(FX rate missing)")))</f>
        <v>26250</v>
      </c>
      <c r="AC111" s="35">
        <f>IF(NOT(ISNUMBER(AA111)),"(Not stated)",IF(NOT(ISNUMBER(Y111)),"(Cost year not stated)",IFERROR(IF(Z111="USD",AA111,IF(Z111="IRR",AA111/INDEX('Assumptions &amp; FX Reference'!$B$5:$B$25,MATCH(Y111,'Assumptions &amp; FX Reference'!$A$5:$A$25,0)),IF(Z111="EUR",AA111*INDEX('Assumptions &amp; FX Reference'!$C$5:$C$25,MATCH(Y111,'Assumptions &amp; FX Reference'!$A$5:$A$25,0))/INDEX('Assumptions &amp; FX Reference'!$B$5:$B$25,MATCH(Y111,'Assumptions &amp; FX Reference'!$A$5:$A$25,0)),"(Currency?)"))),"(FX rate missing)")))</f>
        <v>27714.30588899873</v>
      </c>
      <c r="AD111" s="35">
        <f>IF(NOT(ISNUMBER(AA111)),"(Not stated)",IF(NOT(ISNUMBER(Y111)),"(Cost year not stated)",IFERROR(IF(Z111="IRR",AA111,IF(Z111="USD",AA111*INDEX('Assumptions &amp; FX Reference'!$B$5:$B$25,MATCH(Y111,'Assumptions &amp; FX Reference'!$A$5:$A$25,0)),IF(Z111="EUR",AA111*INDEX('Assumptions &amp; FX Reference'!$C$5:$C$25,MATCH(Y111,'Assumptions &amp; FX Reference'!$A$5:$A$25,0)),"(Currency?)"))),"(FX rate missing)")))</f>
        <v>18250785000</v>
      </c>
      <c r="AE111" s="30" t="s">
        <v>684</v>
      </c>
      <c r="AF111" s="30" t="s">
        <v>204</v>
      </c>
      <c r="AG111" s="35">
        <f>IF(AND(Z111="EUR",N(AA111)&gt;5000000),"(Check currency – excluded)",IF(AND(ISNUMBER(AB111),ISNUMBER(AZ111),ISNUMBER(BA111)),IF(AND(BB111="Y",ISNUMBER('Assumptions &amp; FX Reference'!$I$15)),MAX(AB111*BA111/AZ111,'Assumptions &amp; FX Reference'!$I$13*BA111/'Assumptions &amp; FX Reference'!$I$15),AB111*BA111/AZ111),"(PPI/FX missing)"))</f>
        <v>26250</v>
      </c>
      <c r="AH111" s="35">
        <f>IF(AND(ISNUMBER(AG111),ISNUMBER('Assumptions &amp; FX Reference'!$I$8),ISNUMBER('Assumptions &amp; FX Reference'!$I$11)),AG111*'Assumptions &amp; FX Reference'!$I$8/'Assumptions &amp; FX Reference'!$I$11,"")</f>
        <v>27714.30588899873</v>
      </c>
      <c r="AI111" s="35">
        <f>IF(AND(ISNUMBER(AG111),ISNUMBER('Assumptions &amp; FX Reference'!$I$8)),AG111*'Assumptions &amp; FX Reference'!$I$8,"")</f>
        <v>18250785000</v>
      </c>
      <c r="AJ111" s="30" t="s">
        <v>685</v>
      </c>
      <c r="AK111" s="30" t="s">
        <v>358</v>
      </c>
      <c r="AL111" s="30" t="s">
        <v>119</v>
      </c>
      <c r="AM111" s="30" t="s">
        <v>119</v>
      </c>
      <c r="AN111" s="30" t="s">
        <v>119</v>
      </c>
      <c r="AO111" s="30" t="s">
        <v>119</v>
      </c>
      <c r="AP111" s="30" t="s">
        <v>119</v>
      </c>
      <c r="AQ111" s="30" t="s">
        <v>119</v>
      </c>
      <c r="AR111" s="30" t="s">
        <v>119</v>
      </c>
      <c r="AS111" s="33" t="str">
        <f t="shared" si="19"/>
        <v xml:space="preserve">Seal missing; </v>
      </c>
      <c r="AT111" s="36">
        <f>IFERROR(INDEX(Factors_ROT!$F$5:$F$200,MATCH("MAT|"&amp;G111,Factors_ROT!$A$5:$A$200,0)),1)</f>
        <v>1.1000000000000001</v>
      </c>
      <c r="AU111" s="36">
        <f>IFERROR(INDEX(Factors_ROT!$F$5:$F$200,MATCH("SEAL_ARR|"&amp;P111,Factors_ROT!$A$5:$A$200,0)),1)*IFERROR(INDEX(Factors_ROT!$F$5:$F$200,MATCH("SEAL_CAT|"&amp;Q111,Factors_ROT!$A$5:$A$200,0)),1)*IFERROR(INDEX(Factors_ROT!$F$5:$F$200,MATCH("SEAL_PLAN|"&amp;R111,Factors_ROT!$A$5:$A$200,0)),1)</f>
        <v>1</v>
      </c>
      <c r="AV111" s="36">
        <f>IFERROR(INDEX(Factors_ROT!$F$5:$F$200,MATCH("DRV|"&amp;S111,Factors_ROT!$A$5:$A$200,0)),1)*IFERROR(INDEX(Factors_ROT!$F$5:$F$200,MATCH("NACE|"&amp;O111,Factors_ROT!$A$5:$A$200,0)),1)</f>
        <v>1</v>
      </c>
      <c r="AW111" s="36">
        <f>IFERROR(INDEX(Factors_ROT!$F$5:$F$200,MATCH("SC_DRV|"&amp;AL111,Factors_ROT!$A$5:$A$200,0)),1)*IFERROR(INDEX(Factors_ROT!$F$5:$F$200,MATCH("SC_BSP|"&amp;AM111,Factors_ROT!$A$5:$A$200,0)),1)*IFERROR(INDEX(Factors_ROT!$F$5:$F$200,MATCH("SC_SEAL|"&amp;AN111,Factors_ROT!$A$5:$A$200,0)),1)*IFERROR(INDEX(Factors_ROT!$F$5:$F$200,MATCH("SC_COMM|"&amp;AO111,Factors_ROT!$A$5:$A$200,0)),1)*IFERROR(INDEX(Factors_ROT!$F$5:$F$200,MATCH("SC_2Y|"&amp;AP111,Factors_ROT!$A$5:$A$200,0)),1)*IFERROR(INDEX(Factors_ROT!$F$5:$F$200,MATCH("SC_TPI|"&amp;AQ111,Factors_ROT!$A$5:$A$200,0)),1)*IFERROR(INDEX(Factors_ROT!$F$5:$F$200,MATCH("SC_FAT|"&amp;AR111,Factors_ROT!$A$5:$A$200,0)),1)</f>
        <v>1</v>
      </c>
      <c r="AX111" s="36">
        <f t="shared" si="20"/>
        <v>1.1000000000000001</v>
      </c>
      <c r="AY111" s="35">
        <f t="shared" si="21"/>
        <v>23863.63636363636</v>
      </c>
      <c r="AZ111" s="37">
        <f>IFERROR(IF(N(INDEX(Escalation_Index!$B$5:$B$25,MATCH(Y111,Escalation_Index!$A$5:$A$25,0)))&gt;0,INDEX(Escalation_Index!$B$5:$B$25,MATCH(Y111,Escalation_Index!$A$5:$A$25,0)),""),"")</f>
        <v>123.416</v>
      </c>
      <c r="BA111" s="37">
        <f>IF(ISNUMBER('Assumptions &amp; FX Reference'!$I$12),'Assumptions &amp; FX Reference'!$I$12,"")</f>
        <v>123.416</v>
      </c>
      <c r="BB111" s="33" t="str">
        <f t="shared" si="22"/>
        <v>Y</v>
      </c>
      <c r="BC111" s="35">
        <f t="shared" si="23"/>
        <v>23863.63636363636</v>
      </c>
      <c r="BD111" s="35">
        <f>IF(AND(ISNUMBER(BC111),ISNUMBER(K111)),IF(K111&gt;0,BC111/K111^'Assumptions &amp; FX Reference'!$I$16,""),"")</f>
        <v>19822.309761373657</v>
      </c>
      <c r="BE111" s="30" t="s">
        <v>725</v>
      </c>
      <c r="BF111" s="30" t="s">
        <v>726</v>
      </c>
      <c r="BG111" s="30" t="s">
        <v>361</v>
      </c>
    </row>
    <row r="112" spans="1:59" ht="24" customHeight="1">
      <c r="A112" s="30">
        <v>108</v>
      </c>
      <c r="B112" s="30" t="s">
        <v>627</v>
      </c>
      <c r="C112" s="30" t="s">
        <v>682</v>
      </c>
      <c r="D112" s="30" t="s">
        <v>727</v>
      </c>
      <c r="E112" s="30" t="s">
        <v>53</v>
      </c>
      <c r="F112" s="30" t="s">
        <v>188</v>
      </c>
      <c r="G112" s="30" t="s">
        <v>74</v>
      </c>
      <c r="H112" s="31">
        <v>10</v>
      </c>
      <c r="I112" s="31">
        <v>21</v>
      </c>
      <c r="J112" s="31"/>
      <c r="K112" s="32">
        <f>IF(ISNUMBER(J112),J112,IF(AND(ISNUMBER(H112),ISNUMBER(I112)),H112*I112/(367*'Assumptions &amp; FX Reference'!$I$17),""))</f>
        <v>0.95367847411444151</v>
      </c>
      <c r="L112" s="33" t="str">
        <f t="shared" si="18"/>
        <v>ISO 5199 + IPS-M-PM-115</v>
      </c>
      <c r="M112" s="30" t="s">
        <v>615</v>
      </c>
      <c r="N112" s="30" t="s">
        <v>616</v>
      </c>
      <c r="O112" s="38" t="s">
        <v>305</v>
      </c>
      <c r="P112" s="30" t="s">
        <v>119</v>
      </c>
      <c r="Q112" s="30" t="s">
        <v>119</v>
      </c>
      <c r="R112" s="30" t="s">
        <v>119</v>
      </c>
      <c r="S112" s="38" t="s">
        <v>297</v>
      </c>
      <c r="T112" s="30" t="s">
        <v>338</v>
      </c>
      <c r="U112" s="30">
        <v>1</v>
      </c>
      <c r="V112" s="30" t="s">
        <v>299</v>
      </c>
      <c r="W112" s="31">
        <v>2</v>
      </c>
      <c r="X112" s="30" t="s">
        <v>119</v>
      </c>
      <c r="Y112" s="30">
        <v>1404</v>
      </c>
      <c r="Z112" s="30" t="s">
        <v>355</v>
      </c>
      <c r="AA112" s="34">
        <v>21000</v>
      </c>
      <c r="AB112" s="35">
        <f>IF(NOT(ISNUMBER(AA112)),"(Not stated)",IF(NOT(ISNUMBER(Y112)),"(Cost year not stated)",IFERROR(IF(Z112="EUR",AA112,IF(Z112="IRR",AA112/INDEX('Assumptions &amp; FX Reference'!$C$5:$C$25,MATCH(Y112,'Assumptions &amp; FX Reference'!$A$5:$A$25,0)),IF(Z112="USD",AA112*INDEX('Assumptions &amp; FX Reference'!$B$5:$B$25,MATCH(Y112,'Assumptions &amp; FX Reference'!$A$5:$A$25,0))/INDEX('Assumptions &amp; FX Reference'!$C$5:$C$25,MATCH(Y112,'Assumptions &amp; FX Reference'!$A$5:$A$25,0)),"(Currency?)"))),"(FX rate missing)")))</f>
        <v>21000</v>
      </c>
      <c r="AC112" s="35">
        <f>IF(NOT(ISNUMBER(AA112)),"(Not stated)",IF(NOT(ISNUMBER(Y112)),"(Cost year not stated)",IFERROR(IF(Z112="USD",AA112,IF(Z112="IRR",AA112/INDEX('Assumptions &amp; FX Reference'!$B$5:$B$25,MATCH(Y112,'Assumptions &amp; FX Reference'!$A$5:$A$25,0)),IF(Z112="EUR",AA112*INDEX('Assumptions &amp; FX Reference'!$C$5:$C$25,MATCH(Y112,'Assumptions &amp; FX Reference'!$A$5:$A$25,0))/INDEX('Assumptions &amp; FX Reference'!$B$5:$B$25,MATCH(Y112,'Assumptions &amp; FX Reference'!$A$5:$A$25,0)),"(Currency?)"))),"(FX rate missing)")))</f>
        <v>22171.444711198983</v>
      </c>
      <c r="AD112" s="35">
        <f>IF(NOT(ISNUMBER(AA112)),"(Not stated)",IF(NOT(ISNUMBER(Y112)),"(Cost year not stated)",IFERROR(IF(Z112="IRR",AA112,IF(Z112="USD",AA112*INDEX('Assumptions &amp; FX Reference'!$B$5:$B$25,MATCH(Y112,'Assumptions &amp; FX Reference'!$A$5:$A$25,0)),IF(Z112="EUR",AA112*INDEX('Assumptions &amp; FX Reference'!$C$5:$C$25,MATCH(Y112,'Assumptions &amp; FX Reference'!$A$5:$A$25,0)),"(Currency?)"))),"(FX rate missing)")))</f>
        <v>14600628000</v>
      </c>
      <c r="AE112" s="30" t="s">
        <v>684</v>
      </c>
      <c r="AF112" s="30" t="s">
        <v>204</v>
      </c>
      <c r="AG112" s="35">
        <f>IF(AND(Z112="EUR",N(AA112)&gt;5000000),"(Check currency – excluded)",IF(AND(ISNUMBER(AB112),ISNUMBER(AZ112),ISNUMBER(BA112)),IF(AND(BB112="Y",ISNUMBER('Assumptions &amp; FX Reference'!$I$15)),MAX(AB112*BA112/AZ112,'Assumptions &amp; FX Reference'!$I$13*BA112/'Assumptions &amp; FX Reference'!$I$15),AB112*BA112/AZ112),"(PPI/FX missing)"))</f>
        <v>21000</v>
      </c>
      <c r="AH112" s="35">
        <f>IF(AND(ISNUMBER(AG112),ISNUMBER('Assumptions &amp; FX Reference'!$I$8),ISNUMBER('Assumptions &amp; FX Reference'!$I$11)),AG112*'Assumptions &amp; FX Reference'!$I$8/'Assumptions &amp; FX Reference'!$I$11,"")</f>
        <v>22171.444711198983</v>
      </c>
      <c r="AI112" s="35">
        <f>IF(AND(ISNUMBER(AG112),ISNUMBER('Assumptions &amp; FX Reference'!$I$8)),AG112*'Assumptions &amp; FX Reference'!$I$8,"")</f>
        <v>14600628000</v>
      </c>
      <c r="AJ112" s="30" t="s">
        <v>685</v>
      </c>
      <c r="AK112" s="30" t="s">
        <v>358</v>
      </c>
      <c r="AL112" s="30" t="s">
        <v>119</v>
      </c>
      <c r="AM112" s="30" t="s">
        <v>119</v>
      </c>
      <c r="AN112" s="30" t="s">
        <v>119</v>
      </c>
      <c r="AO112" s="30" t="s">
        <v>119</v>
      </c>
      <c r="AP112" s="30" t="s">
        <v>119</v>
      </c>
      <c r="AQ112" s="30" t="s">
        <v>119</v>
      </c>
      <c r="AR112" s="30" t="s">
        <v>119</v>
      </c>
      <c r="AS112" s="33" t="str">
        <f t="shared" si="19"/>
        <v xml:space="preserve">Seal missing; </v>
      </c>
      <c r="AT112" s="36">
        <f>IFERROR(INDEX(Factors_ROT!$F$5:$F$200,MATCH("MAT|"&amp;G112,Factors_ROT!$A$5:$A$200,0)),1)</f>
        <v>0.9</v>
      </c>
      <c r="AU112" s="36">
        <f>IFERROR(INDEX(Factors_ROT!$F$5:$F$200,MATCH("SEAL_ARR|"&amp;P112,Factors_ROT!$A$5:$A$200,0)),1)*IFERROR(INDEX(Factors_ROT!$F$5:$F$200,MATCH("SEAL_CAT|"&amp;Q112,Factors_ROT!$A$5:$A$200,0)),1)*IFERROR(INDEX(Factors_ROT!$F$5:$F$200,MATCH("SEAL_PLAN|"&amp;R112,Factors_ROT!$A$5:$A$200,0)),1)</f>
        <v>1</v>
      </c>
      <c r="AV112" s="36">
        <f>IFERROR(INDEX(Factors_ROT!$F$5:$F$200,MATCH("DRV|"&amp;S112,Factors_ROT!$A$5:$A$200,0)),1)*IFERROR(INDEX(Factors_ROT!$F$5:$F$200,MATCH("NACE|"&amp;O112,Factors_ROT!$A$5:$A$200,0)),1)</f>
        <v>1</v>
      </c>
      <c r="AW112" s="36">
        <f>IFERROR(INDEX(Factors_ROT!$F$5:$F$200,MATCH("SC_DRV|"&amp;AL112,Factors_ROT!$A$5:$A$200,0)),1)*IFERROR(INDEX(Factors_ROT!$F$5:$F$200,MATCH("SC_BSP|"&amp;AM112,Factors_ROT!$A$5:$A$200,0)),1)*IFERROR(INDEX(Factors_ROT!$F$5:$F$200,MATCH("SC_SEAL|"&amp;AN112,Factors_ROT!$A$5:$A$200,0)),1)*IFERROR(INDEX(Factors_ROT!$F$5:$F$200,MATCH("SC_COMM|"&amp;AO112,Factors_ROT!$A$5:$A$200,0)),1)*IFERROR(INDEX(Factors_ROT!$F$5:$F$200,MATCH("SC_2Y|"&amp;AP112,Factors_ROT!$A$5:$A$200,0)),1)*IFERROR(INDEX(Factors_ROT!$F$5:$F$200,MATCH("SC_TPI|"&amp;AQ112,Factors_ROT!$A$5:$A$200,0)),1)*IFERROR(INDEX(Factors_ROT!$F$5:$F$200,MATCH("SC_FAT|"&amp;AR112,Factors_ROT!$A$5:$A$200,0)),1)</f>
        <v>1</v>
      </c>
      <c r="AX112" s="36">
        <f t="shared" si="20"/>
        <v>0.9</v>
      </c>
      <c r="AY112" s="35">
        <f t="shared" si="21"/>
        <v>23333.333333333332</v>
      </c>
      <c r="AZ112" s="37">
        <f>IFERROR(IF(N(INDEX(Escalation_Index!$B$5:$B$25,MATCH(Y112,Escalation_Index!$A$5:$A$25,0)))&gt;0,INDEX(Escalation_Index!$B$5:$B$25,MATCH(Y112,Escalation_Index!$A$5:$A$25,0)),""),"")</f>
        <v>123.416</v>
      </c>
      <c r="BA112" s="37">
        <f>IF(ISNUMBER('Assumptions &amp; FX Reference'!$I$12),'Assumptions &amp; FX Reference'!$I$12,"")</f>
        <v>123.416</v>
      </c>
      <c r="BB112" s="33" t="str">
        <f t="shared" si="22"/>
        <v>N</v>
      </c>
      <c r="BC112" s="35">
        <f t="shared" si="23"/>
        <v>23333.333333333332</v>
      </c>
      <c r="BD112" s="35">
        <f>IF(AND(ISNUMBER(BC112),ISNUMBER(K112)),IF(K112&gt;0,BC112/K112^'Assumptions &amp; FX Reference'!$I$16,""),"")</f>
        <v>24006.873124198682</v>
      </c>
      <c r="BE112" s="30" t="s">
        <v>728</v>
      </c>
      <c r="BF112" s="30" t="s">
        <v>729</v>
      </c>
      <c r="BG112" s="30" t="s">
        <v>361</v>
      </c>
    </row>
    <row r="113" spans="1:59" ht="24" customHeight="1">
      <c r="A113" s="30">
        <v>109</v>
      </c>
      <c r="B113" s="30" t="s">
        <v>649</v>
      </c>
      <c r="C113" s="30" t="s">
        <v>682</v>
      </c>
      <c r="D113" s="30" t="s">
        <v>730</v>
      </c>
      <c r="E113" s="30" t="s">
        <v>56</v>
      </c>
      <c r="F113" s="30" t="s">
        <v>188</v>
      </c>
      <c r="G113" s="30" t="s">
        <v>70</v>
      </c>
      <c r="H113" s="31">
        <v>33</v>
      </c>
      <c r="I113" s="31">
        <v>31</v>
      </c>
      <c r="J113" s="31"/>
      <c r="K113" s="32">
        <f>IF(ISNUMBER(J113),J113,IF(AND(ISNUMBER(H113),ISNUMBER(I113)),H113*I113/(367*'Assumptions &amp; FX Reference'!$I$17),""))</f>
        <v>4.6457765667574931</v>
      </c>
      <c r="L113" s="33" t="str">
        <f t="shared" si="18"/>
        <v>ISO 5199 + IPS-M-PM-115</v>
      </c>
      <c r="M113" s="30" t="s">
        <v>615</v>
      </c>
      <c r="N113" s="30" t="s">
        <v>616</v>
      </c>
      <c r="O113" s="38" t="s">
        <v>305</v>
      </c>
      <c r="P113" s="30" t="s">
        <v>119</v>
      </c>
      <c r="Q113" s="30" t="s">
        <v>119</v>
      </c>
      <c r="R113" s="30" t="s">
        <v>119</v>
      </c>
      <c r="S113" s="38" t="s">
        <v>297</v>
      </c>
      <c r="T113" s="30" t="s">
        <v>445</v>
      </c>
      <c r="U113" s="30">
        <v>1</v>
      </c>
      <c r="V113" s="30" t="s">
        <v>299</v>
      </c>
      <c r="W113" s="31">
        <v>2.9</v>
      </c>
      <c r="X113" s="30" t="s">
        <v>119</v>
      </c>
      <c r="Y113" s="30">
        <v>1404</v>
      </c>
      <c r="Z113" s="30" t="s">
        <v>355</v>
      </c>
      <c r="AA113" s="34">
        <v>16000</v>
      </c>
      <c r="AB113" s="35">
        <f>IF(NOT(ISNUMBER(AA113)),"(Not stated)",IF(NOT(ISNUMBER(Y113)),"(Cost year not stated)",IFERROR(IF(Z113="EUR",AA113,IF(Z113="IRR",AA113/INDEX('Assumptions &amp; FX Reference'!$C$5:$C$25,MATCH(Y113,'Assumptions &amp; FX Reference'!$A$5:$A$25,0)),IF(Z113="USD",AA113*INDEX('Assumptions &amp; FX Reference'!$B$5:$B$25,MATCH(Y113,'Assumptions &amp; FX Reference'!$A$5:$A$25,0))/INDEX('Assumptions &amp; FX Reference'!$C$5:$C$25,MATCH(Y113,'Assumptions &amp; FX Reference'!$A$5:$A$25,0)),"(Currency?)"))),"(FX rate missing)")))</f>
        <v>16000</v>
      </c>
      <c r="AC113" s="35">
        <f>IF(NOT(ISNUMBER(AA113)),"(Not stated)",IF(NOT(ISNUMBER(Y113)),"(Cost year not stated)",IFERROR(IF(Z113="USD",AA113,IF(Z113="IRR",AA113/INDEX('Assumptions &amp; FX Reference'!$B$5:$B$25,MATCH(Y113,'Assumptions &amp; FX Reference'!$A$5:$A$25,0)),IF(Z113="EUR",AA113*INDEX('Assumptions &amp; FX Reference'!$C$5:$C$25,MATCH(Y113,'Assumptions &amp; FX Reference'!$A$5:$A$25,0))/INDEX('Assumptions &amp; FX Reference'!$B$5:$B$25,MATCH(Y113,'Assumptions &amp; FX Reference'!$A$5:$A$25,0)),"(Currency?)"))),"(FX rate missing)")))</f>
        <v>16892.529303770654</v>
      </c>
      <c r="AD113" s="35">
        <f>IF(NOT(ISNUMBER(AA113)),"(Not stated)",IF(NOT(ISNUMBER(Y113)),"(Cost year not stated)",IFERROR(IF(Z113="IRR",AA113,IF(Z113="USD",AA113*INDEX('Assumptions &amp; FX Reference'!$B$5:$B$25,MATCH(Y113,'Assumptions &amp; FX Reference'!$A$5:$A$25,0)),IF(Z113="EUR",AA113*INDEX('Assumptions &amp; FX Reference'!$C$5:$C$25,MATCH(Y113,'Assumptions &amp; FX Reference'!$A$5:$A$25,0)),"(Currency?)"))),"(FX rate missing)")))</f>
        <v>11124288000</v>
      </c>
      <c r="AE113" s="30" t="s">
        <v>684</v>
      </c>
      <c r="AF113" s="30" t="s">
        <v>204</v>
      </c>
      <c r="AG113" s="35">
        <f>IF(AND(Z113="EUR",N(AA113)&gt;5000000),"(Check currency – excluded)",IF(AND(ISNUMBER(AB113),ISNUMBER(AZ113),ISNUMBER(BA113)),IF(AND(BB113="Y",ISNUMBER('Assumptions &amp; FX Reference'!$I$15)),MAX(AB113*BA113/AZ113,'Assumptions &amp; FX Reference'!$I$13*BA113/'Assumptions &amp; FX Reference'!$I$15),AB113*BA113/AZ113),"(PPI/FX missing)"))</f>
        <v>16000</v>
      </c>
      <c r="AH113" s="35">
        <f>IF(AND(ISNUMBER(AG113),ISNUMBER('Assumptions &amp; FX Reference'!$I$8),ISNUMBER('Assumptions &amp; FX Reference'!$I$11)),AG113*'Assumptions &amp; FX Reference'!$I$8/'Assumptions &amp; FX Reference'!$I$11,"")</f>
        <v>16892.529303770654</v>
      </c>
      <c r="AI113" s="35">
        <f>IF(AND(ISNUMBER(AG113),ISNUMBER('Assumptions &amp; FX Reference'!$I$8)),AG113*'Assumptions &amp; FX Reference'!$I$8,"")</f>
        <v>11124288000</v>
      </c>
      <c r="AJ113" s="30" t="s">
        <v>685</v>
      </c>
      <c r="AK113" s="30" t="s">
        <v>358</v>
      </c>
      <c r="AL113" s="30" t="s">
        <v>119</v>
      </c>
      <c r="AM113" s="30" t="s">
        <v>119</v>
      </c>
      <c r="AN113" s="30" t="s">
        <v>119</v>
      </c>
      <c r="AO113" s="30" t="s">
        <v>119</v>
      </c>
      <c r="AP113" s="30" t="s">
        <v>119</v>
      </c>
      <c r="AQ113" s="30" t="s">
        <v>119</v>
      </c>
      <c r="AR113" s="30" t="s">
        <v>119</v>
      </c>
      <c r="AS113" s="33" t="str">
        <f t="shared" si="19"/>
        <v xml:space="preserve">Seal missing; </v>
      </c>
      <c r="AT113" s="36">
        <f>IFERROR(INDEX(Factors_ROT!$F$5:$F$200,MATCH("MAT|"&amp;G113,Factors_ROT!$A$5:$A$200,0)),1)</f>
        <v>0.8</v>
      </c>
      <c r="AU113" s="36">
        <f>IFERROR(INDEX(Factors_ROT!$F$5:$F$200,MATCH("SEAL_ARR|"&amp;P113,Factors_ROT!$A$5:$A$200,0)),1)*IFERROR(INDEX(Factors_ROT!$F$5:$F$200,MATCH("SEAL_CAT|"&amp;Q113,Factors_ROT!$A$5:$A$200,0)),1)*IFERROR(INDEX(Factors_ROT!$F$5:$F$200,MATCH("SEAL_PLAN|"&amp;R113,Factors_ROT!$A$5:$A$200,0)),1)</f>
        <v>1</v>
      </c>
      <c r="AV113" s="36">
        <f>IFERROR(INDEX(Factors_ROT!$F$5:$F$200,MATCH("DRV|"&amp;S113,Factors_ROT!$A$5:$A$200,0)),1)*IFERROR(INDEX(Factors_ROT!$F$5:$F$200,MATCH("NACE|"&amp;O113,Factors_ROT!$A$5:$A$200,0)),1)</f>
        <v>1</v>
      </c>
      <c r="AW113" s="36">
        <f>IFERROR(INDEX(Factors_ROT!$F$5:$F$200,MATCH("SC_DRV|"&amp;AL113,Factors_ROT!$A$5:$A$200,0)),1)*IFERROR(INDEX(Factors_ROT!$F$5:$F$200,MATCH("SC_BSP|"&amp;AM113,Factors_ROT!$A$5:$A$200,0)),1)*IFERROR(INDEX(Factors_ROT!$F$5:$F$200,MATCH("SC_SEAL|"&amp;AN113,Factors_ROT!$A$5:$A$200,0)),1)*IFERROR(INDEX(Factors_ROT!$F$5:$F$200,MATCH("SC_COMM|"&amp;AO113,Factors_ROT!$A$5:$A$200,0)),1)*IFERROR(INDEX(Factors_ROT!$F$5:$F$200,MATCH("SC_2Y|"&amp;AP113,Factors_ROT!$A$5:$A$200,0)),1)*IFERROR(INDEX(Factors_ROT!$F$5:$F$200,MATCH("SC_TPI|"&amp;AQ113,Factors_ROT!$A$5:$A$200,0)),1)*IFERROR(INDEX(Factors_ROT!$F$5:$F$200,MATCH("SC_FAT|"&amp;AR113,Factors_ROT!$A$5:$A$200,0)),1)</f>
        <v>1</v>
      </c>
      <c r="AX113" s="36">
        <f t="shared" si="20"/>
        <v>0.8</v>
      </c>
      <c r="AY113" s="35">
        <f t="shared" si="21"/>
        <v>20000</v>
      </c>
      <c r="AZ113" s="37">
        <f>IFERROR(IF(N(INDEX(Escalation_Index!$B$5:$B$25,MATCH(Y113,Escalation_Index!$A$5:$A$25,0)))&gt;0,INDEX(Escalation_Index!$B$5:$B$25,MATCH(Y113,Escalation_Index!$A$5:$A$25,0)),""),"")</f>
        <v>123.416</v>
      </c>
      <c r="BA113" s="37">
        <f>IF(ISNUMBER('Assumptions &amp; FX Reference'!$I$12),'Assumptions &amp; FX Reference'!$I$12,"")</f>
        <v>123.416</v>
      </c>
      <c r="BB113" s="33" t="str">
        <f t="shared" si="22"/>
        <v>N</v>
      </c>
      <c r="BC113" s="35">
        <f t="shared" si="23"/>
        <v>20000</v>
      </c>
      <c r="BD113" s="35">
        <f>IF(AND(ISNUMBER(BC113),ISNUMBER(K113)),IF(K113&gt;0,BC113/K113^'Assumptions &amp; FX Reference'!$I$16,""),"")</f>
        <v>7957.8363577587788</v>
      </c>
      <c r="BE113" s="30" t="s">
        <v>731</v>
      </c>
      <c r="BF113" s="30" t="s">
        <v>732</v>
      </c>
      <c r="BG113" s="30" t="s">
        <v>361</v>
      </c>
    </row>
    <row r="114" spans="1:59" ht="24" customHeight="1">
      <c r="A114" s="30">
        <v>110</v>
      </c>
      <c r="B114" s="30" t="s">
        <v>635</v>
      </c>
      <c r="C114" s="30" t="s">
        <v>682</v>
      </c>
      <c r="D114" s="30" t="s">
        <v>733</v>
      </c>
      <c r="E114" s="30" t="s">
        <v>56</v>
      </c>
      <c r="F114" s="30" t="s">
        <v>182</v>
      </c>
      <c r="G114" s="30" t="s">
        <v>70</v>
      </c>
      <c r="H114" s="31">
        <v>825</v>
      </c>
      <c r="I114" s="31">
        <v>107</v>
      </c>
      <c r="J114" s="31"/>
      <c r="K114" s="32">
        <f>IF(ISNUMBER(J114),J114,IF(AND(ISNUMBER(H114),ISNUMBER(I114)),H114*I114/(367*'Assumptions &amp; FX Reference'!$I$17),""))</f>
        <v>400.88555858310627</v>
      </c>
      <c r="L114" s="33" t="str">
        <f t="shared" si="18"/>
        <v>NFPA 20 + IPS-M-PM-125</v>
      </c>
      <c r="M114" s="30" t="s">
        <v>637</v>
      </c>
      <c r="N114" s="30" t="s">
        <v>638</v>
      </c>
      <c r="O114" s="38" t="s">
        <v>305</v>
      </c>
      <c r="P114" s="30" t="s">
        <v>119</v>
      </c>
      <c r="Q114" s="30" t="s">
        <v>119</v>
      </c>
      <c r="R114" s="30" t="s">
        <v>119</v>
      </c>
      <c r="S114" s="30" t="s">
        <v>297</v>
      </c>
      <c r="T114" s="30" t="s">
        <v>445</v>
      </c>
      <c r="U114" s="30">
        <v>1</v>
      </c>
      <c r="V114" s="30" t="s">
        <v>299</v>
      </c>
      <c r="W114" s="31">
        <v>11.3</v>
      </c>
      <c r="X114" s="30" t="s">
        <v>119</v>
      </c>
      <c r="Y114" s="30">
        <v>1404</v>
      </c>
      <c r="Z114" s="30" t="s">
        <v>355</v>
      </c>
      <c r="AA114" s="34">
        <v>309660.11</v>
      </c>
      <c r="AB114" s="35">
        <f>IF(NOT(ISNUMBER(AA114)),"(Not stated)",IF(NOT(ISNUMBER(Y114)),"(Cost year not stated)",IFERROR(IF(Z114="EUR",AA114,IF(Z114="IRR",AA114/INDEX('Assumptions &amp; FX Reference'!$C$5:$C$25,MATCH(Y114,'Assumptions &amp; FX Reference'!$A$5:$A$25,0)),IF(Z114="USD",AA114*INDEX('Assumptions &amp; FX Reference'!$B$5:$B$25,MATCH(Y114,'Assumptions &amp; FX Reference'!$A$5:$A$25,0))/INDEX('Assumptions &amp; FX Reference'!$C$5:$C$25,MATCH(Y114,'Assumptions &amp; FX Reference'!$A$5:$A$25,0)),"(Currency?)"))),"(FX rate missing)")))</f>
        <v>309660.11</v>
      </c>
      <c r="AC114" s="35">
        <f>IF(NOT(ISNUMBER(AA114)),"(Not stated)",IF(NOT(ISNUMBER(Y114)),"(Cost year not stated)",IFERROR(IF(Z114="USD",AA114,IF(Z114="IRR",AA114/INDEX('Assumptions &amp; FX Reference'!$B$5:$B$25,MATCH(Y114,'Assumptions &amp; FX Reference'!$A$5:$A$25,0)),IF(Z114="EUR",AA114*INDEX('Assumptions &amp; FX Reference'!$C$5:$C$25,MATCH(Y114,'Assumptions &amp; FX Reference'!$A$5:$A$25,0))/INDEX('Assumptions &amp; FX Reference'!$B$5:$B$25,MATCH(Y114,'Assumptions &amp; FX Reference'!$A$5:$A$25,0)),"(Currency?)"))),"(FX rate missing)")))</f>
        <v>326933.90514899022</v>
      </c>
      <c r="AD114" s="35">
        <f>IF(NOT(ISNUMBER(AA114)),"(Not stated)",IF(NOT(ISNUMBER(Y114)),"(Cost year not stated)",IFERROR(IF(Z114="IRR",AA114,IF(Z114="USD",AA114*INDEX('Assumptions &amp; FX Reference'!$B$5:$B$25,MATCH(Y114,'Assumptions &amp; FX Reference'!$A$5:$A$25,0)),IF(Z114="EUR",AA114*INDEX('Assumptions &amp; FX Reference'!$C$5:$C$25,MATCH(Y114,'Assumptions &amp; FX Reference'!$A$5:$A$25,0)),"(Currency?)"))),"(FX rate missing)")))</f>
        <v>215296765359.47998</v>
      </c>
      <c r="AE114" s="30" t="s">
        <v>734</v>
      </c>
      <c r="AF114" s="30" t="s">
        <v>204</v>
      </c>
      <c r="AG114" s="35">
        <f>IF(AND(Z114="EUR",N(AA114)&gt;5000000),"(Check currency – excluded)",IF(AND(ISNUMBER(AB114),ISNUMBER(AZ114),ISNUMBER(BA114)),IF(AND(BB114="Y",ISNUMBER('Assumptions &amp; FX Reference'!$I$15)),MAX(AB114*BA114/AZ114,'Assumptions &amp; FX Reference'!$I$13*BA114/'Assumptions &amp; FX Reference'!$I$15),AB114*BA114/AZ114),"(PPI/FX missing)"))</f>
        <v>309660.11</v>
      </c>
      <c r="AH114" s="35">
        <f>IF(AND(ISNUMBER(AG114),ISNUMBER('Assumptions &amp; FX Reference'!$I$8),ISNUMBER('Assumptions &amp; FX Reference'!$I$11)),AG114*'Assumptions &amp; FX Reference'!$I$8/'Assumptions &amp; FX Reference'!$I$11,"")</f>
        <v>326933.90514899022</v>
      </c>
      <c r="AI114" s="35">
        <f>IF(AND(ISNUMBER(AG114),ISNUMBER('Assumptions &amp; FX Reference'!$I$8)),AG114*'Assumptions &amp; FX Reference'!$I$8,"")</f>
        <v>215296765359.47998</v>
      </c>
      <c r="AJ114" s="30" t="s">
        <v>685</v>
      </c>
      <c r="AK114" s="30" t="s">
        <v>358</v>
      </c>
      <c r="AL114" s="30" t="s">
        <v>119</v>
      </c>
      <c r="AM114" s="30" t="s">
        <v>119</v>
      </c>
      <c r="AN114" s="30" t="s">
        <v>119</v>
      </c>
      <c r="AO114" s="30" t="s">
        <v>119</v>
      </c>
      <c r="AP114" s="30" t="s">
        <v>119</v>
      </c>
      <c r="AQ114" s="30" t="s">
        <v>119</v>
      </c>
      <c r="AR114" s="30" t="s">
        <v>119</v>
      </c>
      <c r="AS114" s="33" t="str">
        <f t="shared" si="19"/>
        <v xml:space="preserve">Seal missing; </v>
      </c>
      <c r="AT114" s="36">
        <f>IFERROR(INDEX(Factors_ROT!$F$5:$F$200,MATCH("MAT|"&amp;G114,Factors_ROT!$A$5:$A$200,0)),1)</f>
        <v>0.8</v>
      </c>
      <c r="AU114" s="36">
        <f>IFERROR(INDEX(Factors_ROT!$F$5:$F$200,MATCH("SEAL_ARR|"&amp;P114,Factors_ROT!$A$5:$A$200,0)),1)*IFERROR(INDEX(Factors_ROT!$F$5:$F$200,MATCH("SEAL_CAT|"&amp;Q114,Factors_ROT!$A$5:$A$200,0)),1)*IFERROR(INDEX(Factors_ROT!$F$5:$F$200,MATCH("SEAL_PLAN|"&amp;R114,Factors_ROT!$A$5:$A$200,0)),1)</f>
        <v>1</v>
      </c>
      <c r="AV114" s="36">
        <f>IFERROR(INDEX(Factors_ROT!$F$5:$F$200,MATCH("DRV|"&amp;S114,Factors_ROT!$A$5:$A$200,0)),1)*IFERROR(INDEX(Factors_ROT!$F$5:$F$200,MATCH("NACE|"&amp;O114,Factors_ROT!$A$5:$A$200,0)),1)</f>
        <v>1</v>
      </c>
      <c r="AW114" s="36">
        <f>IFERROR(INDEX(Factors_ROT!$F$5:$F$200,MATCH("SC_DRV|"&amp;AL114,Factors_ROT!$A$5:$A$200,0)),1)*IFERROR(INDEX(Factors_ROT!$F$5:$F$200,MATCH("SC_BSP|"&amp;AM114,Factors_ROT!$A$5:$A$200,0)),1)*IFERROR(INDEX(Factors_ROT!$F$5:$F$200,MATCH("SC_SEAL|"&amp;AN114,Factors_ROT!$A$5:$A$200,0)),1)*IFERROR(INDEX(Factors_ROT!$F$5:$F$200,MATCH("SC_COMM|"&amp;AO114,Factors_ROT!$A$5:$A$200,0)),1)*IFERROR(INDEX(Factors_ROT!$F$5:$F$200,MATCH("SC_2Y|"&amp;AP114,Factors_ROT!$A$5:$A$200,0)),1)*IFERROR(INDEX(Factors_ROT!$F$5:$F$200,MATCH("SC_TPI|"&amp;AQ114,Factors_ROT!$A$5:$A$200,0)),1)*IFERROR(INDEX(Factors_ROT!$F$5:$F$200,MATCH("SC_FAT|"&amp;AR114,Factors_ROT!$A$5:$A$200,0)),1)</f>
        <v>1</v>
      </c>
      <c r="AX114" s="36">
        <f t="shared" si="20"/>
        <v>0.8</v>
      </c>
      <c r="AY114" s="35">
        <f t="shared" si="21"/>
        <v>387075.13749999995</v>
      </c>
      <c r="AZ114" s="37">
        <f>IFERROR(IF(N(INDEX(Escalation_Index!$B$5:$B$25,MATCH(Y114,Escalation_Index!$A$5:$A$25,0)))&gt;0,INDEX(Escalation_Index!$B$5:$B$25,MATCH(Y114,Escalation_Index!$A$5:$A$25,0)),""),"")</f>
        <v>123.416</v>
      </c>
      <c r="BA114" s="37">
        <f>IF(ISNUMBER('Assumptions &amp; FX Reference'!$I$12),'Assumptions &amp; FX Reference'!$I$12,"")</f>
        <v>123.416</v>
      </c>
      <c r="BB114" s="33" t="str">
        <f t="shared" si="22"/>
        <v>N</v>
      </c>
      <c r="BC114" s="35">
        <f t="shared" si="23"/>
        <v>387075.13749999995</v>
      </c>
      <c r="BD114" s="35">
        <f>IF(AND(ISNUMBER(BC114),ISNUMBER(K114)),IF(K114&gt;0,BC114/K114^'Assumptions &amp; FX Reference'!$I$16,""),"")</f>
        <v>10616.540718460314</v>
      </c>
      <c r="BE114" s="30" t="s">
        <v>735</v>
      </c>
      <c r="BF114" s="30" t="s">
        <v>736</v>
      </c>
      <c r="BG114" s="30" t="s">
        <v>361</v>
      </c>
    </row>
    <row r="115" spans="1:59" ht="24" customHeight="1">
      <c r="A115" s="30">
        <v>111</v>
      </c>
      <c r="B115" s="30" t="s">
        <v>641</v>
      </c>
      <c r="C115" s="30" t="s">
        <v>682</v>
      </c>
      <c r="D115" s="30" t="s">
        <v>737</v>
      </c>
      <c r="E115" s="30" t="s">
        <v>56</v>
      </c>
      <c r="F115" s="30" t="s">
        <v>182</v>
      </c>
      <c r="G115" s="30" t="s">
        <v>70</v>
      </c>
      <c r="H115" s="31">
        <v>825</v>
      </c>
      <c r="I115" s="31">
        <v>107</v>
      </c>
      <c r="J115" s="31"/>
      <c r="K115" s="32">
        <f>IF(ISNUMBER(J115),J115,IF(AND(ISNUMBER(H115),ISNUMBER(I115)),H115*I115/(367*'Assumptions &amp; FX Reference'!$I$17),""))</f>
        <v>400.88555858310627</v>
      </c>
      <c r="L115" s="33" t="str">
        <f t="shared" si="18"/>
        <v>NFPA 20 + IPS-M-PM-125</v>
      </c>
      <c r="M115" s="30" t="s">
        <v>637</v>
      </c>
      <c r="N115" s="30" t="s">
        <v>638</v>
      </c>
      <c r="O115" s="38" t="s">
        <v>305</v>
      </c>
      <c r="P115" s="30" t="s">
        <v>119</v>
      </c>
      <c r="Q115" s="30" t="s">
        <v>119</v>
      </c>
      <c r="R115" s="30" t="s">
        <v>119</v>
      </c>
      <c r="S115" s="30" t="s">
        <v>452</v>
      </c>
      <c r="T115" s="30" t="s">
        <v>445</v>
      </c>
      <c r="U115" s="30">
        <v>1</v>
      </c>
      <c r="V115" s="30" t="s">
        <v>299</v>
      </c>
      <c r="W115" s="31">
        <v>11.3</v>
      </c>
      <c r="X115" s="30" t="s">
        <v>119</v>
      </c>
      <c r="Y115" s="30">
        <v>1404</v>
      </c>
      <c r="Z115" s="30" t="s">
        <v>355</v>
      </c>
      <c r="AA115" s="34">
        <v>202973.76</v>
      </c>
      <c r="AB115" s="35">
        <f>IF(NOT(ISNUMBER(AA115)),"(Not stated)",IF(NOT(ISNUMBER(Y115)),"(Cost year not stated)",IFERROR(IF(Z115="EUR",AA115,IF(Z115="IRR",AA115/INDEX('Assumptions &amp; FX Reference'!$C$5:$C$25,MATCH(Y115,'Assumptions &amp; FX Reference'!$A$5:$A$25,0)),IF(Z115="USD",AA115*INDEX('Assumptions &amp; FX Reference'!$B$5:$B$25,MATCH(Y115,'Assumptions &amp; FX Reference'!$A$5:$A$25,0))/INDEX('Assumptions &amp; FX Reference'!$C$5:$C$25,MATCH(Y115,'Assumptions &amp; FX Reference'!$A$5:$A$25,0)),"(Currency?)"))),"(FX rate missing)")))</f>
        <v>202973.76</v>
      </c>
      <c r="AC115" s="35">
        <f>IF(NOT(ISNUMBER(AA115)),"(Not stated)",IF(NOT(ISNUMBER(Y115)),"(Cost year not stated)",IFERROR(IF(Z115="USD",AA115,IF(Z115="IRR",AA115/INDEX('Assumptions &amp; FX Reference'!$B$5:$B$25,MATCH(Y115,'Assumptions &amp; FX Reference'!$A$5:$A$25,0)),IF(Z115="EUR",AA115*INDEX('Assumptions &amp; FX Reference'!$C$5:$C$25,MATCH(Y115,'Assumptions &amp; FX Reference'!$A$5:$A$25,0))/INDEX('Assumptions &amp; FX Reference'!$B$5:$B$25,MATCH(Y115,'Assumptions &amp; FX Reference'!$A$5:$A$25,0)),"(Currency?)"))),"(FX rate missing)")))</f>
        <v>214296.26179353197</v>
      </c>
      <c r="AD115" s="35">
        <f>IF(NOT(ISNUMBER(AA115)),"(Not stated)",IF(NOT(ISNUMBER(Y115)),"(Cost year not stated)",IFERROR(IF(Z115="IRR",AA115,IF(Z115="USD",AA115*INDEX('Assumptions &amp; FX Reference'!$B$5:$B$25,MATCH(Y115,'Assumptions &amp; FX Reference'!$A$5:$A$25,0)),IF(Z115="EUR",AA115*INDEX('Assumptions &amp; FX Reference'!$C$5:$C$25,MATCH(Y115,'Assumptions &amp; FX Reference'!$A$5:$A$25,0)),"(Currency?)"))),"(FX rate missing)")))</f>
        <v>141121160167.67999</v>
      </c>
      <c r="AE115" s="30" t="s">
        <v>734</v>
      </c>
      <c r="AF115" s="30" t="s">
        <v>204</v>
      </c>
      <c r="AG115" s="35">
        <f>IF(AND(Z115="EUR",N(AA115)&gt;5000000),"(Check currency – excluded)",IF(AND(ISNUMBER(AB115),ISNUMBER(AZ115),ISNUMBER(BA115)),IF(AND(BB115="Y",ISNUMBER('Assumptions &amp; FX Reference'!$I$15)),MAX(AB115*BA115/AZ115,'Assumptions &amp; FX Reference'!$I$13*BA115/'Assumptions &amp; FX Reference'!$I$15),AB115*BA115/AZ115),"(PPI/FX missing)"))</f>
        <v>202973.76</v>
      </c>
      <c r="AH115" s="35">
        <f>IF(AND(ISNUMBER(AG115),ISNUMBER('Assumptions &amp; FX Reference'!$I$8),ISNUMBER('Assumptions &amp; FX Reference'!$I$11)),AG115*'Assumptions &amp; FX Reference'!$I$8/'Assumptions &amp; FX Reference'!$I$11,"")</f>
        <v>214296.26179353197</v>
      </c>
      <c r="AI115" s="35">
        <f>IF(AND(ISNUMBER(AG115),ISNUMBER('Assumptions &amp; FX Reference'!$I$8)),AG115*'Assumptions &amp; FX Reference'!$I$8,"")</f>
        <v>141121160167.67999</v>
      </c>
      <c r="AJ115" s="30" t="s">
        <v>685</v>
      </c>
      <c r="AK115" s="30" t="s">
        <v>358</v>
      </c>
      <c r="AL115" s="30" t="s">
        <v>119</v>
      </c>
      <c r="AM115" s="30" t="s">
        <v>119</v>
      </c>
      <c r="AN115" s="30" t="s">
        <v>119</v>
      </c>
      <c r="AO115" s="30" t="s">
        <v>119</v>
      </c>
      <c r="AP115" s="30" t="s">
        <v>119</v>
      </c>
      <c r="AQ115" s="30" t="s">
        <v>119</v>
      </c>
      <c r="AR115" s="30" t="s">
        <v>119</v>
      </c>
      <c r="AS115" s="33" t="str">
        <f t="shared" si="19"/>
        <v xml:space="preserve">Seal missing; </v>
      </c>
      <c r="AT115" s="36">
        <f>IFERROR(INDEX(Factors_ROT!$F$5:$F$200,MATCH("MAT|"&amp;G115,Factors_ROT!$A$5:$A$200,0)),1)</f>
        <v>0.8</v>
      </c>
      <c r="AU115" s="36">
        <f>IFERROR(INDEX(Factors_ROT!$F$5:$F$200,MATCH("SEAL_ARR|"&amp;P115,Factors_ROT!$A$5:$A$200,0)),1)*IFERROR(INDEX(Factors_ROT!$F$5:$F$200,MATCH("SEAL_CAT|"&amp;Q115,Factors_ROT!$A$5:$A$200,0)),1)*IFERROR(INDEX(Factors_ROT!$F$5:$F$200,MATCH("SEAL_PLAN|"&amp;R115,Factors_ROT!$A$5:$A$200,0)),1)</f>
        <v>1</v>
      </c>
      <c r="AV115" s="36">
        <f>IFERROR(INDEX(Factors_ROT!$F$5:$F$200,MATCH("DRV|"&amp;S115,Factors_ROT!$A$5:$A$200,0)),1)*IFERROR(INDEX(Factors_ROT!$F$5:$F$200,MATCH("NACE|"&amp;O115,Factors_ROT!$A$5:$A$200,0)),1)</f>
        <v>1.35</v>
      </c>
      <c r="AW115" s="36">
        <f>IFERROR(INDEX(Factors_ROT!$F$5:$F$200,MATCH("SC_DRV|"&amp;AL115,Factors_ROT!$A$5:$A$200,0)),1)*IFERROR(INDEX(Factors_ROT!$F$5:$F$200,MATCH("SC_BSP|"&amp;AM115,Factors_ROT!$A$5:$A$200,0)),1)*IFERROR(INDEX(Factors_ROT!$F$5:$F$200,MATCH("SC_SEAL|"&amp;AN115,Factors_ROT!$A$5:$A$200,0)),1)*IFERROR(INDEX(Factors_ROT!$F$5:$F$200,MATCH("SC_COMM|"&amp;AO115,Factors_ROT!$A$5:$A$200,0)),1)*IFERROR(INDEX(Factors_ROT!$F$5:$F$200,MATCH("SC_2Y|"&amp;AP115,Factors_ROT!$A$5:$A$200,0)),1)*IFERROR(INDEX(Factors_ROT!$F$5:$F$200,MATCH("SC_TPI|"&amp;AQ115,Factors_ROT!$A$5:$A$200,0)),1)*IFERROR(INDEX(Factors_ROT!$F$5:$F$200,MATCH("SC_FAT|"&amp;AR115,Factors_ROT!$A$5:$A$200,0)),1)</f>
        <v>1</v>
      </c>
      <c r="AX115" s="36">
        <f t="shared" si="20"/>
        <v>1.08</v>
      </c>
      <c r="AY115" s="35">
        <f t="shared" si="21"/>
        <v>187938.66666666666</v>
      </c>
      <c r="AZ115" s="37">
        <f>IFERROR(IF(N(INDEX(Escalation_Index!$B$5:$B$25,MATCH(Y115,Escalation_Index!$A$5:$A$25,0)))&gt;0,INDEX(Escalation_Index!$B$5:$B$25,MATCH(Y115,Escalation_Index!$A$5:$A$25,0)),""),"")</f>
        <v>123.416</v>
      </c>
      <c r="BA115" s="37">
        <f>IF(ISNUMBER('Assumptions &amp; FX Reference'!$I$12),'Assumptions &amp; FX Reference'!$I$12,"")</f>
        <v>123.416</v>
      </c>
      <c r="BB115" s="33" t="str">
        <f t="shared" si="22"/>
        <v>N</v>
      </c>
      <c r="BC115" s="35">
        <f t="shared" si="23"/>
        <v>187938.66666666666</v>
      </c>
      <c r="BD115" s="35">
        <f>IF(AND(ISNUMBER(BC115),ISNUMBER(K115)),IF(K115&gt;0,BC115/K115^'Assumptions &amp; FX Reference'!$I$16,""),"")</f>
        <v>5154.7059315836505</v>
      </c>
      <c r="BE115" s="30" t="s">
        <v>738</v>
      </c>
      <c r="BF115" s="30" t="s">
        <v>739</v>
      </c>
      <c r="BG115" s="30" t="s">
        <v>361</v>
      </c>
    </row>
    <row r="116" spans="1:59" ht="24" customHeight="1">
      <c r="A116" s="30">
        <v>112</v>
      </c>
      <c r="B116" s="30" t="s">
        <v>645</v>
      </c>
      <c r="C116" s="30" t="s">
        <v>682</v>
      </c>
      <c r="D116" s="30" t="s">
        <v>740</v>
      </c>
      <c r="E116" s="30" t="s">
        <v>56</v>
      </c>
      <c r="F116" s="30" t="s">
        <v>179</v>
      </c>
      <c r="G116" s="30" t="s">
        <v>70</v>
      </c>
      <c r="H116" s="31">
        <v>16.5</v>
      </c>
      <c r="I116" s="31">
        <v>107</v>
      </c>
      <c r="J116" s="31"/>
      <c r="K116" s="32">
        <f>IF(ISNUMBER(J116),J116,IF(AND(ISNUMBER(H116),ISNUMBER(I116)),H116*I116/(367*'Assumptions &amp; FX Reference'!$I$17),""))</f>
        <v>8.0177111716621265</v>
      </c>
      <c r="L116" s="33" t="str">
        <f t="shared" si="18"/>
        <v>NFPA 20 + IPS-M-PM-125</v>
      </c>
      <c r="M116" s="30" t="s">
        <v>637</v>
      </c>
      <c r="N116" s="30" t="s">
        <v>638</v>
      </c>
      <c r="O116" s="38" t="s">
        <v>305</v>
      </c>
      <c r="P116" s="30" t="s">
        <v>119</v>
      </c>
      <c r="Q116" s="30" t="s">
        <v>119</v>
      </c>
      <c r="R116" s="30" t="s">
        <v>119</v>
      </c>
      <c r="S116" s="38" t="s">
        <v>297</v>
      </c>
      <c r="T116" s="30" t="s">
        <v>445</v>
      </c>
      <c r="U116" s="30">
        <v>2</v>
      </c>
      <c r="V116" s="30" t="s">
        <v>299</v>
      </c>
      <c r="W116" s="31">
        <v>11.3</v>
      </c>
      <c r="X116" s="30" t="s">
        <v>119</v>
      </c>
      <c r="Y116" s="30">
        <v>1404</v>
      </c>
      <c r="Z116" s="30" t="s">
        <v>355</v>
      </c>
      <c r="AA116" s="34">
        <v>26808.07</v>
      </c>
      <c r="AB116" s="35">
        <f>IF(NOT(ISNUMBER(AA116)),"(Not stated)",IF(NOT(ISNUMBER(Y116)),"(Cost year not stated)",IFERROR(IF(Z116="EUR",AA116,IF(Z116="IRR",AA116/INDEX('Assumptions &amp; FX Reference'!$C$5:$C$25,MATCH(Y116,'Assumptions &amp; FX Reference'!$A$5:$A$25,0)),IF(Z116="USD",AA116*INDEX('Assumptions &amp; FX Reference'!$B$5:$B$25,MATCH(Y116,'Assumptions &amp; FX Reference'!$A$5:$A$25,0))/INDEX('Assumptions &amp; FX Reference'!$C$5:$C$25,MATCH(Y116,'Assumptions &amp; FX Reference'!$A$5:$A$25,0)),"(Currency?)"))),"(FX rate missing)")))</f>
        <v>26808.07</v>
      </c>
      <c r="AC116" s="35">
        <f>IF(NOT(ISNUMBER(AA116)),"(Not stated)",IF(NOT(ISNUMBER(Y116)),"(Cost year not stated)",IFERROR(IF(Z116="USD",AA116,IF(Z116="IRR",AA116/INDEX('Assumptions &amp; FX Reference'!$B$5:$B$25,MATCH(Y116,'Assumptions &amp; FX Reference'!$A$5:$A$25,0)),IF(Z116="EUR",AA116*INDEX('Assumptions &amp; FX Reference'!$C$5:$C$25,MATCH(Y116,'Assumptions &amp; FX Reference'!$A$5:$A$25,0))/INDEX('Assumptions &amp; FX Reference'!$B$5:$B$25,MATCH(Y116,'Assumptions &amp; FX Reference'!$A$5:$A$25,0)),"(Currency?)"))),"(FX rate missing)")))</f>
        <v>28303.506753283433</v>
      </c>
      <c r="AD116" s="35">
        <f>IF(NOT(ISNUMBER(AA116)),"(Not stated)",IF(NOT(ISNUMBER(Y116)),"(Cost year not stated)",IFERROR(IF(Z116="IRR",AA116,IF(Z116="USD",AA116*INDEX('Assumptions &amp; FX Reference'!$B$5:$B$25,MATCH(Y116,'Assumptions &amp; FX Reference'!$A$5:$A$25,0)),IF(Z116="EUR",AA116*INDEX('Assumptions &amp; FX Reference'!$C$5:$C$25,MATCH(Y116,'Assumptions &amp; FX Reference'!$A$5:$A$25,0)),"(Currency?)"))),"(FX rate missing)")))</f>
        <v>18638793212.759998</v>
      </c>
      <c r="AE116" s="30" t="s">
        <v>734</v>
      </c>
      <c r="AF116" s="30" t="s">
        <v>204</v>
      </c>
      <c r="AG116" s="35">
        <f>IF(AND(Z116="EUR",N(AA116)&gt;5000000),"(Check currency – excluded)",IF(AND(ISNUMBER(AB116),ISNUMBER(AZ116),ISNUMBER(BA116)),IF(AND(BB116="Y",ISNUMBER('Assumptions &amp; FX Reference'!$I$15)),MAX(AB116*BA116/AZ116,'Assumptions &amp; FX Reference'!$I$13*BA116/'Assumptions &amp; FX Reference'!$I$15),AB116*BA116/AZ116),"(PPI/FX missing)"))</f>
        <v>26808.07</v>
      </c>
      <c r="AH116" s="35">
        <f>IF(AND(ISNUMBER(AG116),ISNUMBER('Assumptions &amp; FX Reference'!$I$8),ISNUMBER('Assumptions &amp; FX Reference'!$I$11)),AG116*'Assumptions &amp; FX Reference'!$I$8/'Assumptions &amp; FX Reference'!$I$11,"")</f>
        <v>28303.506753283433</v>
      </c>
      <c r="AI116" s="35">
        <f>IF(AND(ISNUMBER(AG116),ISNUMBER('Assumptions &amp; FX Reference'!$I$8)),AG116*'Assumptions &amp; FX Reference'!$I$8,"")</f>
        <v>18638793212.759998</v>
      </c>
      <c r="AJ116" s="30" t="s">
        <v>685</v>
      </c>
      <c r="AK116" s="30" t="s">
        <v>358</v>
      </c>
      <c r="AL116" s="30" t="s">
        <v>119</v>
      </c>
      <c r="AM116" s="30" t="s">
        <v>119</v>
      </c>
      <c r="AN116" s="30" t="s">
        <v>119</v>
      </c>
      <c r="AO116" s="30" t="s">
        <v>119</v>
      </c>
      <c r="AP116" s="30" t="s">
        <v>119</v>
      </c>
      <c r="AQ116" s="30" t="s">
        <v>119</v>
      </c>
      <c r="AR116" s="30" t="s">
        <v>119</v>
      </c>
      <c r="AS116" s="33" t="str">
        <f t="shared" si="19"/>
        <v xml:space="preserve">Seal missing; </v>
      </c>
      <c r="AT116" s="36">
        <f>IFERROR(INDEX(Factors_ROT!$F$5:$F$200,MATCH("MAT|"&amp;G116,Factors_ROT!$A$5:$A$200,0)),1)</f>
        <v>0.8</v>
      </c>
      <c r="AU116" s="36">
        <f>IFERROR(INDEX(Factors_ROT!$F$5:$F$200,MATCH("SEAL_ARR|"&amp;P116,Factors_ROT!$A$5:$A$200,0)),1)*IFERROR(INDEX(Factors_ROT!$F$5:$F$200,MATCH("SEAL_CAT|"&amp;Q116,Factors_ROT!$A$5:$A$200,0)),1)*IFERROR(INDEX(Factors_ROT!$F$5:$F$200,MATCH("SEAL_PLAN|"&amp;R116,Factors_ROT!$A$5:$A$200,0)),1)</f>
        <v>1</v>
      </c>
      <c r="AV116" s="36">
        <f>IFERROR(INDEX(Factors_ROT!$F$5:$F$200,MATCH("DRV|"&amp;S116,Factors_ROT!$A$5:$A$200,0)),1)*IFERROR(INDEX(Factors_ROT!$F$5:$F$200,MATCH("NACE|"&amp;O116,Factors_ROT!$A$5:$A$200,0)),1)</f>
        <v>1</v>
      </c>
      <c r="AW116" s="36">
        <f>IFERROR(INDEX(Factors_ROT!$F$5:$F$200,MATCH("SC_DRV|"&amp;AL116,Factors_ROT!$A$5:$A$200,0)),1)*IFERROR(INDEX(Factors_ROT!$F$5:$F$200,MATCH("SC_BSP|"&amp;AM116,Factors_ROT!$A$5:$A$200,0)),1)*IFERROR(INDEX(Factors_ROT!$F$5:$F$200,MATCH("SC_SEAL|"&amp;AN116,Factors_ROT!$A$5:$A$200,0)),1)*IFERROR(INDEX(Factors_ROT!$F$5:$F$200,MATCH("SC_COMM|"&amp;AO116,Factors_ROT!$A$5:$A$200,0)),1)*IFERROR(INDEX(Factors_ROT!$F$5:$F$200,MATCH("SC_2Y|"&amp;AP116,Factors_ROT!$A$5:$A$200,0)),1)*IFERROR(INDEX(Factors_ROT!$F$5:$F$200,MATCH("SC_TPI|"&amp;AQ116,Factors_ROT!$A$5:$A$200,0)),1)*IFERROR(INDEX(Factors_ROT!$F$5:$F$200,MATCH("SC_FAT|"&amp;AR116,Factors_ROT!$A$5:$A$200,0)),1)</f>
        <v>1</v>
      </c>
      <c r="AX116" s="36">
        <f t="shared" si="20"/>
        <v>0.8</v>
      </c>
      <c r="AY116" s="35">
        <f t="shared" si="21"/>
        <v>33510.087499999994</v>
      </c>
      <c r="AZ116" s="37">
        <f>IFERROR(IF(N(INDEX(Escalation_Index!$B$5:$B$25,MATCH(Y116,Escalation_Index!$A$5:$A$25,0)))&gt;0,INDEX(Escalation_Index!$B$5:$B$25,MATCH(Y116,Escalation_Index!$A$5:$A$25,0)),""),"")</f>
        <v>123.416</v>
      </c>
      <c r="BA116" s="37">
        <f>IF(ISNUMBER('Assumptions &amp; FX Reference'!$I$12),'Assumptions &amp; FX Reference'!$I$12,"")</f>
        <v>123.416</v>
      </c>
      <c r="BB116" s="33" t="str">
        <f t="shared" si="22"/>
        <v>N</v>
      </c>
      <c r="BC116" s="35">
        <f t="shared" si="23"/>
        <v>33510.087499999994</v>
      </c>
      <c r="BD116" s="35">
        <f>IF(AND(ISNUMBER(BC116),ISNUMBER(K116)),IF(K116&gt;0,BC116/K116^'Assumptions &amp; FX Reference'!$I$16,""),"")</f>
        <v>9610.4852718594066</v>
      </c>
      <c r="BE116" s="30" t="s">
        <v>741</v>
      </c>
      <c r="BF116" s="30" t="s">
        <v>742</v>
      </c>
      <c r="BG116" s="30" t="s">
        <v>361</v>
      </c>
    </row>
    <row r="117" spans="1:59" ht="24" customHeight="1">
      <c r="A117" s="30">
        <v>113</v>
      </c>
      <c r="B117" s="30" t="s">
        <v>672</v>
      </c>
      <c r="C117" s="30" t="s">
        <v>682</v>
      </c>
      <c r="D117" s="30" t="s">
        <v>743</v>
      </c>
      <c r="E117" s="30" t="s">
        <v>53</v>
      </c>
      <c r="F117" s="30" t="s">
        <v>188</v>
      </c>
      <c r="G117" s="30" t="s">
        <v>115</v>
      </c>
      <c r="H117" s="31">
        <v>9.6</v>
      </c>
      <c r="I117" s="31"/>
      <c r="J117" s="31"/>
      <c r="K117" s="32" t="str">
        <f>IF(ISNUMBER(J117),J117,IF(AND(ISNUMBER(H117),ISNUMBER(I117)),H117*I117/(367*'Assumptions &amp; FX Reference'!$I$17),""))</f>
        <v/>
      </c>
      <c r="L117" s="33" t="str">
        <f t="shared" si="18"/>
        <v>Not stated</v>
      </c>
      <c r="M117" s="30" t="s">
        <v>119</v>
      </c>
      <c r="N117" s="30" t="s">
        <v>296</v>
      </c>
      <c r="O117" s="38" t="s">
        <v>305</v>
      </c>
      <c r="P117" s="30" t="s">
        <v>119</v>
      </c>
      <c r="Q117" s="30" t="s">
        <v>119</v>
      </c>
      <c r="R117" s="30" t="s">
        <v>119</v>
      </c>
      <c r="S117" s="38" t="s">
        <v>744</v>
      </c>
      <c r="T117" s="30" t="s">
        <v>403</v>
      </c>
      <c r="U117" s="30">
        <v>2</v>
      </c>
      <c r="V117" s="30" t="s">
        <v>674</v>
      </c>
      <c r="W117" s="31"/>
      <c r="X117" s="30" t="s">
        <v>119</v>
      </c>
      <c r="Y117" s="30">
        <v>1393</v>
      </c>
      <c r="Z117" s="30" t="s">
        <v>446</v>
      </c>
      <c r="AA117" s="34">
        <v>100000000</v>
      </c>
      <c r="AB117" s="35">
        <f>IF(NOT(ISNUMBER(AA117)),"(Not stated)",IF(NOT(ISNUMBER(Y117)),"(Cost year not stated)",IFERROR(IF(Z117="EUR",AA117,IF(Z117="IRR",AA117/INDEX('Assumptions &amp; FX Reference'!$C$5:$C$25,MATCH(Y117,'Assumptions &amp; FX Reference'!$A$5:$A$25,0)),IF(Z117="USD",AA117*INDEX('Assumptions &amp; FX Reference'!$B$5:$B$25,MATCH(Y117,'Assumptions &amp; FX Reference'!$A$5:$A$25,0))/INDEX('Assumptions &amp; FX Reference'!$C$5:$C$25,MATCH(Y117,'Assumptions &amp; FX Reference'!$A$5:$A$25,0)),"(Currency?)"))),"(FX rate missing)")))</f>
        <v>2467.2594668745742</v>
      </c>
      <c r="AC117" s="35">
        <f>IF(NOT(ISNUMBER(AA117)),"(Not stated)",IF(NOT(ISNUMBER(Y117)),"(Cost year not stated)",IFERROR(IF(Z117="USD",AA117,IF(Z117="IRR",AA117/INDEX('Assumptions &amp; FX Reference'!$B$5:$B$25,MATCH(Y117,'Assumptions &amp; FX Reference'!$A$5:$A$25,0)),IF(Z117="EUR",AA117*INDEX('Assumptions &amp; FX Reference'!$C$5:$C$25,MATCH(Y117,'Assumptions &amp; FX Reference'!$A$5:$A$25,0))/INDEX('Assumptions &amp; FX Reference'!$B$5:$B$25,MATCH(Y117,'Assumptions &amp; FX Reference'!$A$5:$A$25,0)),"(Currency?)"))),"(FX rate missing)")))</f>
        <v>3225.8064516129034</v>
      </c>
      <c r="AD117" s="35">
        <f>IF(NOT(ISNUMBER(AA117)),"(Not stated)",IF(NOT(ISNUMBER(Y117)),"(Cost year not stated)",IFERROR(IF(Z117="IRR",AA117,IF(Z117="USD",AA117*INDEX('Assumptions &amp; FX Reference'!$B$5:$B$25,MATCH(Y117,'Assumptions &amp; FX Reference'!$A$5:$A$25,0)),IF(Z117="EUR",AA117*INDEX('Assumptions &amp; FX Reference'!$C$5:$C$25,MATCH(Y117,'Assumptions &amp; FX Reference'!$A$5:$A$25,0)),"(Currency?)"))),"(FX rate missing)")))</f>
        <v>100000000</v>
      </c>
      <c r="AE117" s="30" t="s">
        <v>745</v>
      </c>
      <c r="AF117" s="30" t="s">
        <v>119</v>
      </c>
      <c r="AG117" s="35">
        <f>IF(AND(Z117="EUR",N(AA117)&gt;5000000),"(Check currency – excluded)",IF(AND(ISNUMBER(AB117),ISNUMBER(AZ117),ISNUMBER(BA117)),IF(AND(BB117="Y",ISNUMBER('Assumptions &amp; FX Reference'!$I$15)),MAX(AB117*BA117/AZ117,'Assumptions &amp; FX Reference'!$I$13*BA117/'Assumptions &amp; FX Reference'!$I$15),AB117*BA117/AZ117),"(PPI/FX missing)"))</f>
        <v>3333.4350812155021</v>
      </c>
      <c r="AH117" s="35">
        <f>IF(AND(ISNUMBER(AG117),ISNUMBER('Assumptions &amp; FX Reference'!$I$8),ISNUMBER('Assumptions &amp; FX Reference'!$I$11)),AG117*'Assumptions &amp; FX Reference'!$I$8/'Assumptions &amp; FX Reference'!$I$11,"")</f>
        <v>3519.3843619781237</v>
      </c>
      <c r="AI117" s="35">
        <f>IF(AND(ISNUMBER(AG117),ISNUMBER('Assumptions &amp; FX Reference'!$I$8)),AG117*'Assumptions &amp; FX Reference'!$I$8,"")</f>
        <v>2317630742.0465398</v>
      </c>
      <c r="AJ117" s="30" t="s">
        <v>685</v>
      </c>
      <c r="AK117" s="30" t="s">
        <v>358</v>
      </c>
      <c r="AL117" s="30" t="s">
        <v>119</v>
      </c>
      <c r="AM117" s="30" t="s">
        <v>119</v>
      </c>
      <c r="AN117" s="30" t="s">
        <v>119</v>
      </c>
      <c r="AO117" s="30" t="s">
        <v>119</v>
      </c>
      <c r="AP117" s="30" t="s">
        <v>119</v>
      </c>
      <c r="AQ117" s="30" t="s">
        <v>119</v>
      </c>
      <c r="AR117" s="30" t="s">
        <v>119</v>
      </c>
      <c r="AS117" s="33" t="str">
        <f t="shared" si="19"/>
        <v xml:space="preserve">Seal missing; Size driver missing; </v>
      </c>
      <c r="AT117" s="36">
        <f>IFERROR(INDEX(Factors_ROT!$F$5:$F$200,MATCH("MAT|"&amp;G117,Factors_ROT!$A$5:$A$200,0)),1)</f>
        <v>1.35</v>
      </c>
      <c r="AU117" s="36">
        <f>IFERROR(INDEX(Factors_ROT!$F$5:$F$200,MATCH("SEAL_ARR|"&amp;P117,Factors_ROT!$A$5:$A$200,0)),1)*IFERROR(INDEX(Factors_ROT!$F$5:$F$200,MATCH("SEAL_CAT|"&amp;Q117,Factors_ROT!$A$5:$A$200,0)),1)*IFERROR(INDEX(Factors_ROT!$F$5:$F$200,MATCH("SEAL_PLAN|"&amp;R117,Factors_ROT!$A$5:$A$200,0)),1)</f>
        <v>1</v>
      </c>
      <c r="AV117" s="36">
        <f>IFERROR(INDEX(Factors_ROT!$F$5:$F$200,MATCH("DRV|"&amp;S117,Factors_ROT!$A$5:$A$200,0)),1)*IFERROR(INDEX(Factors_ROT!$F$5:$F$200,MATCH("NACE|"&amp;O117,Factors_ROT!$A$5:$A$200,0)),1)</f>
        <v>1</v>
      </c>
      <c r="AW117" s="36">
        <f>IFERROR(INDEX(Factors_ROT!$F$5:$F$200,MATCH("SC_DRV|"&amp;AL117,Factors_ROT!$A$5:$A$200,0)),1)*IFERROR(INDEX(Factors_ROT!$F$5:$F$200,MATCH("SC_BSP|"&amp;AM117,Factors_ROT!$A$5:$A$200,0)),1)*IFERROR(INDEX(Factors_ROT!$F$5:$F$200,MATCH("SC_SEAL|"&amp;AN117,Factors_ROT!$A$5:$A$200,0)),1)*IFERROR(INDEX(Factors_ROT!$F$5:$F$200,MATCH("SC_COMM|"&amp;AO117,Factors_ROT!$A$5:$A$200,0)),1)*IFERROR(INDEX(Factors_ROT!$F$5:$F$200,MATCH("SC_2Y|"&amp;AP117,Factors_ROT!$A$5:$A$200,0)),1)*IFERROR(INDEX(Factors_ROT!$F$5:$F$200,MATCH("SC_TPI|"&amp;AQ117,Factors_ROT!$A$5:$A$200,0)),1)*IFERROR(INDEX(Factors_ROT!$F$5:$F$200,MATCH("SC_FAT|"&amp;AR117,Factors_ROT!$A$5:$A$200,0)),1)</f>
        <v>1</v>
      </c>
      <c r="AX117" s="36">
        <f t="shared" si="20"/>
        <v>1.35</v>
      </c>
      <c r="AY117" s="35">
        <f t="shared" si="21"/>
        <v>1827.599605092277</v>
      </c>
      <c r="AZ117" s="37">
        <f>IFERROR(IF(N(INDEX(Escalation_Index!$B$5:$B$25,MATCH(Y117,Escalation_Index!$A$5:$A$25,0)))&gt;0,INDEX(Escalation_Index!$B$5:$B$25,MATCH(Y117,Escalation_Index!$A$5:$A$25,0)),""),"")</f>
        <v>91.346999999999994</v>
      </c>
      <c r="BA117" s="37">
        <f>IF(ISNUMBER('Assumptions &amp; FX Reference'!$I$12),'Assumptions &amp; FX Reference'!$I$12,"")</f>
        <v>123.416</v>
      </c>
      <c r="BB117" s="33" t="str">
        <f t="shared" si="22"/>
        <v>N</v>
      </c>
      <c r="BC117" s="35">
        <f t="shared" si="23"/>
        <v>2469.2111712707419</v>
      </c>
      <c r="BD117" s="35" t="str">
        <f>IF(AND(ISNUMBER(BC117),ISNUMBER(K117)),IF(K117&gt;0,BC117/K117^'Assumptions &amp; FX Reference'!$I$16,""),"")</f>
        <v/>
      </c>
      <c r="BE117" s="30" t="s">
        <v>746</v>
      </c>
      <c r="BF117" s="30" t="s">
        <v>747</v>
      </c>
      <c r="BG117" s="30" t="s">
        <v>361</v>
      </c>
    </row>
    <row r="118" spans="1:59" ht="24" customHeight="1">
      <c r="A118" s="30">
        <v>114</v>
      </c>
      <c r="B118" s="30" t="s">
        <v>672</v>
      </c>
      <c r="C118" s="30" t="s">
        <v>682</v>
      </c>
      <c r="D118" s="30" t="s">
        <v>748</v>
      </c>
      <c r="E118" s="30" t="s">
        <v>53</v>
      </c>
      <c r="F118" s="30" t="s">
        <v>188</v>
      </c>
      <c r="G118" s="30" t="s">
        <v>115</v>
      </c>
      <c r="H118" s="31">
        <v>9.6</v>
      </c>
      <c r="I118" s="31"/>
      <c r="J118" s="31"/>
      <c r="K118" s="32" t="str">
        <f>IF(ISNUMBER(J118),J118,IF(AND(ISNUMBER(H118),ISNUMBER(I118)),H118*I118/(367*'Assumptions &amp; FX Reference'!$I$17),""))</f>
        <v/>
      </c>
      <c r="L118" s="33" t="str">
        <f t="shared" si="18"/>
        <v>Not stated</v>
      </c>
      <c r="M118" s="30" t="s">
        <v>119</v>
      </c>
      <c r="N118" s="30" t="s">
        <v>296</v>
      </c>
      <c r="O118" s="38" t="s">
        <v>305</v>
      </c>
      <c r="P118" s="30" t="s">
        <v>119</v>
      </c>
      <c r="Q118" s="30" t="s">
        <v>119</v>
      </c>
      <c r="R118" s="30" t="s">
        <v>119</v>
      </c>
      <c r="S118" s="38" t="s">
        <v>744</v>
      </c>
      <c r="T118" s="30" t="s">
        <v>403</v>
      </c>
      <c r="U118" s="30">
        <v>1</v>
      </c>
      <c r="V118" s="30" t="s">
        <v>674</v>
      </c>
      <c r="W118" s="31"/>
      <c r="X118" s="30" t="s">
        <v>119</v>
      </c>
      <c r="Y118" s="30">
        <v>1393</v>
      </c>
      <c r="Z118" s="30" t="s">
        <v>446</v>
      </c>
      <c r="AA118" s="34">
        <v>100000000</v>
      </c>
      <c r="AB118" s="35">
        <f>IF(NOT(ISNUMBER(AA118)),"(Not stated)",IF(NOT(ISNUMBER(Y118)),"(Cost year not stated)",IFERROR(IF(Z118="EUR",AA118,IF(Z118="IRR",AA118/INDEX('Assumptions &amp; FX Reference'!$C$5:$C$25,MATCH(Y118,'Assumptions &amp; FX Reference'!$A$5:$A$25,0)),IF(Z118="USD",AA118*INDEX('Assumptions &amp; FX Reference'!$B$5:$B$25,MATCH(Y118,'Assumptions &amp; FX Reference'!$A$5:$A$25,0))/INDEX('Assumptions &amp; FX Reference'!$C$5:$C$25,MATCH(Y118,'Assumptions &amp; FX Reference'!$A$5:$A$25,0)),"(Currency?)"))),"(FX rate missing)")))</f>
        <v>2467.2594668745742</v>
      </c>
      <c r="AC118" s="35">
        <f>IF(NOT(ISNUMBER(AA118)),"(Not stated)",IF(NOT(ISNUMBER(Y118)),"(Cost year not stated)",IFERROR(IF(Z118="USD",AA118,IF(Z118="IRR",AA118/INDEX('Assumptions &amp; FX Reference'!$B$5:$B$25,MATCH(Y118,'Assumptions &amp; FX Reference'!$A$5:$A$25,0)),IF(Z118="EUR",AA118*INDEX('Assumptions &amp; FX Reference'!$C$5:$C$25,MATCH(Y118,'Assumptions &amp; FX Reference'!$A$5:$A$25,0))/INDEX('Assumptions &amp; FX Reference'!$B$5:$B$25,MATCH(Y118,'Assumptions &amp; FX Reference'!$A$5:$A$25,0)),"(Currency?)"))),"(FX rate missing)")))</f>
        <v>3225.8064516129034</v>
      </c>
      <c r="AD118" s="35">
        <f>IF(NOT(ISNUMBER(AA118)),"(Not stated)",IF(NOT(ISNUMBER(Y118)),"(Cost year not stated)",IFERROR(IF(Z118="IRR",AA118,IF(Z118="USD",AA118*INDEX('Assumptions &amp; FX Reference'!$B$5:$B$25,MATCH(Y118,'Assumptions &amp; FX Reference'!$A$5:$A$25,0)),IF(Z118="EUR",AA118*INDEX('Assumptions &amp; FX Reference'!$C$5:$C$25,MATCH(Y118,'Assumptions &amp; FX Reference'!$A$5:$A$25,0)),"(Currency?)"))),"(FX rate missing)")))</f>
        <v>100000000</v>
      </c>
      <c r="AE118" s="30" t="s">
        <v>745</v>
      </c>
      <c r="AF118" s="30" t="s">
        <v>119</v>
      </c>
      <c r="AG118" s="35">
        <f>IF(AND(Z118="EUR",N(AA118)&gt;5000000),"(Check currency – excluded)",IF(AND(ISNUMBER(AB118),ISNUMBER(AZ118),ISNUMBER(BA118)),IF(AND(BB118="Y",ISNUMBER('Assumptions &amp; FX Reference'!$I$15)),MAX(AB118*BA118/AZ118,'Assumptions &amp; FX Reference'!$I$13*BA118/'Assumptions &amp; FX Reference'!$I$15),AB118*BA118/AZ118),"(PPI/FX missing)"))</f>
        <v>3333.4350812155021</v>
      </c>
      <c r="AH118" s="35">
        <f>IF(AND(ISNUMBER(AG118),ISNUMBER('Assumptions &amp; FX Reference'!$I$8),ISNUMBER('Assumptions &amp; FX Reference'!$I$11)),AG118*'Assumptions &amp; FX Reference'!$I$8/'Assumptions &amp; FX Reference'!$I$11,"")</f>
        <v>3519.3843619781237</v>
      </c>
      <c r="AI118" s="35">
        <f>IF(AND(ISNUMBER(AG118),ISNUMBER('Assumptions &amp; FX Reference'!$I$8)),AG118*'Assumptions &amp; FX Reference'!$I$8,"")</f>
        <v>2317630742.0465398</v>
      </c>
      <c r="AJ118" s="30" t="s">
        <v>685</v>
      </c>
      <c r="AK118" s="30" t="s">
        <v>358</v>
      </c>
      <c r="AL118" s="30" t="s">
        <v>119</v>
      </c>
      <c r="AM118" s="30" t="s">
        <v>119</v>
      </c>
      <c r="AN118" s="30" t="s">
        <v>119</v>
      </c>
      <c r="AO118" s="30" t="s">
        <v>119</v>
      </c>
      <c r="AP118" s="30" t="s">
        <v>119</v>
      </c>
      <c r="AQ118" s="30" t="s">
        <v>119</v>
      </c>
      <c r="AR118" s="30" t="s">
        <v>119</v>
      </c>
      <c r="AS118" s="33" t="str">
        <f t="shared" si="19"/>
        <v xml:space="preserve">Seal missing; Size driver missing; </v>
      </c>
      <c r="AT118" s="36">
        <f>IFERROR(INDEX(Factors_ROT!$F$5:$F$200,MATCH("MAT|"&amp;G118,Factors_ROT!$A$5:$A$200,0)),1)</f>
        <v>1.35</v>
      </c>
      <c r="AU118" s="36">
        <f>IFERROR(INDEX(Factors_ROT!$F$5:$F$200,MATCH("SEAL_ARR|"&amp;P118,Factors_ROT!$A$5:$A$200,0)),1)*IFERROR(INDEX(Factors_ROT!$F$5:$F$200,MATCH("SEAL_CAT|"&amp;Q118,Factors_ROT!$A$5:$A$200,0)),1)*IFERROR(INDEX(Factors_ROT!$F$5:$F$200,MATCH("SEAL_PLAN|"&amp;R118,Factors_ROT!$A$5:$A$200,0)),1)</f>
        <v>1</v>
      </c>
      <c r="AV118" s="36">
        <f>IFERROR(INDEX(Factors_ROT!$F$5:$F$200,MATCH("DRV|"&amp;S118,Factors_ROT!$A$5:$A$200,0)),1)*IFERROR(INDEX(Factors_ROT!$F$5:$F$200,MATCH("NACE|"&amp;O118,Factors_ROT!$A$5:$A$200,0)),1)</f>
        <v>1</v>
      </c>
      <c r="AW118" s="36">
        <f>IFERROR(INDEX(Factors_ROT!$F$5:$F$200,MATCH("SC_DRV|"&amp;AL118,Factors_ROT!$A$5:$A$200,0)),1)*IFERROR(INDEX(Factors_ROT!$F$5:$F$200,MATCH("SC_BSP|"&amp;AM118,Factors_ROT!$A$5:$A$200,0)),1)*IFERROR(INDEX(Factors_ROT!$F$5:$F$200,MATCH("SC_SEAL|"&amp;AN118,Factors_ROT!$A$5:$A$200,0)),1)*IFERROR(INDEX(Factors_ROT!$F$5:$F$200,MATCH("SC_COMM|"&amp;AO118,Factors_ROT!$A$5:$A$200,0)),1)*IFERROR(INDEX(Factors_ROT!$F$5:$F$200,MATCH("SC_2Y|"&amp;AP118,Factors_ROT!$A$5:$A$200,0)),1)*IFERROR(INDEX(Factors_ROT!$F$5:$F$200,MATCH("SC_TPI|"&amp;AQ118,Factors_ROT!$A$5:$A$200,0)),1)*IFERROR(INDEX(Factors_ROT!$F$5:$F$200,MATCH("SC_FAT|"&amp;AR118,Factors_ROT!$A$5:$A$200,0)),1)</f>
        <v>1</v>
      </c>
      <c r="AX118" s="36">
        <f t="shared" si="20"/>
        <v>1.35</v>
      </c>
      <c r="AY118" s="35">
        <f t="shared" si="21"/>
        <v>1827.599605092277</v>
      </c>
      <c r="AZ118" s="37">
        <f>IFERROR(IF(N(INDEX(Escalation_Index!$B$5:$B$25,MATCH(Y118,Escalation_Index!$A$5:$A$25,0)))&gt;0,INDEX(Escalation_Index!$B$5:$B$25,MATCH(Y118,Escalation_Index!$A$5:$A$25,0)),""),"")</f>
        <v>91.346999999999994</v>
      </c>
      <c r="BA118" s="37">
        <f>IF(ISNUMBER('Assumptions &amp; FX Reference'!$I$12),'Assumptions &amp; FX Reference'!$I$12,"")</f>
        <v>123.416</v>
      </c>
      <c r="BB118" s="33" t="str">
        <f t="shared" si="22"/>
        <v>N</v>
      </c>
      <c r="BC118" s="35">
        <f t="shared" si="23"/>
        <v>2469.2111712707419</v>
      </c>
      <c r="BD118" s="35" t="str">
        <f>IF(AND(ISNUMBER(BC118),ISNUMBER(K118)),IF(K118&gt;0,BC118/K118^'Assumptions &amp; FX Reference'!$I$16,""),"")</f>
        <v/>
      </c>
      <c r="BE118" s="30" t="s">
        <v>749</v>
      </c>
      <c r="BF118" s="30" t="s">
        <v>747</v>
      </c>
      <c r="BG118" s="30" t="s">
        <v>361</v>
      </c>
    </row>
    <row r="119" spans="1:59" ht="24" customHeight="1">
      <c r="A119" s="30">
        <v>115</v>
      </c>
      <c r="B119" s="30" t="s">
        <v>293</v>
      </c>
      <c r="C119" s="30" t="s">
        <v>750</v>
      </c>
      <c r="D119" s="30" t="s">
        <v>295</v>
      </c>
      <c r="E119" s="30" t="s">
        <v>41</v>
      </c>
      <c r="F119" s="30" t="s">
        <v>119</v>
      </c>
      <c r="G119" s="30" t="s">
        <v>119</v>
      </c>
      <c r="H119" s="31"/>
      <c r="I119" s="31">
        <v>95.8</v>
      </c>
      <c r="J119" s="31">
        <v>54.3</v>
      </c>
      <c r="K119" s="32">
        <f>IF(ISNUMBER(J119),J119,IF(AND(ISNUMBER(H119),ISNUMBER(I119)),H119*I119/(367*'Assumptions &amp; FX Reference'!$I$17),""))</f>
        <v>54.3</v>
      </c>
      <c r="L119" s="33" t="str">
        <f t="shared" si="18"/>
        <v>Not stated</v>
      </c>
      <c r="M119" s="30" t="s">
        <v>119</v>
      </c>
      <c r="N119" s="30" t="s">
        <v>296</v>
      </c>
      <c r="O119" s="30" t="s">
        <v>119</v>
      </c>
      <c r="P119" s="30" t="s">
        <v>119</v>
      </c>
      <c r="Q119" s="30" t="s">
        <v>119</v>
      </c>
      <c r="R119" s="30" t="s">
        <v>119</v>
      </c>
      <c r="S119" s="30" t="s">
        <v>297</v>
      </c>
      <c r="T119" s="30" t="s">
        <v>298</v>
      </c>
      <c r="U119" s="30">
        <v>1</v>
      </c>
      <c r="V119" s="30" t="s">
        <v>299</v>
      </c>
      <c r="W119" s="31"/>
      <c r="X119" s="30" t="s">
        <v>751</v>
      </c>
      <c r="Y119" s="30" t="s">
        <v>300</v>
      </c>
      <c r="Z119" s="30" t="s">
        <v>301</v>
      </c>
      <c r="AA119" s="34">
        <v>580000</v>
      </c>
      <c r="AB119" s="35" t="str">
        <f>IF(NOT(ISNUMBER(AA119)),"(Not stated)",IF(NOT(ISNUMBER(Y119)),"(Cost year not stated)",IFERROR(IF(Z119="EUR",AA119,IF(Z119="IRR",AA119/INDEX('Assumptions &amp; FX Reference'!$C$5:$C$25,MATCH(Y119,'Assumptions &amp; FX Reference'!$A$5:$A$25,0)),IF(Z119="USD",AA119*INDEX('Assumptions &amp; FX Reference'!$B$5:$B$25,MATCH(Y119,'Assumptions &amp; FX Reference'!$A$5:$A$25,0))/INDEX('Assumptions &amp; FX Reference'!$C$5:$C$25,MATCH(Y119,'Assumptions &amp; FX Reference'!$A$5:$A$25,0)),"(Currency?)"))),"(FX rate missing)")))</f>
        <v>(Cost year not stated)</v>
      </c>
      <c r="AC119" s="35" t="str">
        <f>IF(NOT(ISNUMBER(AA119)),"(Not stated)",IF(NOT(ISNUMBER(Y119)),"(Cost year not stated)",IFERROR(IF(Z119="USD",AA119,IF(Z119="IRR",AA119/INDEX('Assumptions &amp; FX Reference'!$B$5:$B$25,MATCH(Y119,'Assumptions &amp; FX Reference'!$A$5:$A$25,0)),IF(Z119="EUR",AA119*INDEX('Assumptions &amp; FX Reference'!$C$5:$C$25,MATCH(Y119,'Assumptions &amp; FX Reference'!$A$5:$A$25,0))/INDEX('Assumptions &amp; FX Reference'!$B$5:$B$25,MATCH(Y119,'Assumptions &amp; FX Reference'!$A$5:$A$25,0)),"(Currency?)"))),"(FX rate missing)")))</f>
        <v>(Cost year not stated)</v>
      </c>
      <c r="AD119" s="35" t="str">
        <f>IF(NOT(ISNUMBER(AA119)),"(Not stated)",IF(NOT(ISNUMBER(Y119)),"(Cost year not stated)",IFERROR(IF(Z119="IRR",AA119,IF(Z119="USD",AA119*INDEX('Assumptions &amp; FX Reference'!$B$5:$B$25,MATCH(Y119,'Assumptions &amp; FX Reference'!$A$5:$A$25,0)),IF(Z119="EUR",AA119*INDEX('Assumptions &amp; FX Reference'!$C$5:$C$25,MATCH(Y119,'Assumptions &amp; FX Reference'!$A$5:$A$25,0)),"(Currency?)"))),"(FX rate missing)")))</f>
        <v>(Cost year not stated)</v>
      </c>
      <c r="AE119" s="30" t="s">
        <v>752</v>
      </c>
      <c r="AF119" s="30" t="s">
        <v>119</v>
      </c>
      <c r="AG119" s="35" t="str">
        <f>IF(AND(Z119="EUR",N(AA119)&gt;5000000),"(Check currency – excluded)",IF(AND(ISNUMBER(AB119),ISNUMBER(AZ119),ISNUMBER(BA119)),IF(AND(BB119="Y",ISNUMBER('Assumptions &amp; FX Reference'!$I$15)),MAX(AB119*BA119/AZ119,'Assumptions &amp; FX Reference'!$I$13*BA119/'Assumptions &amp; FX Reference'!$I$15),AB119*BA119/AZ119),"(PPI/FX missing)"))</f>
        <v>(PPI/FX missing)</v>
      </c>
      <c r="AH119" s="35" t="str">
        <f>IF(AND(ISNUMBER(AG119),ISNUMBER('Assumptions &amp; FX Reference'!$I$8),ISNUMBER('Assumptions &amp; FX Reference'!$I$11)),AG119*'Assumptions &amp; FX Reference'!$I$8/'Assumptions &amp; FX Reference'!$I$11,"")</f>
        <v/>
      </c>
      <c r="AI119" s="35" t="str">
        <f>IF(AND(ISNUMBER(AG119),ISNUMBER('Assumptions &amp; FX Reference'!$I$8)),AG119*'Assumptions &amp; FX Reference'!$I$8,"")</f>
        <v/>
      </c>
      <c r="AJ119" s="30" t="s">
        <v>295</v>
      </c>
      <c r="AK119" s="30" t="s">
        <v>119</v>
      </c>
      <c r="AL119" s="30" t="s">
        <v>119</v>
      </c>
      <c r="AM119" s="30" t="s">
        <v>119</v>
      </c>
      <c r="AN119" s="30" t="s">
        <v>119</v>
      </c>
      <c r="AO119" s="30" t="s">
        <v>119</v>
      </c>
      <c r="AP119" s="30" t="s">
        <v>119</v>
      </c>
      <c r="AQ119" s="30" t="s">
        <v>119</v>
      </c>
      <c r="AR119" s="30" t="s">
        <v>119</v>
      </c>
      <c r="AS119" s="33" t="str">
        <f t="shared" si="19"/>
        <v xml:space="preserve">Material missing; Seal missing; Base-year PPI missing; </v>
      </c>
      <c r="AT119" s="36">
        <f>IFERROR(INDEX(Factors_ROT!$F$5:$F$200,MATCH("MAT|"&amp;G119,Factors_ROT!$A$5:$A$200,0)),1)</f>
        <v>1</v>
      </c>
      <c r="AU119" s="36">
        <f>IFERROR(INDEX(Factors_ROT!$F$5:$F$200,MATCH("SEAL_ARR|"&amp;P119,Factors_ROT!$A$5:$A$200,0)),1)*IFERROR(INDEX(Factors_ROT!$F$5:$F$200,MATCH("SEAL_CAT|"&amp;Q119,Factors_ROT!$A$5:$A$200,0)),1)*IFERROR(INDEX(Factors_ROT!$F$5:$F$200,MATCH("SEAL_PLAN|"&amp;R119,Factors_ROT!$A$5:$A$200,0)),1)</f>
        <v>1</v>
      </c>
      <c r="AV119" s="36">
        <f>IFERROR(INDEX(Factors_ROT!$F$5:$F$200,MATCH("DRV|"&amp;S119,Factors_ROT!$A$5:$A$200,0)),1)*IFERROR(INDEX(Factors_ROT!$F$5:$F$200,MATCH("NACE|"&amp;O119,Factors_ROT!$A$5:$A$200,0)),1)</f>
        <v>1</v>
      </c>
      <c r="AW119" s="36">
        <f>IFERROR(INDEX(Factors_ROT!$F$5:$F$200,MATCH("SC_DRV|"&amp;AL119,Factors_ROT!$A$5:$A$200,0)),1)*IFERROR(INDEX(Factors_ROT!$F$5:$F$200,MATCH("SC_BSP|"&amp;AM119,Factors_ROT!$A$5:$A$200,0)),1)*IFERROR(INDEX(Factors_ROT!$F$5:$F$200,MATCH("SC_SEAL|"&amp;AN119,Factors_ROT!$A$5:$A$200,0)),1)*IFERROR(INDEX(Factors_ROT!$F$5:$F$200,MATCH("SC_COMM|"&amp;AO119,Factors_ROT!$A$5:$A$200,0)),1)*IFERROR(INDEX(Factors_ROT!$F$5:$F$200,MATCH("SC_2Y|"&amp;AP119,Factors_ROT!$A$5:$A$200,0)),1)*IFERROR(INDEX(Factors_ROT!$F$5:$F$200,MATCH("SC_TPI|"&amp;AQ119,Factors_ROT!$A$5:$A$200,0)),1)*IFERROR(INDEX(Factors_ROT!$F$5:$F$200,MATCH("SC_FAT|"&amp;AR119,Factors_ROT!$A$5:$A$200,0)),1)</f>
        <v>1</v>
      </c>
      <c r="AX119" s="36">
        <f t="shared" si="20"/>
        <v>1</v>
      </c>
      <c r="AY119" s="35" t="str">
        <f t="shared" si="21"/>
        <v/>
      </c>
      <c r="AZ119" s="37" t="str">
        <f>IFERROR(IF(N(INDEX(Escalation_Index!$B$5:$B$25,MATCH(Y119,Escalation_Index!$A$5:$A$25,0)))&gt;0,INDEX(Escalation_Index!$B$5:$B$25,MATCH(Y119,Escalation_Index!$A$5:$A$25,0)),""),"")</f>
        <v/>
      </c>
      <c r="BA119" s="37">
        <f>IF(ISNUMBER('Assumptions &amp; FX Reference'!$I$12),'Assumptions &amp; FX Reference'!$I$12,"")</f>
        <v>123.416</v>
      </c>
      <c r="BB119" s="33" t="str">
        <f t="shared" si="22"/>
        <v>N</v>
      </c>
      <c r="BC119" s="35" t="str">
        <f t="shared" si="23"/>
        <v/>
      </c>
      <c r="BD119" s="35" t="str">
        <f>IF(AND(ISNUMBER(BC119),ISNUMBER(K119)),IF(K119&gt;0,BC119/K119^'Assumptions &amp; FX Reference'!$I$16,""),"")</f>
        <v/>
      </c>
      <c r="BE119" s="30" t="s">
        <v>753</v>
      </c>
      <c r="BF119" s="30" t="s">
        <v>754</v>
      </c>
      <c r="BG119" s="30" t="s">
        <v>361</v>
      </c>
    </row>
    <row r="120" spans="1:59" ht="24" customHeight="1">
      <c r="A120" s="30">
        <v>116</v>
      </c>
      <c r="B120" s="30" t="s">
        <v>306</v>
      </c>
      <c r="C120" s="30" t="s">
        <v>750</v>
      </c>
      <c r="D120" s="30" t="s">
        <v>295</v>
      </c>
      <c r="E120" s="30" t="s">
        <v>41</v>
      </c>
      <c r="F120" s="30" t="s">
        <v>119</v>
      </c>
      <c r="G120" s="30" t="s">
        <v>119</v>
      </c>
      <c r="H120" s="31"/>
      <c r="I120" s="31">
        <v>59.85</v>
      </c>
      <c r="J120" s="31">
        <v>33.119999999999997</v>
      </c>
      <c r="K120" s="32">
        <f>IF(ISNUMBER(J120),J120,IF(AND(ISNUMBER(H120),ISNUMBER(I120)),H120*I120/(367*'Assumptions &amp; FX Reference'!$I$17),""))</f>
        <v>33.119999999999997</v>
      </c>
      <c r="L120" s="33" t="str">
        <f t="shared" si="18"/>
        <v>Not stated</v>
      </c>
      <c r="M120" s="30" t="s">
        <v>119</v>
      </c>
      <c r="N120" s="30" t="s">
        <v>296</v>
      </c>
      <c r="O120" s="30" t="s">
        <v>119</v>
      </c>
      <c r="P120" s="30" t="s">
        <v>119</v>
      </c>
      <c r="Q120" s="30" t="s">
        <v>119</v>
      </c>
      <c r="R120" s="30" t="s">
        <v>119</v>
      </c>
      <c r="S120" s="30" t="s">
        <v>297</v>
      </c>
      <c r="T120" s="30" t="s">
        <v>298</v>
      </c>
      <c r="U120" s="30">
        <v>1</v>
      </c>
      <c r="V120" s="30" t="s">
        <v>299</v>
      </c>
      <c r="W120" s="31"/>
      <c r="X120" s="30" t="s">
        <v>751</v>
      </c>
      <c r="Y120" s="30" t="s">
        <v>300</v>
      </c>
      <c r="Z120" s="30" t="s">
        <v>301</v>
      </c>
      <c r="AA120" s="34">
        <v>380000</v>
      </c>
      <c r="AB120" s="35" t="str">
        <f>IF(NOT(ISNUMBER(AA120)),"(Not stated)",IF(NOT(ISNUMBER(Y120)),"(Cost year not stated)",IFERROR(IF(Z120="EUR",AA120,IF(Z120="IRR",AA120/INDEX('Assumptions &amp; FX Reference'!$C$5:$C$25,MATCH(Y120,'Assumptions &amp; FX Reference'!$A$5:$A$25,0)),IF(Z120="USD",AA120*INDEX('Assumptions &amp; FX Reference'!$B$5:$B$25,MATCH(Y120,'Assumptions &amp; FX Reference'!$A$5:$A$25,0))/INDEX('Assumptions &amp; FX Reference'!$C$5:$C$25,MATCH(Y120,'Assumptions &amp; FX Reference'!$A$5:$A$25,0)),"(Currency?)"))),"(FX rate missing)")))</f>
        <v>(Cost year not stated)</v>
      </c>
      <c r="AC120" s="35" t="str">
        <f>IF(NOT(ISNUMBER(AA120)),"(Not stated)",IF(NOT(ISNUMBER(Y120)),"(Cost year not stated)",IFERROR(IF(Z120="USD",AA120,IF(Z120="IRR",AA120/INDEX('Assumptions &amp; FX Reference'!$B$5:$B$25,MATCH(Y120,'Assumptions &amp; FX Reference'!$A$5:$A$25,0)),IF(Z120="EUR",AA120*INDEX('Assumptions &amp; FX Reference'!$C$5:$C$25,MATCH(Y120,'Assumptions &amp; FX Reference'!$A$5:$A$25,0))/INDEX('Assumptions &amp; FX Reference'!$B$5:$B$25,MATCH(Y120,'Assumptions &amp; FX Reference'!$A$5:$A$25,0)),"(Currency?)"))),"(FX rate missing)")))</f>
        <v>(Cost year not stated)</v>
      </c>
      <c r="AD120" s="35" t="str">
        <f>IF(NOT(ISNUMBER(AA120)),"(Not stated)",IF(NOT(ISNUMBER(Y120)),"(Cost year not stated)",IFERROR(IF(Z120="IRR",AA120,IF(Z120="USD",AA120*INDEX('Assumptions &amp; FX Reference'!$B$5:$B$25,MATCH(Y120,'Assumptions &amp; FX Reference'!$A$5:$A$25,0)),IF(Z120="EUR",AA120*INDEX('Assumptions &amp; FX Reference'!$C$5:$C$25,MATCH(Y120,'Assumptions &amp; FX Reference'!$A$5:$A$25,0)),"(Currency?)"))),"(FX rate missing)")))</f>
        <v>(Cost year not stated)</v>
      </c>
      <c r="AE120" s="30" t="s">
        <v>752</v>
      </c>
      <c r="AF120" s="30" t="s">
        <v>119</v>
      </c>
      <c r="AG120" s="35" t="str">
        <f>IF(AND(Z120="EUR",N(AA120)&gt;5000000),"(Check currency – excluded)",IF(AND(ISNUMBER(AB120),ISNUMBER(AZ120),ISNUMBER(BA120)),IF(AND(BB120="Y",ISNUMBER('Assumptions &amp; FX Reference'!$I$15)),MAX(AB120*BA120/AZ120,'Assumptions &amp; FX Reference'!$I$13*BA120/'Assumptions &amp; FX Reference'!$I$15),AB120*BA120/AZ120),"(PPI/FX missing)"))</f>
        <v>(PPI/FX missing)</v>
      </c>
      <c r="AH120" s="35" t="str">
        <f>IF(AND(ISNUMBER(AG120),ISNUMBER('Assumptions &amp; FX Reference'!$I$8),ISNUMBER('Assumptions &amp; FX Reference'!$I$11)),AG120*'Assumptions &amp; FX Reference'!$I$8/'Assumptions &amp; FX Reference'!$I$11,"")</f>
        <v/>
      </c>
      <c r="AI120" s="35" t="str">
        <f>IF(AND(ISNUMBER(AG120),ISNUMBER('Assumptions &amp; FX Reference'!$I$8)),AG120*'Assumptions &amp; FX Reference'!$I$8,"")</f>
        <v/>
      </c>
      <c r="AJ120" s="30" t="s">
        <v>295</v>
      </c>
      <c r="AK120" s="30" t="s">
        <v>119</v>
      </c>
      <c r="AL120" s="30" t="s">
        <v>119</v>
      </c>
      <c r="AM120" s="30" t="s">
        <v>119</v>
      </c>
      <c r="AN120" s="30" t="s">
        <v>119</v>
      </c>
      <c r="AO120" s="30" t="s">
        <v>119</v>
      </c>
      <c r="AP120" s="30" t="s">
        <v>119</v>
      </c>
      <c r="AQ120" s="30" t="s">
        <v>119</v>
      </c>
      <c r="AR120" s="30" t="s">
        <v>119</v>
      </c>
      <c r="AS120" s="33" t="str">
        <f t="shared" si="19"/>
        <v xml:space="preserve">Material missing; Seal missing; Base-year PPI missing; </v>
      </c>
      <c r="AT120" s="36">
        <f>IFERROR(INDEX(Factors_ROT!$F$5:$F$200,MATCH("MAT|"&amp;G120,Factors_ROT!$A$5:$A$200,0)),1)</f>
        <v>1</v>
      </c>
      <c r="AU120" s="36">
        <f>IFERROR(INDEX(Factors_ROT!$F$5:$F$200,MATCH("SEAL_ARR|"&amp;P120,Factors_ROT!$A$5:$A$200,0)),1)*IFERROR(INDEX(Factors_ROT!$F$5:$F$200,MATCH("SEAL_CAT|"&amp;Q120,Factors_ROT!$A$5:$A$200,0)),1)*IFERROR(INDEX(Factors_ROT!$F$5:$F$200,MATCH("SEAL_PLAN|"&amp;R120,Factors_ROT!$A$5:$A$200,0)),1)</f>
        <v>1</v>
      </c>
      <c r="AV120" s="36">
        <f>IFERROR(INDEX(Factors_ROT!$F$5:$F$200,MATCH("DRV|"&amp;S120,Factors_ROT!$A$5:$A$200,0)),1)*IFERROR(INDEX(Factors_ROT!$F$5:$F$200,MATCH("NACE|"&amp;O120,Factors_ROT!$A$5:$A$200,0)),1)</f>
        <v>1</v>
      </c>
      <c r="AW120" s="36">
        <f>IFERROR(INDEX(Factors_ROT!$F$5:$F$200,MATCH("SC_DRV|"&amp;AL120,Factors_ROT!$A$5:$A$200,0)),1)*IFERROR(INDEX(Factors_ROT!$F$5:$F$200,MATCH("SC_BSP|"&amp;AM120,Factors_ROT!$A$5:$A$200,0)),1)*IFERROR(INDEX(Factors_ROT!$F$5:$F$200,MATCH("SC_SEAL|"&amp;AN120,Factors_ROT!$A$5:$A$200,0)),1)*IFERROR(INDEX(Factors_ROT!$F$5:$F$200,MATCH("SC_COMM|"&amp;AO120,Factors_ROT!$A$5:$A$200,0)),1)*IFERROR(INDEX(Factors_ROT!$F$5:$F$200,MATCH("SC_2Y|"&amp;AP120,Factors_ROT!$A$5:$A$200,0)),1)*IFERROR(INDEX(Factors_ROT!$F$5:$F$200,MATCH("SC_TPI|"&amp;AQ120,Factors_ROT!$A$5:$A$200,0)),1)*IFERROR(INDEX(Factors_ROT!$F$5:$F$200,MATCH("SC_FAT|"&amp;AR120,Factors_ROT!$A$5:$A$200,0)),1)</f>
        <v>1</v>
      </c>
      <c r="AX120" s="36">
        <f t="shared" si="20"/>
        <v>1</v>
      </c>
      <c r="AY120" s="35" t="str">
        <f t="shared" si="21"/>
        <v/>
      </c>
      <c r="AZ120" s="37" t="str">
        <f>IFERROR(IF(N(INDEX(Escalation_Index!$B$5:$B$25,MATCH(Y120,Escalation_Index!$A$5:$A$25,0)))&gt;0,INDEX(Escalation_Index!$B$5:$B$25,MATCH(Y120,Escalation_Index!$A$5:$A$25,0)),""),"")</f>
        <v/>
      </c>
      <c r="BA120" s="37">
        <f>IF(ISNUMBER('Assumptions &amp; FX Reference'!$I$12),'Assumptions &amp; FX Reference'!$I$12,"")</f>
        <v>123.416</v>
      </c>
      <c r="BB120" s="33" t="str">
        <f t="shared" si="22"/>
        <v>N</v>
      </c>
      <c r="BC120" s="35" t="str">
        <f t="shared" si="23"/>
        <v/>
      </c>
      <c r="BD120" s="35" t="str">
        <f>IF(AND(ISNUMBER(BC120),ISNUMBER(K120)),IF(K120&gt;0,BC120/K120^'Assumptions &amp; FX Reference'!$I$16,""),"")</f>
        <v/>
      </c>
      <c r="BE120" s="30" t="s">
        <v>755</v>
      </c>
      <c r="BF120" s="30" t="s">
        <v>756</v>
      </c>
      <c r="BG120" s="30" t="s">
        <v>361</v>
      </c>
    </row>
    <row r="121" spans="1:59" ht="24" customHeight="1">
      <c r="A121" s="30">
        <v>117</v>
      </c>
      <c r="B121" s="30" t="s">
        <v>309</v>
      </c>
      <c r="C121" s="30" t="s">
        <v>750</v>
      </c>
      <c r="D121" s="30" t="s">
        <v>295</v>
      </c>
      <c r="E121" s="30" t="s">
        <v>41</v>
      </c>
      <c r="F121" s="30" t="s">
        <v>119</v>
      </c>
      <c r="G121" s="30" t="s">
        <v>119</v>
      </c>
      <c r="H121" s="31"/>
      <c r="I121" s="31">
        <v>34.75</v>
      </c>
      <c r="J121" s="31">
        <v>57.35</v>
      </c>
      <c r="K121" s="32">
        <f>IF(ISNUMBER(J121),J121,IF(AND(ISNUMBER(H121),ISNUMBER(I121)),H121*I121/(367*'Assumptions &amp; FX Reference'!$I$17),""))</f>
        <v>57.35</v>
      </c>
      <c r="L121" s="33" t="str">
        <f t="shared" si="18"/>
        <v>Not stated</v>
      </c>
      <c r="M121" s="30" t="s">
        <v>119</v>
      </c>
      <c r="N121" s="30" t="s">
        <v>296</v>
      </c>
      <c r="O121" s="30" t="s">
        <v>119</v>
      </c>
      <c r="P121" s="30" t="s">
        <v>119</v>
      </c>
      <c r="Q121" s="30" t="s">
        <v>119</v>
      </c>
      <c r="R121" s="30" t="s">
        <v>119</v>
      </c>
      <c r="S121" s="30" t="s">
        <v>297</v>
      </c>
      <c r="T121" s="30" t="s">
        <v>298</v>
      </c>
      <c r="U121" s="30">
        <v>1</v>
      </c>
      <c r="V121" s="30" t="s">
        <v>299</v>
      </c>
      <c r="W121" s="31"/>
      <c r="X121" s="30" t="s">
        <v>751</v>
      </c>
      <c r="Y121" s="30" t="s">
        <v>300</v>
      </c>
      <c r="Z121" s="30" t="s">
        <v>301</v>
      </c>
      <c r="AA121" s="34">
        <v>250000</v>
      </c>
      <c r="AB121" s="35" t="str">
        <f>IF(NOT(ISNUMBER(AA121)),"(Not stated)",IF(NOT(ISNUMBER(Y121)),"(Cost year not stated)",IFERROR(IF(Z121="EUR",AA121,IF(Z121="IRR",AA121/INDEX('Assumptions &amp; FX Reference'!$C$5:$C$25,MATCH(Y121,'Assumptions &amp; FX Reference'!$A$5:$A$25,0)),IF(Z121="USD",AA121*INDEX('Assumptions &amp; FX Reference'!$B$5:$B$25,MATCH(Y121,'Assumptions &amp; FX Reference'!$A$5:$A$25,0))/INDEX('Assumptions &amp; FX Reference'!$C$5:$C$25,MATCH(Y121,'Assumptions &amp; FX Reference'!$A$5:$A$25,0)),"(Currency?)"))),"(FX rate missing)")))</f>
        <v>(Cost year not stated)</v>
      </c>
      <c r="AC121" s="35" t="str">
        <f>IF(NOT(ISNUMBER(AA121)),"(Not stated)",IF(NOT(ISNUMBER(Y121)),"(Cost year not stated)",IFERROR(IF(Z121="USD",AA121,IF(Z121="IRR",AA121/INDEX('Assumptions &amp; FX Reference'!$B$5:$B$25,MATCH(Y121,'Assumptions &amp; FX Reference'!$A$5:$A$25,0)),IF(Z121="EUR",AA121*INDEX('Assumptions &amp; FX Reference'!$C$5:$C$25,MATCH(Y121,'Assumptions &amp; FX Reference'!$A$5:$A$25,0))/INDEX('Assumptions &amp; FX Reference'!$B$5:$B$25,MATCH(Y121,'Assumptions &amp; FX Reference'!$A$5:$A$25,0)),"(Currency?)"))),"(FX rate missing)")))</f>
        <v>(Cost year not stated)</v>
      </c>
      <c r="AD121" s="35" t="str">
        <f>IF(NOT(ISNUMBER(AA121)),"(Not stated)",IF(NOT(ISNUMBER(Y121)),"(Cost year not stated)",IFERROR(IF(Z121="IRR",AA121,IF(Z121="USD",AA121*INDEX('Assumptions &amp; FX Reference'!$B$5:$B$25,MATCH(Y121,'Assumptions &amp; FX Reference'!$A$5:$A$25,0)),IF(Z121="EUR",AA121*INDEX('Assumptions &amp; FX Reference'!$C$5:$C$25,MATCH(Y121,'Assumptions &amp; FX Reference'!$A$5:$A$25,0)),"(Currency?)"))),"(FX rate missing)")))</f>
        <v>(Cost year not stated)</v>
      </c>
      <c r="AE121" s="30" t="s">
        <v>752</v>
      </c>
      <c r="AF121" s="30" t="s">
        <v>119</v>
      </c>
      <c r="AG121" s="35" t="str">
        <f>IF(AND(Z121="EUR",N(AA121)&gt;5000000),"(Check currency – excluded)",IF(AND(ISNUMBER(AB121),ISNUMBER(AZ121),ISNUMBER(BA121)),IF(AND(BB121="Y",ISNUMBER('Assumptions &amp; FX Reference'!$I$15)),MAX(AB121*BA121/AZ121,'Assumptions &amp; FX Reference'!$I$13*BA121/'Assumptions &amp; FX Reference'!$I$15),AB121*BA121/AZ121),"(PPI/FX missing)"))</f>
        <v>(PPI/FX missing)</v>
      </c>
      <c r="AH121" s="35" t="str">
        <f>IF(AND(ISNUMBER(AG121),ISNUMBER('Assumptions &amp; FX Reference'!$I$8),ISNUMBER('Assumptions &amp; FX Reference'!$I$11)),AG121*'Assumptions &amp; FX Reference'!$I$8/'Assumptions &amp; FX Reference'!$I$11,"")</f>
        <v/>
      </c>
      <c r="AI121" s="35" t="str">
        <f>IF(AND(ISNUMBER(AG121),ISNUMBER('Assumptions &amp; FX Reference'!$I$8)),AG121*'Assumptions &amp; FX Reference'!$I$8,"")</f>
        <v/>
      </c>
      <c r="AJ121" s="30" t="s">
        <v>295</v>
      </c>
      <c r="AK121" s="30" t="s">
        <v>119</v>
      </c>
      <c r="AL121" s="30" t="s">
        <v>119</v>
      </c>
      <c r="AM121" s="30" t="s">
        <v>119</v>
      </c>
      <c r="AN121" s="30" t="s">
        <v>119</v>
      </c>
      <c r="AO121" s="30" t="s">
        <v>119</v>
      </c>
      <c r="AP121" s="30" t="s">
        <v>119</v>
      </c>
      <c r="AQ121" s="30" t="s">
        <v>119</v>
      </c>
      <c r="AR121" s="30" t="s">
        <v>119</v>
      </c>
      <c r="AS121" s="33" t="str">
        <f t="shared" si="19"/>
        <v xml:space="preserve">Material missing; Seal missing; Base-year PPI missing; </v>
      </c>
      <c r="AT121" s="36">
        <f>IFERROR(INDEX(Factors_ROT!$F$5:$F$200,MATCH("MAT|"&amp;G121,Factors_ROT!$A$5:$A$200,0)),1)</f>
        <v>1</v>
      </c>
      <c r="AU121" s="36">
        <f>IFERROR(INDEX(Factors_ROT!$F$5:$F$200,MATCH("SEAL_ARR|"&amp;P121,Factors_ROT!$A$5:$A$200,0)),1)*IFERROR(INDEX(Factors_ROT!$F$5:$F$200,MATCH("SEAL_CAT|"&amp;Q121,Factors_ROT!$A$5:$A$200,0)),1)*IFERROR(INDEX(Factors_ROT!$F$5:$F$200,MATCH("SEAL_PLAN|"&amp;R121,Factors_ROT!$A$5:$A$200,0)),1)</f>
        <v>1</v>
      </c>
      <c r="AV121" s="36">
        <f>IFERROR(INDEX(Factors_ROT!$F$5:$F$200,MATCH("DRV|"&amp;S121,Factors_ROT!$A$5:$A$200,0)),1)*IFERROR(INDEX(Factors_ROT!$F$5:$F$200,MATCH("NACE|"&amp;O121,Factors_ROT!$A$5:$A$200,0)),1)</f>
        <v>1</v>
      </c>
      <c r="AW121" s="36">
        <f>IFERROR(INDEX(Factors_ROT!$F$5:$F$200,MATCH("SC_DRV|"&amp;AL121,Factors_ROT!$A$5:$A$200,0)),1)*IFERROR(INDEX(Factors_ROT!$F$5:$F$200,MATCH("SC_BSP|"&amp;AM121,Factors_ROT!$A$5:$A$200,0)),1)*IFERROR(INDEX(Factors_ROT!$F$5:$F$200,MATCH("SC_SEAL|"&amp;AN121,Factors_ROT!$A$5:$A$200,0)),1)*IFERROR(INDEX(Factors_ROT!$F$5:$F$200,MATCH("SC_COMM|"&amp;AO121,Factors_ROT!$A$5:$A$200,0)),1)*IFERROR(INDEX(Factors_ROT!$F$5:$F$200,MATCH("SC_2Y|"&amp;AP121,Factors_ROT!$A$5:$A$200,0)),1)*IFERROR(INDEX(Factors_ROT!$F$5:$F$200,MATCH("SC_TPI|"&amp;AQ121,Factors_ROT!$A$5:$A$200,0)),1)*IFERROR(INDEX(Factors_ROT!$F$5:$F$200,MATCH("SC_FAT|"&amp;AR121,Factors_ROT!$A$5:$A$200,0)),1)</f>
        <v>1</v>
      </c>
      <c r="AX121" s="36">
        <f t="shared" si="20"/>
        <v>1</v>
      </c>
      <c r="AY121" s="35" t="str">
        <f t="shared" si="21"/>
        <v/>
      </c>
      <c r="AZ121" s="37" t="str">
        <f>IFERROR(IF(N(INDEX(Escalation_Index!$B$5:$B$25,MATCH(Y121,Escalation_Index!$A$5:$A$25,0)))&gt;0,INDEX(Escalation_Index!$B$5:$B$25,MATCH(Y121,Escalation_Index!$A$5:$A$25,0)),""),"")</f>
        <v/>
      </c>
      <c r="BA121" s="37">
        <f>IF(ISNUMBER('Assumptions &amp; FX Reference'!$I$12),'Assumptions &amp; FX Reference'!$I$12,"")</f>
        <v>123.416</v>
      </c>
      <c r="BB121" s="33" t="str">
        <f t="shared" si="22"/>
        <v>N</v>
      </c>
      <c r="BC121" s="35" t="str">
        <f t="shared" si="23"/>
        <v/>
      </c>
      <c r="BD121" s="35" t="str">
        <f>IF(AND(ISNUMBER(BC121),ISNUMBER(K121)),IF(K121&gt;0,BC121/K121^'Assumptions &amp; FX Reference'!$I$16,""),"")</f>
        <v/>
      </c>
      <c r="BE121" s="30" t="s">
        <v>757</v>
      </c>
      <c r="BF121" s="30" t="s">
        <v>758</v>
      </c>
      <c r="BG121" s="30" t="s">
        <v>361</v>
      </c>
    </row>
    <row r="122" spans="1:59" ht="24" customHeight="1">
      <c r="A122" s="30">
        <v>118</v>
      </c>
      <c r="B122" s="30" t="s">
        <v>312</v>
      </c>
      <c r="C122" s="30" t="s">
        <v>750</v>
      </c>
      <c r="D122" s="30" t="s">
        <v>295</v>
      </c>
      <c r="E122" s="30" t="s">
        <v>41</v>
      </c>
      <c r="F122" s="30" t="s">
        <v>119</v>
      </c>
      <c r="G122" s="30" t="s">
        <v>119</v>
      </c>
      <c r="H122" s="31"/>
      <c r="I122" s="31"/>
      <c r="J122" s="31"/>
      <c r="K122" s="32" t="str">
        <f>IF(ISNUMBER(J122),J122,IF(AND(ISNUMBER(H122),ISNUMBER(I122)),H122*I122/(367*'Assumptions &amp; FX Reference'!$I$17),""))</f>
        <v/>
      </c>
      <c r="L122" s="33" t="str">
        <f t="shared" si="18"/>
        <v>Not stated</v>
      </c>
      <c r="M122" s="30" t="s">
        <v>119</v>
      </c>
      <c r="N122" s="30" t="s">
        <v>296</v>
      </c>
      <c r="O122" s="30" t="s">
        <v>119</v>
      </c>
      <c r="P122" s="30" t="s">
        <v>119</v>
      </c>
      <c r="Q122" s="30" t="s">
        <v>119</v>
      </c>
      <c r="R122" s="30" t="s">
        <v>119</v>
      </c>
      <c r="S122" s="30" t="s">
        <v>297</v>
      </c>
      <c r="T122" s="30" t="s">
        <v>298</v>
      </c>
      <c r="U122" s="30">
        <v>1</v>
      </c>
      <c r="V122" s="30" t="s">
        <v>299</v>
      </c>
      <c r="W122" s="31"/>
      <c r="X122" s="30" t="s">
        <v>119</v>
      </c>
      <c r="Y122" s="30" t="s">
        <v>300</v>
      </c>
      <c r="Z122" s="30" t="s">
        <v>301</v>
      </c>
      <c r="AA122" s="34">
        <v>320000</v>
      </c>
      <c r="AB122" s="35" t="str">
        <f>IF(NOT(ISNUMBER(AA122)),"(Not stated)",IF(NOT(ISNUMBER(Y122)),"(Cost year not stated)",IFERROR(IF(Z122="EUR",AA122,IF(Z122="IRR",AA122/INDEX('Assumptions &amp; FX Reference'!$C$5:$C$25,MATCH(Y122,'Assumptions &amp; FX Reference'!$A$5:$A$25,0)),IF(Z122="USD",AA122*INDEX('Assumptions &amp; FX Reference'!$B$5:$B$25,MATCH(Y122,'Assumptions &amp; FX Reference'!$A$5:$A$25,0))/INDEX('Assumptions &amp; FX Reference'!$C$5:$C$25,MATCH(Y122,'Assumptions &amp; FX Reference'!$A$5:$A$25,0)),"(Currency?)"))),"(FX rate missing)")))</f>
        <v>(Cost year not stated)</v>
      </c>
      <c r="AC122" s="35" t="str">
        <f>IF(NOT(ISNUMBER(AA122)),"(Not stated)",IF(NOT(ISNUMBER(Y122)),"(Cost year not stated)",IFERROR(IF(Z122="USD",AA122,IF(Z122="IRR",AA122/INDEX('Assumptions &amp; FX Reference'!$B$5:$B$25,MATCH(Y122,'Assumptions &amp; FX Reference'!$A$5:$A$25,0)),IF(Z122="EUR",AA122*INDEX('Assumptions &amp; FX Reference'!$C$5:$C$25,MATCH(Y122,'Assumptions &amp; FX Reference'!$A$5:$A$25,0))/INDEX('Assumptions &amp; FX Reference'!$B$5:$B$25,MATCH(Y122,'Assumptions &amp; FX Reference'!$A$5:$A$25,0)),"(Currency?)"))),"(FX rate missing)")))</f>
        <v>(Cost year not stated)</v>
      </c>
      <c r="AD122" s="35" t="str">
        <f>IF(NOT(ISNUMBER(AA122)),"(Not stated)",IF(NOT(ISNUMBER(Y122)),"(Cost year not stated)",IFERROR(IF(Z122="IRR",AA122,IF(Z122="USD",AA122*INDEX('Assumptions &amp; FX Reference'!$B$5:$B$25,MATCH(Y122,'Assumptions &amp; FX Reference'!$A$5:$A$25,0)),IF(Z122="EUR",AA122*INDEX('Assumptions &amp; FX Reference'!$C$5:$C$25,MATCH(Y122,'Assumptions &amp; FX Reference'!$A$5:$A$25,0)),"(Currency?)"))),"(FX rate missing)")))</f>
        <v>(Cost year not stated)</v>
      </c>
      <c r="AE122" s="30" t="s">
        <v>752</v>
      </c>
      <c r="AF122" s="30" t="s">
        <v>119</v>
      </c>
      <c r="AG122" s="35" t="str">
        <f>IF(AND(Z122="EUR",N(AA122)&gt;5000000),"(Check currency – excluded)",IF(AND(ISNUMBER(AB122),ISNUMBER(AZ122),ISNUMBER(BA122)),IF(AND(BB122="Y",ISNUMBER('Assumptions &amp; FX Reference'!$I$15)),MAX(AB122*BA122/AZ122,'Assumptions &amp; FX Reference'!$I$13*BA122/'Assumptions &amp; FX Reference'!$I$15),AB122*BA122/AZ122),"(PPI/FX missing)"))</f>
        <v>(PPI/FX missing)</v>
      </c>
      <c r="AH122" s="35" t="str">
        <f>IF(AND(ISNUMBER(AG122),ISNUMBER('Assumptions &amp; FX Reference'!$I$8),ISNUMBER('Assumptions &amp; FX Reference'!$I$11)),AG122*'Assumptions &amp; FX Reference'!$I$8/'Assumptions &amp; FX Reference'!$I$11,"")</f>
        <v/>
      </c>
      <c r="AI122" s="35" t="str">
        <f>IF(AND(ISNUMBER(AG122),ISNUMBER('Assumptions &amp; FX Reference'!$I$8)),AG122*'Assumptions &amp; FX Reference'!$I$8,"")</f>
        <v/>
      </c>
      <c r="AJ122" s="30" t="s">
        <v>295</v>
      </c>
      <c r="AK122" s="30" t="s">
        <v>119</v>
      </c>
      <c r="AL122" s="30" t="s">
        <v>119</v>
      </c>
      <c r="AM122" s="30" t="s">
        <v>119</v>
      </c>
      <c r="AN122" s="30" t="s">
        <v>119</v>
      </c>
      <c r="AO122" s="30" t="s">
        <v>119</v>
      </c>
      <c r="AP122" s="30" t="s">
        <v>119</v>
      </c>
      <c r="AQ122" s="30" t="s">
        <v>119</v>
      </c>
      <c r="AR122" s="30" t="s">
        <v>119</v>
      </c>
      <c r="AS122" s="33" t="str">
        <f t="shared" si="19"/>
        <v xml:space="preserve">Material missing; Seal missing; Size driver missing; Base-year PPI missing; </v>
      </c>
      <c r="AT122" s="36">
        <f>IFERROR(INDEX(Factors_ROT!$F$5:$F$200,MATCH("MAT|"&amp;G122,Factors_ROT!$A$5:$A$200,0)),1)</f>
        <v>1</v>
      </c>
      <c r="AU122" s="36">
        <f>IFERROR(INDEX(Factors_ROT!$F$5:$F$200,MATCH("SEAL_ARR|"&amp;P122,Factors_ROT!$A$5:$A$200,0)),1)*IFERROR(INDEX(Factors_ROT!$F$5:$F$200,MATCH("SEAL_CAT|"&amp;Q122,Factors_ROT!$A$5:$A$200,0)),1)*IFERROR(INDEX(Factors_ROT!$F$5:$F$200,MATCH("SEAL_PLAN|"&amp;R122,Factors_ROT!$A$5:$A$200,0)),1)</f>
        <v>1</v>
      </c>
      <c r="AV122" s="36">
        <f>IFERROR(INDEX(Factors_ROT!$F$5:$F$200,MATCH("DRV|"&amp;S122,Factors_ROT!$A$5:$A$200,0)),1)*IFERROR(INDEX(Factors_ROT!$F$5:$F$200,MATCH("NACE|"&amp;O122,Factors_ROT!$A$5:$A$200,0)),1)</f>
        <v>1</v>
      </c>
      <c r="AW122" s="36">
        <f>IFERROR(INDEX(Factors_ROT!$F$5:$F$200,MATCH("SC_DRV|"&amp;AL122,Factors_ROT!$A$5:$A$200,0)),1)*IFERROR(INDEX(Factors_ROT!$F$5:$F$200,MATCH("SC_BSP|"&amp;AM122,Factors_ROT!$A$5:$A$200,0)),1)*IFERROR(INDEX(Factors_ROT!$F$5:$F$200,MATCH("SC_SEAL|"&amp;AN122,Factors_ROT!$A$5:$A$200,0)),1)*IFERROR(INDEX(Factors_ROT!$F$5:$F$200,MATCH("SC_COMM|"&amp;AO122,Factors_ROT!$A$5:$A$200,0)),1)*IFERROR(INDEX(Factors_ROT!$F$5:$F$200,MATCH("SC_2Y|"&amp;AP122,Factors_ROT!$A$5:$A$200,0)),1)*IFERROR(INDEX(Factors_ROT!$F$5:$F$200,MATCH("SC_TPI|"&amp;AQ122,Factors_ROT!$A$5:$A$200,0)),1)*IFERROR(INDEX(Factors_ROT!$F$5:$F$200,MATCH("SC_FAT|"&amp;AR122,Factors_ROT!$A$5:$A$200,0)),1)</f>
        <v>1</v>
      </c>
      <c r="AX122" s="36">
        <f t="shared" si="20"/>
        <v>1</v>
      </c>
      <c r="AY122" s="35" t="str">
        <f t="shared" si="21"/>
        <v/>
      </c>
      <c r="AZ122" s="37" t="str">
        <f>IFERROR(IF(N(INDEX(Escalation_Index!$B$5:$B$25,MATCH(Y122,Escalation_Index!$A$5:$A$25,0)))&gt;0,INDEX(Escalation_Index!$B$5:$B$25,MATCH(Y122,Escalation_Index!$A$5:$A$25,0)),""),"")</f>
        <v/>
      </c>
      <c r="BA122" s="37">
        <f>IF(ISNUMBER('Assumptions &amp; FX Reference'!$I$12),'Assumptions &amp; FX Reference'!$I$12,"")</f>
        <v>123.416</v>
      </c>
      <c r="BB122" s="33" t="str">
        <f t="shared" si="22"/>
        <v>N</v>
      </c>
      <c r="BC122" s="35" t="str">
        <f t="shared" si="23"/>
        <v/>
      </c>
      <c r="BD122" s="35" t="str">
        <f>IF(AND(ISNUMBER(BC122),ISNUMBER(K122)),IF(K122&gt;0,BC122/K122^'Assumptions &amp; FX Reference'!$I$16,""),"")</f>
        <v/>
      </c>
      <c r="BE122" s="30" t="s">
        <v>759</v>
      </c>
      <c r="BF122" s="30" t="s">
        <v>760</v>
      </c>
      <c r="BG122" s="30" t="s">
        <v>361</v>
      </c>
    </row>
    <row r="123" spans="1:59" ht="24" customHeight="1">
      <c r="A123" s="30">
        <v>119</v>
      </c>
      <c r="B123" s="30" t="s">
        <v>315</v>
      </c>
      <c r="C123" s="30" t="s">
        <v>750</v>
      </c>
      <c r="D123" s="30" t="s">
        <v>295</v>
      </c>
      <c r="E123" s="30" t="s">
        <v>41</v>
      </c>
      <c r="F123" s="30" t="s">
        <v>119</v>
      </c>
      <c r="G123" s="30" t="s">
        <v>119</v>
      </c>
      <c r="H123" s="31"/>
      <c r="I123" s="31">
        <v>311.3</v>
      </c>
      <c r="J123" s="31">
        <v>48</v>
      </c>
      <c r="K123" s="32">
        <f>IF(ISNUMBER(J123),J123,IF(AND(ISNUMBER(H123),ISNUMBER(I123)),H123*I123/(367*'Assumptions &amp; FX Reference'!$I$17),""))</f>
        <v>48</v>
      </c>
      <c r="L123" s="33" t="str">
        <f t="shared" si="18"/>
        <v>Not stated</v>
      </c>
      <c r="M123" s="30" t="s">
        <v>119</v>
      </c>
      <c r="N123" s="30" t="s">
        <v>296</v>
      </c>
      <c r="O123" s="30" t="s">
        <v>119</v>
      </c>
      <c r="P123" s="30" t="s">
        <v>119</v>
      </c>
      <c r="Q123" s="30" t="s">
        <v>119</v>
      </c>
      <c r="R123" s="30" t="s">
        <v>119</v>
      </c>
      <c r="S123" s="30" t="s">
        <v>297</v>
      </c>
      <c r="T123" s="30" t="s">
        <v>298</v>
      </c>
      <c r="U123" s="30">
        <v>1</v>
      </c>
      <c r="V123" s="30" t="s">
        <v>299</v>
      </c>
      <c r="W123" s="31"/>
      <c r="X123" s="30" t="s">
        <v>751</v>
      </c>
      <c r="Y123" s="30" t="s">
        <v>300</v>
      </c>
      <c r="Z123" s="30" t="s">
        <v>301</v>
      </c>
      <c r="AA123" s="34">
        <v>75000</v>
      </c>
      <c r="AB123" s="35" t="str">
        <f>IF(NOT(ISNUMBER(AA123)),"(Not stated)",IF(NOT(ISNUMBER(Y123)),"(Cost year not stated)",IFERROR(IF(Z123="EUR",AA123,IF(Z123="IRR",AA123/INDEX('Assumptions &amp; FX Reference'!$C$5:$C$25,MATCH(Y123,'Assumptions &amp; FX Reference'!$A$5:$A$25,0)),IF(Z123="USD",AA123*INDEX('Assumptions &amp; FX Reference'!$B$5:$B$25,MATCH(Y123,'Assumptions &amp; FX Reference'!$A$5:$A$25,0))/INDEX('Assumptions &amp; FX Reference'!$C$5:$C$25,MATCH(Y123,'Assumptions &amp; FX Reference'!$A$5:$A$25,0)),"(Currency?)"))),"(FX rate missing)")))</f>
        <v>(Cost year not stated)</v>
      </c>
      <c r="AC123" s="35" t="str">
        <f>IF(NOT(ISNUMBER(AA123)),"(Not stated)",IF(NOT(ISNUMBER(Y123)),"(Cost year not stated)",IFERROR(IF(Z123="USD",AA123,IF(Z123="IRR",AA123/INDEX('Assumptions &amp; FX Reference'!$B$5:$B$25,MATCH(Y123,'Assumptions &amp; FX Reference'!$A$5:$A$25,0)),IF(Z123="EUR",AA123*INDEX('Assumptions &amp; FX Reference'!$C$5:$C$25,MATCH(Y123,'Assumptions &amp; FX Reference'!$A$5:$A$25,0))/INDEX('Assumptions &amp; FX Reference'!$B$5:$B$25,MATCH(Y123,'Assumptions &amp; FX Reference'!$A$5:$A$25,0)),"(Currency?)"))),"(FX rate missing)")))</f>
        <v>(Cost year not stated)</v>
      </c>
      <c r="AD123" s="35" t="str">
        <f>IF(NOT(ISNUMBER(AA123)),"(Not stated)",IF(NOT(ISNUMBER(Y123)),"(Cost year not stated)",IFERROR(IF(Z123="IRR",AA123,IF(Z123="USD",AA123*INDEX('Assumptions &amp; FX Reference'!$B$5:$B$25,MATCH(Y123,'Assumptions &amp; FX Reference'!$A$5:$A$25,0)),IF(Z123="EUR",AA123*INDEX('Assumptions &amp; FX Reference'!$C$5:$C$25,MATCH(Y123,'Assumptions &amp; FX Reference'!$A$5:$A$25,0)),"(Currency?)"))),"(FX rate missing)")))</f>
        <v>(Cost year not stated)</v>
      </c>
      <c r="AE123" s="30" t="s">
        <v>752</v>
      </c>
      <c r="AF123" s="30" t="s">
        <v>119</v>
      </c>
      <c r="AG123" s="35" t="str">
        <f>IF(AND(Z123="EUR",N(AA123)&gt;5000000),"(Check currency – excluded)",IF(AND(ISNUMBER(AB123),ISNUMBER(AZ123),ISNUMBER(BA123)),IF(AND(BB123="Y",ISNUMBER('Assumptions &amp; FX Reference'!$I$15)),MAX(AB123*BA123/AZ123,'Assumptions &amp; FX Reference'!$I$13*BA123/'Assumptions &amp; FX Reference'!$I$15),AB123*BA123/AZ123),"(PPI/FX missing)"))</f>
        <v>(PPI/FX missing)</v>
      </c>
      <c r="AH123" s="35" t="str">
        <f>IF(AND(ISNUMBER(AG123),ISNUMBER('Assumptions &amp; FX Reference'!$I$8),ISNUMBER('Assumptions &amp; FX Reference'!$I$11)),AG123*'Assumptions &amp; FX Reference'!$I$8/'Assumptions &amp; FX Reference'!$I$11,"")</f>
        <v/>
      </c>
      <c r="AI123" s="35" t="str">
        <f>IF(AND(ISNUMBER(AG123),ISNUMBER('Assumptions &amp; FX Reference'!$I$8)),AG123*'Assumptions &amp; FX Reference'!$I$8,"")</f>
        <v/>
      </c>
      <c r="AJ123" s="30" t="s">
        <v>295</v>
      </c>
      <c r="AK123" s="30" t="s">
        <v>119</v>
      </c>
      <c r="AL123" s="30" t="s">
        <v>119</v>
      </c>
      <c r="AM123" s="30" t="s">
        <v>119</v>
      </c>
      <c r="AN123" s="30" t="s">
        <v>119</v>
      </c>
      <c r="AO123" s="30" t="s">
        <v>119</v>
      </c>
      <c r="AP123" s="30" t="s">
        <v>119</v>
      </c>
      <c r="AQ123" s="30" t="s">
        <v>119</v>
      </c>
      <c r="AR123" s="30" t="s">
        <v>119</v>
      </c>
      <c r="AS123" s="33" t="str">
        <f t="shared" si="19"/>
        <v xml:space="preserve">Material missing; Seal missing; Base-year PPI missing; </v>
      </c>
      <c r="AT123" s="36">
        <f>IFERROR(INDEX(Factors_ROT!$F$5:$F$200,MATCH("MAT|"&amp;G123,Factors_ROT!$A$5:$A$200,0)),1)</f>
        <v>1</v>
      </c>
      <c r="AU123" s="36">
        <f>IFERROR(INDEX(Factors_ROT!$F$5:$F$200,MATCH("SEAL_ARR|"&amp;P123,Factors_ROT!$A$5:$A$200,0)),1)*IFERROR(INDEX(Factors_ROT!$F$5:$F$200,MATCH("SEAL_CAT|"&amp;Q123,Factors_ROT!$A$5:$A$200,0)),1)*IFERROR(INDEX(Factors_ROT!$F$5:$F$200,MATCH("SEAL_PLAN|"&amp;R123,Factors_ROT!$A$5:$A$200,0)),1)</f>
        <v>1</v>
      </c>
      <c r="AV123" s="36">
        <f>IFERROR(INDEX(Factors_ROT!$F$5:$F$200,MATCH("DRV|"&amp;S123,Factors_ROT!$A$5:$A$200,0)),1)*IFERROR(INDEX(Factors_ROT!$F$5:$F$200,MATCH("NACE|"&amp;O123,Factors_ROT!$A$5:$A$200,0)),1)</f>
        <v>1</v>
      </c>
      <c r="AW123" s="36">
        <f>IFERROR(INDEX(Factors_ROT!$F$5:$F$200,MATCH("SC_DRV|"&amp;AL123,Factors_ROT!$A$5:$A$200,0)),1)*IFERROR(INDEX(Factors_ROT!$F$5:$F$200,MATCH("SC_BSP|"&amp;AM123,Factors_ROT!$A$5:$A$200,0)),1)*IFERROR(INDEX(Factors_ROT!$F$5:$F$200,MATCH("SC_SEAL|"&amp;AN123,Factors_ROT!$A$5:$A$200,0)),1)*IFERROR(INDEX(Factors_ROT!$F$5:$F$200,MATCH("SC_COMM|"&amp;AO123,Factors_ROT!$A$5:$A$200,0)),1)*IFERROR(INDEX(Factors_ROT!$F$5:$F$200,MATCH("SC_2Y|"&amp;AP123,Factors_ROT!$A$5:$A$200,0)),1)*IFERROR(INDEX(Factors_ROT!$F$5:$F$200,MATCH("SC_TPI|"&amp;AQ123,Factors_ROT!$A$5:$A$200,0)),1)*IFERROR(INDEX(Factors_ROT!$F$5:$F$200,MATCH("SC_FAT|"&amp;AR123,Factors_ROT!$A$5:$A$200,0)),1)</f>
        <v>1</v>
      </c>
      <c r="AX123" s="36">
        <f t="shared" si="20"/>
        <v>1</v>
      </c>
      <c r="AY123" s="35" t="str">
        <f t="shared" si="21"/>
        <v/>
      </c>
      <c r="AZ123" s="37" t="str">
        <f>IFERROR(IF(N(INDEX(Escalation_Index!$B$5:$B$25,MATCH(Y123,Escalation_Index!$A$5:$A$25,0)))&gt;0,INDEX(Escalation_Index!$B$5:$B$25,MATCH(Y123,Escalation_Index!$A$5:$A$25,0)),""),"")</f>
        <v/>
      </c>
      <c r="BA123" s="37">
        <f>IF(ISNUMBER('Assumptions &amp; FX Reference'!$I$12),'Assumptions &amp; FX Reference'!$I$12,"")</f>
        <v>123.416</v>
      </c>
      <c r="BB123" s="33" t="str">
        <f t="shared" si="22"/>
        <v>N</v>
      </c>
      <c r="BC123" s="35" t="str">
        <f t="shared" si="23"/>
        <v/>
      </c>
      <c r="BD123" s="35" t="str">
        <f>IF(AND(ISNUMBER(BC123),ISNUMBER(K123)),IF(K123&gt;0,BC123/K123^'Assumptions &amp; FX Reference'!$I$16,""),"")</f>
        <v/>
      </c>
      <c r="BE123" s="30" t="s">
        <v>761</v>
      </c>
      <c r="BF123" s="30" t="s">
        <v>762</v>
      </c>
      <c r="BG123" s="30" t="s">
        <v>361</v>
      </c>
    </row>
    <row r="124" spans="1:59" ht="24" customHeight="1">
      <c r="A124" s="30">
        <v>120</v>
      </c>
      <c r="B124" s="30" t="s">
        <v>318</v>
      </c>
      <c r="C124" s="30" t="s">
        <v>750</v>
      </c>
      <c r="D124" s="30" t="s">
        <v>295</v>
      </c>
      <c r="E124" s="30" t="s">
        <v>44</v>
      </c>
      <c r="F124" s="30" t="s">
        <v>119</v>
      </c>
      <c r="G124" s="30" t="s">
        <v>119</v>
      </c>
      <c r="H124" s="31"/>
      <c r="I124" s="31">
        <v>32</v>
      </c>
      <c r="J124" s="31">
        <v>1</v>
      </c>
      <c r="K124" s="32">
        <f>IF(ISNUMBER(J124),J124,IF(AND(ISNUMBER(H124),ISNUMBER(I124)),H124*I124/(367*'Assumptions &amp; FX Reference'!$I$17),""))</f>
        <v>1</v>
      </c>
      <c r="L124" s="33" t="str">
        <f t="shared" si="18"/>
        <v>Not stated</v>
      </c>
      <c r="M124" s="30" t="s">
        <v>119</v>
      </c>
      <c r="N124" s="30" t="s">
        <v>296</v>
      </c>
      <c r="O124" s="30" t="s">
        <v>119</v>
      </c>
      <c r="P124" s="30" t="s">
        <v>119</v>
      </c>
      <c r="Q124" s="30" t="s">
        <v>119</v>
      </c>
      <c r="R124" s="30" t="s">
        <v>119</v>
      </c>
      <c r="S124" s="30" t="s">
        <v>297</v>
      </c>
      <c r="T124" s="30" t="s">
        <v>319</v>
      </c>
      <c r="U124" s="30">
        <v>1</v>
      </c>
      <c r="V124" s="30" t="s">
        <v>299</v>
      </c>
      <c r="W124" s="31"/>
      <c r="X124" s="30" t="s">
        <v>751</v>
      </c>
      <c r="Y124" s="30" t="s">
        <v>300</v>
      </c>
      <c r="Z124" s="30" t="s">
        <v>301</v>
      </c>
      <c r="AA124" s="34">
        <v>60000</v>
      </c>
      <c r="AB124" s="35" t="str">
        <f>IF(NOT(ISNUMBER(AA124)),"(Not stated)",IF(NOT(ISNUMBER(Y124)),"(Cost year not stated)",IFERROR(IF(Z124="EUR",AA124,IF(Z124="IRR",AA124/INDEX('Assumptions &amp; FX Reference'!$C$5:$C$25,MATCH(Y124,'Assumptions &amp; FX Reference'!$A$5:$A$25,0)),IF(Z124="USD",AA124*INDEX('Assumptions &amp; FX Reference'!$B$5:$B$25,MATCH(Y124,'Assumptions &amp; FX Reference'!$A$5:$A$25,0))/INDEX('Assumptions &amp; FX Reference'!$C$5:$C$25,MATCH(Y124,'Assumptions &amp; FX Reference'!$A$5:$A$25,0)),"(Currency?)"))),"(FX rate missing)")))</f>
        <v>(Cost year not stated)</v>
      </c>
      <c r="AC124" s="35" t="str">
        <f>IF(NOT(ISNUMBER(AA124)),"(Not stated)",IF(NOT(ISNUMBER(Y124)),"(Cost year not stated)",IFERROR(IF(Z124="USD",AA124,IF(Z124="IRR",AA124/INDEX('Assumptions &amp; FX Reference'!$B$5:$B$25,MATCH(Y124,'Assumptions &amp; FX Reference'!$A$5:$A$25,0)),IF(Z124="EUR",AA124*INDEX('Assumptions &amp; FX Reference'!$C$5:$C$25,MATCH(Y124,'Assumptions &amp; FX Reference'!$A$5:$A$25,0))/INDEX('Assumptions &amp; FX Reference'!$B$5:$B$25,MATCH(Y124,'Assumptions &amp; FX Reference'!$A$5:$A$25,0)),"(Currency?)"))),"(FX rate missing)")))</f>
        <v>(Cost year not stated)</v>
      </c>
      <c r="AD124" s="35" t="str">
        <f>IF(NOT(ISNUMBER(AA124)),"(Not stated)",IF(NOT(ISNUMBER(Y124)),"(Cost year not stated)",IFERROR(IF(Z124="IRR",AA124,IF(Z124="USD",AA124*INDEX('Assumptions &amp; FX Reference'!$B$5:$B$25,MATCH(Y124,'Assumptions &amp; FX Reference'!$A$5:$A$25,0)),IF(Z124="EUR",AA124*INDEX('Assumptions &amp; FX Reference'!$C$5:$C$25,MATCH(Y124,'Assumptions &amp; FX Reference'!$A$5:$A$25,0)),"(Currency?)"))),"(FX rate missing)")))</f>
        <v>(Cost year not stated)</v>
      </c>
      <c r="AE124" s="30" t="s">
        <v>752</v>
      </c>
      <c r="AF124" s="30" t="s">
        <v>119</v>
      </c>
      <c r="AG124" s="35" t="str">
        <f>IF(AND(Z124="EUR",N(AA124)&gt;5000000),"(Check currency – excluded)",IF(AND(ISNUMBER(AB124),ISNUMBER(AZ124),ISNUMBER(BA124)),IF(AND(BB124="Y",ISNUMBER('Assumptions &amp; FX Reference'!$I$15)),MAX(AB124*BA124/AZ124,'Assumptions &amp; FX Reference'!$I$13*BA124/'Assumptions &amp; FX Reference'!$I$15),AB124*BA124/AZ124),"(PPI/FX missing)"))</f>
        <v>(PPI/FX missing)</v>
      </c>
      <c r="AH124" s="35" t="str">
        <f>IF(AND(ISNUMBER(AG124),ISNUMBER('Assumptions &amp; FX Reference'!$I$8),ISNUMBER('Assumptions &amp; FX Reference'!$I$11)),AG124*'Assumptions &amp; FX Reference'!$I$8/'Assumptions &amp; FX Reference'!$I$11,"")</f>
        <v/>
      </c>
      <c r="AI124" s="35" t="str">
        <f>IF(AND(ISNUMBER(AG124),ISNUMBER('Assumptions &amp; FX Reference'!$I$8)),AG124*'Assumptions &amp; FX Reference'!$I$8,"")</f>
        <v/>
      </c>
      <c r="AJ124" s="30" t="s">
        <v>295</v>
      </c>
      <c r="AK124" s="30" t="s">
        <v>119</v>
      </c>
      <c r="AL124" s="30" t="s">
        <v>119</v>
      </c>
      <c r="AM124" s="30" t="s">
        <v>119</v>
      </c>
      <c r="AN124" s="30" t="s">
        <v>119</v>
      </c>
      <c r="AO124" s="30" t="s">
        <v>119</v>
      </c>
      <c r="AP124" s="30" t="s">
        <v>119</v>
      </c>
      <c r="AQ124" s="30" t="s">
        <v>119</v>
      </c>
      <c r="AR124" s="30" t="s">
        <v>119</v>
      </c>
      <c r="AS124" s="33" t="str">
        <f t="shared" si="19"/>
        <v xml:space="preserve">Material missing; Seal missing; Base-year PPI missing; </v>
      </c>
      <c r="AT124" s="36">
        <f>IFERROR(INDEX(Factors_ROT!$F$5:$F$200,MATCH("MAT|"&amp;G124,Factors_ROT!$A$5:$A$200,0)),1)</f>
        <v>1</v>
      </c>
      <c r="AU124" s="36">
        <f>IFERROR(INDEX(Factors_ROT!$F$5:$F$200,MATCH("SEAL_ARR|"&amp;P124,Factors_ROT!$A$5:$A$200,0)),1)*IFERROR(INDEX(Factors_ROT!$F$5:$F$200,MATCH("SEAL_CAT|"&amp;Q124,Factors_ROT!$A$5:$A$200,0)),1)*IFERROR(INDEX(Factors_ROT!$F$5:$F$200,MATCH("SEAL_PLAN|"&amp;R124,Factors_ROT!$A$5:$A$200,0)),1)</f>
        <v>1</v>
      </c>
      <c r="AV124" s="36">
        <f>IFERROR(INDEX(Factors_ROT!$F$5:$F$200,MATCH("DRV|"&amp;S124,Factors_ROT!$A$5:$A$200,0)),1)*IFERROR(INDEX(Factors_ROT!$F$5:$F$200,MATCH("NACE|"&amp;O124,Factors_ROT!$A$5:$A$200,0)),1)</f>
        <v>1</v>
      </c>
      <c r="AW124" s="36">
        <f>IFERROR(INDEX(Factors_ROT!$F$5:$F$200,MATCH("SC_DRV|"&amp;AL124,Factors_ROT!$A$5:$A$200,0)),1)*IFERROR(INDEX(Factors_ROT!$F$5:$F$200,MATCH("SC_BSP|"&amp;AM124,Factors_ROT!$A$5:$A$200,0)),1)*IFERROR(INDEX(Factors_ROT!$F$5:$F$200,MATCH("SC_SEAL|"&amp;AN124,Factors_ROT!$A$5:$A$200,0)),1)*IFERROR(INDEX(Factors_ROT!$F$5:$F$200,MATCH("SC_COMM|"&amp;AO124,Factors_ROT!$A$5:$A$200,0)),1)*IFERROR(INDEX(Factors_ROT!$F$5:$F$200,MATCH("SC_2Y|"&amp;AP124,Factors_ROT!$A$5:$A$200,0)),1)*IFERROR(INDEX(Factors_ROT!$F$5:$F$200,MATCH("SC_TPI|"&amp;AQ124,Factors_ROT!$A$5:$A$200,0)),1)*IFERROR(INDEX(Factors_ROT!$F$5:$F$200,MATCH("SC_FAT|"&amp;AR124,Factors_ROT!$A$5:$A$200,0)),1)</f>
        <v>1</v>
      </c>
      <c r="AX124" s="36">
        <f t="shared" si="20"/>
        <v>1</v>
      </c>
      <c r="AY124" s="35" t="str">
        <f t="shared" si="21"/>
        <v/>
      </c>
      <c r="AZ124" s="37" t="str">
        <f>IFERROR(IF(N(INDEX(Escalation_Index!$B$5:$B$25,MATCH(Y124,Escalation_Index!$A$5:$A$25,0)))&gt;0,INDEX(Escalation_Index!$B$5:$B$25,MATCH(Y124,Escalation_Index!$A$5:$A$25,0)),""),"")</f>
        <v/>
      </c>
      <c r="BA124" s="37">
        <f>IF(ISNUMBER('Assumptions &amp; FX Reference'!$I$12),'Assumptions &amp; FX Reference'!$I$12,"")</f>
        <v>123.416</v>
      </c>
      <c r="BB124" s="33" t="str">
        <f t="shared" si="22"/>
        <v>N</v>
      </c>
      <c r="BC124" s="35" t="str">
        <f t="shared" si="23"/>
        <v/>
      </c>
      <c r="BD124" s="35" t="str">
        <f>IF(AND(ISNUMBER(BC124),ISNUMBER(K124)),IF(K124&gt;0,BC124/K124^'Assumptions &amp; FX Reference'!$I$16,""),"")</f>
        <v/>
      </c>
      <c r="BE124" s="30" t="s">
        <v>763</v>
      </c>
      <c r="BF124" s="30" t="s">
        <v>764</v>
      </c>
      <c r="BG124" s="30" t="s">
        <v>361</v>
      </c>
    </row>
    <row r="125" spans="1:59" ht="24" customHeight="1">
      <c r="A125" s="30">
        <v>121</v>
      </c>
      <c r="B125" s="30" t="s">
        <v>322</v>
      </c>
      <c r="C125" s="30" t="s">
        <v>750</v>
      </c>
      <c r="D125" s="30" t="s">
        <v>295</v>
      </c>
      <c r="E125" s="30" t="s">
        <v>44</v>
      </c>
      <c r="F125" s="30" t="s">
        <v>119</v>
      </c>
      <c r="G125" s="30" t="s">
        <v>119</v>
      </c>
      <c r="H125" s="31"/>
      <c r="I125" s="31">
        <v>36.15</v>
      </c>
      <c r="J125" s="31">
        <v>13.1</v>
      </c>
      <c r="K125" s="32">
        <f>IF(ISNUMBER(J125),J125,IF(AND(ISNUMBER(H125),ISNUMBER(I125)),H125*I125/(367*'Assumptions &amp; FX Reference'!$I$17),""))</f>
        <v>13.1</v>
      </c>
      <c r="L125" s="33" t="str">
        <f t="shared" si="18"/>
        <v>Not stated</v>
      </c>
      <c r="M125" s="30" t="s">
        <v>119</v>
      </c>
      <c r="N125" s="30" t="s">
        <v>296</v>
      </c>
      <c r="O125" s="30" t="s">
        <v>119</v>
      </c>
      <c r="P125" s="30" t="s">
        <v>119</v>
      </c>
      <c r="Q125" s="30" t="s">
        <v>119</v>
      </c>
      <c r="R125" s="30" t="s">
        <v>119</v>
      </c>
      <c r="S125" s="30" t="s">
        <v>297</v>
      </c>
      <c r="T125" s="30" t="s">
        <v>319</v>
      </c>
      <c r="U125" s="30">
        <v>1</v>
      </c>
      <c r="V125" s="30" t="s">
        <v>299</v>
      </c>
      <c r="W125" s="31"/>
      <c r="X125" s="30" t="s">
        <v>751</v>
      </c>
      <c r="Y125" s="30" t="s">
        <v>300</v>
      </c>
      <c r="Z125" s="30" t="s">
        <v>301</v>
      </c>
      <c r="AA125" s="34">
        <v>60000</v>
      </c>
      <c r="AB125" s="35" t="str">
        <f>IF(NOT(ISNUMBER(AA125)),"(Not stated)",IF(NOT(ISNUMBER(Y125)),"(Cost year not stated)",IFERROR(IF(Z125="EUR",AA125,IF(Z125="IRR",AA125/INDEX('Assumptions &amp; FX Reference'!$C$5:$C$25,MATCH(Y125,'Assumptions &amp; FX Reference'!$A$5:$A$25,0)),IF(Z125="USD",AA125*INDEX('Assumptions &amp; FX Reference'!$B$5:$B$25,MATCH(Y125,'Assumptions &amp; FX Reference'!$A$5:$A$25,0))/INDEX('Assumptions &amp; FX Reference'!$C$5:$C$25,MATCH(Y125,'Assumptions &amp; FX Reference'!$A$5:$A$25,0)),"(Currency?)"))),"(FX rate missing)")))</f>
        <v>(Cost year not stated)</v>
      </c>
      <c r="AC125" s="35" t="str">
        <f>IF(NOT(ISNUMBER(AA125)),"(Not stated)",IF(NOT(ISNUMBER(Y125)),"(Cost year not stated)",IFERROR(IF(Z125="USD",AA125,IF(Z125="IRR",AA125/INDEX('Assumptions &amp; FX Reference'!$B$5:$B$25,MATCH(Y125,'Assumptions &amp; FX Reference'!$A$5:$A$25,0)),IF(Z125="EUR",AA125*INDEX('Assumptions &amp; FX Reference'!$C$5:$C$25,MATCH(Y125,'Assumptions &amp; FX Reference'!$A$5:$A$25,0))/INDEX('Assumptions &amp; FX Reference'!$B$5:$B$25,MATCH(Y125,'Assumptions &amp; FX Reference'!$A$5:$A$25,0)),"(Currency?)"))),"(FX rate missing)")))</f>
        <v>(Cost year not stated)</v>
      </c>
      <c r="AD125" s="35" t="str">
        <f>IF(NOT(ISNUMBER(AA125)),"(Not stated)",IF(NOT(ISNUMBER(Y125)),"(Cost year not stated)",IFERROR(IF(Z125="IRR",AA125,IF(Z125="USD",AA125*INDEX('Assumptions &amp; FX Reference'!$B$5:$B$25,MATCH(Y125,'Assumptions &amp; FX Reference'!$A$5:$A$25,0)),IF(Z125="EUR",AA125*INDEX('Assumptions &amp; FX Reference'!$C$5:$C$25,MATCH(Y125,'Assumptions &amp; FX Reference'!$A$5:$A$25,0)),"(Currency?)"))),"(FX rate missing)")))</f>
        <v>(Cost year not stated)</v>
      </c>
      <c r="AE125" s="30" t="s">
        <v>752</v>
      </c>
      <c r="AF125" s="30" t="s">
        <v>119</v>
      </c>
      <c r="AG125" s="35" t="str">
        <f>IF(AND(Z125="EUR",N(AA125)&gt;5000000),"(Check currency – excluded)",IF(AND(ISNUMBER(AB125),ISNUMBER(AZ125),ISNUMBER(BA125)),IF(AND(BB125="Y",ISNUMBER('Assumptions &amp; FX Reference'!$I$15)),MAX(AB125*BA125/AZ125,'Assumptions &amp; FX Reference'!$I$13*BA125/'Assumptions &amp; FX Reference'!$I$15),AB125*BA125/AZ125),"(PPI/FX missing)"))</f>
        <v>(PPI/FX missing)</v>
      </c>
      <c r="AH125" s="35" t="str">
        <f>IF(AND(ISNUMBER(AG125),ISNUMBER('Assumptions &amp; FX Reference'!$I$8),ISNUMBER('Assumptions &amp; FX Reference'!$I$11)),AG125*'Assumptions &amp; FX Reference'!$I$8/'Assumptions &amp; FX Reference'!$I$11,"")</f>
        <v/>
      </c>
      <c r="AI125" s="35" t="str">
        <f>IF(AND(ISNUMBER(AG125),ISNUMBER('Assumptions &amp; FX Reference'!$I$8)),AG125*'Assumptions &amp; FX Reference'!$I$8,"")</f>
        <v/>
      </c>
      <c r="AJ125" s="30" t="s">
        <v>295</v>
      </c>
      <c r="AK125" s="30" t="s">
        <v>119</v>
      </c>
      <c r="AL125" s="30" t="s">
        <v>119</v>
      </c>
      <c r="AM125" s="30" t="s">
        <v>119</v>
      </c>
      <c r="AN125" s="30" t="s">
        <v>119</v>
      </c>
      <c r="AO125" s="30" t="s">
        <v>119</v>
      </c>
      <c r="AP125" s="30" t="s">
        <v>119</v>
      </c>
      <c r="AQ125" s="30" t="s">
        <v>119</v>
      </c>
      <c r="AR125" s="30" t="s">
        <v>119</v>
      </c>
      <c r="AS125" s="33" t="str">
        <f t="shared" si="19"/>
        <v xml:space="preserve">Material missing; Seal missing; Base-year PPI missing; </v>
      </c>
      <c r="AT125" s="36">
        <f>IFERROR(INDEX(Factors_ROT!$F$5:$F$200,MATCH("MAT|"&amp;G125,Factors_ROT!$A$5:$A$200,0)),1)</f>
        <v>1</v>
      </c>
      <c r="AU125" s="36">
        <f>IFERROR(INDEX(Factors_ROT!$F$5:$F$200,MATCH("SEAL_ARR|"&amp;P125,Factors_ROT!$A$5:$A$200,0)),1)*IFERROR(INDEX(Factors_ROT!$F$5:$F$200,MATCH("SEAL_CAT|"&amp;Q125,Factors_ROT!$A$5:$A$200,0)),1)*IFERROR(INDEX(Factors_ROT!$F$5:$F$200,MATCH("SEAL_PLAN|"&amp;R125,Factors_ROT!$A$5:$A$200,0)),1)</f>
        <v>1</v>
      </c>
      <c r="AV125" s="36">
        <f>IFERROR(INDEX(Factors_ROT!$F$5:$F$200,MATCH("DRV|"&amp;S125,Factors_ROT!$A$5:$A$200,0)),1)*IFERROR(INDEX(Factors_ROT!$F$5:$F$200,MATCH("NACE|"&amp;O125,Factors_ROT!$A$5:$A$200,0)),1)</f>
        <v>1</v>
      </c>
      <c r="AW125" s="36">
        <f>IFERROR(INDEX(Factors_ROT!$F$5:$F$200,MATCH("SC_DRV|"&amp;AL125,Factors_ROT!$A$5:$A$200,0)),1)*IFERROR(INDEX(Factors_ROT!$F$5:$F$200,MATCH("SC_BSP|"&amp;AM125,Factors_ROT!$A$5:$A$200,0)),1)*IFERROR(INDEX(Factors_ROT!$F$5:$F$200,MATCH("SC_SEAL|"&amp;AN125,Factors_ROT!$A$5:$A$200,0)),1)*IFERROR(INDEX(Factors_ROT!$F$5:$F$200,MATCH("SC_COMM|"&amp;AO125,Factors_ROT!$A$5:$A$200,0)),1)*IFERROR(INDEX(Factors_ROT!$F$5:$F$200,MATCH("SC_2Y|"&amp;AP125,Factors_ROT!$A$5:$A$200,0)),1)*IFERROR(INDEX(Factors_ROT!$F$5:$F$200,MATCH("SC_TPI|"&amp;AQ125,Factors_ROT!$A$5:$A$200,0)),1)*IFERROR(INDEX(Factors_ROT!$F$5:$F$200,MATCH("SC_FAT|"&amp;AR125,Factors_ROT!$A$5:$A$200,0)),1)</f>
        <v>1</v>
      </c>
      <c r="AX125" s="36">
        <f t="shared" si="20"/>
        <v>1</v>
      </c>
      <c r="AY125" s="35" t="str">
        <f t="shared" si="21"/>
        <v/>
      </c>
      <c r="AZ125" s="37" t="str">
        <f>IFERROR(IF(N(INDEX(Escalation_Index!$B$5:$B$25,MATCH(Y125,Escalation_Index!$A$5:$A$25,0)))&gt;0,INDEX(Escalation_Index!$B$5:$B$25,MATCH(Y125,Escalation_Index!$A$5:$A$25,0)),""),"")</f>
        <v/>
      </c>
      <c r="BA125" s="37">
        <f>IF(ISNUMBER('Assumptions &amp; FX Reference'!$I$12),'Assumptions &amp; FX Reference'!$I$12,"")</f>
        <v>123.416</v>
      </c>
      <c r="BB125" s="33" t="str">
        <f t="shared" si="22"/>
        <v>N</v>
      </c>
      <c r="BC125" s="35" t="str">
        <f t="shared" si="23"/>
        <v/>
      </c>
      <c r="BD125" s="35" t="str">
        <f>IF(AND(ISNUMBER(BC125),ISNUMBER(K125)),IF(K125&gt;0,BC125/K125^'Assumptions &amp; FX Reference'!$I$16,""),"")</f>
        <v/>
      </c>
      <c r="BE125" s="30" t="s">
        <v>765</v>
      </c>
      <c r="BF125" s="30" t="s">
        <v>766</v>
      </c>
      <c r="BG125" s="30" t="s">
        <v>361</v>
      </c>
    </row>
    <row r="126" spans="1:59" ht="24" customHeight="1">
      <c r="A126" s="30">
        <v>122</v>
      </c>
      <c r="B126" s="30" t="s">
        <v>325</v>
      </c>
      <c r="C126" s="30" t="s">
        <v>750</v>
      </c>
      <c r="D126" s="30" t="s">
        <v>295</v>
      </c>
      <c r="E126" s="30" t="s">
        <v>47</v>
      </c>
      <c r="F126" s="30" t="s">
        <v>119</v>
      </c>
      <c r="G126" s="30" t="s">
        <v>119</v>
      </c>
      <c r="H126" s="31"/>
      <c r="I126" s="31">
        <v>51.5</v>
      </c>
      <c r="J126" s="31"/>
      <c r="K126" s="32" t="str">
        <f>IF(ISNUMBER(J126),J126,IF(AND(ISNUMBER(H126),ISNUMBER(I126)),H126*I126/(367*'Assumptions &amp; FX Reference'!$I$17),""))</f>
        <v/>
      </c>
      <c r="L126" s="33" t="str">
        <f t="shared" si="18"/>
        <v>Not stated</v>
      </c>
      <c r="M126" s="30" t="s">
        <v>119</v>
      </c>
      <c r="N126" s="30" t="s">
        <v>296</v>
      </c>
      <c r="O126" s="30" t="s">
        <v>119</v>
      </c>
      <c r="P126" s="30" t="s">
        <v>119</v>
      </c>
      <c r="Q126" s="30" t="s">
        <v>119</v>
      </c>
      <c r="R126" s="30" t="s">
        <v>119</v>
      </c>
      <c r="S126" s="30" t="s">
        <v>297</v>
      </c>
      <c r="T126" s="30" t="s">
        <v>326</v>
      </c>
      <c r="U126" s="30">
        <v>1</v>
      </c>
      <c r="V126" s="30" t="s">
        <v>299</v>
      </c>
      <c r="W126" s="31"/>
      <c r="X126" s="30" t="s">
        <v>119</v>
      </c>
      <c r="Y126" s="30" t="s">
        <v>300</v>
      </c>
      <c r="Z126" s="30" t="s">
        <v>301</v>
      </c>
      <c r="AA126" s="34">
        <v>10000</v>
      </c>
      <c r="AB126" s="35" t="str">
        <f>IF(NOT(ISNUMBER(AA126)),"(Not stated)",IF(NOT(ISNUMBER(Y126)),"(Cost year not stated)",IFERROR(IF(Z126="EUR",AA126,IF(Z126="IRR",AA126/INDEX('Assumptions &amp; FX Reference'!$C$5:$C$25,MATCH(Y126,'Assumptions &amp; FX Reference'!$A$5:$A$25,0)),IF(Z126="USD",AA126*INDEX('Assumptions &amp; FX Reference'!$B$5:$B$25,MATCH(Y126,'Assumptions &amp; FX Reference'!$A$5:$A$25,0))/INDEX('Assumptions &amp; FX Reference'!$C$5:$C$25,MATCH(Y126,'Assumptions &amp; FX Reference'!$A$5:$A$25,0)),"(Currency?)"))),"(FX rate missing)")))</f>
        <v>(Cost year not stated)</v>
      </c>
      <c r="AC126" s="35" t="str">
        <f>IF(NOT(ISNUMBER(AA126)),"(Not stated)",IF(NOT(ISNUMBER(Y126)),"(Cost year not stated)",IFERROR(IF(Z126="USD",AA126,IF(Z126="IRR",AA126/INDEX('Assumptions &amp; FX Reference'!$B$5:$B$25,MATCH(Y126,'Assumptions &amp; FX Reference'!$A$5:$A$25,0)),IF(Z126="EUR",AA126*INDEX('Assumptions &amp; FX Reference'!$C$5:$C$25,MATCH(Y126,'Assumptions &amp; FX Reference'!$A$5:$A$25,0))/INDEX('Assumptions &amp; FX Reference'!$B$5:$B$25,MATCH(Y126,'Assumptions &amp; FX Reference'!$A$5:$A$25,0)),"(Currency?)"))),"(FX rate missing)")))</f>
        <v>(Cost year not stated)</v>
      </c>
      <c r="AD126" s="35" t="str">
        <f>IF(NOT(ISNUMBER(AA126)),"(Not stated)",IF(NOT(ISNUMBER(Y126)),"(Cost year not stated)",IFERROR(IF(Z126="IRR",AA126,IF(Z126="USD",AA126*INDEX('Assumptions &amp; FX Reference'!$B$5:$B$25,MATCH(Y126,'Assumptions &amp; FX Reference'!$A$5:$A$25,0)),IF(Z126="EUR",AA126*INDEX('Assumptions &amp; FX Reference'!$C$5:$C$25,MATCH(Y126,'Assumptions &amp; FX Reference'!$A$5:$A$25,0)),"(Currency?)"))),"(FX rate missing)")))</f>
        <v>(Cost year not stated)</v>
      </c>
      <c r="AE126" s="30" t="s">
        <v>752</v>
      </c>
      <c r="AF126" s="30" t="s">
        <v>119</v>
      </c>
      <c r="AG126" s="35" t="str">
        <f>IF(AND(Z126="EUR",N(AA126)&gt;5000000),"(Check currency – excluded)",IF(AND(ISNUMBER(AB126),ISNUMBER(AZ126),ISNUMBER(BA126)),IF(AND(BB126="Y",ISNUMBER('Assumptions &amp; FX Reference'!$I$15)),MAX(AB126*BA126/AZ126,'Assumptions &amp; FX Reference'!$I$13*BA126/'Assumptions &amp; FX Reference'!$I$15),AB126*BA126/AZ126),"(PPI/FX missing)"))</f>
        <v>(PPI/FX missing)</v>
      </c>
      <c r="AH126" s="35" t="str">
        <f>IF(AND(ISNUMBER(AG126),ISNUMBER('Assumptions &amp; FX Reference'!$I$8),ISNUMBER('Assumptions &amp; FX Reference'!$I$11)),AG126*'Assumptions &amp; FX Reference'!$I$8/'Assumptions &amp; FX Reference'!$I$11,"")</f>
        <v/>
      </c>
      <c r="AI126" s="35" t="str">
        <f>IF(AND(ISNUMBER(AG126),ISNUMBER('Assumptions &amp; FX Reference'!$I$8)),AG126*'Assumptions &amp; FX Reference'!$I$8,"")</f>
        <v/>
      </c>
      <c r="AJ126" s="30" t="s">
        <v>295</v>
      </c>
      <c r="AK126" s="30" t="s">
        <v>119</v>
      </c>
      <c r="AL126" s="30" t="s">
        <v>119</v>
      </c>
      <c r="AM126" s="30" t="s">
        <v>119</v>
      </c>
      <c r="AN126" s="30" t="s">
        <v>119</v>
      </c>
      <c r="AO126" s="30" t="s">
        <v>119</v>
      </c>
      <c r="AP126" s="30" t="s">
        <v>119</v>
      </c>
      <c r="AQ126" s="30" t="s">
        <v>119</v>
      </c>
      <c r="AR126" s="30" t="s">
        <v>119</v>
      </c>
      <c r="AS126" s="33" t="str">
        <f t="shared" si="19"/>
        <v xml:space="preserve">Material missing; Seal missing; Size driver missing; Base-year PPI missing; </v>
      </c>
      <c r="AT126" s="36">
        <f>IFERROR(INDEX(Factors_ROT!$F$5:$F$200,MATCH("MAT|"&amp;G126,Factors_ROT!$A$5:$A$200,0)),1)</f>
        <v>1</v>
      </c>
      <c r="AU126" s="36">
        <f>IFERROR(INDEX(Factors_ROT!$F$5:$F$200,MATCH("SEAL_ARR|"&amp;P126,Factors_ROT!$A$5:$A$200,0)),1)*IFERROR(INDEX(Factors_ROT!$F$5:$F$200,MATCH("SEAL_CAT|"&amp;Q126,Factors_ROT!$A$5:$A$200,0)),1)*IFERROR(INDEX(Factors_ROT!$F$5:$F$200,MATCH("SEAL_PLAN|"&amp;R126,Factors_ROT!$A$5:$A$200,0)),1)</f>
        <v>1</v>
      </c>
      <c r="AV126" s="36">
        <f>IFERROR(INDEX(Factors_ROT!$F$5:$F$200,MATCH("DRV|"&amp;S126,Factors_ROT!$A$5:$A$200,0)),1)*IFERROR(INDEX(Factors_ROT!$F$5:$F$200,MATCH("NACE|"&amp;O126,Factors_ROT!$A$5:$A$200,0)),1)</f>
        <v>1</v>
      </c>
      <c r="AW126" s="36">
        <f>IFERROR(INDEX(Factors_ROT!$F$5:$F$200,MATCH("SC_DRV|"&amp;AL126,Factors_ROT!$A$5:$A$200,0)),1)*IFERROR(INDEX(Factors_ROT!$F$5:$F$200,MATCH("SC_BSP|"&amp;AM126,Factors_ROT!$A$5:$A$200,0)),1)*IFERROR(INDEX(Factors_ROT!$F$5:$F$200,MATCH("SC_SEAL|"&amp;AN126,Factors_ROT!$A$5:$A$200,0)),1)*IFERROR(INDEX(Factors_ROT!$F$5:$F$200,MATCH("SC_COMM|"&amp;AO126,Factors_ROT!$A$5:$A$200,0)),1)*IFERROR(INDEX(Factors_ROT!$F$5:$F$200,MATCH("SC_2Y|"&amp;AP126,Factors_ROT!$A$5:$A$200,0)),1)*IFERROR(INDEX(Factors_ROT!$F$5:$F$200,MATCH("SC_TPI|"&amp;AQ126,Factors_ROT!$A$5:$A$200,0)),1)*IFERROR(INDEX(Factors_ROT!$F$5:$F$200,MATCH("SC_FAT|"&amp;AR126,Factors_ROT!$A$5:$A$200,0)),1)</f>
        <v>1</v>
      </c>
      <c r="AX126" s="36">
        <f t="shared" si="20"/>
        <v>1</v>
      </c>
      <c r="AY126" s="35" t="str">
        <f t="shared" si="21"/>
        <v/>
      </c>
      <c r="AZ126" s="37" t="str">
        <f>IFERROR(IF(N(INDEX(Escalation_Index!$B$5:$B$25,MATCH(Y126,Escalation_Index!$A$5:$A$25,0)))&gt;0,INDEX(Escalation_Index!$B$5:$B$25,MATCH(Y126,Escalation_Index!$A$5:$A$25,0)),""),"")</f>
        <v/>
      </c>
      <c r="BA126" s="37">
        <f>IF(ISNUMBER('Assumptions &amp; FX Reference'!$I$12),'Assumptions &amp; FX Reference'!$I$12,"")</f>
        <v>123.416</v>
      </c>
      <c r="BB126" s="33" t="str">
        <f t="shared" si="22"/>
        <v>N</v>
      </c>
      <c r="BC126" s="35" t="str">
        <f t="shared" si="23"/>
        <v/>
      </c>
      <c r="BD126" s="35" t="str">
        <f>IF(AND(ISNUMBER(BC126),ISNUMBER(K126)),IF(K126&gt;0,BC126/K126^'Assumptions &amp; FX Reference'!$I$16,""),"")</f>
        <v/>
      </c>
      <c r="BE126" s="30" t="s">
        <v>767</v>
      </c>
      <c r="BF126" s="30" t="s">
        <v>768</v>
      </c>
      <c r="BG126" s="30" t="s">
        <v>361</v>
      </c>
    </row>
    <row r="127" spans="1:59" ht="24" customHeight="1">
      <c r="A127" s="30">
        <v>123</v>
      </c>
      <c r="B127" s="30" t="s">
        <v>329</v>
      </c>
      <c r="C127" s="30" t="s">
        <v>750</v>
      </c>
      <c r="D127" s="30" t="s">
        <v>295</v>
      </c>
      <c r="E127" s="30" t="s">
        <v>44</v>
      </c>
      <c r="F127" s="30" t="s">
        <v>119</v>
      </c>
      <c r="G127" s="30" t="s">
        <v>119</v>
      </c>
      <c r="H127" s="31"/>
      <c r="I127" s="31">
        <v>41</v>
      </c>
      <c r="J127" s="31">
        <v>3.9</v>
      </c>
      <c r="K127" s="32">
        <f>IF(ISNUMBER(J127),J127,IF(AND(ISNUMBER(H127),ISNUMBER(I127)),H127*I127/(367*'Assumptions &amp; FX Reference'!$I$17),""))</f>
        <v>3.9</v>
      </c>
      <c r="L127" s="33" t="str">
        <f t="shared" si="18"/>
        <v>Not stated</v>
      </c>
      <c r="M127" s="30" t="s">
        <v>119</v>
      </c>
      <c r="N127" s="30" t="s">
        <v>296</v>
      </c>
      <c r="O127" s="30" t="s">
        <v>119</v>
      </c>
      <c r="P127" s="30" t="s">
        <v>119</v>
      </c>
      <c r="Q127" s="30" t="s">
        <v>119</v>
      </c>
      <c r="R127" s="30" t="s">
        <v>119</v>
      </c>
      <c r="S127" s="30" t="s">
        <v>297</v>
      </c>
      <c r="T127" s="30" t="s">
        <v>330</v>
      </c>
      <c r="U127" s="30">
        <v>1</v>
      </c>
      <c r="V127" s="30" t="s">
        <v>299</v>
      </c>
      <c r="W127" s="31"/>
      <c r="X127" s="30" t="s">
        <v>751</v>
      </c>
      <c r="Y127" s="30" t="s">
        <v>300</v>
      </c>
      <c r="Z127" s="30" t="s">
        <v>301</v>
      </c>
      <c r="AA127" s="34">
        <v>8000</v>
      </c>
      <c r="AB127" s="35" t="str">
        <f>IF(NOT(ISNUMBER(AA127)),"(Not stated)",IF(NOT(ISNUMBER(Y127)),"(Cost year not stated)",IFERROR(IF(Z127="EUR",AA127,IF(Z127="IRR",AA127/INDEX('Assumptions &amp; FX Reference'!$C$5:$C$25,MATCH(Y127,'Assumptions &amp; FX Reference'!$A$5:$A$25,0)),IF(Z127="USD",AA127*INDEX('Assumptions &amp; FX Reference'!$B$5:$B$25,MATCH(Y127,'Assumptions &amp; FX Reference'!$A$5:$A$25,0))/INDEX('Assumptions &amp; FX Reference'!$C$5:$C$25,MATCH(Y127,'Assumptions &amp; FX Reference'!$A$5:$A$25,0)),"(Currency?)"))),"(FX rate missing)")))</f>
        <v>(Cost year not stated)</v>
      </c>
      <c r="AC127" s="35" t="str">
        <f>IF(NOT(ISNUMBER(AA127)),"(Not stated)",IF(NOT(ISNUMBER(Y127)),"(Cost year not stated)",IFERROR(IF(Z127="USD",AA127,IF(Z127="IRR",AA127/INDEX('Assumptions &amp; FX Reference'!$B$5:$B$25,MATCH(Y127,'Assumptions &amp; FX Reference'!$A$5:$A$25,0)),IF(Z127="EUR",AA127*INDEX('Assumptions &amp; FX Reference'!$C$5:$C$25,MATCH(Y127,'Assumptions &amp; FX Reference'!$A$5:$A$25,0))/INDEX('Assumptions &amp; FX Reference'!$B$5:$B$25,MATCH(Y127,'Assumptions &amp; FX Reference'!$A$5:$A$25,0)),"(Currency?)"))),"(FX rate missing)")))</f>
        <v>(Cost year not stated)</v>
      </c>
      <c r="AD127" s="35" t="str">
        <f>IF(NOT(ISNUMBER(AA127)),"(Not stated)",IF(NOT(ISNUMBER(Y127)),"(Cost year not stated)",IFERROR(IF(Z127="IRR",AA127,IF(Z127="USD",AA127*INDEX('Assumptions &amp; FX Reference'!$B$5:$B$25,MATCH(Y127,'Assumptions &amp; FX Reference'!$A$5:$A$25,0)),IF(Z127="EUR",AA127*INDEX('Assumptions &amp; FX Reference'!$C$5:$C$25,MATCH(Y127,'Assumptions &amp; FX Reference'!$A$5:$A$25,0)),"(Currency?)"))),"(FX rate missing)")))</f>
        <v>(Cost year not stated)</v>
      </c>
      <c r="AE127" s="30" t="s">
        <v>752</v>
      </c>
      <c r="AF127" s="30" t="s">
        <v>119</v>
      </c>
      <c r="AG127" s="35" t="str">
        <f>IF(AND(Z127="EUR",N(AA127)&gt;5000000),"(Check currency – excluded)",IF(AND(ISNUMBER(AB127),ISNUMBER(AZ127),ISNUMBER(BA127)),IF(AND(BB127="Y",ISNUMBER('Assumptions &amp; FX Reference'!$I$15)),MAX(AB127*BA127/AZ127,'Assumptions &amp; FX Reference'!$I$13*BA127/'Assumptions &amp; FX Reference'!$I$15),AB127*BA127/AZ127),"(PPI/FX missing)"))</f>
        <v>(PPI/FX missing)</v>
      </c>
      <c r="AH127" s="35" t="str">
        <f>IF(AND(ISNUMBER(AG127),ISNUMBER('Assumptions &amp; FX Reference'!$I$8),ISNUMBER('Assumptions &amp; FX Reference'!$I$11)),AG127*'Assumptions &amp; FX Reference'!$I$8/'Assumptions &amp; FX Reference'!$I$11,"")</f>
        <v/>
      </c>
      <c r="AI127" s="35" t="str">
        <f>IF(AND(ISNUMBER(AG127),ISNUMBER('Assumptions &amp; FX Reference'!$I$8)),AG127*'Assumptions &amp; FX Reference'!$I$8,"")</f>
        <v/>
      </c>
      <c r="AJ127" s="30" t="s">
        <v>295</v>
      </c>
      <c r="AK127" s="30" t="s">
        <v>119</v>
      </c>
      <c r="AL127" s="30" t="s">
        <v>119</v>
      </c>
      <c r="AM127" s="30" t="s">
        <v>119</v>
      </c>
      <c r="AN127" s="30" t="s">
        <v>119</v>
      </c>
      <c r="AO127" s="30" t="s">
        <v>119</v>
      </c>
      <c r="AP127" s="30" t="s">
        <v>119</v>
      </c>
      <c r="AQ127" s="30" t="s">
        <v>119</v>
      </c>
      <c r="AR127" s="30" t="s">
        <v>119</v>
      </c>
      <c r="AS127" s="33" t="str">
        <f t="shared" si="19"/>
        <v xml:space="preserve">Material missing; Seal missing; Base-year PPI missing; </v>
      </c>
      <c r="AT127" s="36">
        <f>IFERROR(INDEX(Factors_ROT!$F$5:$F$200,MATCH("MAT|"&amp;G127,Factors_ROT!$A$5:$A$200,0)),1)</f>
        <v>1</v>
      </c>
      <c r="AU127" s="36">
        <f>IFERROR(INDEX(Factors_ROT!$F$5:$F$200,MATCH("SEAL_ARR|"&amp;P127,Factors_ROT!$A$5:$A$200,0)),1)*IFERROR(INDEX(Factors_ROT!$F$5:$F$200,MATCH("SEAL_CAT|"&amp;Q127,Factors_ROT!$A$5:$A$200,0)),1)*IFERROR(INDEX(Factors_ROT!$F$5:$F$200,MATCH("SEAL_PLAN|"&amp;R127,Factors_ROT!$A$5:$A$200,0)),1)</f>
        <v>1</v>
      </c>
      <c r="AV127" s="36">
        <f>IFERROR(INDEX(Factors_ROT!$F$5:$F$200,MATCH("DRV|"&amp;S127,Factors_ROT!$A$5:$A$200,0)),1)*IFERROR(INDEX(Factors_ROT!$F$5:$F$200,MATCH("NACE|"&amp;O127,Factors_ROT!$A$5:$A$200,0)),1)</f>
        <v>1</v>
      </c>
      <c r="AW127" s="36">
        <f>IFERROR(INDEX(Factors_ROT!$F$5:$F$200,MATCH("SC_DRV|"&amp;AL127,Factors_ROT!$A$5:$A$200,0)),1)*IFERROR(INDEX(Factors_ROT!$F$5:$F$200,MATCH("SC_BSP|"&amp;AM127,Factors_ROT!$A$5:$A$200,0)),1)*IFERROR(INDEX(Factors_ROT!$F$5:$F$200,MATCH("SC_SEAL|"&amp;AN127,Factors_ROT!$A$5:$A$200,0)),1)*IFERROR(INDEX(Factors_ROT!$F$5:$F$200,MATCH("SC_COMM|"&amp;AO127,Factors_ROT!$A$5:$A$200,0)),1)*IFERROR(INDEX(Factors_ROT!$F$5:$F$200,MATCH("SC_2Y|"&amp;AP127,Factors_ROT!$A$5:$A$200,0)),1)*IFERROR(INDEX(Factors_ROT!$F$5:$F$200,MATCH("SC_TPI|"&amp;AQ127,Factors_ROT!$A$5:$A$200,0)),1)*IFERROR(INDEX(Factors_ROT!$F$5:$F$200,MATCH("SC_FAT|"&amp;AR127,Factors_ROT!$A$5:$A$200,0)),1)</f>
        <v>1</v>
      </c>
      <c r="AX127" s="36">
        <f t="shared" si="20"/>
        <v>1</v>
      </c>
      <c r="AY127" s="35" t="str">
        <f t="shared" si="21"/>
        <v/>
      </c>
      <c r="AZ127" s="37" t="str">
        <f>IFERROR(IF(N(INDEX(Escalation_Index!$B$5:$B$25,MATCH(Y127,Escalation_Index!$A$5:$A$25,0)))&gt;0,INDEX(Escalation_Index!$B$5:$B$25,MATCH(Y127,Escalation_Index!$A$5:$A$25,0)),""),"")</f>
        <v/>
      </c>
      <c r="BA127" s="37">
        <f>IF(ISNUMBER('Assumptions &amp; FX Reference'!$I$12),'Assumptions &amp; FX Reference'!$I$12,"")</f>
        <v>123.416</v>
      </c>
      <c r="BB127" s="33" t="str">
        <f t="shared" si="22"/>
        <v>N</v>
      </c>
      <c r="BC127" s="35" t="str">
        <f t="shared" si="23"/>
        <v/>
      </c>
      <c r="BD127" s="35" t="str">
        <f>IF(AND(ISNUMBER(BC127),ISNUMBER(K127)),IF(K127&gt;0,BC127/K127^'Assumptions &amp; FX Reference'!$I$16,""),"")</f>
        <v/>
      </c>
      <c r="BE127" s="30" t="s">
        <v>769</v>
      </c>
      <c r="BF127" s="30" t="s">
        <v>770</v>
      </c>
      <c r="BG127" s="30" t="s">
        <v>361</v>
      </c>
    </row>
    <row r="128" spans="1:59" ht="24" customHeight="1">
      <c r="A128" s="30">
        <v>124</v>
      </c>
      <c r="B128" s="30" t="s">
        <v>333</v>
      </c>
      <c r="C128" s="30" t="s">
        <v>750</v>
      </c>
      <c r="D128" s="30" t="s">
        <v>295</v>
      </c>
      <c r="E128" s="30" t="s">
        <v>50</v>
      </c>
      <c r="F128" s="30" t="s">
        <v>119</v>
      </c>
      <c r="G128" s="30" t="s">
        <v>119</v>
      </c>
      <c r="H128" s="31"/>
      <c r="I128" s="31">
        <v>120</v>
      </c>
      <c r="J128" s="31">
        <v>13.7</v>
      </c>
      <c r="K128" s="32">
        <f>IF(ISNUMBER(J128),J128,IF(AND(ISNUMBER(H128),ISNUMBER(I128)),H128*I128/(367*'Assumptions &amp; FX Reference'!$I$17),""))</f>
        <v>13.7</v>
      </c>
      <c r="L128" s="33" t="str">
        <f t="shared" si="18"/>
        <v>Not stated</v>
      </c>
      <c r="M128" s="30" t="s">
        <v>119</v>
      </c>
      <c r="N128" s="30" t="s">
        <v>296</v>
      </c>
      <c r="O128" s="30" t="s">
        <v>119</v>
      </c>
      <c r="P128" s="30" t="s">
        <v>119</v>
      </c>
      <c r="Q128" s="30" t="s">
        <v>119</v>
      </c>
      <c r="R128" s="30" t="s">
        <v>119</v>
      </c>
      <c r="S128" s="30" t="s">
        <v>297</v>
      </c>
      <c r="T128" s="30" t="s">
        <v>334</v>
      </c>
      <c r="U128" s="30">
        <v>1</v>
      </c>
      <c r="V128" s="38" t="s">
        <v>299</v>
      </c>
      <c r="W128" s="31"/>
      <c r="X128" s="30" t="s">
        <v>119</v>
      </c>
      <c r="Y128" s="30" t="s">
        <v>300</v>
      </c>
      <c r="Z128" s="30" t="s">
        <v>301</v>
      </c>
      <c r="AA128" s="34">
        <v>40000</v>
      </c>
      <c r="AB128" s="35" t="str">
        <f>IF(NOT(ISNUMBER(AA128)),"(Not stated)",IF(NOT(ISNUMBER(Y128)),"(Cost year not stated)",IFERROR(IF(Z128="EUR",AA128,IF(Z128="IRR",AA128/INDEX('Assumptions &amp; FX Reference'!$C$5:$C$25,MATCH(Y128,'Assumptions &amp; FX Reference'!$A$5:$A$25,0)),IF(Z128="USD",AA128*INDEX('Assumptions &amp; FX Reference'!$B$5:$B$25,MATCH(Y128,'Assumptions &amp; FX Reference'!$A$5:$A$25,0))/INDEX('Assumptions &amp; FX Reference'!$C$5:$C$25,MATCH(Y128,'Assumptions &amp; FX Reference'!$A$5:$A$25,0)),"(Currency?)"))),"(FX rate missing)")))</f>
        <v>(Cost year not stated)</v>
      </c>
      <c r="AC128" s="35" t="str">
        <f>IF(NOT(ISNUMBER(AA128)),"(Not stated)",IF(NOT(ISNUMBER(Y128)),"(Cost year not stated)",IFERROR(IF(Z128="USD",AA128,IF(Z128="IRR",AA128/INDEX('Assumptions &amp; FX Reference'!$B$5:$B$25,MATCH(Y128,'Assumptions &amp; FX Reference'!$A$5:$A$25,0)),IF(Z128="EUR",AA128*INDEX('Assumptions &amp; FX Reference'!$C$5:$C$25,MATCH(Y128,'Assumptions &amp; FX Reference'!$A$5:$A$25,0))/INDEX('Assumptions &amp; FX Reference'!$B$5:$B$25,MATCH(Y128,'Assumptions &amp; FX Reference'!$A$5:$A$25,0)),"(Currency?)"))),"(FX rate missing)")))</f>
        <v>(Cost year not stated)</v>
      </c>
      <c r="AD128" s="35" t="str">
        <f>IF(NOT(ISNUMBER(AA128)),"(Not stated)",IF(NOT(ISNUMBER(Y128)),"(Cost year not stated)",IFERROR(IF(Z128="IRR",AA128,IF(Z128="USD",AA128*INDEX('Assumptions &amp; FX Reference'!$B$5:$B$25,MATCH(Y128,'Assumptions &amp; FX Reference'!$A$5:$A$25,0)),IF(Z128="EUR",AA128*INDEX('Assumptions &amp; FX Reference'!$C$5:$C$25,MATCH(Y128,'Assumptions &amp; FX Reference'!$A$5:$A$25,0)),"(Currency?)"))),"(FX rate missing)")))</f>
        <v>(Cost year not stated)</v>
      </c>
      <c r="AE128" s="30" t="s">
        <v>752</v>
      </c>
      <c r="AF128" s="30" t="s">
        <v>119</v>
      </c>
      <c r="AG128" s="35" t="str">
        <f>IF(AND(Z128="EUR",N(AA128)&gt;5000000),"(Check currency – excluded)",IF(AND(ISNUMBER(AB128),ISNUMBER(AZ128),ISNUMBER(BA128)),IF(AND(BB128="Y",ISNUMBER('Assumptions &amp; FX Reference'!$I$15)),MAX(AB128*BA128/AZ128,'Assumptions &amp; FX Reference'!$I$13*BA128/'Assumptions &amp; FX Reference'!$I$15),AB128*BA128/AZ128),"(PPI/FX missing)"))</f>
        <v>(PPI/FX missing)</v>
      </c>
      <c r="AH128" s="35" t="str">
        <f>IF(AND(ISNUMBER(AG128),ISNUMBER('Assumptions &amp; FX Reference'!$I$8),ISNUMBER('Assumptions &amp; FX Reference'!$I$11)),AG128*'Assumptions &amp; FX Reference'!$I$8/'Assumptions &amp; FX Reference'!$I$11,"")</f>
        <v/>
      </c>
      <c r="AI128" s="35" t="str">
        <f>IF(AND(ISNUMBER(AG128),ISNUMBER('Assumptions &amp; FX Reference'!$I$8)),AG128*'Assumptions &amp; FX Reference'!$I$8,"")</f>
        <v/>
      </c>
      <c r="AJ128" s="30" t="s">
        <v>295</v>
      </c>
      <c r="AK128" s="30" t="s">
        <v>119</v>
      </c>
      <c r="AL128" s="30" t="s">
        <v>119</v>
      </c>
      <c r="AM128" s="30" t="s">
        <v>119</v>
      </c>
      <c r="AN128" s="30" t="s">
        <v>119</v>
      </c>
      <c r="AO128" s="30" t="s">
        <v>119</v>
      </c>
      <c r="AP128" s="30" t="s">
        <v>119</v>
      </c>
      <c r="AQ128" s="30" t="s">
        <v>119</v>
      </c>
      <c r="AR128" s="30" t="s">
        <v>119</v>
      </c>
      <c r="AS128" s="33" t="str">
        <f t="shared" si="19"/>
        <v xml:space="preserve">Material missing; Seal missing; Base-year PPI missing; </v>
      </c>
      <c r="AT128" s="36">
        <f>IFERROR(INDEX(Factors_ROT!$F$5:$F$200,MATCH("MAT|"&amp;G128,Factors_ROT!$A$5:$A$200,0)),1)</f>
        <v>1</v>
      </c>
      <c r="AU128" s="36">
        <f>IFERROR(INDEX(Factors_ROT!$F$5:$F$200,MATCH("SEAL_ARR|"&amp;P128,Factors_ROT!$A$5:$A$200,0)),1)*IFERROR(INDEX(Factors_ROT!$F$5:$F$200,MATCH("SEAL_CAT|"&amp;Q128,Factors_ROT!$A$5:$A$200,0)),1)*IFERROR(INDEX(Factors_ROT!$F$5:$F$200,MATCH("SEAL_PLAN|"&amp;R128,Factors_ROT!$A$5:$A$200,0)),1)</f>
        <v>1</v>
      </c>
      <c r="AV128" s="36">
        <f>IFERROR(INDEX(Factors_ROT!$F$5:$F$200,MATCH("DRV|"&amp;S128,Factors_ROT!$A$5:$A$200,0)),1)*IFERROR(INDEX(Factors_ROT!$F$5:$F$200,MATCH("NACE|"&amp;O128,Factors_ROT!$A$5:$A$200,0)),1)</f>
        <v>1</v>
      </c>
      <c r="AW128" s="36">
        <f>IFERROR(INDEX(Factors_ROT!$F$5:$F$200,MATCH("SC_DRV|"&amp;AL128,Factors_ROT!$A$5:$A$200,0)),1)*IFERROR(INDEX(Factors_ROT!$F$5:$F$200,MATCH("SC_BSP|"&amp;AM128,Factors_ROT!$A$5:$A$200,0)),1)*IFERROR(INDEX(Factors_ROT!$F$5:$F$200,MATCH("SC_SEAL|"&amp;AN128,Factors_ROT!$A$5:$A$200,0)),1)*IFERROR(INDEX(Factors_ROT!$F$5:$F$200,MATCH("SC_COMM|"&amp;AO128,Factors_ROT!$A$5:$A$200,0)),1)*IFERROR(INDEX(Factors_ROT!$F$5:$F$200,MATCH("SC_2Y|"&amp;AP128,Factors_ROT!$A$5:$A$200,0)),1)*IFERROR(INDEX(Factors_ROT!$F$5:$F$200,MATCH("SC_TPI|"&amp;AQ128,Factors_ROT!$A$5:$A$200,0)),1)*IFERROR(INDEX(Factors_ROT!$F$5:$F$200,MATCH("SC_FAT|"&amp;AR128,Factors_ROT!$A$5:$A$200,0)),1)</f>
        <v>1</v>
      </c>
      <c r="AX128" s="36">
        <f t="shared" si="20"/>
        <v>1</v>
      </c>
      <c r="AY128" s="35" t="str">
        <f t="shared" si="21"/>
        <v/>
      </c>
      <c r="AZ128" s="37" t="str">
        <f>IFERROR(IF(N(INDEX(Escalation_Index!$B$5:$B$25,MATCH(Y128,Escalation_Index!$A$5:$A$25,0)))&gt;0,INDEX(Escalation_Index!$B$5:$B$25,MATCH(Y128,Escalation_Index!$A$5:$A$25,0)),""),"")</f>
        <v/>
      </c>
      <c r="BA128" s="37">
        <f>IF(ISNUMBER('Assumptions &amp; FX Reference'!$I$12),'Assumptions &amp; FX Reference'!$I$12,"")</f>
        <v>123.416</v>
      </c>
      <c r="BB128" s="33" t="str">
        <f t="shared" si="22"/>
        <v>N</v>
      </c>
      <c r="BC128" s="35" t="str">
        <f t="shared" si="23"/>
        <v/>
      </c>
      <c r="BD128" s="35" t="str">
        <f>IF(AND(ISNUMBER(BC128),ISNUMBER(K128)),IF(K128&gt;0,BC128/K128^'Assumptions &amp; FX Reference'!$I$16,""),"")</f>
        <v/>
      </c>
      <c r="BE128" s="30" t="s">
        <v>771</v>
      </c>
      <c r="BF128" s="30" t="s">
        <v>772</v>
      </c>
      <c r="BG128" s="30" t="s">
        <v>361</v>
      </c>
    </row>
    <row r="129" spans="1:59" ht="24" customHeight="1">
      <c r="A129" s="30">
        <v>125</v>
      </c>
      <c r="B129" s="30" t="s">
        <v>337</v>
      </c>
      <c r="C129" s="30" t="s">
        <v>750</v>
      </c>
      <c r="D129" s="30" t="s">
        <v>295</v>
      </c>
      <c r="E129" s="30" t="s">
        <v>53</v>
      </c>
      <c r="F129" s="30" t="s">
        <v>188</v>
      </c>
      <c r="G129" s="30" t="s">
        <v>119</v>
      </c>
      <c r="H129" s="31"/>
      <c r="I129" s="31">
        <v>27.2</v>
      </c>
      <c r="J129" s="31"/>
      <c r="K129" s="32" t="str">
        <f>IF(ISNUMBER(J129),J129,IF(AND(ISNUMBER(H129),ISNUMBER(I129)),H129*I129/(367*'Assumptions &amp; FX Reference'!$I$17),""))</f>
        <v/>
      </c>
      <c r="L129" s="33" t="str">
        <f t="shared" si="18"/>
        <v>Not stated</v>
      </c>
      <c r="M129" s="30" t="s">
        <v>119</v>
      </c>
      <c r="N129" s="30" t="s">
        <v>296</v>
      </c>
      <c r="O129" s="30" t="s">
        <v>119</v>
      </c>
      <c r="P129" s="30" t="s">
        <v>119</v>
      </c>
      <c r="Q129" s="30" t="s">
        <v>119</v>
      </c>
      <c r="R129" s="30" t="s">
        <v>119</v>
      </c>
      <c r="S129" s="30" t="s">
        <v>119</v>
      </c>
      <c r="T129" s="30" t="s">
        <v>338</v>
      </c>
      <c r="U129" s="30">
        <v>1</v>
      </c>
      <c r="V129" s="30" t="s">
        <v>339</v>
      </c>
      <c r="W129" s="31"/>
      <c r="X129" s="30" t="s">
        <v>119</v>
      </c>
      <c r="Y129" s="30" t="s">
        <v>300</v>
      </c>
      <c r="Z129" s="30" t="s">
        <v>301</v>
      </c>
      <c r="AA129" s="34">
        <v>5000</v>
      </c>
      <c r="AB129" s="35" t="str">
        <f>IF(NOT(ISNUMBER(AA129)),"(Not stated)",IF(NOT(ISNUMBER(Y129)),"(Cost year not stated)",IFERROR(IF(Z129="EUR",AA129,IF(Z129="IRR",AA129/INDEX('Assumptions &amp; FX Reference'!$C$5:$C$25,MATCH(Y129,'Assumptions &amp; FX Reference'!$A$5:$A$25,0)),IF(Z129="USD",AA129*INDEX('Assumptions &amp; FX Reference'!$B$5:$B$25,MATCH(Y129,'Assumptions &amp; FX Reference'!$A$5:$A$25,0))/INDEX('Assumptions &amp; FX Reference'!$C$5:$C$25,MATCH(Y129,'Assumptions &amp; FX Reference'!$A$5:$A$25,0)),"(Currency?)"))),"(FX rate missing)")))</f>
        <v>(Cost year not stated)</v>
      </c>
      <c r="AC129" s="35" t="str">
        <f>IF(NOT(ISNUMBER(AA129)),"(Not stated)",IF(NOT(ISNUMBER(Y129)),"(Cost year not stated)",IFERROR(IF(Z129="USD",AA129,IF(Z129="IRR",AA129/INDEX('Assumptions &amp; FX Reference'!$B$5:$B$25,MATCH(Y129,'Assumptions &amp; FX Reference'!$A$5:$A$25,0)),IF(Z129="EUR",AA129*INDEX('Assumptions &amp; FX Reference'!$C$5:$C$25,MATCH(Y129,'Assumptions &amp; FX Reference'!$A$5:$A$25,0))/INDEX('Assumptions &amp; FX Reference'!$B$5:$B$25,MATCH(Y129,'Assumptions &amp; FX Reference'!$A$5:$A$25,0)),"(Currency?)"))),"(FX rate missing)")))</f>
        <v>(Cost year not stated)</v>
      </c>
      <c r="AD129" s="35" t="str">
        <f>IF(NOT(ISNUMBER(AA129)),"(Not stated)",IF(NOT(ISNUMBER(Y129)),"(Cost year not stated)",IFERROR(IF(Z129="IRR",AA129,IF(Z129="USD",AA129*INDEX('Assumptions &amp; FX Reference'!$B$5:$B$25,MATCH(Y129,'Assumptions &amp; FX Reference'!$A$5:$A$25,0)),IF(Z129="EUR",AA129*INDEX('Assumptions &amp; FX Reference'!$C$5:$C$25,MATCH(Y129,'Assumptions &amp; FX Reference'!$A$5:$A$25,0)),"(Currency?)"))),"(FX rate missing)")))</f>
        <v>(Cost year not stated)</v>
      </c>
      <c r="AE129" s="30" t="s">
        <v>752</v>
      </c>
      <c r="AF129" s="30" t="s">
        <v>119</v>
      </c>
      <c r="AG129" s="35" t="str">
        <f>IF(AND(Z129="EUR",N(AA129)&gt;5000000),"(Check currency – excluded)",IF(AND(ISNUMBER(AB129),ISNUMBER(AZ129),ISNUMBER(BA129)),IF(AND(BB129="Y",ISNUMBER('Assumptions &amp; FX Reference'!$I$15)),MAX(AB129*BA129/AZ129,'Assumptions &amp; FX Reference'!$I$13*BA129/'Assumptions &amp; FX Reference'!$I$15),AB129*BA129/AZ129),"(PPI/FX missing)"))</f>
        <v>(PPI/FX missing)</v>
      </c>
      <c r="AH129" s="35" t="str">
        <f>IF(AND(ISNUMBER(AG129),ISNUMBER('Assumptions &amp; FX Reference'!$I$8),ISNUMBER('Assumptions &amp; FX Reference'!$I$11)),AG129*'Assumptions &amp; FX Reference'!$I$8/'Assumptions &amp; FX Reference'!$I$11,"")</f>
        <v/>
      </c>
      <c r="AI129" s="35" t="str">
        <f>IF(AND(ISNUMBER(AG129),ISNUMBER('Assumptions &amp; FX Reference'!$I$8)),AG129*'Assumptions &amp; FX Reference'!$I$8,"")</f>
        <v/>
      </c>
      <c r="AJ129" s="30" t="s">
        <v>295</v>
      </c>
      <c r="AK129" s="30" t="s">
        <v>119</v>
      </c>
      <c r="AL129" s="30" t="s">
        <v>119</v>
      </c>
      <c r="AM129" s="30" t="s">
        <v>119</v>
      </c>
      <c r="AN129" s="30" t="s">
        <v>119</v>
      </c>
      <c r="AO129" s="30" t="s">
        <v>119</v>
      </c>
      <c r="AP129" s="30" t="s">
        <v>119</v>
      </c>
      <c r="AQ129" s="30" t="s">
        <v>119</v>
      </c>
      <c r="AR129" s="30" t="s">
        <v>119</v>
      </c>
      <c r="AS129" s="33" t="str">
        <f t="shared" si="19"/>
        <v xml:space="preserve">Material missing; Seal missing; Size driver missing; Base-year PPI missing; </v>
      </c>
      <c r="AT129" s="36">
        <f>IFERROR(INDEX(Factors_ROT!$F$5:$F$200,MATCH("MAT|"&amp;G129,Factors_ROT!$A$5:$A$200,0)),1)</f>
        <v>1</v>
      </c>
      <c r="AU129" s="36">
        <f>IFERROR(INDEX(Factors_ROT!$F$5:$F$200,MATCH("SEAL_ARR|"&amp;P129,Factors_ROT!$A$5:$A$200,0)),1)*IFERROR(INDEX(Factors_ROT!$F$5:$F$200,MATCH("SEAL_CAT|"&amp;Q129,Factors_ROT!$A$5:$A$200,0)),1)*IFERROR(INDEX(Factors_ROT!$F$5:$F$200,MATCH("SEAL_PLAN|"&amp;R129,Factors_ROT!$A$5:$A$200,0)),1)</f>
        <v>1</v>
      </c>
      <c r="AV129" s="36">
        <f>IFERROR(INDEX(Factors_ROT!$F$5:$F$200,MATCH("DRV|"&amp;S129,Factors_ROT!$A$5:$A$200,0)),1)*IFERROR(INDEX(Factors_ROT!$F$5:$F$200,MATCH("NACE|"&amp;O129,Factors_ROT!$A$5:$A$200,0)),1)</f>
        <v>1</v>
      </c>
      <c r="AW129" s="36">
        <f>IFERROR(INDEX(Factors_ROT!$F$5:$F$200,MATCH("SC_DRV|"&amp;AL129,Factors_ROT!$A$5:$A$200,0)),1)*IFERROR(INDEX(Factors_ROT!$F$5:$F$200,MATCH("SC_BSP|"&amp;AM129,Factors_ROT!$A$5:$A$200,0)),1)*IFERROR(INDEX(Factors_ROT!$F$5:$F$200,MATCH("SC_SEAL|"&amp;AN129,Factors_ROT!$A$5:$A$200,0)),1)*IFERROR(INDEX(Factors_ROT!$F$5:$F$200,MATCH("SC_COMM|"&amp;AO129,Factors_ROT!$A$5:$A$200,0)),1)*IFERROR(INDEX(Factors_ROT!$F$5:$F$200,MATCH("SC_2Y|"&amp;AP129,Factors_ROT!$A$5:$A$200,0)),1)*IFERROR(INDEX(Factors_ROT!$F$5:$F$200,MATCH("SC_TPI|"&amp;AQ129,Factors_ROT!$A$5:$A$200,0)),1)*IFERROR(INDEX(Factors_ROT!$F$5:$F$200,MATCH("SC_FAT|"&amp;AR129,Factors_ROT!$A$5:$A$200,0)),1)</f>
        <v>1</v>
      </c>
      <c r="AX129" s="36">
        <f t="shared" si="20"/>
        <v>1</v>
      </c>
      <c r="AY129" s="35" t="str">
        <f t="shared" si="21"/>
        <v/>
      </c>
      <c r="AZ129" s="37" t="str">
        <f>IFERROR(IF(N(INDEX(Escalation_Index!$B$5:$B$25,MATCH(Y129,Escalation_Index!$A$5:$A$25,0)))&gt;0,INDEX(Escalation_Index!$B$5:$B$25,MATCH(Y129,Escalation_Index!$A$5:$A$25,0)),""),"")</f>
        <v/>
      </c>
      <c r="BA129" s="37">
        <f>IF(ISNUMBER('Assumptions &amp; FX Reference'!$I$12),'Assumptions &amp; FX Reference'!$I$12,"")</f>
        <v>123.416</v>
      </c>
      <c r="BB129" s="33" t="str">
        <f t="shared" si="22"/>
        <v>N</v>
      </c>
      <c r="BC129" s="35" t="str">
        <f t="shared" si="23"/>
        <v/>
      </c>
      <c r="BD129" s="35" t="str">
        <f>IF(AND(ISNUMBER(BC129),ISNUMBER(K129)),IF(K129&gt;0,BC129/K129^'Assumptions &amp; FX Reference'!$I$16,""),"")</f>
        <v/>
      </c>
      <c r="BE129" s="30" t="s">
        <v>773</v>
      </c>
      <c r="BF129" s="30" t="s">
        <v>774</v>
      </c>
      <c r="BG129" s="30" t="s">
        <v>361</v>
      </c>
    </row>
    <row r="130" spans="1:59" ht="24" customHeight="1">
      <c r="A130" s="30">
        <v>126</v>
      </c>
      <c r="B130" s="30" t="s">
        <v>342</v>
      </c>
      <c r="C130" s="30" t="s">
        <v>750</v>
      </c>
      <c r="D130" s="30" t="s">
        <v>295</v>
      </c>
      <c r="E130" s="30" t="s">
        <v>53</v>
      </c>
      <c r="F130" s="30" t="s">
        <v>188</v>
      </c>
      <c r="G130" s="30" t="s">
        <v>119</v>
      </c>
      <c r="H130" s="31"/>
      <c r="I130" s="31">
        <v>40.799999999999997</v>
      </c>
      <c r="J130" s="31">
        <v>0.83</v>
      </c>
      <c r="K130" s="32">
        <f>IF(ISNUMBER(J130),J130,IF(AND(ISNUMBER(H130),ISNUMBER(I130)),H130*I130/(367*'Assumptions &amp; FX Reference'!$I$17),""))</f>
        <v>0.83</v>
      </c>
      <c r="L130" s="33" t="str">
        <f t="shared" si="18"/>
        <v>Not stated</v>
      </c>
      <c r="M130" s="30" t="s">
        <v>119</v>
      </c>
      <c r="N130" s="30" t="s">
        <v>296</v>
      </c>
      <c r="O130" s="30" t="s">
        <v>119</v>
      </c>
      <c r="P130" s="30" t="s">
        <v>119</v>
      </c>
      <c r="Q130" s="30" t="s">
        <v>119</v>
      </c>
      <c r="R130" s="30" t="s">
        <v>119</v>
      </c>
      <c r="S130" s="30" t="s">
        <v>297</v>
      </c>
      <c r="T130" s="30" t="s">
        <v>338</v>
      </c>
      <c r="U130" s="30">
        <v>1</v>
      </c>
      <c r="V130" s="30" t="s">
        <v>343</v>
      </c>
      <c r="W130" s="31"/>
      <c r="X130" s="30" t="s">
        <v>119</v>
      </c>
      <c r="Y130" s="30" t="s">
        <v>300</v>
      </c>
      <c r="Z130" s="30" t="s">
        <v>301</v>
      </c>
      <c r="AA130" s="34">
        <v>3000</v>
      </c>
      <c r="AB130" s="35" t="str">
        <f>IF(NOT(ISNUMBER(AA130)),"(Not stated)",IF(NOT(ISNUMBER(Y130)),"(Cost year not stated)",IFERROR(IF(Z130="EUR",AA130,IF(Z130="IRR",AA130/INDEX('Assumptions &amp; FX Reference'!$C$5:$C$25,MATCH(Y130,'Assumptions &amp; FX Reference'!$A$5:$A$25,0)),IF(Z130="USD",AA130*INDEX('Assumptions &amp; FX Reference'!$B$5:$B$25,MATCH(Y130,'Assumptions &amp; FX Reference'!$A$5:$A$25,0))/INDEX('Assumptions &amp; FX Reference'!$C$5:$C$25,MATCH(Y130,'Assumptions &amp; FX Reference'!$A$5:$A$25,0)),"(Currency?)"))),"(FX rate missing)")))</f>
        <v>(Cost year not stated)</v>
      </c>
      <c r="AC130" s="35" t="str">
        <f>IF(NOT(ISNUMBER(AA130)),"(Not stated)",IF(NOT(ISNUMBER(Y130)),"(Cost year not stated)",IFERROR(IF(Z130="USD",AA130,IF(Z130="IRR",AA130/INDEX('Assumptions &amp; FX Reference'!$B$5:$B$25,MATCH(Y130,'Assumptions &amp; FX Reference'!$A$5:$A$25,0)),IF(Z130="EUR",AA130*INDEX('Assumptions &amp; FX Reference'!$C$5:$C$25,MATCH(Y130,'Assumptions &amp; FX Reference'!$A$5:$A$25,0))/INDEX('Assumptions &amp; FX Reference'!$B$5:$B$25,MATCH(Y130,'Assumptions &amp; FX Reference'!$A$5:$A$25,0)),"(Currency?)"))),"(FX rate missing)")))</f>
        <v>(Cost year not stated)</v>
      </c>
      <c r="AD130" s="35" t="str">
        <f>IF(NOT(ISNUMBER(AA130)),"(Not stated)",IF(NOT(ISNUMBER(Y130)),"(Cost year not stated)",IFERROR(IF(Z130="IRR",AA130,IF(Z130="USD",AA130*INDEX('Assumptions &amp; FX Reference'!$B$5:$B$25,MATCH(Y130,'Assumptions &amp; FX Reference'!$A$5:$A$25,0)),IF(Z130="EUR",AA130*INDEX('Assumptions &amp; FX Reference'!$C$5:$C$25,MATCH(Y130,'Assumptions &amp; FX Reference'!$A$5:$A$25,0)),"(Currency?)"))),"(FX rate missing)")))</f>
        <v>(Cost year not stated)</v>
      </c>
      <c r="AE130" s="30" t="s">
        <v>752</v>
      </c>
      <c r="AF130" s="30" t="s">
        <v>119</v>
      </c>
      <c r="AG130" s="35" t="str">
        <f>IF(AND(Z130="EUR",N(AA130)&gt;5000000),"(Check currency – excluded)",IF(AND(ISNUMBER(AB130),ISNUMBER(AZ130),ISNUMBER(BA130)),IF(AND(BB130="Y",ISNUMBER('Assumptions &amp; FX Reference'!$I$15)),MAX(AB130*BA130/AZ130,'Assumptions &amp; FX Reference'!$I$13*BA130/'Assumptions &amp; FX Reference'!$I$15),AB130*BA130/AZ130),"(PPI/FX missing)"))</f>
        <v>(PPI/FX missing)</v>
      </c>
      <c r="AH130" s="35" t="str">
        <f>IF(AND(ISNUMBER(AG130),ISNUMBER('Assumptions &amp; FX Reference'!$I$8),ISNUMBER('Assumptions &amp; FX Reference'!$I$11)),AG130*'Assumptions &amp; FX Reference'!$I$8/'Assumptions &amp; FX Reference'!$I$11,"")</f>
        <v/>
      </c>
      <c r="AI130" s="35" t="str">
        <f>IF(AND(ISNUMBER(AG130),ISNUMBER('Assumptions &amp; FX Reference'!$I$8)),AG130*'Assumptions &amp; FX Reference'!$I$8,"")</f>
        <v/>
      </c>
      <c r="AJ130" s="30" t="s">
        <v>295</v>
      </c>
      <c r="AK130" s="30" t="s">
        <v>119</v>
      </c>
      <c r="AL130" s="30" t="s">
        <v>119</v>
      </c>
      <c r="AM130" s="30" t="s">
        <v>119</v>
      </c>
      <c r="AN130" s="30" t="s">
        <v>119</v>
      </c>
      <c r="AO130" s="30" t="s">
        <v>119</v>
      </c>
      <c r="AP130" s="30" t="s">
        <v>119</v>
      </c>
      <c r="AQ130" s="30" t="s">
        <v>119</v>
      </c>
      <c r="AR130" s="30" t="s">
        <v>119</v>
      </c>
      <c r="AS130" s="33" t="str">
        <f t="shared" si="19"/>
        <v xml:space="preserve">Material missing; Seal missing; Base-year PPI missing; </v>
      </c>
      <c r="AT130" s="36">
        <f>IFERROR(INDEX(Factors_ROT!$F$5:$F$200,MATCH("MAT|"&amp;G130,Factors_ROT!$A$5:$A$200,0)),1)</f>
        <v>1</v>
      </c>
      <c r="AU130" s="36">
        <f>IFERROR(INDEX(Factors_ROT!$F$5:$F$200,MATCH("SEAL_ARR|"&amp;P130,Factors_ROT!$A$5:$A$200,0)),1)*IFERROR(INDEX(Factors_ROT!$F$5:$F$200,MATCH("SEAL_CAT|"&amp;Q130,Factors_ROT!$A$5:$A$200,0)),1)*IFERROR(INDEX(Factors_ROT!$F$5:$F$200,MATCH("SEAL_PLAN|"&amp;R130,Factors_ROT!$A$5:$A$200,0)),1)</f>
        <v>1</v>
      </c>
      <c r="AV130" s="36">
        <f>IFERROR(INDEX(Factors_ROT!$F$5:$F$200,MATCH("DRV|"&amp;S130,Factors_ROT!$A$5:$A$200,0)),1)*IFERROR(INDEX(Factors_ROT!$F$5:$F$200,MATCH("NACE|"&amp;O130,Factors_ROT!$A$5:$A$200,0)),1)</f>
        <v>1</v>
      </c>
      <c r="AW130" s="36">
        <f>IFERROR(INDEX(Factors_ROT!$F$5:$F$200,MATCH("SC_DRV|"&amp;AL130,Factors_ROT!$A$5:$A$200,0)),1)*IFERROR(INDEX(Factors_ROT!$F$5:$F$200,MATCH("SC_BSP|"&amp;AM130,Factors_ROT!$A$5:$A$200,0)),1)*IFERROR(INDEX(Factors_ROT!$F$5:$F$200,MATCH("SC_SEAL|"&amp;AN130,Factors_ROT!$A$5:$A$200,0)),1)*IFERROR(INDEX(Factors_ROT!$F$5:$F$200,MATCH("SC_COMM|"&amp;AO130,Factors_ROT!$A$5:$A$200,0)),1)*IFERROR(INDEX(Factors_ROT!$F$5:$F$200,MATCH("SC_2Y|"&amp;AP130,Factors_ROT!$A$5:$A$200,0)),1)*IFERROR(INDEX(Factors_ROT!$F$5:$F$200,MATCH("SC_TPI|"&amp;AQ130,Factors_ROT!$A$5:$A$200,0)),1)*IFERROR(INDEX(Factors_ROT!$F$5:$F$200,MATCH("SC_FAT|"&amp;AR130,Factors_ROT!$A$5:$A$200,0)),1)</f>
        <v>1</v>
      </c>
      <c r="AX130" s="36">
        <f t="shared" si="20"/>
        <v>1</v>
      </c>
      <c r="AY130" s="35" t="str">
        <f t="shared" si="21"/>
        <v/>
      </c>
      <c r="AZ130" s="37" t="str">
        <f>IFERROR(IF(N(INDEX(Escalation_Index!$B$5:$B$25,MATCH(Y130,Escalation_Index!$A$5:$A$25,0)))&gt;0,INDEX(Escalation_Index!$B$5:$B$25,MATCH(Y130,Escalation_Index!$A$5:$A$25,0)),""),"")</f>
        <v/>
      </c>
      <c r="BA130" s="37">
        <f>IF(ISNUMBER('Assumptions &amp; FX Reference'!$I$12),'Assumptions &amp; FX Reference'!$I$12,"")</f>
        <v>123.416</v>
      </c>
      <c r="BB130" s="33" t="str">
        <f t="shared" si="22"/>
        <v>N</v>
      </c>
      <c r="BC130" s="35" t="str">
        <f t="shared" si="23"/>
        <v/>
      </c>
      <c r="BD130" s="35" t="str">
        <f>IF(AND(ISNUMBER(BC130),ISNUMBER(K130)),IF(K130&gt;0,BC130/K130^'Assumptions &amp; FX Reference'!$I$16,""),"")</f>
        <v/>
      </c>
      <c r="BE130" s="30" t="s">
        <v>775</v>
      </c>
      <c r="BF130" s="30" t="s">
        <v>776</v>
      </c>
      <c r="BG130" s="30" t="s">
        <v>361</v>
      </c>
    </row>
    <row r="131" spans="1:59" ht="24" customHeight="1">
      <c r="A131" s="30">
        <v>127</v>
      </c>
      <c r="B131" s="30" t="s">
        <v>346</v>
      </c>
      <c r="C131" s="30" t="s">
        <v>750</v>
      </c>
      <c r="D131" s="30" t="s">
        <v>295</v>
      </c>
      <c r="E131" s="30" t="s">
        <v>44</v>
      </c>
      <c r="F131" s="30" t="s">
        <v>119</v>
      </c>
      <c r="G131" s="30" t="s">
        <v>119</v>
      </c>
      <c r="H131" s="31"/>
      <c r="I131" s="31"/>
      <c r="J131" s="31"/>
      <c r="K131" s="32" t="str">
        <f>IF(ISNUMBER(J131),J131,IF(AND(ISNUMBER(H131),ISNUMBER(I131)),H131*I131/(367*'Assumptions &amp; FX Reference'!$I$17),""))</f>
        <v/>
      </c>
      <c r="L131" s="33" t="str">
        <f t="shared" si="18"/>
        <v>Not stated</v>
      </c>
      <c r="M131" s="30" t="s">
        <v>119</v>
      </c>
      <c r="N131" s="30" t="s">
        <v>296</v>
      </c>
      <c r="O131" s="30" t="s">
        <v>119</v>
      </c>
      <c r="P131" s="30" t="s">
        <v>119</v>
      </c>
      <c r="Q131" s="30" t="s">
        <v>119</v>
      </c>
      <c r="R131" s="30" t="s">
        <v>119</v>
      </c>
      <c r="S131" s="30" t="s">
        <v>297</v>
      </c>
      <c r="T131" s="30" t="s">
        <v>319</v>
      </c>
      <c r="U131" s="30">
        <v>1</v>
      </c>
      <c r="V131" s="30" t="s">
        <v>299</v>
      </c>
      <c r="W131" s="31"/>
      <c r="X131" s="30" t="s">
        <v>119</v>
      </c>
      <c r="Y131" s="30" t="s">
        <v>300</v>
      </c>
      <c r="Z131" s="30" t="s">
        <v>301</v>
      </c>
      <c r="AA131" s="34">
        <v>3000</v>
      </c>
      <c r="AB131" s="35" t="str">
        <f>IF(NOT(ISNUMBER(AA131)),"(Not stated)",IF(NOT(ISNUMBER(Y131)),"(Cost year not stated)",IFERROR(IF(Z131="EUR",AA131,IF(Z131="IRR",AA131/INDEX('Assumptions &amp; FX Reference'!$C$5:$C$25,MATCH(Y131,'Assumptions &amp; FX Reference'!$A$5:$A$25,0)),IF(Z131="USD",AA131*INDEX('Assumptions &amp; FX Reference'!$B$5:$B$25,MATCH(Y131,'Assumptions &amp; FX Reference'!$A$5:$A$25,0))/INDEX('Assumptions &amp; FX Reference'!$C$5:$C$25,MATCH(Y131,'Assumptions &amp; FX Reference'!$A$5:$A$25,0)),"(Currency?)"))),"(FX rate missing)")))</f>
        <v>(Cost year not stated)</v>
      </c>
      <c r="AC131" s="35" t="str">
        <f>IF(NOT(ISNUMBER(AA131)),"(Not stated)",IF(NOT(ISNUMBER(Y131)),"(Cost year not stated)",IFERROR(IF(Z131="USD",AA131,IF(Z131="IRR",AA131/INDEX('Assumptions &amp; FX Reference'!$B$5:$B$25,MATCH(Y131,'Assumptions &amp; FX Reference'!$A$5:$A$25,0)),IF(Z131="EUR",AA131*INDEX('Assumptions &amp; FX Reference'!$C$5:$C$25,MATCH(Y131,'Assumptions &amp; FX Reference'!$A$5:$A$25,0))/INDEX('Assumptions &amp; FX Reference'!$B$5:$B$25,MATCH(Y131,'Assumptions &amp; FX Reference'!$A$5:$A$25,0)),"(Currency?)"))),"(FX rate missing)")))</f>
        <v>(Cost year not stated)</v>
      </c>
      <c r="AD131" s="35" t="str">
        <f>IF(NOT(ISNUMBER(AA131)),"(Not stated)",IF(NOT(ISNUMBER(Y131)),"(Cost year not stated)",IFERROR(IF(Z131="IRR",AA131,IF(Z131="USD",AA131*INDEX('Assumptions &amp; FX Reference'!$B$5:$B$25,MATCH(Y131,'Assumptions &amp; FX Reference'!$A$5:$A$25,0)),IF(Z131="EUR",AA131*INDEX('Assumptions &amp; FX Reference'!$C$5:$C$25,MATCH(Y131,'Assumptions &amp; FX Reference'!$A$5:$A$25,0)),"(Currency?)"))),"(FX rate missing)")))</f>
        <v>(Cost year not stated)</v>
      </c>
      <c r="AE131" s="30" t="s">
        <v>752</v>
      </c>
      <c r="AF131" s="30" t="s">
        <v>119</v>
      </c>
      <c r="AG131" s="35" t="str">
        <f>IF(AND(Z131="EUR",N(AA131)&gt;5000000),"(Check currency – excluded)",IF(AND(ISNUMBER(AB131),ISNUMBER(AZ131),ISNUMBER(BA131)),IF(AND(BB131="Y",ISNUMBER('Assumptions &amp; FX Reference'!$I$15)),MAX(AB131*BA131/AZ131,'Assumptions &amp; FX Reference'!$I$13*BA131/'Assumptions &amp; FX Reference'!$I$15),AB131*BA131/AZ131),"(PPI/FX missing)"))</f>
        <v>(PPI/FX missing)</v>
      </c>
      <c r="AH131" s="35" t="str">
        <f>IF(AND(ISNUMBER(AG131),ISNUMBER('Assumptions &amp; FX Reference'!$I$8),ISNUMBER('Assumptions &amp; FX Reference'!$I$11)),AG131*'Assumptions &amp; FX Reference'!$I$8/'Assumptions &amp; FX Reference'!$I$11,"")</f>
        <v/>
      </c>
      <c r="AI131" s="35" t="str">
        <f>IF(AND(ISNUMBER(AG131),ISNUMBER('Assumptions &amp; FX Reference'!$I$8)),AG131*'Assumptions &amp; FX Reference'!$I$8,"")</f>
        <v/>
      </c>
      <c r="AJ131" s="30" t="s">
        <v>295</v>
      </c>
      <c r="AK131" s="30" t="s">
        <v>119</v>
      </c>
      <c r="AL131" s="30" t="s">
        <v>119</v>
      </c>
      <c r="AM131" s="30" t="s">
        <v>119</v>
      </c>
      <c r="AN131" s="30" t="s">
        <v>119</v>
      </c>
      <c r="AO131" s="30" t="s">
        <v>119</v>
      </c>
      <c r="AP131" s="30" t="s">
        <v>119</v>
      </c>
      <c r="AQ131" s="30" t="s">
        <v>119</v>
      </c>
      <c r="AR131" s="30" t="s">
        <v>119</v>
      </c>
      <c r="AS131" s="33" t="str">
        <f t="shared" si="19"/>
        <v xml:space="preserve">Material missing; Seal missing; Size driver missing; Base-year PPI missing; </v>
      </c>
      <c r="AT131" s="36">
        <f>IFERROR(INDEX(Factors_ROT!$F$5:$F$200,MATCH("MAT|"&amp;G131,Factors_ROT!$A$5:$A$200,0)),1)</f>
        <v>1</v>
      </c>
      <c r="AU131" s="36">
        <f>IFERROR(INDEX(Factors_ROT!$F$5:$F$200,MATCH("SEAL_ARR|"&amp;P131,Factors_ROT!$A$5:$A$200,0)),1)*IFERROR(INDEX(Factors_ROT!$F$5:$F$200,MATCH("SEAL_CAT|"&amp;Q131,Factors_ROT!$A$5:$A$200,0)),1)*IFERROR(INDEX(Factors_ROT!$F$5:$F$200,MATCH("SEAL_PLAN|"&amp;R131,Factors_ROT!$A$5:$A$200,0)),1)</f>
        <v>1</v>
      </c>
      <c r="AV131" s="36">
        <f>IFERROR(INDEX(Factors_ROT!$F$5:$F$200,MATCH("DRV|"&amp;S131,Factors_ROT!$A$5:$A$200,0)),1)*IFERROR(INDEX(Factors_ROT!$F$5:$F$200,MATCH("NACE|"&amp;O131,Factors_ROT!$A$5:$A$200,0)),1)</f>
        <v>1</v>
      </c>
      <c r="AW131" s="36">
        <f>IFERROR(INDEX(Factors_ROT!$F$5:$F$200,MATCH("SC_DRV|"&amp;AL131,Factors_ROT!$A$5:$A$200,0)),1)*IFERROR(INDEX(Factors_ROT!$F$5:$F$200,MATCH("SC_BSP|"&amp;AM131,Factors_ROT!$A$5:$A$200,0)),1)*IFERROR(INDEX(Factors_ROT!$F$5:$F$200,MATCH("SC_SEAL|"&amp;AN131,Factors_ROT!$A$5:$A$200,0)),1)*IFERROR(INDEX(Factors_ROT!$F$5:$F$200,MATCH("SC_COMM|"&amp;AO131,Factors_ROT!$A$5:$A$200,0)),1)*IFERROR(INDEX(Factors_ROT!$F$5:$F$200,MATCH("SC_2Y|"&amp;AP131,Factors_ROT!$A$5:$A$200,0)),1)*IFERROR(INDEX(Factors_ROT!$F$5:$F$200,MATCH("SC_TPI|"&amp;AQ131,Factors_ROT!$A$5:$A$200,0)),1)*IFERROR(INDEX(Factors_ROT!$F$5:$F$200,MATCH("SC_FAT|"&amp;AR131,Factors_ROT!$A$5:$A$200,0)),1)</f>
        <v>1</v>
      </c>
      <c r="AX131" s="36">
        <f t="shared" si="20"/>
        <v>1</v>
      </c>
      <c r="AY131" s="35" t="str">
        <f t="shared" si="21"/>
        <v/>
      </c>
      <c r="AZ131" s="37" t="str">
        <f>IFERROR(IF(N(INDEX(Escalation_Index!$B$5:$B$25,MATCH(Y131,Escalation_Index!$A$5:$A$25,0)))&gt;0,INDEX(Escalation_Index!$B$5:$B$25,MATCH(Y131,Escalation_Index!$A$5:$A$25,0)),""),"")</f>
        <v/>
      </c>
      <c r="BA131" s="37">
        <f>IF(ISNUMBER('Assumptions &amp; FX Reference'!$I$12),'Assumptions &amp; FX Reference'!$I$12,"")</f>
        <v>123.416</v>
      </c>
      <c r="BB131" s="33" t="str">
        <f t="shared" si="22"/>
        <v>N</v>
      </c>
      <c r="BC131" s="35" t="str">
        <f t="shared" si="23"/>
        <v/>
      </c>
      <c r="BD131" s="35" t="str">
        <f>IF(AND(ISNUMBER(BC131),ISNUMBER(K131)),IF(K131&gt;0,BC131/K131^'Assumptions &amp; FX Reference'!$I$16,""),"")</f>
        <v/>
      </c>
      <c r="BE131" s="30" t="s">
        <v>777</v>
      </c>
      <c r="BF131" s="30" t="s">
        <v>778</v>
      </c>
      <c r="BG131" s="30" t="s">
        <v>361</v>
      </c>
    </row>
    <row r="132" spans="1:59" ht="24" customHeight="1">
      <c r="A132" s="30">
        <v>128</v>
      </c>
      <c r="B132" s="30" t="s">
        <v>349</v>
      </c>
      <c r="C132" s="30" t="s">
        <v>750</v>
      </c>
      <c r="D132" s="30" t="s">
        <v>295</v>
      </c>
      <c r="E132" s="30" t="s">
        <v>50</v>
      </c>
      <c r="F132" s="30" t="s">
        <v>119</v>
      </c>
      <c r="G132" s="30" t="s">
        <v>119</v>
      </c>
      <c r="H132" s="31"/>
      <c r="I132" s="31"/>
      <c r="J132" s="31"/>
      <c r="K132" s="32" t="str">
        <f>IF(ISNUMBER(J132),J132,IF(AND(ISNUMBER(H132),ISNUMBER(I132)),H132*I132/(367*'Assumptions &amp; FX Reference'!$I$17),""))</f>
        <v/>
      </c>
      <c r="L132" s="33" t="str">
        <f t="shared" si="18"/>
        <v>Not stated</v>
      </c>
      <c r="M132" s="30" t="s">
        <v>119</v>
      </c>
      <c r="N132" s="30" t="s">
        <v>296</v>
      </c>
      <c r="O132" s="30" t="s">
        <v>119</v>
      </c>
      <c r="P132" s="30" t="s">
        <v>119</v>
      </c>
      <c r="Q132" s="30" t="s">
        <v>119</v>
      </c>
      <c r="R132" s="30" t="s">
        <v>119</v>
      </c>
      <c r="S132" s="30" t="s">
        <v>297</v>
      </c>
      <c r="T132" s="30" t="s">
        <v>334</v>
      </c>
      <c r="U132" s="30">
        <v>1</v>
      </c>
      <c r="V132" s="30" t="s">
        <v>299</v>
      </c>
      <c r="W132" s="31"/>
      <c r="X132" s="30" t="s">
        <v>119</v>
      </c>
      <c r="Y132" s="30" t="s">
        <v>300</v>
      </c>
      <c r="Z132" s="30" t="s">
        <v>301</v>
      </c>
      <c r="AA132" s="34">
        <v>40000</v>
      </c>
      <c r="AB132" s="35" t="str">
        <f>IF(NOT(ISNUMBER(AA132)),"(Not stated)",IF(NOT(ISNUMBER(Y132)),"(Cost year not stated)",IFERROR(IF(Z132="EUR",AA132,IF(Z132="IRR",AA132/INDEX('Assumptions &amp; FX Reference'!$C$5:$C$25,MATCH(Y132,'Assumptions &amp; FX Reference'!$A$5:$A$25,0)),IF(Z132="USD",AA132*INDEX('Assumptions &amp; FX Reference'!$B$5:$B$25,MATCH(Y132,'Assumptions &amp; FX Reference'!$A$5:$A$25,0))/INDEX('Assumptions &amp; FX Reference'!$C$5:$C$25,MATCH(Y132,'Assumptions &amp; FX Reference'!$A$5:$A$25,0)),"(Currency?)"))),"(FX rate missing)")))</f>
        <v>(Cost year not stated)</v>
      </c>
      <c r="AC132" s="35" t="str">
        <f>IF(NOT(ISNUMBER(AA132)),"(Not stated)",IF(NOT(ISNUMBER(Y132)),"(Cost year not stated)",IFERROR(IF(Z132="USD",AA132,IF(Z132="IRR",AA132/INDEX('Assumptions &amp; FX Reference'!$B$5:$B$25,MATCH(Y132,'Assumptions &amp; FX Reference'!$A$5:$A$25,0)),IF(Z132="EUR",AA132*INDEX('Assumptions &amp; FX Reference'!$C$5:$C$25,MATCH(Y132,'Assumptions &amp; FX Reference'!$A$5:$A$25,0))/INDEX('Assumptions &amp; FX Reference'!$B$5:$B$25,MATCH(Y132,'Assumptions &amp; FX Reference'!$A$5:$A$25,0)),"(Currency?)"))),"(FX rate missing)")))</f>
        <v>(Cost year not stated)</v>
      </c>
      <c r="AD132" s="35" t="str">
        <f>IF(NOT(ISNUMBER(AA132)),"(Not stated)",IF(NOT(ISNUMBER(Y132)),"(Cost year not stated)",IFERROR(IF(Z132="IRR",AA132,IF(Z132="USD",AA132*INDEX('Assumptions &amp; FX Reference'!$B$5:$B$25,MATCH(Y132,'Assumptions &amp; FX Reference'!$A$5:$A$25,0)),IF(Z132="EUR",AA132*INDEX('Assumptions &amp; FX Reference'!$C$5:$C$25,MATCH(Y132,'Assumptions &amp; FX Reference'!$A$5:$A$25,0)),"(Currency?)"))),"(FX rate missing)")))</f>
        <v>(Cost year not stated)</v>
      </c>
      <c r="AE132" s="30" t="s">
        <v>752</v>
      </c>
      <c r="AF132" s="30" t="s">
        <v>119</v>
      </c>
      <c r="AG132" s="35" t="str">
        <f>IF(AND(Z132="EUR",N(AA132)&gt;5000000),"(Check currency – excluded)",IF(AND(ISNUMBER(AB132),ISNUMBER(AZ132),ISNUMBER(BA132)),IF(AND(BB132="Y",ISNUMBER('Assumptions &amp; FX Reference'!$I$15)),MAX(AB132*BA132/AZ132,'Assumptions &amp; FX Reference'!$I$13*BA132/'Assumptions &amp; FX Reference'!$I$15),AB132*BA132/AZ132),"(PPI/FX missing)"))</f>
        <v>(PPI/FX missing)</v>
      </c>
      <c r="AH132" s="35" t="str">
        <f>IF(AND(ISNUMBER(AG132),ISNUMBER('Assumptions &amp; FX Reference'!$I$8),ISNUMBER('Assumptions &amp; FX Reference'!$I$11)),AG132*'Assumptions &amp; FX Reference'!$I$8/'Assumptions &amp; FX Reference'!$I$11,"")</f>
        <v/>
      </c>
      <c r="AI132" s="35" t="str">
        <f>IF(AND(ISNUMBER(AG132),ISNUMBER('Assumptions &amp; FX Reference'!$I$8)),AG132*'Assumptions &amp; FX Reference'!$I$8,"")</f>
        <v/>
      </c>
      <c r="AJ132" s="30" t="s">
        <v>295</v>
      </c>
      <c r="AK132" s="30" t="s">
        <v>119</v>
      </c>
      <c r="AL132" s="30" t="s">
        <v>119</v>
      </c>
      <c r="AM132" s="30" t="s">
        <v>119</v>
      </c>
      <c r="AN132" s="30" t="s">
        <v>119</v>
      </c>
      <c r="AO132" s="30" t="s">
        <v>119</v>
      </c>
      <c r="AP132" s="30" t="s">
        <v>119</v>
      </c>
      <c r="AQ132" s="30" t="s">
        <v>119</v>
      </c>
      <c r="AR132" s="30" t="s">
        <v>119</v>
      </c>
      <c r="AS132" s="33" t="str">
        <f t="shared" si="19"/>
        <v xml:space="preserve">Material missing; Seal missing; Size driver missing; Base-year PPI missing; </v>
      </c>
      <c r="AT132" s="36">
        <f>IFERROR(INDEX(Factors_ROT!$F$5:$F$200,MATCH("MAT|"&amp;G132,Factors_ROT!$A$5:$A$200,0)),1)</f>
        <v>1</v>
      </c>
      <c r="AU132" s="36">
        <f>IFERROR(INDEX(Factors_ROT!$F$5:$F$200,MATCH("SEAL_ARR|"&amp;P132,Factors_ROT!$A$5:$A$200,0)),1)*IFERROR(INDEX(Factors_ROT!$F$5:$F$200,MATCH("SEAL_CAT|"&amp;Q132,Factors_ROT!$A$5:$A$200,0)),1)*IFERROR(INDEX(Factors_ROT!$F$5:$F$200,MATCH("SEAL_PLAN|"&amp;R132,Factors_ROT!$A$5:$A$200,0)),1)</f>
        <v>1</v>
      </c>
      <c r="AV132" s="36">
        <f>IFERROR(INDEX(Factors_ROT!$F$5:$F$200,MATCH("DRV|"&amp;S132,Factors_ROT!$A$5:$A$200,0)),1)*IFERROR(INDEX(Factors_ROT!$F$5:$F$200,MATCH("NACE|"&amp;O132,Factors_ROT!$A$5:$A$200,0)),1)</f>
        <v>1</v>
      </c>
      <c r="AW132" s="36">
        <f>IFERROR(INDEX(Factors_ROT!$F$5:$F$200,MATCH("SC_DRV|"&amp;AL132,Factors_ROT!$A$5:$A$200,0)),1)*IFERROR(INDEX(Factors_ROT!$F$5:$F$200,MATCH("SC_BSP|"&amp;AM132,Factors_ROT!$A$5:$A$200,0)),1)*IFERROR(INDEX(Factors_ROT!$F$5:$F$200,MATCH("SC_SEAL|"&amp;AN132,Factors_ROT!$A$5:$A$200,0)),1)*IFERROR(INDEX(Factors_ROT!$F$5:$F$200,MATCH("SC_COMM|"&amp;AO132,Factors_ROT!$A$5:$A$200,0)),1)*IFERROR(INDEX(Factors_ROT!$F$5:$F$200,MATCH("SC_2Y|"&amp;AP132,Factors_ROT!$A$5:$A$200,0)),1)*IFERROR(INDEX(Factors_ROT!$F$5:$F$200,MATCH("SC_TPI|"&amp;AQ132,Factors_ROT!$A$5:$A$200,0)),1)*IFERROR(INDEX(Factors_ROT!$F$5:$F$200,MATCH("SC_FAT|"&amp;AR132,Factors_ROT!$A$5:$A$200,0)),1)</f>
        <v>1</v>
      </c>
      <c r="AX132" s="36">
        <f t="shared" si="20"/>
        <v>1</v>
      </c>
      <c r="AY132" s="35" t="str">
        <f t="shared" si="21"/>
        <v/>
      </c>
      <c r="AZ132" s="37" t="str">
        <f>IFERROR(IF(N(INDEX(Escalation_Index!$B$5:$B$25,MATCH(Y132,Escalation_Index!$A$5:$A$25,0)))&gt;0,INDEX(Escalation_Index!$B$5:$B$25,MATCH(Y132,Escalation_Index!$A$5:$A$25,0)),""),"")</f>
        <v/>
      </c>
      <c r="BA132" s="37">
        <f>IF(ISNUMBER('Assumptions &amp; FX Reference'!$I$12),'Assumptions &amp; FX Reference'!$I$12,"")</f>
        <v>123.416</v>
      </c>
      <c r="BB132" s="33" t="str">
        <f t="shared" si="22"/>
        <v>N</v>
      </c>
      <c r="BC132" s="35" t="str">
        <f t="shared" si="23"/>
        <v/>
      </c>
      <c r="BD132" s="35" t="str">
        <f>IF(AND(ISNUMBER(BC132),ISNUMBER(K132)),IF(K132&gt;0,BC132/K132^'Assumptions &amp; FX Reference'!$I$16,""),"")</f>
        <v/>
      </c>
      <c r="BE132" s="30" t="s">
        <v>779</v>
      </c>
      <c r="BF132" s="30" t="s">
        <v>780</v>
      </c>
      <c r="BG132" s="30" t="s">
        <v>361</v>
      </c>
    </row>
    <row r="133" spans="1:59" ht="24" customHeight="1">
      <c r="A133" s="30">
        <v>129</v>
      </c>
      <c r="B133" s="30" t="s">
        <v>681</v>
      </c>
      <c r="C133" s="30" t="s">
        <v>682</v>
      </c>
      <c r="D133" s="30" t="s">
        <v>683</v>
      </c>
      <c r="E133" s="30" t="s">
        <v>41</v>
      </c>
      <c r="F133" s="30" t="s">
        <v>173</v>
      </c>
      <c r="G133" s="30" t="s">
        <v>107</v>
      </c>
      <c r="H133" s="31">
        <v>45</v>
      </c>
      <c r="I133" s="31">
        <v>139.1</v>
      </c>
      <c r="J133" s="31"/>
      <c r="K133" s="32">
        <f>IF(ISNUMBER(J133),J133,IF(AND(ISNUMBER(H133),ISNUMBER(I133)),H133*I133/(367*'Assumptions &amp; FX Reference'!$I$17),""))</f>
        <v>28.426430517711172</v>
      </c>
      <c r="L133" s="33" t="str">
        <f t="shared" ref="L133:L164" si="24">IF(IF(OR(M133="Not stated",M133=""),""," + "&amp;M133)&amp;IF(OR(N133="None",N133=""),""," + "&amp;N133)&amp;IF(O133="Y"," + NACE MR0175","")="","Not stated",MID(IF(OR(M133="Not stated",M133=""),""," + "&amp;M133)&amp;IF(OR(N133="None",N133=""),""," + "&amp;N133)&amp;IF(O133="Y"," + NACE MR0175",""),4,300))</f>
        <v>API 610 + IPS-G-PM-105 + NACE MR0175</v>
      </c>
      <c r="M133" s="30" t="s">
        <v>470</v>
      </c>
      <c r="N133" s="30" t="s">
        <v>471</v>
      </c>
      <c r="O133" s="30" t="s">
        <v>361</v>
      </c>
      <c r="P133" s="30" t="s">
        <v>119</v>
      </c>
      <c r="Q133" s="30" t="s">
        <v>119</v>
      </c>
      <c r="R133" s="30" t="s">
        <v>119</v>
      </c>
      <c r="S133" s="38" t="s">
        <v>297</v>
      </c>
      <c r="T133" s="30" t="s">
        <v>298</v>
      </c>
      <c r="U133" s="30">
        <v>2</v>
      </c>
      <c r="V133" s="30" t="s">
        <v>299</v>
      </c>
      <c r="W133" s="31">
        <v>14.5</v>
      </c>
      <c r="X133" s="30" t="s">
        <v>119</v>
      </c>
      <c r="Y133" s="30">
        <v>1393</v>
      </c>
      <c r="Z133" s="30" t="s">
        <v>355</v>
      </c>
      <c r="AA133" s="34">
        <v>75000</v>
      </c>
      <c r="AB133" s="35">
        <f>IF(NOT(ISNUMBER(AA133)),"(Not stated)",IF(NOT(ISNUMBER(Y133)),"(Cost year not stated)",IFERROR(IF(Z133="EUR",AA133,IF(Z133="IRR",AA133/INDEX('Assumptions &amp; FX Reference'!$C$5:$C$25,MATCH(Y133,'Assumptions &amp; FX Reference'!$A$5:$A$25,0)),IF(Z133="USD",AA133*INDEX('Assumptions &amp; FX Reference'!$B$5:$B$25,MATCH(Y133,'Assumptions &amp; FX Reference'!$A$5:$A$25,0))/INDEX('Assumptions &amp; FX Reference'!$C$5:$C$25,MATCH(Y133,'Assumptions &amp; FX Reference'!$A$5:$A$25,0)),"(Currency?)"))),"(FX rate missing)")))</f>
        <v>75000</v>
      </c>
      <c r="AC133" s="35">
        <f>IF(NOT(ISNUMBER(AA133)),"(Not stated)",IF(NOT(ISNUMBER(Y133)),"(Cost year not stated)",IFERROR(IF(Z133="USD",AA133,IF(Z133="IRR",AA133/INDEX('Assumptions &amp; FX Reference'!$B$5:$B$25,MATCH(Y133,'Assumptions &amp; FX Reference'!$A$5:$A$25,0)),IF(Z133="EUR",AA133*INDEX('Assumptions &amp; FX Reference'!$C$5:$C$25,MATCH(Y133,'Assumptions &amp; FX Reference'!$A$5:$A$25,0))/INDEX('Assumptions &amp; FX Reference'!$B$5:$B$25,MATCH(Y133,'Assumptions &amp; FX Reference'!$A$5:$A$25,0)),"(Currency?)"))),"(FX rate missing)")))</f>
        <v>98058.387096774197</v>
      </c>
      <c r="AD133" s="35">
        <f>IF(NOT(ISNUMBER(AA133)),"(Not stated)",IF(NOT(ISNUMBER(Y133)),"(Cost year not stated)",IFERROR(IF(Z133="IRR",AA133,IF(Z133="USD",AA133*INDEX('Assumptions &amp; FX Reference'!$B$5:$B$25,MATCH(Y133,'Assumptions &amp; FX Reference'!$A$5:$A$25,0)),IF(Z133="EUR",AA133*INDEX('Assumptions &amp; FX Reference'!$C$5:$C$25,MATCH(Y133,'Assumptions &amp; FX Reference'!$A$5:$A$25,0)),"(Currency?)"))),"(FX rate missing)")))</f>
        <v>3039810000</v>
      </c>
      <c r="AE133" s="30" t="s">
        <v>781</v>
      </c>
      <c r="AF133" s="30" t="s">
        <v>204</v>
      </c>
      <c r="AG133" s="35">
        <f>IF(AND(Z133="EUR",N(AA133)&gt;5000000),"(Check currency – excluded)",IF(AND(ISNUMBER(AB133),ISNUMBER(AZ133),ISNUMBER(BA133)),IF(AND(BB133="Y",ISNUMBER('Assumptions &amp; FX Reference'!$I$15)),MAX(AB133*BA133/AZ133,'Assumptions &amp; FX Reference'!$I$13*BA133/'Assumptions &amp; FX Reference'!$I$15),AB133*BA133/AZ133),"(PPI/FX missing)"))</f>
        <v>101330.09294229696</v>
      </c>
      <c r="AH133" s="35">
        <f>IF(AND(ISNUMBER(AG133),ISNUMBER('Assumptions &amp; FX Reference'!$I$8),ISNUMBER('Assumptions &amp; FX Reference'!$I$11)),AG133*'Assumptions &amp; FX Reference'!$I$8/'Assumptions &amp; FX Reference'!$I$11,"")</f>
        <v>106982.59777384721</v>
      </c>
      <c r="AI133" s="35">
        <f>IF(AND(ISNUMBER(AG133),ISNUMBER('Assumptions &amp; FX Reference'!$I$8)),AG133*'Assumptions &amp; FX Reference'!$I$8,"")</f>
        <v>70451571059.804932</v>
      </c>
      <c r="AJ133" s="30" t="s">
        <v>685</v>
      </c>
      <c r="AK133" s="30" t="s">
        <v>358</v>
      </c>
      <c r="AL133" s="30" t="s">
        <v>119</v>
      </c>
      <c r="AM133" s="30" t="s">
        <v>119</v>
      </c>
      <c r="AN133" s="30" t="s">
        <v>119</v>
      </c>
      <c r="AO133" s="30" t="s">
        <v>119</v>
      </c>
      <c r="AP133" s="30" t="s">
        <v>119</v>
      </c>
      <c r="AQ133" s="30" t="s">
        <v>119</v>
      </c>
      <c r="AR133" s="30" t="s">
        <v>119</v>
      </c>
      <c r="AS133" s="33" t="str">
        <f t="shared" ref="AS133:AS150" si="25">IF(AND(Z133="EUR",N(AA133)&gt;5000000),"Check currency (EUR&gt;5M); ","")&amp;IF(NOT(ISNUMBER(AA133)),"No price; ","")&amp;IF(G133="Not stated","Material missing; ","")&amp;IF(P133="Not stated","Seal missing; ","")&amp;IF(K133="","Size driver missing; ","")&amp;IF(NOT(ISNUMBER(AZ133)),"Base-year PPI missing; ","")</f>
        <v xml:space="preserve">Seal missing; </v>
      </c>
      <c r="AT133" s="36">
        <f>IFERROR(INDEX(Factors_ROT!$F$5:$F$200,MATCH("MAT|"&amp;G133,Factors_ROT!$A$5:$A$200,0)),1)</f>
        <v>1.7</v>
      </c>
      <c r="AU133" s="36">
        <f>IFERROR(INDEX(Factors_ROT!$F$5:$F$200,MATCH("SEAL_ARR|"&amp;P133,Factors_ROT!$A$5:$A$200,0)),1)*IFERROR(INDEX(Factors_ROT!$F$5:$F$200,MATCH("SEAL_CAT|"&amp;Q133,Factors_ROT!$A$5:$A$200,0)),1)*IFERROR(INDEX(Factors_ROT!$F$5:$F$200,MATCH("SEAL_PLAN|"&amp;R133,Factors_ROT!$A$5:$A$200,0)),1)</f>
        <v>1</v>
      </c>
      <c r="AV133" s="36">
        <f>IFERROR(INDEX(Factors_ROT!$F$5:$F$200,MATCH("DRV|"&amp;S133,Factors_ROT!$A$5:$A$200,0)),1)*IFERROR(INDEX(Factors_ROT!$F$5:$F$200,MATCH("NACE|"&amp;O133,Factors_ROT!$A$5:$A$200,0)),1)</f>
        <v>1.05</v>
      </c>
      <c r="AW133" s="36">
        <f>IFERROR(INDEX(Factors_ROT!$F$5:$F$200,MATCH("SC_DRV|"&amp;AL133,Factors_ROT!$A$5:$A$200,0)),1)*IFERROR(INDEX(Factors_ROT!$F$5:$F$200,MATCH("SC_BSP|"&amp;AM133,Factors_ROT!$A$5:$A$200,0)),1)*IFERROR(INDEX(Factors_ROT!$F$5:$F$200,MATCH("SC_SEAL|"&amp;AN133,Factors_ROT!$A$5:$A$200,0)),1)*IFERROR(INDEX(Factors_ROT!$F$5:$F$200,MATCH("SC_COMM|"&amp;AO133,Factors_ROT!$A$5:$A$200,0)),1)*IFERROR(INDEX(Factors_ROT!$F$5:$F$200,MATCH("SC_2Y|"&amp;AP133,Factors_ROT!$A$5:$A$200,0)),1)*IFERROR(INDEX(Factors_ROT!$F$5:$F$200,MATCH("SC_TPI|"&amp;AQ133,Factors_ROT!$A$5:$A$200,0)),1)*IFERROR(INDEX(Factors_ROT!$F$5:$F$200,MATCH("SC_FAT|"&amp;AR133,Factors_ROT!$A$5:$A$200,0)),1)</f>
        <v>1</v>
      </c>
      <c r="AX133" s="36">
        <f t="shared" ref="AX133:AX164" si="26">AT133*AU133*AV133*AW133</f>
        <v>1.7849999999999999</v>
      </c>
      <c r="AY133" s="35">
        <f t="shared" ref="AY133:AY164" si="27">IF(ISNUMBER(AB133),AB133/AX133,"")</f>
        <v>42016.806722689078</v>
      </c>
      <c r="AZ133" s="37">
        <f>IFERROR(IF(N(INDEX(Escalation_Index!$B$5:$B$25,MATCH(Y133,Escalation_Index!$A$5:$A$25,0)))&gt;0,INDEX(Escalation_Index!$B$5:$B$25,MATCH(Y133,Escalation_Index!$A$5:$A$25,0)),""),"")</f>
        <v>91.346999999999994</v>
      </c>
      <c r="BA133" s="37">
        <f>IF(ISNUMBER('Assumptions &amp; FX Reference'!$I$12),'Assumptions &amp; FX Reference'!$I$12,"")</f>
        <v>123.416</v>
      </c>
      <c r="BB133" s="33" t="str">
        <f t="shared" ref="BB133:BB150" si="28">IF(AND(M133="API 610",LEFT(V133,11)="Centrifugal",OR(LEFT(G133,2)="S-",LEFT(G133,2)="D-")),"Y","N")</f>
        <v>Y</v>
      </c>
      <c r="BC133" s="35">
        <f t="shared" ref="BC133:BC150" si="29">IF(ISNUMBER(AG133),AG133/AX133,"")</f>
        <v>56767.559071314827</v>
      </c>
      <c r="BD133" s="35">
        <f>IF(AND(ISNUMBER(BC133),ISNUMBER(K133)),IF(K133&gt;0,BC133/K133^'Assumptions &amp; FX Reference'!$I$16,""),"")</f>
        <v>7618.4535339818131</v>
      </c>
      <c r="BE133" s="30" t="s">
        <v>782</v>
      </c>
      <c r="BF133" s="30" t="s">
        <v>783</v>
      </c>
      <c r="BG133" s="30" t="s">
        <v>361</v>
      </c>
    </row>
    <row r="134" spans="1:59" ht="24" customHeight="1">
      <c r="A134" s="30">
        <v>130</v>
      </c>
      <c r="B134" s="30" t="s">
        <v>613</v>
      </c>
      <c r="C134" s="30" t="s">
        <v>682</v>
      </c>
      <c r="D134" s="30" t="s">
        <v>555</v>
      </c>
      <c r="E134" s="30" t="s">
        <v>44</v>
      </c>
      <c r="F134" s="30" t="s">
        <v>188</v>
      </c>
      <c r="G134" s="30" t="s">
        <v>70</v>
      </c>
      <c r="H134" s="31">
        <v>53</v>
      </c>
      <c r="I134" s="31">
        <v>35.700000000000003</v>
      </c>
      <c r="J134" s="31"/>
      <c r="K134" s="32">
        <f>IF(ISNUMBER(J134),J134,IF(AND(ISNUMBER(H134),ISNUMBER(I134)),H134*I134/(367*'Assumptions &amp; FX Reference'!$I$17),""))</f>
        <v>8.5926430517711179</v>
      </c>
      <c r="L134" s="33" t="str">
        <f t="shared" si="24"/>
        <v>ISO 5199 + IPS-M-PM-115</v>
      </c>
      <c r="M134" s="30" t="s">
        <v>615</v>
      </c>
      <c r="N134" s="30" t="s">
        <v>616</v>
      </c>
      <c r="O134" s="38" t="s">
        <v>305</v>
      </c>
      <c r="P134" s="30" t="s">
        <v>119</v>
      </c>
      <c r="Q134" s="30" t="s">
        <v>119</v>
      </c>
      <c r="R134" s="30" t="s">
        <v>119</v>
      </c>
      <c r="S134" s="38" t="s">
        <v>297</v>
      </c>
      <c r="T134" s="30" t="s">
        <v>383</v>
      </c>
      <c r="U134" s="30">
        <v>2</v>
      </c>
      <c r="V134" s="30" t="s">
        <v>299</v>
      </c>
      <c r="W134" s="31">
        <v>2.9</v>
      </c>
      <c r="X134" s="30" t="s">
        <v>119</v>
      </c>
      <c r="Y134" s="30">
        <v>1393</v>
      </c>
      <c r="Z134" s="30" t="s">
        <v>355</v>
      </c>
      <c r="AA134" s="34">
        <v>10000</v>
      </c>
      <c r="AB134" s="35">
        <f>IF(NOT(ISNUMBER(AA134)),"(Not stated)",IF(NOT(ISNUMBER(Y134)),"(Cost year not stated)",IFERROR(IF(Z134="EUR",AA134,IF(Z134="IRR",AA134/INDEX('Assumptions &amp; FX Reference'!$C$5:$C$25,MATCH(Y134,'Assumptions &amp; FX Reference'!$A$5:$A$25,0)),IF(Z134="USD",AA134*INDEX('Assumptions &amp; FX Reference'!$B$5:$B$25,MATCH(Y134,'Assumptions &amp; FX Reference'!$A$5:$A$25,0))/INDEX('Assumptions &amp; FX Reference'!$C$5:$C$25,MATCH(Y134,'Assumptions &amp; FX Reference'!$A$5:$A$25,0)),"(Currency?)"))),"(FX rate missing)")))</f>
        <v>10000</v>
      </c>
      <c r="AC134" s="35">
        <f>IF(NOT(ISNUMBER(AA134)),"(Not stated)",IF(NOT(ISNUMBER(Y134)),"(Cost year not stated)",IFERROR(IF(Z134="USD",AA134,IF(Z134="IRR",AA134/INDEX('Assumptions &amp; FX Reference'!$B$5:$B$25,MATCH(Y134,'Assumptions &amp; FX Reference'!$A$5:$A$25,0)),IF(Z134="EUR",AA134*INDEX('Assumptions &amp; FX Reference'!$C$5:$C$25,MATCH(Y134,'Assumptions &amp; FX Reference'!$A$5:$A$25,0))/INDEX('Assumptions &amp; FX Reference'!$B$5:$B$25,MATCH(Y134,'Assumptions &amp; FX Reference'!$A$5:$A$25,0)),"(Currency?)"))),"(FX rate missing)")))</f>
        <v>13074.451612903225</v>
      </c>
      <c r="AD134" s="35">
        <f>IF(NOT(ISNUMBER(AA134)),"(Not stated)",IF(NOT(ISNUMBER(Y134)),"(Cost year not stated)",IFERROR(IF(Z134="IRR",AA134,IF(Z134="USD",AA134*INDEX('Assumptions &amp; FX Reference'!$B$5:$B$25,MATCH(Y134,'Assumptions &amp; FX Reference'!$A$5:$A$25,0)),IF(Z134="EUR",AA134*INDEX('Assumptions &amp; FX Reference'!$C$5:$C$25,MATCH(Y134,'Assumptions &amp; FX Reference'!$A$5:$A$25,0)),"(Currency?)"))),"(FX rate missing)")))</f>
        <v>405308000</v>
      </c>
      <c r="AE134" s="30" t="s">
        <v>781</v>
      </c>
      <c r="AF134" s="30" t="s">
        <v>204</v>
      </c>
      <c r="AG134" s="35">
        <f>IF(AND(Z134="EUR",N(AA134)&gt;5000000),"(Check currency – excluded)",IF(AND(ISNUMBER(AB134),ISNUMBER(AZ134),ISNUMBER(BA134)),IF(AND(BB134="Y",ISNUMBER('Assumptions &amp; FX Reference'!$I$15)),MAX(AB134*BA134/AZ134,'Assumptions &amp; FX Reference'!$I$13*BA134/'Assumptions &amp; FX Reference'!$I$15),AB134*BA134/AZ134),"(PPI/FX missing)"))</f>
        <v>13510.679058972928</v>
      </c>
      <c r="AH134" s="35">
        <f>IF(AND(ISNUMBER(AG134),ISNUMBER('Assumptions &amp; FX Reference'!$I$8),ISNUMBER('Assumptions &amp; FX Reference'!$I$11)),AG134*'Assumptions &amp; FX Reference'!$I$8/'Assumptions &amp; FX Reference'!$I$11,"")</f>
        <v>14264.346369846295</v>
      </c>
      <c r="AI134" s="35">
        <f>IF(AND(ISNUMBER(AG134),ISNUMBER('Assumptions &amp; FX Reference'!$I$8)),AG134*'Assumptions &amp; FX Reference'!$I$8,"")</f>
        <v>9393542807.9739895</v>
      </c>
      <c r="AJ134" s="30" t="s">
        <v>685</v>
      </c>
      <c r="AK134" s="30" t="s">
        <v>358</v>
      </c>
      <c r="AL134" s="30" t="s">
        <v>119</v>
      </c>
      <c r="AM134" s="30" t="s">
        <v>119</v>
      </c>
      <c r="AN134" s="30" t="s">
        <v>119</v>
      </c>
      <c r="AO134" s="30" t="s">
        <v>119</v>
      </c>
      <c r="AP134" s="30" t="s">
        <v>119</v>
      </c>
      <c r="AQ134" s="30" t="s">
        <v>119</v>
      </c>
      <c r="AR134" s="30" t="s">
        <v>119</v>
      </c>
      <c r="AS134" s="33" t="str">
        <f t="shared" si="25"/>
        <v xml:space="preserve">Seal missing; </v>
      </c>
      <c r="AT134" s="36">
        <f>IFERROR(INDEX(Factors_ROT!$F$5:$F$200,MATCH("MAT|"&amp;G134,Factors_ROT!$A$5:$A$200,0)),1)</f>
        <v>0.8</v>
      </c>
      <c r="AU134" s="36">
        <f>IFERROR(INDEX(Factors_ROT!$F$5:$F$200,MATCH("SEAL_ARR|"&amp;P134,Factors_ROT!$A$5:$A$200,0)),1)*IFERROR(INDEX(Factors_ROT!$F$5:$F$200,MATCH("SEAL_CAT|"&amp;Q134,Factors_ROT!$A$5:$A$200,0)),1)*IFERROR(INDEX(Factors_ROT!$F$5:$F$200,MATCH("SEAL_PLAN|"&amp;R134,Factors_ROT!$A$5:$A$200,0)),1)</f>
        <v>1</v>
      </c>
      <c r="AV134" s="36">
        <f>IFERROR(INDEX(Factors_ROT!$F$5:$F$200,MATCH("DRV|"&amp;S134,Factors_ROT!$A$5:$A$200,0)),1)*IFERROR(INDEX(Factors_ROT!$F$5:$F$200,MATCH("NACE|"&amp;O134,Factors_ROT!$A$5:$A$200,0)),1)</f>
        <v>1</v>
      </c>
      <c r="AW134" s="36">
        <f>IFERROR(INDEX(Factors_ROT!$F$5:$F$200,MATCH("SC_DRV|"&amp;AL134,Factors_ROT!$A$5:$A$200,0)),1)*IFERROR(INDEX(Factors_ROT!$F$5:$F$200,MATCH("SC_BSP|"&amp;AM134,Factors_ROT!$A$5:$A$200,0)),1)*IFERROR(INDEX(Factors_ROT!$F$5:$F$200,MATCH("SC_SEAL|"&amp;AN134,Factors_ROT!$A$5:$A$200,0)),1)*IFERROR(INDEX(Factors_ROT!$F$5:$F$200,MATCH("SC_COMM|"&amp;AO134,Factors_ROT!$A$5:$A$200,0)),1)*IFERROR(INDEX(Factors_ROT!$F$5:$F$200,MATCH("SC_2Y|"&amp;AP134,Factors_ROT!$A$5:$A$200,0)),1)*IFERROR(INDEX(Factors_ROT!$F$5:$F$200,MATCH("SC_TPI|"&amp;AQ134,Factors_ROT!$A$5:$A$200,0)),1)*IFERROR(INDEX(Factors_ROT!$F$5:$F$200,MATCH("SC_FAT|"&amp;AR134,Factors_ROT!$A$5:$A$200,0)),1)</f>
        <v>1</v>
      </c>
      <c r="AX134" s="36">
        <f t="shared" si="26"/>
        <v>0.8</v>
      </c>
      <c r="AY134" s="35">
        <f t="shared" si="27"/>
        <v>12500</v>
      </c>
      <c r="AZ134" s="37">
        <f>IFERROR(IF(N(INDEX(Escalation_Index!$B$5:$B$25,MATCH(Y134,Escalation_Index!$A$5:$A$25,0)))&gt;0,INDEX(Escalation_Index!$B$5:$B$25,MATCH(Y134,Escalation_Index!$A$5:$A$25,0)),""),"")</f>
        <v>91.346999999999994</v>
      </c>
      <c r="BA134" s="37">
        <f>IF(ISNUMBER('Assumptions &amp; FX Reference'!$I$12),'Assumptions &amp; FX Reference'!$I$12,"")</f>
        <v>123.416</v>
      </c>
      <c r="BB134" s="33" t="str">
        <f t="shared" si="28"/>
        <v>N</v>
      </c>
      <c r="BC134" s="35">
        <f t="shared" si="29"/>
        <v>16888.348823716158</v>
      </c>
      <c r="BD134" s="35">
        <f>IF(AND(ISNUMBER(BC134),ISNUMBER(K134)),IF(K134&gt;0,BC134/K134^'Assumptions &amp; FX Reference'!$I$16,""),"")</f>
        <v>4646.3415134265206</v>
      </c>
      <c r="BE134" s="30" t="s">
        <v>784</v>
      </c>
      <c r="BF134" s="30" t="s">
        <v>785</v>
      </c>
      <c r="BG134" s="30" t="s">
        <v>361</v>
      </c>
    </row>
    <row r="135" spans="1:59" ht="24" customHeight="1">
      <c r="A135" s="30">
        <v>131</v>
      </c>
      <c r="B135" s="30" t="s">
        <v>504</v>
      </c>
      <c r="C135" s="30" t="s">
        <v>682</v>
      </c>
      <c r="D135" s="30" t="s">
        <v>690</v>
      </c>
      <c r="E135" s="30" t="s">
        <v>44</v>
      </c>
      <c r="F135" s="30" t="s">
        <v>128</v>
      </c>
      <c r="G135" s="30" t="s">
        <v>70</v>
      </c>
      <c r="H135" s="31">
        <v>53</v>
      </c>
      <c r="I135" s="31">
        <v>122.3</v>
      </c>
      <c r="J135" s="31"/>
      <c r="K135" s="32">
        <f>IF(ISNUMBER(J135),J135,IF(AND(ISNUMBER(H135),ISNUMBER(I135)),H135*I135/(367*'Assumptions &amp; FX Reference'!$I$17),""))</f>
        <v>29.436421435059039</v>
      </c>
      <c r="L135" s="33" t="str">
        <f t="shared" si="24"/>
        <v>API 610 + IPS-G-PM-105</v>
      </c>
      <c r="M135" s="30" t="s">
        <v>470</v>
      </c>
      <c r="N135" s="30" t="s">
        <v>471</v>
      </c>
      <c r="O135" s="38" t="s">
        <v>305</v>
      </c>
      <c r="P135" s="30" t="s">
        <v>119</v>
      </c>
      <c r="Q135" s="30" t="s">
        <v>119</v>
      </c>
      <c r="R135" s="30" t="s">
        <v>119</v>
      </c>
      <c r="S135" s="38" t="s">
        <v>297</v>
      </c>
      <c r="T135" s="30" t="s">
        <v>319</v>
      </c>
      <c r="U135" s="30">
        <v>1</v>
      </c>
      <c r="V135" s="30" t="s">
        <v>299</v>
      </c>
      <c r="W135" s="31">
        <v>12</v>
      </c>
      <c r="X135" s="30" t="s">
        <v>119</v>
      </c>
      <c r="Y135" s="30">
        <v>1393</v>
      </c>
      <c r="Z135" s="30" t="s">
        <v>355</v>
      </c>
      <c r="AA135" s="34">
        <v>15000</v>
      </c>
      <c r="AB135" s="35">
        <f>IF(NOT(ISNUMBER(AA135)),"(Not stated)",IF(NOT(ISNUMBER(Y135)),"(Cost year not stated)",IFERROR(IF(Z135="EUR",AA135,IF(Z135="IRR",AA135/INDEX('Assumptions &amp; FX Reference'!$C$5:$C$25,MATCH(Y135,'Assumptions &amp; FX Reference'!$A$5:$A$25,0)),IF(Z135="USD",AA135*INDEX('Assumptions &amp; FX Reference'!$B$5:$B$25,MATCH(Y135,'Assumptions &amp; FX Reference'!$A$5:$A$25,0))/INDEX('Assumptions &amp; FX Reference'!$C$5:$C$25,MATCH(Y135,'Assumptions &amp; FX Reference'!$A$5:$A$25,0)),"(Currency?)"))),"(FX rate missing)")))</f>
        <v>15000</v>
      </c>
      <c r="AC135" s="35">
        <f>IF(NOT(ISNUMBER(AA135)),"(Not stated)",IF(NOT(ISNUMBER(Y135)),"(Cost year not stated)",IFERROR(IF(Z135="USD",AA135,IF(Z135="IRR",AA135/INDEX('Assumptions &amp; FX Reference'!$B$5:$B$25,MATCH(Y135,'Assumptions &amp; FX Reference'!$A$5:$A$25,0)),IF(Z135="EUR",AA135*INDEX('Assumptions &amp; FX Reference'!$C$5:$C$25,MATCH(Y135,'Assumptions &amp; FX Reference'!$A$5:$A$25,0))/INDEX('Assumptions &amp; FX Reference'!$B$5:$B$25,MATCH(Y135,'Assumptions &amp; FX Reference'!$A$5:$A$25,0)),"(Currency?)"))),"(FX rate missing)")))</f>
        <v>19611.677419354837</v>
      </c>
      <c r="AD135" s="35">
        <f>IF(NOT(ISNUMBER(AA135)),"(Not stated)",IF(NOT(ISNUMBER(Y135)),"(Cost year not stated)",IFERROR(IF(Z135="IRR",AA135,IF(Z135="USD",AA135*INDEX('Assumptions &amp; FX Reference'!$B$5:$B$25,MATCH(Y135,'Assumptions &amp; FX Reference'!$A$5:$A$25,0)),IF(Z135="EUR",AA135*INDEX('Assumptions &amp; FX Reference'!$C$5:$C$25,MATCH(Y135,'Assumptions &amp; FX Reference'!$A$5:$A$25,0)),"(Currency?)"))),"(FX rate missing)")))</f>
        <v>607962000</v>
      </c>
      <c r="AE135" s="30" t="s">
        <v>781</v>
      </c>
      <c r="AF135" s="30" t="s">
        <v>204</v>
      </c>
      <c r="AG135" s="35">
        <f>IF(AND(Z135="EUR",N(AA135)&gt;5000000),"(Check currency – excluded)",IF(AND(ISNUMBER(AB135),ISNUMBER(AZ135),ISNUMBER(BA135)),IF(AND(BB135="Y",ISNUMBER('Assumptions &amp; FX Reference'!$I$15)),MAX(AB135*BA135/AZ135,'Assumptions &amp; FX Reference'!$I$13*BA135/'Assumptions &amp; FX Reference'!$I$15),AB135*BA135/AZ135),"(PPI/FX missing)"))</f>
        <v>20266.018588459392</v>
      </c>
      <c r="AH135" s="35">
        <f>IF(AND(ISNUMBER(AG135),ISNUMBER('Assumptions &amp; FX Reference'!$I$8),ISNUMBER('Assumptions &amp; FX Reference'!$I$11)),AG135*'Assumptions &amp; FX Reference'!$I$8/'Assumptions &amp; FX Reference'!$I$11,"")</f>
        <v>21396.519554769442</v>
      </c>
      <c r="AI135" s="35">
        <f>IF(AND(ISNUMBER(AG135),ISNUMBER('Assumptions &amp; FX Reference'!$I$8)),AG135*'Assumptions &amp; FX Reference'!$I$8,"")</f>
        <v>14090314211.960985</v>
      </c>
      <c r="AJ135" s="30" t="s">
        <v>685</v>
      </c>
      <c r="AK135" s="30" t="s">
        <v>358</v>
      </c>
      <c r="AL135" s="30" t="s">
        <v>119</v>
      </c>
      <c r="AM135" s="30" t="s">
        <v>119</v>
      </c>
      <c r="AN135" s="30" t="s">
        <v>119</v>
      </c>
      <c r="AO135" s="30" t="s">
        <v>119</v>
      </c>
      <c r="AP135" s="30" t="s">
        <v>119</v>
      </c>
      <c r="AQ135" s="30" t="s">
        <v>119</v>
      </c>
      <c r="AR135" s="30" t="s">
        <v>119</v>
      </c>
      <c r="AS135" s="33" t="str">
        <f t="shared" si="25"/>
        <v xml:space="preserve">Seal missing; </v>
      </c>
      <c r="AT135" s="36">
        <f>IFERROR(INDEX(Factors_ROT!$F$5:$F$200,MATCH("MAT|"&amp;G135,Factors_ROT!$A$5:$A$200,0)),1)</f>
        <v>0.8</v>
      </c>
      <c r="AU135" s="36">
        <f>IFERROR(INDEX(Factors_ROT!$F$5:$F$200,MATCH("SEAL_ARR|"&amp;P135,Factors_ROT!$A$5:$A$200,0)),1)*IFERROR(INDEX(Factors_ROT!$F$5:$F$200,MATCH("SEAL_CAT|"&amp;Q135,Factors_ROT!$A$5:$A$200,0)),1)*IFERROR(INDEX(Factors_ROT!$F$5:$F$200,MATCH("SEAL_PLAN|"&amp;R135,Factors_ROT!$A$5:$A$200,0)),1)</f>
        <v>1</v>
      </c>
      <c r="AV135" s="36">
        <f>IFERROR(INDEX(Factors_ROT!$F$5:$F$200,MATCH("DRV|"&amp;S135,Factors_ROT!$A$5:$A$200,0)),1)*IFERROR(INDEX(Factors_ROT!$F$5:$F$200,MATCH("NACE|"&amp;O135,Factors_ROT!$A$5:$A$200,0)),1)</f>
        <v>1</v>
      </c>
      <c r="AW135" s="36">
        <f>IFERROR(INDEX(Factors_ROT!$F$5:$F$200,MATCH("SC_DRV|"&amp;AL135,Factors_ROT!$A$5:$A$200,0)),1)*IFERROR(INDEX(Factors_ROT!$F$5:$F$200,MATCH("SC_BSP|"&amp;AM135,Factors_ROT!$A$5:$A$200,0)),1)*IFERROR(INDEX(Factors_ROT!$F$5:$F$200,MATCH("SC_SEAL|"&amp;AN135,Factors_ROT!$A$5:$A$200,0)),1)*IFERROR(INDEX(Factors_ROT!$F$5:$F$200,MATCH("SC_COMM|"&amp;AO135,Factors_ROT!$A$5:$A$200,0)),1)*IFERROR(INDEX(Factors_ROT!$F$5:$F$200,MATCH("SC_2Y|"&amp;AP135,Factors_ROT!$A$5:$A$200,0)),1)*IFERROR(INDEX(Factors_ROT!$F$5:$F$200,MATCH("SC_TPI|"&amp;AQ135,Factors_ROT!$A$5:$A$200,0)),1)*IFERROR(INDEX(Factors_ROT!$F$5:$F$200,MATCH("SC_FAT|"&amp;AR135,Factors_ROT!$A$5:$A$200,0)),1)</f>
        <v>1</v>
      </c>
      <c r="AX135" s="36">
        <f t="shared" si="26"/>
        <v>0.8</v>
      </c>
      <c r="AY135" s="35">
        <f t="shared" si="27"/>
        <v>18750</v>
      </c>
      <c r="AZ135" s="37">
        <f>IFERROR(IF(N(INDEX(Escalation_Index!$B$5:$B$25,MATCH(Y135,Escalation_Index!$A$5:$A$25,0)))&gt;0,INDEX(Escalation_Index!$B$5:$B$25,MATCH(Y135,Escalation_Index!$A$5:$A$25,0)),""),"")</f>
        <v>91.346999999999994</v>
      </c>
      <c r="BA135" s="37">
        <f>IF(ISNUMBER('Assumptions &amp; FX Reference'!$I$12),'Assumptions &amp; FX Reference'!$I$12,"")</f>
        <v>123.416</v>
      </c>
      <c r="BB135" s="33" t="str">
        <f t="shared" si="28"/>
        <v>N</v>
      </c>
      <c r="BC135" s="35">
        <f t="shared" si="29"/>
        <v>25332.523235574237</v>
      </c>
      <c r="BD135" s="35">
        <f>IF(AND(ISNUMBER(BC135),ISNUMBER(K135)),IF(K135&gt;0,BC135/K135^'Assumptions &amp; FX Reference'!$I$16,""),"")</f>
        <v>3329.2579269193552</v>
      </c>
      <c r="BE135" s="30" t="s">
        <v>786</v>
      </c>
      <c r="BF135" s="30" t="s">
        <v>787</v>
      </c>
      <c r="BG135" s="30" t="s">
        <v>361</v>
      </c>
    </row>
    <row r="136" spans="1:59" ht="24" customHeight="1">
      <c r="A136" s="30">
        <v>132</v>
      </c>
      <c r="B136" s="30" t="s">
        <v>500</v>
      </c>
      <c r="C136" s="30" t="s">
        <v>682</v>
      </c>
      <c r="D136" s="30" t="s">
        <v>693</v>
      </c>
      <c r="E136" s="30" t="s">
        <v>44</v>
      </c>
      <c r="F136" s="30" t="s">
        <v>128</v>
      </c>
      <c r="G136" s="30" t="s">
        <v>70</v>
      </c>
      <c r="H136" s="31">
        <v>31</v>
      </c>
      <c r="I136" s="31">
        <v>122</v>
      </c>
      <c r="J136" s="31"/>
      <c r="K136" s="32">
        <f>IF(ISNUMBER(J136),J136,IF(AND(ISNUMBER(H136),ISNUMBER(I136)),H136*I136/(367*'Assumptions &amp; FX Reference'!$I$17),""))</f>
        <v>17.175295186194369</v>
      </c>
      <c r="L136" s="33" t="str">
        <f t="shared" si="24"/>
        <v>API 610 + IPS-G-PM-105</v>
      </c>
      <c r="M136" s="30" t="s">
        <v>470</v>
      </c>
      <c r="N136" s="30" t="s">
        <v>471</v>
      </c>
      <c r="O136" s="38" t="s">
        <v>305</v>
      </c>
      <c r="P136" s="30" t="s">
        <v>119</v>
      </c>
      <c r="Q136" s="30" t="s">
        <v>119</v>
      </c>
      <c r="R136" s="30" t="s">
        <v>119</v>
      </c>
      <c r="S136" s="38" t="s">
        <v>297</v>
      </c>
      <c r="T136" s="30" t="s">
        <v>319</v>
      </c>
      <c r="U136" s="30">
        <v>2</v>
      </c>
      <c r="V136" s="30" t="s">
        <v>299</v>
      </c>
      <c r="W136" s="31">
        <v>13</v>
      </c>
      <c r="X136" s="30" t="s">
        <v>119</v>
      </c>
      <c r="Y136" s="30">
        <v>1393</v>
      </c>
      <c r="Z136" s="30" t="s">
        <v>355</v>
      </c>
      <c r="AA136" s="34">
        <v>12000</v>
      </c>
      <c r="AB136" s="35">
        <f>IF(NOT(ISNUMBER(AA136)),"(Not stated)",IF(NOT(ISNUMBER(Y136)),"(Cost year not stated)",IFERROR(IF(Z136="EUR",AA136,IF(Z136="IRR",AA136/INDEX('Assumptions &amp; FX Reference'!$C$5:$C$25,MATCH(Y136,'Assumptions &amp; FX Reference'!$A$5:$A$25,0)),IF(Z136="USD",AA136*INDEX('Assumptions &amp; FX Reference'!$B$5:$B$25,MATCH(Y136,'Assumptions &amp; FX Reference'!$A$5:$A$25,0))/INDEX('Assumptions &amp; FX Reference'!$C$5:$C$25,MATCH(Y136,'Assumptions &amp; FX Reference'!$A$5:$A$25,0)),"(Currency?)"))),"(FX rate missing)")))</f>
        <v>12000</v>
      </c>
      <c r="AC136" s="35">
        <f>IF(NOT(ISNUMBER(AA136)),"(Not stated)",IF(NOT(ISNUMBER(Y136)),"(Cost year not stated)",IFERROR(IF(Z136="USD",AA136,IF(Z136="IRR",AA136/INDEX('Assumptions &amp; FX Reference'!$B$5:$B$25,MATCH(Y136,'Assumptions &amp; FX Reference'!$A$5:$A$25,0)),IF(Z136="EUR",AA136*INDEX('Assumptions &amp; FX Reference'!$C$5:$C$25,MATCH(Y136,'Assumptions &amp; FX Reference'!$A$5:$A$25,0))/INDEX('Assumptions &amp; FX Reference'!$B$5:$B$25,MATCH(Y136,'Assumptions &amp; FX Reference'!$A$5:$A$25,0)),"(Currency?)"))),"(FX rate missing)")))</f>
        <v>15689.341935483873</v>
      </c>
      <c r="AD136" s="35">
        <f>IF(NOT(ISNUMBER(AA136)),"(Not stated)",IF(NOT(ISNUMBER(Y136)),"(Cost year not stated)",IFERROR(IF(Z136="IRR",AA136,IF(Z136="USD",AA136*INDEX('Assumptions &amp; FX Reference'!$B$5:$B$25,MATCH(Y136,'Assumptions &amp; FX Reference'!$A$5:$A$25,0)),IF(Z136="EUR",AA136*INDEX('Assumptions &amp; FX Reference'!$C$5:$C$25,MATCH(Y136,'Assumptions &amp; FX Reference'!$A$5:$A$25,0)),"(Currency?)"))),"(FX rate missing)")))</f>
        <v>486369600.00000006</v>
      </c>
      <c r="AE136" s="30" t="s">
        <v>781</v>
      </c>
      <c r="AF136" s="30" t="s">
        <v>204</v>
      </c>
      <c r="AG136" s="35">
        <f>IF(AND(Z136="EUR",N(AA136)&gt;5000000),"(Check currency – excluded)",IF(AND(ISNUMBER(AB136),ISNUMBER(AZ136),ISNUMBER(BA136)),IF(AND(BB136="Y",ISNUMBER('Assumptions &amp; FX Reference'!$I$15)),MAX(AB136*BA136/AZ136,'Assumptions &amp; FX Reference'!$I$13*BA136/'Assumptions &amp; FX Reference'!$I$15),AB136*BA136/AZ136),"(PPI/FX missing)"))</f>
        <v>16212.814870767514</v>
      </c>
      <c r="AH136" s="35">
        <f>IF(AND(ISNUMBER(AG136),ISNUMBER('Assumptions &amp; FX Reference'!$I$8),ISNUMBER('Assumptions &amp; FX Reference'!$I$11)),AG136*'Assumptions &amp; FX Reference'!$I$8/'Assumptions &amp; FX Reference'!$I$11,"")</f>
        <v>17117.215643815554</v>
      </c>
      <c r="AI136" s="35">
        <f>IF(AND(ISNUMBER(AG136),ISNUMBER('Assumptions &amp; FX Reference'!$I$8)),AG136*'Assumptions &amp; FX Reference'!$I$8,"")</f>
        <v>11272251369.568789</v>
      </c>
      <c r="AJ136" s="30" t="s">
        <v>685</v>
      </c>
      <c r="AK136" s="30" t="s">
        <v>358</v>
      </c>
      <c r="AL136" s="30" t="s">
        <v>119</v>
      </c>
      <c r="AM136" s="30" t="s">
        <v>119</v>
      </c>
      <c r="AN136" s="30" t="s">
        <v>119</v>
      </c>
      <c r="AO136" s="30" t="s">
        <v>119</v>
      </c>
      <c r="AP136" s="30" t="s">
        <v>119</v>
      </c>
      <c r="AQ136" s="30" t="s">
        <v>119</v>
      </c>
      <c r="AR136" s="30" t="s">
        <v>119</v>
      </c>
      <c r="AS136" s="33" t="str">
        <f t="shared" si="25"/>
        <v xml:space="preserve">Seal missing; </v>
      </c>
      <c r="AT136" s="36">
        <f>IFERROR(INDEX(Factors_ROT!$F$5:$F$200,MATCH("MAT|"&amp;G136,Factors_ROT!$A$5:$A$200,0)),1)</f>
        <v>0.8</v>
      </c>
      <c r="AU136" s="36">
        <f>IFERROR(INDEX(Factors_ROT!$F$5:$F$200,MATCH("SEAL_ARR|"&amp;P136,Factors_ROT!$A$5:$A$200,0)),1)*IFERROR(INDEX(Factors_ROT!$F$5:$F$200,MATCH("SEAL_CAT|"&amp;Q136,Factors_ROT!$A$5:$A$200,0)),1)*IFERROR(INDEX(Factors_ROT!$F$5:$F$200,MATCH("SEAL_PLAN|"&amp;R136,Factors_ROT!$A$5:$A$200,0)),1)</f>
        <v>1</v>
      </c>
      <c r="AV136" s="36">
        <f>IFERROR(INDEX(Factors_ROT!$F$5:$F$200,MATCH("DRV|"&amp;S136,Factors_ROT!$A$5:$A$200,0)),1)*IFERROR(INDEX(Factors_ROT!$F$5:$F$200,MATCH("NACE|"&amp;O136,Factors_ROT!$A$5:$A$200,0)),1)</f>
        <v>1</v>
      </c>
      <c r="AW136" s="36">
        <f>IFERROR(INDEX(Factors_ROT!$F$5:$F$200,MATCH("SC_DRV|"&amp;AL136,Factors_ROT!$A$5:$A$200,0)),1)*IFERROR(INDEX(Factors_ROT!$F$5:$F$200,MATCH("SC_BSP|"&amp;AM136,Factors_ROT!$A$5:$A$200,0)),1)*IFERROR(INDEX(Factors_ROT!$F$5:$F$200,MATCH("SC_SEAL|"&amp;AN136,Factors_ROT!$A$5:$A$200,0)),1)*IFERROR(INDEX(Factors_ROT!$F$5:$F$200,MATCH("SC_COMM|"&amp;AO136,Factors_ROT!$A$5:$A$200,0)),1)*IFERROR(INDEX(Factors_ROT!$F$5:$F$200,MATCH("SC_2Y|"&amp;AP136,Factors_ROT!$A$5:$A$200,0)),1)*IFERROR(INDEX(Factors_ROT!$F$5:$F$200,MATCH("SC_TPI|"&amp;AQ136,Factors_ROT!$A$5:$A$200,0)),1)*IFERROR(INDEX(Factors_ROT!$F$5:$F$200,MATCH("SC_FAT|"&amp;AR136,Factors_ROT!$A$5:$A$200,0)),1)</f>
        <v>1</v>
      </c>
      <c r="AX136" s="36">
        <f t="shared" si="26"/>
        <v>0.8</v>
      </c>
      <c r="AY136" s="35">
        <f t="shared" si="27"/>
        <v>15000</v>
      </c>
      <c r="AZ136" s="37">
        <f>IFERROR(IF(N(INDEX(Escalation_Index!$B$5:$B$25,MATCH(Y136,Escalation_Index!$A$5:$A$25,0)))&gt;0,INDEX(Escalation_Index!$B$5:$B$25,MATCH(Y136,Escalation_Index!$A$5:$A$25,0)),""),"")</f>
        <v>91.346999999999994</v>
      </c>
      <c r="BA136" s="37">
        <f>IF(ISNUMBER('Assumptions &amp; FX Reference'!$I$12),'Assumptions &amp; FX Reference'!$I$12,"")</f>
        <v>123.416</v>
      </c>
      <c r="BB136" s="33" t="str">
        <f t="shared" si="28"/>
        <v>N</v>
      </c>
      <c r="BC136" s="35">
        <f t="shared" si="29"/>
        <v>20266.018588459392</v>
      </c>
      <c r="BD136" s="35">
        <f>IF(AND(ISNUMBER(BC136),ISNUMBER(K136)),IF(K136&gt;0,BC136/K136^'Assumptions &amp; FX Reference'!$I$16,""),"")</f>
        <v>3679.814367490123</v>
      </c>
      <c r="BE136" s="30" t="s">
        <v>788</v>
      </c>
      <c r="BF136" s="30" t="s">
        <v>789</v>
      </c>
      <c r="BG136" s="30" t="s">
        <v>361</v>
      </c>
    </row>
    <row r="137" spans="1:59" ht="24" customHeight="1">
      <c r="A137" s="30">
        <v>133</v>
      </c>
      <c r="B137" s="30" t="s">
        <v>696</v>
      </c>
      <c r="C137" s="30" t="s">
        <v>682</v>
      </c>
      <c r="D137" s="30" t="s">
        <v>489</v>
      </c>
      <c r="E137" s="30" t="s">
        <v>47</v>
      </c>
      <c r="F137" s="30" t="s">
        <v>149</v>
      </c>
      <c r="G137" s="30" t="s">
        <v>111</v>
      </c>
      <c r="H137" s="31">
        <v>91</v>
      </c>
      <c r="I137" s="31">
        <v>650</v>
      </c>
      <c r="J137" s="31"/>
      <c r="K137" s="32">
        <f>IF(ISNUMBER(J137),J137,IF(AND(ISNUMBER(H137),ISNUMBER(I137)),H137*I137/(367*'Assumptions &amp; FX Reference'!$I$17),""))</f>
        <v>268.61943687556766</v>
      </c>
      <c r="L137" s="33" t="str">
        <f t="shared" si="24"/>
        <v>API 610 + IPS-G-PM-105 + NACE MR0175</v>
      </c>
      <c r="M137" s="30" t="s">
        <v>470</v>
      </c>
      <c r="N137" s="30" t="s">
        <v>471</v>
      </c>
      <c r="O137" s="30" t="s">
        <v>361</v>
      </c>
      <c r="P137" s="30" t="s">
        <v>119</v>
      </c>
      <c r="Q137" s="30" t="s">
        <v>119</v>
      </c>
      <c r="R137" s="30" t="s">
        <v>119</v>
      </c>
      <c r="S137" s="38" t="s">
        <v>297</v>
      </c>
      <c r="T137" s="30" t="s">
        <v>326</v>
      </c>
      <c r="U137" s="30">
        <v>2</v>
      </c>
      <c r="V137" s="30" t="s">
        <v>299</v>
      </c>
      <c r="W137" s="31">
        <v>72.8</v>
      </c>
      <c r="X137" s="30" t="s">
        <v>119</v>
      </c>
      <c r="Y137" s="30">
        <v>1393</v>
      </c>
      <c r="Z137" s="30" t="s">
        <v>355</v>
      </c>
      <c r="AA137" s="34">
        <v>260000</v>
      </c>
      <c r="AB137" s="35">
        <f>IF(NOT(ISNUMBER(AA137)),"(Not stated)",IF(NOT(ISNUMBER(Y137)),"(Cost year not stated)",IFERROR(IF(Z137="EUR",AA137,IF(Z137="IRR",AA137/INDEX('Assumptions &amp; FX Reference'!$C$5:$C$25,MATCH(Y137,'Assumptions &amp; FX Reference'!$A$5:$A$25,0)),IF(Z137="USD",AA137*INDEX('Assumptions &amp; FX Reference'!$B$5:$B$25,MATCH(Y137,'Assumptions &amp; FX Reference'!$A$5:$A$25,0))/INDEX('Assumptions &amp; FX Reference'!$C$5:$C$25,MATCH(Y137,'Assumptions &amp; FX Reference'!$A$5:$A$25,0)),"(Currency?)"))),"(FX rate missing)")))</f>
        <v>260000</v>
      </c>
      <c r="AC137" s="35">
        <f>IF(NOT(ISNUMBER(AA137)),"(Not stated)",IF(NOT(ISNUMBER(Y137)),"(Cost year not stated)",IFERROR(IF(Z137="USD",AA137,IF(Z137="IRR",AA137/INDEX('Assumptions &amp; FX Reference'!$B$5:$B$25,MATCH(Y137,'Assumptions &amp; FX Reference'!$A$5:$A$25,0)),IF(Z137="EUR",AA137*INDEX('Assumptions &amp; FX Reference'!$C$5:$C$25,MATCH(Y137,'Assumptions &amp; FX Reference'!$A$5:$A$25,0))/INDEX('Assumptions &amp; FX Reference'!$B$5:$B$25,MATCH(Y137,'Assumptions &amp; FX Reference'!$A$5:$A$25,0)),"(Currency?)"))),"(FX rate missing)")))</f>
        <v>339935.74193548388</v>
      </c>
      <c r="AD137" s="35">
        <f>IF(NOT(ISNUMBER(AA137)),"(Not stated)",IF(NOT(ISNUMBER(Y137)),"(Cost year not stated)",IFERROR(IF(Z137="IRR",AA137,IF(Z137="USD",AA137*INDEX('Assumptions &amp; FX Reference'!$B$5:$B$25,MATCH(Y137,'Assumptions &amp; FX Reference'!$A$5:$A$25,0)),IF(Z137="EUR",AA137*INDEX('Assumptions &amp; FX Reference'!$C$5:$C$25,MATCH(Y137,'Assumptions &amp; FX Reference'!$A$5:$A$25,0)),"(Currency?)"))),"(FX rate missing)")))</f>
        <v>10538008000</v>
      </c>
      <c r="AE137" s="30" t="s">
        <v>781</v>
      </c>
      <c r="AF137" s="30" t="s">
        <v>204</v>
      </c>
      <c r="AG137" s="35">
        <f>IF(AND(Z137="EUR",N(AA137)&gt;5000000),"(Check currency – excluded)",IF(AND(ISNUMBER(AB137),ISNUMBER(AZ137),ISNUMBER(BA137)),IF(AND(BB137="Y",ISNUMBER('Assumptions &amp; FX Reference'!$I$15)),MAX(AB137*BA137/AZ137,'Assumptions &amp; FX Reference'!$I$13*BA137/'Assumptions &amp; FX Reference'!$I$15),AB137*BA137/AZ137),"(PPI/FX missing)"))</f>
        <v>351277.65553329611</v>
      </c>
      <c r="AH137" s="35">
        <f>IF(AND(ISNUMBER(AG137),ISNUMBER('Assumptions &amp; FX Reference'!$I$8),ISNUMBER('Assumptions &amp; FX Reference'!$I$11)),AG137*'Assumptions &amp; FX Reference'!$I$8/'Assumptions &amp; FX Reference'!$I$11,"")</f>
        <v>370873.00561600365</v>
      </c>
      <c r="AI137" s="35">
        <f>IF(AND(ISNUMBER(AG137),ISNUMBER('Assumptions &amp; FX Reference'!$I$8)),AG137*'Assumptions &amp; FX Reference'!$I$8,"")</f>
        <v>244232113007.32373</v>
      </c>
      <c r="AJ137" s="30" t="s">
        <v>685</v>
      </c>
      <c r="AK137" s="30" t="s">
        <v>358</v>
      </c>
      <c r="AL137" s="30" t="s">
        <v>119</v>
      </c>
      <c r="AM137" s="30" t="s">
        <v>119</v>
      </c>
      <c r="AN137" s="30" t="s">
        <v>119</v>
      </c>
      <c r="AO137" s="30" t="s">
        <v>119</v>
      </c>
      <c r="AP137" s="30" t="s">
        <v>119</v>
      </c>
      <c r="AQ137" s="30" t="s">
        <v>119</v>
      </c>
      <c r="AR137" s="30" t="s">
        <v>119</v>
      </c>
      <c r="AS137" s="33" t="str">
        <f t="shared" si="25"/>
        <v xml:space="preserve">Seal missing; </v>
      </c>
      <c r="AT137" s="36">
        <f>IFERROR(INDEX(Factors_ROT!$F$5:$F$200,MATCH("MAT|"&amp;G137,Factors_ROT!$A$5:$A$200,0)),1)</f>
        <v>1.9</v>
      </c>
      <c r="AU137" s="36">
        <f>IFERROR(INDEX(Factors_ROT!$F$5:$F$200,MATCH("SEAL_ARR|"&amp;P137,Factors_ROT!$A$5:$A$200,0)),1)*IFERROR(INDEX(Factors_ROT!$F$5:$F$200,MATCH("SEAL_CAT|"&amp;Q137,Factors_ROT!$A$5:$A$200,0)),1)*IFERROR(INDEX(Factors_ROT!$F$5:$F$200,MATCH("SEAL_PLAN|"&amp;R137,Factors_ROT!$A$5:$A$200,0)),1)</f>
        <v>1</v>
      </c>
      <c r="AV137" s="36">
        <f>IFERROR(INDEX(Factors_ROT!$F$5:$F$200,MATCH("DRV|"&amp;S137,Factors_ROT!$A$5:$A$200,0)),1)*IFERROR(INDEX(Factors_ROT!$F$5:$F$200,MATCH("NACE|"&amp;O137,Factors_ROT!$A$5:$A$200,0)),1)</f>
        <v>1.05</v>
      </c>
      <c r="AW137" s="36">
        <f>IFERROR(INDEX(Factors_ROT!$F$5:$F$200,MATCH("SC_DRV|"&amp;AL137,Factors_ROT!$A$5:$A$200,0)),1)*IFERROR(INDEX(Factors_ROT!$F$5:$F$200,MATCH("SC_BSP|"&amp;AM137,Factors_ROT!$A$5:$A$200,0)),1)*IFERROR(INDEX(Factors_ROT!$F$5:$F$200,MATCH("SC_SEAL|"&amp;AN137,Factors_ROT!$A$5:$A$200,0)),1)*IFERROR(INDEX(Factors_ROT!$F$5:$F$200,MATCH("SC_COMM|"&amp;AO137,Factors_ROT!$A$5:$A$200,0)),1)*IFERROR(INDEX(Factors_ROT!$F$5:$F$200,MATCH("SC_2Y|"&amp;AP137,Factors_ROT!$A$5:$A$200,0)),1)*IFERROR(INDEX(Factors_ROT!$F$5:$F$200,MATCH("SC_TPI|"&amp;AQ137,Factors_ROT!$A$5:$A$200,0)),1)*IFERROR(INDEX(Factors_ROT!$F$5:$F$200,MATCH("SC_FAT|"&amp;AR137,Factors_ROT!$A$5:$A$200,0)),1)</f>
        <v>1</v>
      </c>
      <c r="AX137" s="36">
        <f t="shared" si="26"/>
        <v>1.9949999999999999</v>
      </c>
      <c r="AY137" s="35">
        <f t="shared" si="27"/>
        <v>130325.81453634085</v>
      </c>
      <c r="AZ137" s="37">
        <f>IFERROR(IF(N(INDEX(Escalation_Index!$B$5:$B$25,MATCH(Y137,Escalation_Index!$A$5:$A$25,0)))&gt;0,INDEX(Escalation_Index!$B$5:$B$25,MATCH(Y137,Escalation_Index!$A$5:$A$25,0)),""),"")</f>
        <v>91.346999999999994</v>
      </c>
      <c r="BA137" s="37">
        <f>IF(ISNUMBER('Assumptions &amp; FX Reference'!$I$12),'Assumptions &amp; FX Reference'!$I$12,"")</f>
        <v>123.416</v>
      </c>
      <c r="BB137" s="33" t="str">
        <f t="shared" si="28"/>
        <v>Y</v>
      </c>
      <c r="BC137" s="35">
        <f t="shared" si="29"/>
        <v>176079.025329973</v>
      </c>
      <c r="BD137" s="35">
        <f>IF(AND(ISNUMBER(BC137),ISNUMBER(K137)),IF(K137&gt;0,BC137/K137^'Assumptions &amp; FX Reference'!$I$16,""),"")</f>
        <v>6140.8029962141718</v>
      </c>
      <c r="BE137" s="30" t="s">
        <v>790</v>
      </c>
      <c r="BF137" s="30" t="s">
        <v>791</v>
      </c>
      <c r="BG137" s="30" t="s">
        <v>361</v>
      </c>
    </row>
    <row r="138" spans="1:59" ht="24" customHeight="1">
      <c r="A138" s="30">
        <v>134</v>
      </c>
      <c r="B138" s="30" t="s">
        <v>481</v>
      </c>
      <c r="C138" s="30" t="s">
        <v>682</v>
      </c>
      <c r="D138" s="30" t="s">
        <v>493</v>
      </c>
      <c r="E138" s="30" t="s">
        <v>50</v>
      </c>
      <c r="F138" s="30" t="s">
        <v>188</v>
      </c>
      <c r="G138" s="30" t="s">
        <v>107</v>
      </c>
      <c r="H138" s="31">
        <v>5</v>
      </c>
      <c r="I138" s="31"/>
      <c r="J138" s="31"/>
      <c r="K138" s="32" t="str">
        <f>IF(ISNUMBER(J138),J138,IF(AND(ISNUMBER(H138),ISNUMBER(I138)),H138*I138/(367*'Assumptions &amp; FX Reference'!$I$17),""))</f>
        <v/>
      </c>
      <c r="L138" s="33" t="str">
        <f t="shared" si="24"/>
        <v>API 676 + IPS-M-PM-140 + NACE MR0175</v>
      </c>
      <c r="M138" s="30" t="s">
        <v>483</v>
      </c>
      <c r="N138" s="30" t="s">
        <v>484</v>
      </c>
      <c r="O138" s="30" t="s">
        <v>361</v>
      </c>
      <c r="P138" s="30" t="s">
        <v>119</v>
      </c>
      <c r="Q138" s="30" t="s">
        <v>119</v>
      </c>
      <c r="R138" s="30" t="s">
        <v>119</v>
      </c>
      <c r="S138" s="38" t="s">
        <v>297</v>
      </c>
      <c r="T138" s="30" t="s">
        <v>424</v>
      </c>
      <c r="U138" s="30">
        <v>2</v>
      </c>
      <c r="V138" s="30" t="s">
        <v>485</v>
      </c>
      <c r="W138" s="31">
        <v>8</v>
      </c>
      <c r="X138" s="30" t="s">
        <v>119</v>
      </c>
      <c r="Y138" s="30">
        <v>1393</v>
      </c>
      <c r="Z138" s="30" t="s">
        <v>355</v>
      </c>
      <c r="AA138" s="34">
        <v>10000</v>
      </c>
      <c r="AB138" s="35">
        <f>IF(NOT(ISNUMBER(AA138)),"(Not stated)",IF(NOT(ISNUMBER(Y138)),"(Cost year not stated)",IFERROR(IF(Z138="EUR",AA138,IF(Z138="IRR",AA138/INDEX('Assumptions &amp; FX Reference'!$C$5:$C$25,MATCH(Y138,'Assumptions &amp; FX Reference'!$A$5:$A$25,0)),IF(Z138="USD",AA138*INDEX('Assumptions &amp; FX Reference'!$B$5:$B$25,MATCH(Y138,'Assumptions &amp; FX Reference'!$A$5:$A$25,0))/INDEX('Assumptions &amp; FX Reference'!$C$5:$C$25,MATCH(Y138,'Assumptions &amp; FX Reference'!$A$5:$A$25,0)),"(Currency?)"))),"(FX rate missing)")))</f>
        <v>10000</v>
      </c>
      <c r="AC138" s="35">
        <f>IF(NOT(ISNUMBER(AA138)),"(Not stated)",IF(NOT(ISNUMBER(Y138)),"(Cost year not stated)",IFERROR(IF(Z138="USD",AA138,IF(Z138="IRR",AA138/INDEX('Assumptions &amp; FX Reference'!$B$5:$B$25,MATCH(Y138,'Assumptions &amp; FX Reference'!$A$5:$A$25,0)),IF(Z138="EUR",AA138*INDEX('Assumptions &amp; FX Reference'!$C$5:$C$25,MATCH(Y138,'Assumptions &amp; FX Reference'!$A$5:$A$25,0))/INDEX('Assumptions &amp; FX Reference'!$B$5:$B$25,MATCH(Y138,'Assumptions &amp; FX Reference'!$A$5:$A$25,0)),"(Currency?)"))),"(FX rate missing)")))</f>
        <v>13074.451612903225</v>
      </c>
      <c r="AD138" s="35">
        <f>IF(NOT(ISNUMBER(AA138)),"(Not stated)",IF(NOT(ISNUMBER(Y138)),"(Cost year not stated)",IFERROR(IF(Z138="IRR",AA138,IF(Z138="USD",AA138*INDEX('Assumptions &amp; FX Reference'!$B$5:$B$25,MATCH(Y138,'Assumptions &amp; FX Reference'!$A$5:$A$25,0)),IF(Z138="EUR",AA138*INDEX('Assumptions &amp; FX Reference'!$C$5:$C$25,MATCH(Y138,'Assumptions &amp; FX Reference'!$A$5:$A$25,0)),"(Currency?)"))),"(FX rate missing)")))</f>
        <v>405308000</v>
      </c>
      <c r="AE138" s="30" t="s">
        <v>781</v>
      </c>
      <c r="AF138" s="30" t="s">
        <v>204</v>
      </c>
      <c r="AG138" s="35">
        <f>IF(AND(Z138="EUR",N(AA138)&gt;5000000),"(Check currency – excluded)",IF(AND(ISNUMBER(AB138),ISNUMBER(AZ138),ISNUMBER(BA138)),IF(AND(BB138="Y",ISNUMBER('Assumptions &amp; FX Reference'!$I$15)),MAX(AB138*BA138/AZ138,'Assumptions &amp; FX Reference'!$I$13*BA138/'Assumptions &amp; FX Reference'!$I$15),AB138*BA138/AZ138),"(PPI/FX missing)"))</f>
        <v>13510.679058972928</v>
      </c>
      <c r="AH138" s="35">
        <f>IF(AND(ISNUMBER(AG138),ISNUMBER('Assumptions &amp; FX Reference'!$I$8),ISNUMBER('Assumptions &amp; FX Reference'!$I$11)),AG138*'Assumptions &amp; FX Reference'!$I$8/'Assumptions &amp; FX Reference'!$I$11,"")</f>
        <v>14264.346369846295</v>
      </c>
      <c r="AI138" s="35">
        <f>IF(AND(ISNUMBER(AG138),ISNUMBER('Assumptions &amp; FX Reference'!$I$8)),AG138*'Assumptions &amp; FX Reference'!$I$8,"")</f>
        <v>9393542807.9739895</v>
      </c>
      <c r="AJ138" s="30" t="s">
        <v>685</v>
      </c>
      <c r="AK138" s="30" t="s">
        <v>358</v>
      </c>
      <c r="AL138" s="30" t="s">
        <v>119</v>
      </c>
      <c r="AM138" s="30" t="s">
        <v>119</v>
      </c>
      <c r="AN138" s="30" t="s">
        <v>119</v>
      </c>
      <c r="AO138" s="30" t="s">
        <v>119</v>
      </c>
      <c r="AP138" s="30" t="s">
        <v>119</v>
      </c>
      <c r="AQ138" s="30" t="s">
        <v>119</v>
      </c>
      <c r="AR138" s="30" t="s">
        <v>119</v>
      </c>
      <c r="AS138" s="33" t="str">
        <f t="shared" si="25"/>
        <v xml:space="preserve">Seal missing; Size driver missing; </v>
      </c>
      <c r="AT138" s="36">
        <f>IFERROR(INDEX(Factors_ROT!$F$5:$F$200,MATCH("MAT|"&amp;G138,Factors_ROT!$A$5:$A$200,0)),1)</f>
        <v>1.7</v>
      </c>
      <c r="AU138" s="36">
        <f>IFERROR(INDEX(Factors_ROT!$F$5:$F$200,MATCH("SEAL_ARR|"&amp;P138,Factors_ROT!$A$5:$A$200,0)),1)*IFERROR(INDEX(Factors_ROT!$F$5:$F$200,MATCH("SEAL_CAT|"&amp;Q138,Factors_ROT!$A$5:$A$200,0)),1)*IFERROR(INDEX(Factors_ROT!$F$5:$F$200,MATCH("SEAL_PLAN|"&amp;R138,Factors_ROT!$A$5:$A$200,0)),1)</f>
        <v>1</v>
      </c>
      <c r="AV138" s="36">
        <f>IFERROR(INDEX(Factors_ROT!$F$5:$F$200,MATCH("DRV|"&amp;S138,Factors_ROT!$A$5:$A$200,0)),1)*IFERROR(INDEX(Factors_ROT!$F$5:$F$200,MATCH("NACE|"&amp;O138,Factors_ROT!$A$5:$A$200,0)),1)</f>
        <v>1.05</v>
      </c>
      <c r="AW138" s="36">
        <f>IFERROR(INDEX(Factors_ROT!$F$5:$F$200,MATCH("SC_DRV|"&amp;AL138,Factors_ROT!$A$5:$A$200,0)),1)*IFERROR(INDEX(Factors_ROT!$F$5:$F$200,MATCH("SC_BSP|"&amp;AM138,Factors_ROT!$A$5:$A$200,0)),1)*IFERROR(INDEX(Factors_ROT!$F$5:$F$200,MATCH("SC_SEAL|"&amp;AN138,Factors_ROT!$A$5:$A$200,0)),1)*IFERROR(INDEX(Factors_ROT!$F$5:$F$200,MATCH("SC_COMM|"&amp;AO138,Factors_ROT!$A$5:$A$200,0)),1)*IFERROR(INDEX(Factors_ROT!$F$5:$F$200,MATCH("SC_2Y|"&amp;AP138,Factors_ROT!$A$5:$A$200,0)),1)*IFERROR(INDEX(Factors_ROT!$F$5:$F$200,MATCH("SC_TPI|"&amp;AQ138,Factors_ROT!$A$5:$A$200,0)),1)*IFERROR(INDEX(Factors_ROT!$F$5:$F$200,MATCH("SC_FAT|"&amp;AR138,Factors_ROT!$A$5:$A$200,0)),1)</f>
        <v>1</v>
      </c>
      <c r="AX138" s="36">
        <f t="shared" si="26"/>
        <v>1.7849999999999999</v>
      </c>
      <c r="AY138" s="35">
        <f t="shared" si="27"/>
        <v>5602.240896358544</v>
      </c>
      <c r="AZ138" s="37">
        <f>IFERROR(IF(N(INDEX(Escalation_Index!$B$5:$B$25,MATCH(Y138,Escalation_Index!$A$5:$A$25,0)))&gt;0,INDEX(Escalation_Index!$B$5:$B$25,MATCH(Y138,Escalation_Index!$A$5:$A$25,0)),""),"")</f>
        <v>91.346999999999994</v>
      </c>
      <c r="BA138" s="37">
        <f>IF(ISNUMBER('Assumptions &amp; FX Reference'!$I$12),'Assumptions &amp; FX Reference'!$I$12,"")</f>
        <v>123.416</v>
      </c>
      <c r="BB138" s="33" t="str">
        <f t="shared" si="28"/>
        <v>N</v>
      </c>
      <c r="BC138" s="35">
        <f t="shared" si="29"/>
        <v>7569.0078761753102</v>
      </c>
      <c r="BD138" s="35" t="str">
        <f>IF(AND(ISNUMBER(BC138),ISNUMBER(K138)),IF(K138&gt;0,BC138/K138^'Assumptions &amp; FX Reference'!$I$16,""),"")</f>
        <v/>
      </c>
      <c r="BE138" s="30" t="s">
        <v>792</v>
      </c>
      <c r="BF138" s="30" t="s">
        <v>793</v>
      </c>
      <c r="BG138" s="30" t="s">
        <v>361</v>
      </c>
    </row>
    <row r="139" spans="1:59" ht="24" customHeight="1">
      <c r="A139" s="30">
        <v>135</v>
      </c>
      <c r="B139" s="30" t="s">
        <v>702</v>
      </c>
      <c r="C139" s="30" t="s">
        <v>682</v>
      </c>
      <c r="D139" s="30" t="s">
        <v>703</v>
      </c>
      <c r="E139" s="30" t="s">
        <v>47</v>
      </c>
      <c r="F139" s="30" t="s">
        <v>128</v>
      </c>
      <c r="G139" s="30" t="s">
        <v>111</v>
      </c>
      <c r="H139" s="31">
        <v>15</v>
      </c>
      <c r="I139" s="31">
        <v>27</v>
      </c>
      <c r="J139" s="31"/>
      <c r="K139" s="32">
        <f>IF(ISNUMBER(J139),J139,IF(AND(ISNUMBER(H139),ISNUMBER(I139)),H139*I139/(367*'Assumptions &amp; FX Reference'!$I$17),""))</f>
        <v>1.8392370572207086</v>
      </c>
      <c r="L139" s="33" t="str">
        <f t="shared" si="24"/>
        <v>API 610 + IPS-G-PM-105</v>
      </c>
      <c r="M139" s="30" t="s">
        <v>470</v>
      </c>
      <c r="N139" s="30" t="s">
        <v>471</v>
      </c>
      <c r="O139" s="38" t="s">
        <v>305</v>
      </c>
      <c r="P139" s="30" t="s">
        <v>119</v>
      </c>
      <c r="Q139" s="30" t="s">
        <v>119</v>
      </c>
      <c r="R139" s="30" t="s">
        <v>119</v>
      </c>
      <c r="S139" s="38" t="s">
        <v>297</v>
      </c>
      <c r="T139" s="30" t="s">
        <v>326</v>
      </c>
      <c r="U139" s="30">
        <v>2</v>
      </c>
      <c r="V139" s="30" t="s">
        <v>299</v>
      </c>
      <c r="W139" s="31">
        <v>3.2</v>
      </c>
      <c r="X139" s="30" t="s">
        <v>119</v>
      </c>
      <c r="Y139" s="30">
        <v>1393</v>
      </c>
      <c r="Z139" s="30" t="s">
        <v>355</v>
      </c>
      <c r="AA139" s="34">
        <v>35000</v>
      </c>
      <c r="AB139" s="35">
        <f>IF(NOT(ISNUMBER(AA139)),"(Not stated)",IF(NOT(ISNUMBER(Y139)),"(Cost year not stated)",IFERROR(IF(Z139="EUR",AA139,IF(Z139="IRR",AA139/INDEX('Assumptions &amp; FX Reference'!$C$5:$C$25,MATCH(Y139,'Assumptions &amp; FX Reference'!$A$5:$A$25,0)),IF(Z139="USD",AA139*INDEX('Assumptions &amp; FX Reference'!$B$5:$B$25,MATCH(Y139,'Assumptions &amp; FX Reference'!$A$5:$A$25,0))/INDEX('Assumptions &amp; FX Reference'!$C$5:$C$25,MATCH(Y139,'Assumptions &amp; FX Reference'!$A$5:$A$25,0)),"(Currency?)"))),"(FX rate missing)")))</f>
        <v>35000</v>
      </c>
      <c r="AC139" s="35">
        <f>IF(NOT(ISNUMBER(AA139)),"(Not stated)",IF(NOT(ISNUMBER(Y139)),"(Cost year not stated)",IFERROR(IF(Z139="USD",AA139,IF(Z139="IRR",AA139/INDEX('Assumptions &amp; FX Reference'!$B$5:$B$25,MATCH(Y139,'Assumptions &amp; FX Reference'!$A$5:$A$25,0)),IF(Z139="EUR",AA139*INDEX('Assumptions &amp; FX Reference'!$C$5:$C$25,MATCH(Y139,'Assumptions &amp; FX Reference'!$A$5:$A$25,0))/INDEX('Assumptions &amp; FX Reference'!$B$5:$B$25,MATCH(Y139,'Assumptions &amp; FX Reference'!$A$5:$A$25,0)),"(Currency?)"))),"(FX rate missing)")))</f>
        <v>45760.580645161288</v>
      </c>
      <c r="AD139" s="35">
        <f>IF(NOT(ISNUMBER(AA139)),"(Not stated)",IF(NOT(ISNUMBER(Y139)),"(Cost year not stated)",IFERROR(IF(Z139="IRR",AA139,IF(Z139="USD",AA139*INDEX('Assumptions &amp; FX Reference'!$B$5:$B$25,MATCH(Y139,'Assumptions &amp; FX Reference'!$A$5:$A$25,0)),IF(Z139="EUR",AA139*INDEX('Assumptions &amp; FX Reference'!$C$5:$C$25,MATCH(Y139,'Assumptions &amp; FX Reference'!$A$5:$A$25,0)),"(Currency?)"))),"(FX rate missing)")))</f>
        <v>1418578000</v>
      </c>
      <c r="AE139" s="30" t="s">
        <v>781</v>
      </c>
      <c r="AF139" s="30" t="s">
        <v>204</v>
      </c>
      <c r="AG139" s="35">
        <f>IF(AND(Z139="EUR",N(AA139)&gt;5000000),"(Check currency – excluded)",IF(AND(ISNUMBER(AB139),ISNUMBER(AZ139),ISNUMBER(BA139)),IF(AND(BB139="Y",ISNUMBER('Assumptions &amp; FX Reference'!$I$15)),MAX(AB139*BA139/AZ139,'Assumptions &amp; FX Reference'!$I$13*BA139/'Assumptions &amp; FX Reference'!$I$15),AB139*BA139/AZ139),"(PPI/FX missing)"))</f>
        <v>47287.376706405252</v>
      </c>
      <c r="AH139" s="35">
        <f>IF(AND(ISNUMBER(AG139),ISNUMBER('Assumptions &amp; FX Reference'!$I$8),ISNUMBER('Assumptions &amp; FX Reference'!$I$11)),AG139*'Assumptions &amp; FX Reference'!$I$8/'Assumptions &amp; FX Reference'!$I$11,"")</f>
        <v>49925.212294462035</v>
      </c>
      <c r="AI139" s="35">
        <f>IF(AND(ISNUMBER(AG139),ISNUMBER('Assumptions &amp; FX Reference'!$I$8)),AG139*'Assumptions &amp; FX Reference'!$I$8,"")</f>
        <v>32877399827.908966</v>
      </c>
      <c r="AJ139" s="30" t="s">
        <v>685</v>
      </c>
      <c r="AK139" s="30" t="s">
        <v>358</v>
      </c>
      <c r="AL139" s="30" t="s">
        <v>119</v>
      </c>
      <c r="AM139" s="30" t="s">
        <v>119</v>
      </c>
      <c r="AN139" s="30" t="s">
        <v>119</v>
      </c>
      <c r="AO139" s="30" t="s">
        <v>119</v>
      </c>
      <c r="AP139" s="30" t="s">
        <v>119</v>
      </c>
      <c r="AQ139" s="30" t="s">
        <v>119</v>
      </c>
      <c r="AR139" s="30" t="s">
        <v>119</v>
      </c>
      <c r="AS139" s="33" t="str">
        <f t="shared" si="25"/>
        <v xml:space="preserve">Seal missing; </v>
      </c>
      <c r="AT139" s="36">
        <f>IFERROR(INDEX(Factors_ROT!$F$5:$F$200,MATCH("MAT|"&amp;G139,Factors_ROT!$A$5:$A$200,0)),1)</f>
        <v>1.9</v>
      </c>
      <c r="AU139" s="36">
        <f>IFERROR(INDEX(Factors_ROT!$F$5:$F$200,MATCH("SEAL_ARR|"&amp;P139,Factors_ROT!$A$5:$A$200,0)),1)*IFERROR(INDEX(Factors_ROT!$F$5:$F$200,MATCH("SEAL_CAT|"&amp;Q139,Factors_ROT!$A$5:$A$200,0)),1)*IFERROR(INDEX(Factors_ROT!$F$5:$F$200,MATCH("SEAL_PLAN|"&amp;R139,Factors_ROT!$A$5:$A$200,0)),1)</f>
        <v>1</v>
      </c>
      <c r="AV139" s="36">
        <f>IFERROR(INDEX(Factors_ROT!$F$5:$F$200,MATCH("DRV|"&amp;S139,Factors_ROT!$A$5:$A$200,0)),1)*IFERROR(INDEX(Factors_ROT!$F$5:$F$200,MATCH("NACE|"&amp;O139,Factors_ROT!$A$5:$A$200,0)),1)</f>
        <v>1</v>
      </c>
      <c r="AW139" s="36">
        <f>IFERROR(INDEX(Factors_ROT!$F$5:$F$200,MATCH("SC_DRV|"&amp;AL139,Factors_ROT!$A$5:$A$200,0)),1)*IFERROR(INDEX(Factors_ROT!$F$5:$F$200,MATCH("SC_BSP|"&amp;AM139,Factors_ROT!$A$5:$A$200,0)),1)*IFERROR(INDEX(Factors_ROT!$F$5:$F$200,MATCH("SC_SEAL|"&amp;AN139,Factors_ROT!$A$5:$A$200,0)),1)*IFERROR(INDEX(Factors_ROT!$F$5:$F$200,MATCH("SC_COMM|"&amp;AO139,Factors_ROT!$A$5:$A$200,0)),1)*IFERROR(INDEX(Factors_ROT!$F$5:$F$200,MATCH("SC_2Y|"&amp;AP139,Factors_ROT!$A$5:$A$200,0)),1)*IFERROR(INDEX(Factors_ROT!$F$5:$F$200,MATCH("SC_TPI|"&amp;AQ139,Factors_ROT!$A$5:$A$200,0)),1)*IFERROR(INDEX(Factors_ROT!$F$5:$F$200,MATCH("SC_FAT|"&amp;AR139,Factors_ROT!$A$5:$A$200,0)),1)</f>
        <v>1</v>
      </c>
      <c r="AX139" s="36">
        <f t="shared" si="26"/>
        <v>1.9</v>
      </c>
      <c r="AY139" s="35">
        <f t="shared" si="27"/>
        <v>18421.052631578947</v>
      </c>
      <c r="AZ139" s="37">
        <f>IFERROR(IF(N(INDEX(Escalation_Index!$B$5:$B$25,MATCH(Y139,Escalation_Index!$A$5:$A$25,0)))&gt;0,INDEX(Escalation_Index!$B$5:$B$25,MATCH(Y139,Escalation_Index!$A$5:$A$25,0)),""),"")</f>
        <v>91.346999999999994</v>
      </c>
      <c r="BA139" s="37">
        <f>IF(ISNUMBER('Assumptions &amp; FX Reference'!$I$12),'Assumptions &amp; FX Reference'!$I$12,"")</f>
        <v>123.416</v>
      </c>
      <c r="BB139" s="33" t="str">
        <f t="shared" si="28"/>
        <v>Y</v>
      </c>
      <c r="BC139" s="35">
        <f t="shared" si="29"/>
        <v>24888.093003371185</v>
      </c>
      <c r="BD139" s="35">
        <f>IF(AND(ISNUMBER(BC139),ISNUMBER(K139)),IF(K139&gt;0,BC139/K139^'Assumptions &amp; FX Reference'!$I$16,""),"")</f>
        <v>17266.686181055182</v>
      </c>
      <c r="BE139" s="30" t="s">
        <v>794</v>
      </c>
      <c r="BF139" s="30" t="s">
        <v>795</v>
      </c>
      <c r="BG139" s="30" t="s">
        <v>361</v>
      </c>
    </row>
    <row r="140" spans="1:59" ht="24" customHeight="1">
      <c r="A140" s="30">
        <v>136</v>
      </c>
      <c r="B140" s="30" t="s">
        <v>696</v>
      </c>
      <c r="C140" s="30" t="s">
        <v>682</v>
      </c>
      <c r="D140" s="30" t="s">
        <v>706</v>
      </c>
      <c r="E140" s="30" t="s">
        <v>47</v>
      </c>
      <c r="F140" s="30" t="s">
        <v>149</v>
      </c>
      <c r="G140" s="30" t="s">
        <v>111</v>
      </c>
      <c r="H140" s="31">
        <v>44</v>
      </c>
      <c r="I140" s="31">
        <v>385</v>
      </c>
      <c r="J140" s="31"/>
      <c r="K140" s="32">
        <f>IF(ISNUMBER(J140),J140,IF(AND(ISNUMBER(H140),ISNUMBER(I140)),H140*I140/(367*'Assumptions &amp; FX Reference'!$I$17),""))</f>
        <v>76.93006357856494</v>
      </c>
      <c r="L140" s="33" t="str">
        <f t="shared" si="24"/>
        <v>API 610 + IPS-G-PM-105 + NACE MR0175</v>
      </c>
      <c r="M140" s="30" t="s">
        <v>470</v>
      </c>
      <c r="N140" s="30" t="s">
        <v>471</v>
      </c>
      <c r="O140" s="30" t="s">
        <v>361</v>
      </c>
      <c r="P140" s="30" t="s">
        <v>119</v>
      </c>
      <c r="Q140" s="30" t="s">
        <v>119</v>
      </c>
      <c r="R140" s="30" t="s">
        <v>119</v>
      </c>
      <c r="S140" s="38" t="s">
        <v>297</v>
      </c>
      <c r="T140" s="30" t="s">
        <v>326</v>
      </c>
      <c r="U140" s="30">
        <v>3</v>
      </c>
      <c r="V140" s="30" t="s">
        <v>299</v>
      </c>
      <c r="W140" s="31">
        <v>48.2</v>
      </c>
      <c r="X140" s="30" t="s">
        <v>119</v>
      </c>
      <c r="Y140" s="30">
        <v>1393</v>
      </c>
      <c r="Z140" s="30" t="s">
        <v>355</v>
      </c>
      <c r="AA140" s="34">
        <v>180000</v>
      </c>
      <c r="AB140" s="35">
        <f>IF(NOT(ISNUMBER(AA140)),"(Not stated)",IF(NOT(ISNUMBER(Y140)),"(Cost year not stated)",IFERROR(IF(Z140="EUR",AA140,IF(Z140="IRR",AA140/INDEX('Assumptions &amp; FX Reference'!$C$5:$C$25,MATCH(Y140,'Assumptions &amp; FX Reference'!$A$5:$A$25,0)),IF(Z140="USD",AA140*INDEX('Assumptions &amp; FX Reference'!$B$5:$B$25,MATCH(Y140,'Assumptions &amp; FX Reference'!$A$5:$A$25,0))/INDEX('Assumptions &amp; FX Reference'!$C$5:$C$25,MATCH(Y140,'Assumptions &amp; FX Reference'!$A$5:$A$25,0)),"(Currency?)"))),"(FX rate missing)")))</f>
        <v>180000</v>
      </c>
      <c r="AC140" s="35">
        <f>IF(NOT(ISNUMBER(AA140)),"(Not stated)",IF(NOT(ISNUMBER(Y140)),"(Cost year not stated)",IFERROR(IF(Z140="USD",AA140,IF(Z140="IRR",AA140/INDEX('Assumptions &amp; FX Reference'!$B$5:$B$25,MATCH(Y140,'Assumptions &amp; FX Reference'!$A$5:$A$25,0)),IF(Z140="EUR",AA140*INDEX('Assumptions &amp; FX Reference'!$C$5:$C$25,MATCH(Y140,'Assumptions &amp; FX Reference'!$A$5:$A$25,0))/INDEX('Assumptions &amp; FX Reference'!$B$5:$B$25,MATCH(Y140,'Assumptions &amp; FX Reference'!$A$5:$A$25,0)),"(Currency?)"))),"(FX rate missing)")))</f>
        <v>235340.12903225809</v>
      </c>
      <c r="AD140" s="35">
        <f>IF(NOT(ISNUMBER(AA140)),"(Not stated)",IF(NOT(ISNUMBER(Y140)),"(Cost year not stated)",IFERROR(IF(Z140="IRR",AA140,IF(Z140="USD",AA140*INDEX('Assumptions &amp; FX Reference'!$B$5:$B$25,MATCH(Y140,'Assumptions &amp; FX Reference'!$A$5:$A$25,0)),IF(Z140="EUR",AA140*INDEX('Assumptions &amp; FX Reference'!$C$5:$C$25,MATCH(Y140,'Assumptions &amp; FX Reference'!$A$5:$A$25,0)),"(Currency?)"))),"(FX rate missing)")))</f>
        <v>7295544000.000001</v>
      </c>
      <c r="AE140" s="30" t="s">
        <v>781</v>
      </c>
      <c r="AF140" s="30" t="s">
        <v>204</v>
      </c>
      <c r="AG140" s="35">
        <f>IF(AND(Z140="EUR",N(AA140)&gt;5000000),"(Check currency – excluded)",IF(AND(ISNUMBER(AB140),ISNUMBER(AZ140),ISNUMBER(BA140)),IF(AND(BB140="Y",ISNUMBER('Assumptions &amp; FX Reference'!$I$15)),MAX(AB140*BA140/AZ140,'Assumptions &amp; FX Reference'!$I$13*BA140/'Assumptions &amp; FX Reference'!$I$15),AB140*BA140/AZ140),"(PPI/FX missing)"))</f>
        <v>243192.22306151272</v>
      </c>
      <c r="AH140" s="35">
        <f>IF(AND(ISNUMBER(AG140),ISNUMBER('Assumptions &amp; FX Reference'!$I$8),ISNUMBER('Assumptions &amp; FX Reference'!$I$11)),AG140*'Assumptions &amp; FX Reference'!$I$8/'Assumptions &amp; FX Reference'!$I$11,"")</f>
        <v>256758.23465723332</v>
      </c>
      <c r="AI140" s="35">
        <f>IF(AND(ISNUMBER(AG140),ISNUMBER('Assumptions &amp; FX Reference'!$I$8)),AG140*'Assumptions &amp; FX Reference'!$I$8,"")</f>
        <v>169083770543.53183</v>
      </c>
      <c r="AJ140" s="30" t="s">
        <v>685</v>
      </c>
      <c r="AK140" s="30" t="s">
        <v>358</v>
      </c>
      <c r="AL140" s="30" t="s">
        <v>119</v>
      </c>
      <c r="AM140" s="30" t="s">
        <v>119</v>
      </c>
      <c r="AN140" s="30" t="s">
        <v>119</v>
      </c>
      <c r="AO140" s="30" t="s">
        <v>119</v>
      </c>
      <c r="AP140" s="30" t="s">
        <v>119</v>
      </c>
      <c r="AQ140" s="30" t="s">
        <v>119</v>
      </c>
      <c r="AR140" s="30" t="s">
        <v>119</v>
      </c>
      <c r="AS140" s="33" t="str">
        <f t="shared" si="25"/>
        <v xml:space="preserve">Seal missing; </v>
      </c>
      <c r="AT140" s="36">
        <f>IFERROR(INDEX(Factors_ROT!$F$5:$F$200,MATCH("MAT|"&amp;G140,Factors_ROT!$A$5:$A$200,0)),1)</f>
        <v>1.9</v>
      </c>
      <c r="AU140" s="36">
        <f>IFERROR(INDEX(Factors_ROT!$F$5:$F$200,MATCH("SEAL_ARR|"&amp;P140,Factors_ROT!$A$5:$A$200,0)),1)*IFERROR(INDEX(Factors_ROT!$F$5:$F$200,MATCH("SEAL_CAT|"&amp;Q140,Factors_ROT!$A$5:$A$200,0)),1)*IFERROR(INDEX(Factors_ROT!$F$5:$F$200,MATCH("SEAL_PLAN|"&amp;R140,Factors_ROT!$A$5:$A$200,0)),1)</f>
        <v>1</v>
      </c>
      <c r="AV140" s="36">
        <f>IFERROR(INDEX(Factors_ROT!$F$5:$F$200,MATCH("DRV|"&amp;S140,Factors_ROT!$A$5:$A$200,0)),1)*IFERROR(INDEX(Factors_ROT!$F$5:$F$200,MATCH("NACE|"&amp;O140,Factors_ROT!$A$5:$A$200,0)),1)</f>
        <v>1.05</v>
      </c>
      <c r="AW140" s="36">
        <f>IFERROR(INDEX(Factors_ROT!$F$5:$F$200,MATCH("SC_DRV|"&amp;AL140,Factors_ROT!$A$5:$A$200,0)),1)*IFERROR(INDEX(Factors_ROT!$F$5:$F$200,MATCH("SC_BSP|"&amp;AM140,Factors_ROT!$A$5:$A$200,0)),1)*IFERROR(INDEX(Factors_ROT!$F$5:$F$200,MATCH("SC_SEAL|"&amp;AN140,Factors_ROT!$A$5:$A$200,0)),1)*IFERROR(INDEX(Factors_ROT!$F$5:$F$200,MATCH("SC_COMM|"&amp;AO140,Factors_ROT!$A$5:$A$200,0)),1)*IFERROR(INDEX(Factors_ROT!$F$5:$F$200,MATCH("SC_2Y|"&amp;AP140,Factors_ROT!$A$5:$A$200,0)),1)*IFERROR(INDEX(Factors_ROT!$F$5:$F$200,MATCH("SC_TPI|"&amp;AQ140,Factors_ROT!$A$5:$A$200,0)),1)*IFERROR(INDEX(Factors_ROT!$F$5:$F$200,MATCH("SC_FAT|"&amp;AR140,Factors_ROT!$A$5:$A$200,0)),1)</f>
        <v>1</v>
      </c>
      <c r="AX140" s="36">
        <f t="shared" si="26"/>
        <v>1.9949999999999999</v>
      </c>
      <c r="AY140" s="35">
        <f t="shared" si="27"/>
        <v>90225.563909774442</v>
      </c>
      <c r="AZ140" s="37">
        <f>IFERROR(IF(N(INDEX(Escalation_Index!$B$5:$B$25,MATCH(Y140,Escalation_Index!$A$5:$A$25,0)))&gt;0,INDEX(Escalation_Index!$B$5:$B$25,MATCH(Y140,Escalation_Index!$A$5:$A$25,0)),""),"")</f>
        <v>91.346999999999994</v>
      </c>
      <c r="BA140" s="37">
        <f>IF(ISNUMBER('Assumptions &amp; FX Reference'!$I$12),'Assumptions &amp; FX Reference'!$I$12,"")</f>
        <v>123.416</v>
      </c>
      <c r="BB140" s="33" t="str">
        <f t="shared" si="28"/>
        <v>Y</v>
      </c>
      <c r="BC140" s="35">
        <f t="shared" si="29"/>
        <v>121900.86368998131</v>
      </c>
      <c r="BD140" s="35">
        <f>IF(AND(ISNUMBER(BC140),ISNUMBER(K140)),IF(K140&gt;0,BC140/K140^'Assumptions &amp; FX Reference'!$I$16,""),"")</f>
        <v>9002.2097533155666</v>
      </c>
      <c r="BE140" s="30" t="s">
        <v>796</v>
      </c>
      <c r="BF140" s="30" t="s">
        <v>797</v>
      </c>
      <c r="BG140" s="30" t="s">
        <v>361</v>
      </c>
    </row>
    <row r="141" spans="1:59" ht="24" customHeight="1">
      <c r="A141" s="30">
        <v>137</v>
      </c>
      <c r="B141" s="30" t="s">
        <v>508</v>
      </c>
      <c r="C141" s="30" t="s">
        <v>682</v>
      </c>
      <c r="D141" s="30" t="s">
        <v>501</v>
      </c>
      <c r="E141" s="30" t="s">
        <v>50</v>
      </c>
      <c r="F141" s="30" t="s">
        <v>128</v>
      </c>
      <c r="G141" s="30" t="s">
        <v>86</v>
      </c>
      <c r="H141" s="31">
        <v>10</v>
      </c>
      <c r="I141" s="31">
        <v>40</v>
      </c>
      <c r="J141" s="31"/>
      <c r="K141" s="32">
        <f>IF(ISNUMBER(J141),J141,IF(AND(ISNUMBER(H141),ISNUMBER(I141)),H141*I141/(367*'Assumptions &amp; FX Reference'!$I$17),""))</f>
        <v>1.8165304268846505</v>
      </c>
      <c r="L141" s="33" t="str">
        <f t="shared" si="24"/>
        <v>API 610 + IPS-G-PM-105</v>
      </c>
      <c r="M141" s="30" t="s">
        <v>470</v>
      </c>
      <c r="N141" s="30" t="s">
        <v>471</v>
      </c>
      <c r="O141" s="38" t="s">
        <v>305</v>
      </c>
      <c r="P141" s="30" t="s">
        <v>119</v>
      </c>
      <c r="Q141" s="30" t="s">
        <v>119</v>
      </c>
      <c r="R141" s="30" t="s">
        <v>119</v>
      </c>
      <c r="S141" s="38" t="s">
        <v>297</v>
      </c>
      <c r="T141" s="30" t="s">
        <v>334</v>
      </c>
      <c r="U141" s="30">
        <v>2</v>
      </c>
      <c r="V141" s="30" t="s">
        <v>299</v>
      </c>
      <c r="W141" s="31">
        <v>6.8</v>
      </c>
      <c r="X141" s="30" t="s">
        <v>119</v>
      </c>
      <c r="Y141" s="30">
        <v>1393</v>
      </c>
      <c r="Z141" s="30" t="s">
        <v>355</v>
      </c>
      <c r="AA141" s="34">
        <v>15000</v>
      </c>
      <c r="AB141" s="35">
        <f>IF(NOT(ISNUMBER(AA141)),"(Not stated)",IF(NOT(ISNUMBER(Y141)),"(Cost year not stated)",IFERROR(IF(Z141="EUR",AA141,IF(Z141="IRR",AA141/INDEX('Assumptions &amp; FX Reference'!$C$5:$C$25,MATCH(Y141,'Assumptions &amp; FX Reference'!$A$5:$A$25,0)),IF(Z141="USD",AA141*INDEX('Assumptions &amp; FX Reference'!$B$5:$B$25,MATCH(Y141,'Assumptions &amp; FX Reference'!$A$5:$A$25,0))/INDEX('Assumptions &amp; FX Reference'!$C$5:$C$25,MATCH(Y141,'Assumptions &amp; FX Reference'!$A$5:$A$25,0)),"(Currency?)"))),"(FX rate missing)")))</f>
        <v>15000</v>
      </c>
      <c r="AC141" s="35">
        <f>IF(NOT(ISNUMBER(AA141)),"(Not stated)",IF(NOT(ISNUMBER(Y141)),"(Cost year not stated)",IFERROR(IF(Z141="USD",AA141,IF(Z141="IRR",AA141/INDEX('Assumptions &amp; FX Reference'!$B$5:$B$25,MATCH(Y141,'Assumptions &amp; FX Reference'!$A$5:$A$25,0)),IF(Z141="EUR",AA141*INDEX('Assumptions &amp; FX Reference'!$C$5:$C$25,MATCH(Y141,'Assumptions &amp; FX Reference'!$A$5:$A$25,0))/INDEX('Assumptions &amp; FX Reference'!$B$5:$B$25,MATCH(Y141,'Assumptions &amp; FX Reference'!$A$5:$A$25,0)),"(Currency?)"))),"(FX rate missing)")))</f>
        <v>19611.677419354837</v>
      </c>
      <c r="AD141" s="35">
        <f>IF(NOT(ISNUMBER(AA141)),"(Not stated)",IF(NOT(ISNUMBER(Y141)),"(Cost year not stated)",IFERROR(IF(Z141="IRR",AA141,IF(Z141="USD",AA141*INDEX('Assumptions &amp; FX Reference'!$B$5:$B$25,MATCH(Y141,'Assumptions &amp; FX Reference'!$A$5:$A$25,0)),IF(Z141="EUR",AA141*INDEX('Assumptions &amp; FX Reference'!$C$5:$C$25,MATCH(Y141,'Assumptions &amp; FX Reference'!$A$5:$A$25,0)),"(Currency?)"))),"(FX rate missing)")))</f>
        <v>607962000</v>
      </c>
      <c r="AE141" s="30" t="s">
        <v>781</v>
      </c>
      <c r="AF141" s="30" t="s">
        <v>204</v>
      </c>
      <c r="AG141" s="35">
        <f>IF(AND(Z141="EUR",N(AA141)&gt;5000000),"(Check currency – excluded)",IF(AND(ISNUMBER(AB141),ISNUMBER(AZ141),ISNUMBER(BA141)),IF(AND(BB141="Y",ISNUMBER('Assumptions &amp; FX Reference'!$I$15)),MAX(AB141*BA141/AZ141,'Assumptions &amp; FX Reference'!$I$13*BA141/'Assumptions &amp; FX Reference'!$I$15),AB141*BA141/AZ141),"(PPI/FX missing)"))</f>
        <v>25000</v>
      </c>
      <c r="AH141" s="35">
        <f>IF(AND(ISNUMBER(AG141),ISNUMBER('Assumptions &amp; FX Reference'!$I$8),ISNUMBER('Assumptions &amp; FX Reference'!$I$11)),AG141*'Assumptions &amp; FX Reference'!$I$8/'Assumptions &amp; FX Reference'!$I$11,"")</f>
        <v>26394.577037141647</v>
      </c>
      <c r="AI141" s="35">
        <f>IF(AND(ISNUMBER(AG141),ISNUMBER('Assumptions &amp; FX Reference'!$I$8)),AG141*'Assumptions &amp; FX Reference'!$I$8,"")</f>
        <v>17381700000</v>
      </c>
      <c r="AJ141" s="30" t="s">
        <v>685</v>
      </c>
      <c r="AK141" s="30" t="s">
        <v>358</v>
      </c>
      <c r="AL141" s="30" t="s">
        <v>119</v>
      </c>
      <c r="AM141" s="30" t="s">
        <v>119</v>
      </c>
      <c r="AN141" s="30" t="s">
        <v>119</v>
      </c>
      <c r="AO141" s="30" t="s">
        <v>119</v>
      </c>
      <c r="AP141" s="30" t="s">
        <v>119</v>
      </c>
      <c r="AQ141" s="30" t="s">
        <v>119</v>
      </c>
      <c r="AR141" s="30" t="s">
        <v>119</v>
      </c>
      <c r="AS141" s="33" t="str">
        <f t="shared" si="25"/>
        <v xml:space="preserve">Seal missing; </v>
      </c>
      <c r="AT141" s="36">
        <f>IFERROR(INDEX(Factors_ROT!$F$5:$F$200,MATCH("MAT|"&amp;G141,Factors_ROT!$A$5:$A$200,0)),1)</f>
        <v>1.1000000000000001</v>
      </c>
      <c r="AU141" s="36">
        <f>IFERROR(INDEX(Factors_ROT!$F$5:$F$200,MATCH("SEAL_ARR|"&amp;P141,Factors_ROT!$A$5:$A$200,0)),1)*IFERROR(INDEX(Factors_ROT!$F$5:$F$200,MATCH("SEAL_CAT|"&amp;Q141,Factors_ROT!$A$5:$A$200,0)),1)*IFERROR(INDEX(Factors_ROT!$F$5:$F$200,MATCH("SEAL_PLAN|"&amp;R141,Factors_ROT!$A$5:$A$200,0)),1)</f>
        <v>1</v>
      </c>
      <c r="AV141" s="36">
        <f>IFERROR(INDEX(Factors_ROT!$F$5:$F$200,MATCH("DRV|"&amp;S141,Factors_ROT!$A$5:$A$200,0)),1)*IFERROR(INDEX(Factors_ROT!$F$5:$F$200,MATCH("NACE|"&amp;O141,Factors_ROT!$A$5:$A$200,0)),1)</f>
        <v>1</v>
      </c>
      <c r="AW141" s="36">
        <f>IFERROR(INDEX(Factors_ROT!$F$5:$F$200,MATCH("SC_DRV|"&amp;AL141,Factors_ROT!$A$5:$A$200,0)),1)*IFERROR(INDEX(Factors_ROT!$F$5:$F$200,MATCH("SC_BSP|"&amp;AM141,Factors_ROT!$A$5:$A$200,0)),1)*IFERROR(INDEX(Factors_ROT!$F$5:$F$200,MATCH("SC_SEAL|"&amp;AN141,Factors_ROT!$A$5:$A$200,0)),1)*IFERROR(INDEX(Factors_ROT!$F$5:$F$200,MATCH("SC_COMM|"&amp;AO141,Factors_ROT!$A$5:$A$200,0)),1)*IFERROR(INDEX(Factors_ROT!$F$5:$F$200,MATCH("SC_2Y|"&amp;AP141,Factors_ROT!$A$5:$A$200,0)),1)*IFERROR(INDEX(Factors_ROT!$F$5:$F$200,MATCH("SC_TPI|"&amp;AQ141,Factors_ROT!$A$5:$A$200,0)),1)*IFERROR(INDEX(Factors_ROT!$F$5:$F$200,MATCH("SC_FAT|"&amp;AR141,Factors_ROT!$A$5:$A$200,0)),1)</f>
        <v>1</v>
      </c>
      <c r="AX141" s="36">
        <f t="shared" si="26"/>
        <v>1.1000000000000001</v>
      </c>
      <c r="AY141" s="35">
        <f t="shared" si="27"/>
        <v>13636.363636363636</v>
      </c>
      <c r="AZ141" s="37">
        <f>IFERROR(IF(N(INDEX(Escalation_Index!$B$5:$B$25,MATCH(Y141,Escalation_Index!$A$5:$A$25,0)))&gt;0,INDEX(Escalation_Index!$B$5:$B$25,MATCH(Y141,Escalation_Index!$A$5:$A$25,0)),""),"")</f>
        <v>91.346999999999994</v>
      </c>
      <c r="BA141" s="37">
        <f>IF(ISNUMBER('Assumptions &amp; FX Reference'!$I$12),'Assumptions &amp; FX Reference'!$I$12,"")</f>
        <v>123.416</v>
      </c>
      <c r="BB141" s="33" t="str">
        <f t="shared" si="28"/>
        <v>Y</v>
      </c>
      <c r="BC141" s="35">
        <f t="shared" si="29"/>
        <v>22727.272727272724</v>
      </c>
      <c r="BD141" s="35">
        <f>IF(AND(ISNUMBER(BC141),ISNUMBER(K141)),IF(K141&gt;0,BC141/K141^'Assumptions &amp; FX Reference'!$I$16,""),"")</f>
        <v>15885.530308144002</v>
      </c>
      <c r="BE141" s="30" t="s">
        <v>798</v>
      </c>
      <c r="BF141" s="30" t="s">
        <v>799</v>
      </c>
      <c r="BG141" s="30" t="s">
        <v>361</v>
      </c>
    </row>
    <row r="142" spans="1:59" ht="24" customHeight="1">
      <c r="A142" s="30">
        <v>138</v>
      </c>
      <c r="B142" s="30" t="s">
        <v>521</v>
      </c>
      <c r="C142" s="30" t="s">
        <v>682</v>
      </c>
      <c r="D142" s="30" t="s">
        <v>573</v>
      </c>
      <c r="E142" s="30" t="s">
        <v>50</v>
      </c>
      <c r="F142" s="30" t="s">
        <v>128</v>
      </c>
      <c r="G142" s="30" t="s">
        <v>111</v>
      </c>
      <c r="H142" s="31">
        <v>25</v>
      </c>
      <c r="I142" s="31">
        <v>55</v>
      </c>
      <c r="J142" s="31"/>
      <c r="K142" s="32">
        <f>IF(ISNUMBER(J142),J142,IF(AND(ISNUMBER(H142),ISNUMBER(I142)),H142*I142/(367*'Assumptions &amp; FX Reference'!$I$17),""))</f>
        <v>6.2443233424159859</v>
      </c>
      <c r="L142" s="33" t="str">
        <f t="shared" si="24"/>
        <v>API 610 + IPS-G-PM-105 + NACE MR0175</v>
      </c>
      <c r="M142" s="30" t="s">
        <v>470</v>
      </c>
      <c r="N142" s="30" t="s">
        <v>471</v>
      </c>
      <c r="O142" s="30" t="s">
        <v>361</v>
      </c>
      <c r="P142" s="30" t="s">
        <v>119</v>
      </c>
      <c r="Q142" s="30" t="s">
        <v>119</v>
      </c>
      <c r="R142" s="30" t="s">
        <v>119</v>
      </c>
      <c r="S142" s="38" t="s">
        <v>297</v>
      </c>
      <c r="T142" s="30" t="s">
        <v>334</v>
      </c>
      <c r="U142" s="30">
        <v>2</v>
      </c>
      <c r="V142" s="30" t="s">
        <v>299</v>
      </c>
      <c r="W142" s="31">
        <v>5</v>
      </c>
      <c r="X142" s="30" t="s">
        <v>119</v>
      </c>
      <c r="Y142" s="30">
        <v>1393</v>
      </c>
      <c r="Z142" s="30" t="s">
        <v>355</v>
      </c>
      <c r="AA142" s="34">
        <v>32000</v>
      </c>
      <c r="AB142" s="35">
        <f>IF(NOT(ISNUMBER(AA142)),"(Not stated)",IF(NOT(ISNUMBER(Y142)),"(Cost year not stated)",IFERROR(IF(Z142="EUR",AA142,IF(Z142="IRR",AA142/INDEX('Assumptions &amp; FX Reference'!$C$5:$C$25,MATCH(Y142,'Assumptions &amp; FX Reference'!$A$5:$A$25,0)),IF(Z142="USD",AA142*INDEX('Assumptions &amp; FX Reference'!$B$5:$B$25,MATCH(Y142,'Assumptions &amp; FX Reference'!$A$5:$A$25,0))/INDEX('Assumptions &amp; FX Reference'!$C$5:$C$25,MATCH(Y142,'Assumptions &amp; FX Reference'!$A$5:$A$25,0)),"(Currency?)"))),"(FX rate missing)")))</f>
        <v>32000</v>
      </c>
      <c r="AC142" s="35">
        <f>IF(NOT(ISNUMBER(AA142)),"(Not stated)",IF(NOT(ISNUMBER(Y142)),"(Cost year not stated)",IFERROR(IF(Z142="USD",AA142,IF(Z142="IRR",AA142/INDEX('Assumptions &amp; FX Reference'!$B$5:$B$25,MATCH(Y142,'Assumptions &amp; FX Reference'!$A$5:$A$25,0)),IF(Z142="EUR",AA142*INDEX('Assumptions &amp; FX Reference'!$C$5:$C$25,MATCH(Y142,'Assumptions &amp; FX Reference'!$A$5:$A$25,0))/INDEX('Assumptions &amp; FX Reference'!$B$5:$B$25,MATCH(Y142,'Assumptions &amp; FX Reference'!$A$5:$A$25,0)),"(Currency?)"))),"(FX rate missing)")))</f>
        <v>41838.245161290324</v>
      </c>
      <c r="AD142" s="35">
        <f>IF(NOT(ISNUMBER(AA142)),"(Not stated)",IF(NOT(ISNUMBER(Y142)),"(Cost year not stated)",IFERROR(IF(Z142="IRR",AA142,IF(Z142="USD",AA142*INDEX('Assumptions &amp; FX Reference'!$B$5:$B$25,MATCH(Y142,'Assumptions &amp; FX Reference'!$A$5:$A$25,0)),IF(Z142="EUR",AA142*INDEX('Assumptions &amp; FX Reference'!$C$5:$C$25,MATCH(Y142,'Assumptions &amp; FX Reference'!$A$5:$A$25,0)),"(Currency?)"))),"(FX rate missing)")))</f>
        <v>1296985600</v>
      </c>
      <c r="AE142" s="30" t="s">
        <v>781</v>
      </c>
      <c r="AF142" s="30" t="s">
        <v>204</v>
      </c>
      <c r="AG142" s="35">
        <f>IF(AND(Z142="EUR",N(AA142)&gt;5000000),"(Check currency – excluded)",IF(AND(ISNUMBER(AB142),ISNUMBER(AZ142),ISNUMBER(BA142)),IF(AND(BB142="Y",ISNUMBER('Assumptions &amp; FX Reference'!$I$15)),MAX(AB142*BA142/AZ142,'Assumptions &amp; FX Reference'!$I$13*BA142/'Assumptions &amp; FX Reference'!$I$15),AB142*BA142/AZ142),"(PPI/FX missing)"))</f>
        <v>43234.17298871337</v>
      </c>
      <c r="AH142" s="35">
        <f>IF(AND(ISNUMBER(AG142),ISNUMBER('Assumptions &amp; FX Reference'!$I$8),ISNUMBER('Assumptions &amp; FX Reference'!$I$11)),AG142*'Assumptions &amp; FX Reference'!$I$8/'Assumptions &amp; FX Reference'!$I$11,"")</f>
        <v>45645.90838350814</v>
      </c>
      <c r="AI142" s="35">
        <f>IF(AND(ISNUMBER(AG142),ISNUMBER('Assumptions &amp; FX Reference'!$I$8)),AG142*'Assumptions &amp; FX Reference'!$I$8,"")</f>
        <v>30059336985.516766</v>
      </c>
      <c r="AJ142" s="30" t="s">
        <v>685</v>
      </c>
      <c r="AK142" s="30" t="s">
        <v>358</v>
      </c>
      <c r="AL142" s="30" t="s">
        <v>119</v>
      </c>
      <c r="AM142" s="30" t="s">
        <v>119</v>
      </c>
      <c r="AN142" s="30" t="s">
        <v>119</v>
      </c>
      <c r="AO142" s="30" t="s">
        <v>119</v>
      </c>
      <c r="AP142" s="30" t="s">
        <v>119</v>
      </c>
      <c r="AQ142" s="30" t="s">
        <v>119</v>
      </c>
      <c r="AR142" s="30" t="s">
        <v>119</v>
      </c>
      <c r="AS142" s="33" t="str">
        <f t="shared" si="25"/>
        <v xml:space="preserve">Seal missing; </v>
      </c>
      <c r="AT142" s="36">
        <f>IFERROR(INDEX(Factors_ROT!$F$5:$F$200,MATCH("MAT|"&amp;G142,Factors_ROT!$A$5:$A$200,0)),1)</f>
        <v>1.9</v>
      </c>
      <c r="AU142" s="36">
        <f>IFERROR(INDEX(Factors_ROT!$F$5:$F$200,MATCH("SEAL_ARR|"&amp;P142,Factors_ROT!$A$5:$A$200,0)),1)*IFERROR(INDEX(Factors_ROT!$F$5:$F$200,MATCH("SEAL_CAT|"&amp;Q142,Factors_ROT!$A$5:$A$200,0)),1)*IFERROR(INDEX(Factors_ROT!$F$5:$F$200,MATCH("SEAL_PLAN|"&amp;R142,Factors_ROT!$A$5:$A$200,0)),1)</f>
        <v>1</v>
      </c>
      <c r="AV142" s="36">
        <f>IFERROR(INDEX(Factors_ROT!$F$5:$F$200,MATCH("DRV|"&amp;S142,Factors_ROT!$A$5:$A$200,0)),1)*IFERROR(INDEX(Factors_ROT!$F$5:$F$200,MATCH("NACE|"&amp;O142,Factors_ROT!$A$5:$A$200,0)),1)</f>
        <v>1.05</v>
      </c>
      <c r="AW142" s="36">
        <f>IFERROR(INDEX(Factors_ROT!$F$5:$F$200,MATCH("SC_DRV|"&amp;AL142,Factors_ROT!$A$5:$A$200,0)),1)*IFERROR(INDEX(Factors_ROT!$F$5:$F$200,MATCH("SC_BSP|"&amp;AM142,Factors_ROT!$A$5:$A$200,0)),1)*IFERROR(INDEX(Factors_ROT!$F$5:$F$200,MATCH("SC_SEAL|"&amp;AN142,Factors_ROT!$A$5:$A$200,0)),1)*IFERROR(INDEX(Factors_ROT!$F$5:$F$200,MATCH("SC_COMM|"&amp;AO142,Factors_ROT!$A$5:$A$200,0)),1)*IFERROR(INDEX(Factors_ROT!$F$5:$F$200,MATCH("SC_2Y|"&amp;AP142,Factors_ROT!$A$5:$A$200,0)),1)*IFERROR(INDEX(Factors_ROT!$F$5:$F$200,MATCH("SC_TPI|"&amp;AQ142,Factors_ROT!$A$5:$A$200,0)),1)*IFERROR(INDEX(Factors_ROT!$F$5:$F$200,MATCH("SC_FAT|"&amp;AR142,Factors_ROT!$A$5:$A$200,0)),1)</f>
        <v>1</v>
      </c>
      <c r="AX142" s="36">
        <f t="shared" si="26"/>
        <v>1.9949999999999999</v>
      </c>
      <c r="AY142" s="35">
        <f t="shared" si="27"/>
        <v>16040.100250626567</v>
      </c>
      <c r="AZ142" s="37">
        <f>IFERROR(IF(N(INDEX(Escalation_Index!$B$5:$B$25,MATCH(Y142,Escalation_Index!$A$5:$A$25,0)))&gt;0,INDEX(Escalation_Index!$B$5:$B$25,MATCH(Y142,Escalation_Index!$A$5:$A$25,0)),""),"")</f>
        <v>91.346999999999994</v>
      </c>
      <c r="BA142" s="37">
        <f>IF(ISNUMBER('Assumptions &amp; FX Reference'!$I$12),'Assumptions &amp; FX Reference'!$I$12,"")</f>
        <v>123.416</v>
      </c>
      <c r="BB142" s="33" t="str">
        <f t="shared" si="28"/>
        <v>Y</v>
      </c>
      <c r="BC142" s="35">
        <f t="shared" si="29"/>
        <v>21671.264655996678</v>
      </c>
      <c r="BD142" s="35">
        <f>IF(AND(ISNUMBER(BC142),ISNUMBER(K142)),IF(K142&gt;0,BC142/K142^'Assumptions &amp; FX Reference'!$I$16,""),"")</f>
        <v>7220.928184977447</v>
      </c>
      <c r="BE142" s="30" t="s">
        <v>800</v>
      </c>
      <c r="BF142" s="30" t="s">
        <v>801</v>
      </c>
      <c r="BG142" s="30" t="s">
        <v>361</v>
      </c>
    </row>
    <row r="143" spans="1:59" ht="24" customHeight="1">
      <c r="A143" s="30">
        <v>139</v>
      </c>
      <c r="B143" s="30" t="s">
        <v>713</v>
      </c>
      <c r="C143" s="30" t="s">
        <v>682</v>
      </c>
      <c r="D143" s="30" t="s">
        <v>576</v>
      </c>
      <c r="E143" s="30" t="s">
        <v>50</v>
      </c>
      <c r="F143" s="30" t="s">
        <v>167</v>
      </c>
      <c r="G143" s="30" t="s">
        <v>86</v>
      </c>
      <c r="H143" s="31">
        <v>5</v>
      </c>
      <c r="I143" s="31">
        <v>21.4</v>
      </c>
      <c r="J143" s="31"/>
      <c r="K143" s="32">
        <f>IF(ISNUMBER(J143),J143,IF(AND(ISNUMBER(H143),ISNUMBER(I143)),H143*I143/(367*'Assumptions &amp; FX Reference'!$I$17),""))</f>
        <v>0.48592188919164397</v>
      </c>
      <c r="L143" s="33" t="str">
        <f t="shared" si="24"/>
        <v>API 610 + IPS-G-PM-105</v>
      </c>
      <c r="M143" s="30" t="s">
        <v>470</v>
      </c>
      <c r="N143" s="30" t="s">
        <v>471</v>
      </c>
      <c r="O143" s="38" t="s">
        <v>305</v>
      </c>
      <c r="P143" s="30" t="s">
        <v>119</v>
      </c>
      <c r="Q143" s="30" t="s">
        <v>119</v>
      </c>
      <c r="R143" s="30" t="s">
        <v>119</v>
      </c>
      <c r="S143" s="38" t="s">
        <v>297</v>
      </c>
      <c r="T143" s="30" t="s">
        <v>334</v>
      </c>
      <c r="U143" s="30">
        <v>1</v>
      </c>
      <c r="V143" s="30" t="s">
        <v>299</v>
      </c>
      <c r="W143" s="31">
        <v>2</v>
      </c>
      <c r="X143" s="30" t="s">
        <v>119</v>
      </c>
      <c r="Y143" s="30">
        <v>1393</v>
      </c>
      <c r="Z143" s="30" t="s">
        <v>355</v>
      </c>
      <c r="AA143" s="34">
        <v>15000</v>
      </c>
      <c r="AB143" s="35">
        <f>IF(NOT(ISNUMBER(AA143)),"(Not stated)",IF(NOT(ISNUMBER(Y143)),"(Cost year not stated)",IFERROR(IF(Z143="EUR",AA143,IF(Z143="IRR",AA143/INDEX('Assumptions &amp; FX Reference'!$C$5:$C$25,MATCH(Y143,'Assumptions &amp; FX Reference'!$A$5:$A$25,0)),IF(Z143="USD",AA143*INDEX('Assumptions &amp; FX Reference'!$B$5:$B$25,MATCH(Y143,'Assumptions &amp; FX Reference'!$A$5:$A$25,0))/INDEX('Assumptions &amp; FX Reference'!$C$5:$C$25,MATCH(Y143,'Assumptions &amp; FX Reference'!$A$5:$A$25,0)),"(Currency?)"))),"(FX rate missing)")))</f>
        <v>15000</v>
      </c>
      <c r="AC143" s="35">
        <f>IF(NOT(ISNUMBER(AA143)),"(Not stated)",IF(NOT(ISNUMBER(Y143)),"(Cost year not stated)",IFERROR(IF(Z143="USD",AA143,IF(Z143="IRR",AA143/INDEX('Assumptions &amp; FX Reference'!$B$5:$B$25,MATCH(Y143,'Assumptions &amp; FX Reference'!$A$5:$A$25,0)),IF(Z143="EUR",AA143*INDEX('Assumptions &amp; FX Reference'!$C$5:$C$25,MATCH(Y143,'Assumptions &amp; FX Reference'!$A$5:$A$25,0))/INDEX('Assumptions &amp; FX Reference'!$B$5:$B$25,MATCH(Y143,'Assumptions &amp; FX Reference'!$A$5:$A$25,0)),"(Currency?)"))),"(FX rate missing)")))</f>
        <v>19611.677419354837</v>
      </c>
      <c r="AD143" s="35">
        <f>IF(NOT(ISNUMBER(AA143)),"(Not stated)",IF(NOT(ISNUMBER(Y143)),"(Cost year not stated)",IFERROR(IF(Z143="IRR",AA143,IF(Z143="USD",AA143*INDEX('Assumptions &amp; FX Reference'!$B$5:$B$25,MATCH(Y143,'Assumptions &amp; FX Reference'!$A$5:$A$25,0)),IF(Z143="EUR",AA143*INDEX('Assumptions &amp; FX Reference'!$C$5:$C$25,MATCH(Y143,'Assumptions &amp; FX Reference'!$A$5:$A$25,0)),"(Currency?)"))),"(FX rate missing)")))</f>
        <v>607962000</v>
      </c>
      <c r="AE143" s="30" t="s">
        <v>781</v>
      </c>
      <c r="AF143" s="30" t="s">
        <v>204</v>
      </c>
      <c r="AG143" s="35">
        <f>IF(AND(Z143="EUR",N(AA143)&gt;5000000),"(Check currency – excluded)",IF(AND(ISNUMBER(AB143),ISNUMBER(AZ143),ISNUMBER(BA143)),IF(AND(BB143="Y",ISNUMBER('Assumptions &amp; FX Reference'!$I$15)),MAX(AB143*BA143/AZ143,'Assumptions &amp; FX Reference'!$I$13*BA143/'Assumptions &amp; FX Reference'!$I$15),AB143*BA143/AZ143),"(PPI/FX missing)"))</f>
        <v>25000</v>
      </c>
      <c r="AH143" s="35">
        <f>IF(AND(ISNUMBER(AG143),ISNUMBER('Assumptions &amp; FX Reference'!$I$8),ISNUMBER('Assumptions &amp; FX Reference'!$I$11)),AG143*'Assumptions &amp; FX Reference'!$I$8/'Assumptions &amp; FX Reference'!$I$11,"")</f>
        <v>26394.577037141647</v>
      </c>
      <c r="AI143" s="35">
        <f>IF(AND(ISNUMBER(AG143),ISNUMBER('Assumptions &amp; FX Reference'!$I$8)),AG143*'Assumptions &amp; FX Reference'!$I$8,"")</f>
        <v>17381700000</v>
      </c>
      <c r="AJ143" s="30" t="s">
        <v>685</v>
      </c>
      <c r="AK143" s="30" t="s">
        <v>358</v>
      </c>
      <c r="AL143" s="30" t="s">
        <v>119</v>
      </c>
      <c r="AM143" s="30" t="s">
        <v>119</v>
      </c>
      <c r="AN143" s="30" t="s">
        <v>119</v>
      </c>
      <c r="AO143" s="30" t="s">
        <v>119</v>
      </c>
      <c r="AP143" s="30" t="s">
        <v>119</v>
      </c>
      <c r="AQ143" s="30" t="s">
        <v>119</v>
      </c>
      <c r="AR143" s="30" t="s">
        <v>119</v>
      </c>
      <c r="AS143" s="33" t="str">
        <f t="shared" si="25"/>
        <v xml:space="preserve">Seal missing; </v>
      </c>
      <c r="AT143" s="36">
        <f>IFERROR(INDEX(Factors_ROT!$F$5:$F$200,MATCH("MAT|"&amp;G143,Factors_ROT!$A$5:$A$200,0)),1)</f>
        <v>1.1000000000000001</v>
      </c>
      <c r="AU143" s="36">
        <f>IFERROR(INDEX(Factors_ROT!$F$5:$F$200,MATCH("SEAL_ARR|"&amp;P143,Factors_ROT!$A$5:$A$200,0)),1)*IFERROR(INDEX(Factors_ROT!$F$5:$F$200,MATCH("SEAL_CAT|"&amp;Q143,Factors_ROT!$A$5:$A$200,0)),1)*IFERROR(INDEX(Factors_ROT!$F$5:$F$200,MATCH("SEAL_PLAN|"&amp;R143,Factors_ROT!$A$5:$A$200,0)),1)</f>
        <v>1</v>
      </c>
      <c r="AV143" s="36">
        <f>IFERROR(INDEX(Factors_ROT!$F$5:$F$200,MATCH("DRV|"&amp;S143,Factors_ROT!$A$5:$A$200,0)),1)*IFERROR(INDEX(Factors_ROT!$F$5:$F$200,MATCH("NACE|"&amp;O143,Factors_ROT!$A$5:$A$200,0)),1)</f>
        <v>1</v>
      </c>
      <c r="AW143" s="36">
        <f>IFERROR(INDEX(Factors_ROT!$F$5:$F$200,MATCH("SC_DRV|"&amp;AL143,Factors_ROT!$A$5:$A$200,0)),1)*IFERROR(INDEX(Factors_ROT!$F$5:$F$200,MATCH("SC_BSP|"&amp;AM143,Factors_ROT!$A$5:$A$200,0)),1)*IFERROR(INDEX(Factors_ROT!$F$5:$F$200,MATCH("SC_SEAL|"&amp;AN143,Factors_ROT!$A$5:$A$200,0)),1)*IFERROR(INDEX(Factors_ROT!$F$5:$F$200,MATCH("SC_COMM|"&amp;AO143,Factors_ROT!$A$5:$A$200,0)),1)*IFERROR(INDEX(Factors_ROT!$F$5:$F$200,MATCH("SC_2Y|"&amp;AP143,Factors_ROT!$A$5:$A$200,0)),1)*IFERROR(INDEX(Factors_ROT!$F$5:$F$200,MATCH("SC_TPI|"&amp;AQ143,Factors_ROT!$A$5:$A$200,0)),1)*IFERROR(INDEX(Factors_ROT!$F$5:$F$200,MATCH("SC_FAT|"&amp;AR143,Factors_ROT!$A$5:$A$200,0)),1)</f>
        <v>1</v>
      </c>
      <c r="AX143" s="36">
        <f t="shared" si="26"/>
        <v>1.1000000000000001</v>
      </c>
      <c r="AY143" s="35">
        <f t="shared" si="27"/>
        <v>13636.363636363636</v>
      </c>
      <c r="AZ143" s="37">
        <f>IFERROR(IF(N(INDEX(Escalation_Index!$B$5:$B$25,MATCH(Y143,Escalation_Index!$A$5:$A$25,0)))&gt;0,INDEX(Escalation_Index!$B$5:$B$25,MATCH(Y143,Escalation_Index!$A$5:$A$25,0)),""),"")</f>
        <v>91.346999999999994</v>
      </c>
      <c r="BA143" s="37">
        <f>IF(ISNUMBER('Assumptions &amp; FX Reference'!$I$12),'Assumptions &amp; FX Reference'!$I$12,"")</f>
        <v>123.416</v>
      </c>
      <c r="BB143" s="33" t="str">
        <f t="shared" si="28"/>
        <v>Y</v>
      </c>
      <c r="BC143" s="35">
        <f t="shared" si="29"/>
        <v>22727.272727272724</v>
      </c>
      <c r="BD143" s="35">
        <f>IF(AND(ISNUMBER(BC143),ISNUMBER(K143)),IF(K143&gt;0,BC143/K143^'Assumptions &amp; FX Reference'!$I$16,""),"")</f>
        <v>35043.497618275578</v>
      </c>
      <c r="BE143" s="30" t="s">
        <v>802</v>
      </c>
      <c r="BF143" s="30" t="s">
        <v>803</v>
      </c>
      <c r="BG143" s="30" t="s">
        <v>361</v>
      </c>
    </row>
    <row r="144" spans="1:59" ht="24" customHeight="1">
      <c r="A144" s="30">
        <v>140</v>
      </c>
      <c r="B144" s="30" t="s">
        <v>517</v>
      </c>
      <c r="C144" s="30" t="s">
        <v>682</v>
      </c>
      <c r="D144" s="30" t="s">
        <v>720</v>
      </c>
      <c r="E144" s="30" t="s">
        <v>44</v>
      </c>
      <c r="F144" s="30" t="s">
        <v>128</v>
      </c>
      <c r="G144" s="30" t="s">
        <v>111</v>
      </c>
      <c r="H144" s="31">
        <v>15</v>
      </c>
      <c r="I144" s="31">
        <v>50</v>
      </c>
      <c r="J144" s="31"/>
      <c r="K144" s="32">
        <f>IF(ISNUMBER(J144),J144,IF(AND(ISNUMBER(H144),ISNUMBER(I144)),H144*I144/(367*'Assumptions &amp; FX Reference'!$I$17),""))</f>
        <v>3.4059945504087197</v>
      </c>
      <c r="L144" s="33" t="str">
        <f t="shared" si="24"/>
        <v>API 610 + IPS-G-PM-105 + NACE MR0175</v>
      </c>
      <c r="M144" s="30" t="s">
        <v>470</v>
      </c>
      <c r="N144" s="30" t="s">
        <v>471</v>
      </c>
      <c r="O144" s="30" t="s">
        <v>361</v>
      </c>
      <c r="P144" s="30" t="s">
        <v>119</v>
      </c>
      <c r="Q144" s="30" t="s">
        <v>119</v>
      </c>
      <c r="R144" s="30" t="s">
        <v>119</v>
      </c>
      <c r="S144" s="38" t="s">
        <v>297</v>
      </c>
      <c r="T144" s="30" t="s">
        <v>334</v>
      </c>
      <c r="U144" s="30">
        <v>2</v>
      </c>
      <c r="V144" s="30" t="s">
        <v>299</v>
      </c>
      <c r="W144" s="31">
        <v>5.7</v>
      </c>
      <c r="X144" s="30" t="s">
        <v>119</v>
      </c>
      <c r="Y144" s="30">
        <v>1393</v>
      </c>
      <c r="Z144" s="30" t="s">
        <v>355</v>
      </c>
      <c r="AA144" s="34">
        <v>15000</v>
      </c>
      <c r="AB144" s="35">
        <f>IF(NOT(ISNUMBER(AA144)),"(Not stated)",IF(NOT(ISNUMBER(Y144)),"(Cost year not stated)",IFERROR(IF(Z144="EUR",AA144,IF(Z144="IRR",AA144/INDEX('Assumptions &amp; FX Reference'!$C$5:$C$25,MATCH(Y144,'Assumptions &amp; FX Reference'!$A$5:$A$25,0)),IF(Z144="USD",AA144*INDEX('Assumptions &amp; FX Reference'!$B$5:$B$25,MATCH(Y144,'Assumptions &amp; FX Reference'!$A$5:$A$25,0))/INDEX('Assumptions &amp; FX Reference'!$C$5:$C$25,MATCH(Y144,'Assumptions &amp; FX Reference'!$A$5:$A$25,0)),"(Currency?)"))),"(FX rate missing)")))</f>
        <v>15000</v>
      </c>
      <c r="AC144" s="35">
        <f>IF(NOT(ISNUMBER(AA144)),"(Not stated)",IF(NOT(ISNUMBER(Y144)),"(Cost year not stated)",IFERROR(IF(Z144="USD",AA144,IF(Z144="IRR",AA144/INDEX('Assumptions &amp; FX Reference'!$B$5:$B$25,MATCH(Y144,'Assumptions &amp; FX Reference'!$A$5:$A$25,0)),IF(Z144="EUR",AA144*INDEX('Assumptions &amp; FX Reference'!$C$5:$C$25,MATCH(Y144,'Assumptions &amp; FX Reference'!$A$5:$A$25,0))/INDEX('Assumptions &amp; FX Reference'!$B$5:$B$25,MATCH(Y144,'Assumptions &amp; FX Reference'!$A$5:$A$25,0)),"(Currency?)"))),"(FX rate missing)")))</f>
        <v>19611.677419354837</v>
      </c>
      <c r="AD144" s="35">
        <f>IF(NOT(ISNUMBER(AA144)),"(Not stated)",IF(NOT(ISNUMBER(Y144)),"(Cost year not stated)",IFERROR(IF(Z144="IRR",AA144,IF(Z144="USD",AA144*INDEX('Assumptions &amp; FX Reference'!$B$5:$B$25,MATCH(Y144,'Assumptions &amp; FX Reference'!$A$5:$A$25,0)),IF(Z144="EUR",AA144*INDEX('Assumptions &amp; FX Reference'!$C$5:$C$25,MATCH(Y144,'Assumptions &amp; FX Reference'!$A$5:$A$25,0)),"(Currency?)"))),"(FX rate missing)")))</f>
        <v>607962000</v>
      </c>
      <c r="AE144" s="30" t="s">
        <v>781</v>
      </c>
      <c r="AF144" s="30" t="s">
        <v>204</v>
      </c>
      <c r="AG144" s="35">
        <f>IF(AND(Z144="EUR",N(AA144)&gt;5000000),"(Check currency – excluded)",IF(AND(ISNUMBER(AB144),ISNUMBER(AZ144),ISNUMBER(BA144)),IF(AND(BB144="Y",ISNUMBER('Assumptions &amp; FX Reference'!$I$15)),MAX(AB144*BA144/AZ144,'Assumptions &amp; FX Reference'!$I$13*BA144/'Assumptions &amp; FX Reference'!$I$15),AB144*BA144/AZ144),"(PPI/FX missing)"))</f>
        <v>25000</v>
      </c>
      <c r="AH144" s="35">
        <f>IF(AND(ISNUMBER(AG144),ISNUMBER('Assumptions &amp; FX Reference'!$I$8),ISNUMBER('Assumptions &amp; FX Reference'!$I$11)),AG144*'Assumptions &amp; FX Reference'!$I$8/'Assumptions &amp; FX Reference'!$I$11,"")</f>
        <v>26394.577037141647</v>
      </c>
      <c r="AI144" s="35">
        <f>IF(AND(ISNUMBER(AG144),ISNUMBER('Assumptions &amp; FX Reference'!$I$8)),AG144*'Assumptions &amp; FX Reference'!$I$8,"")</f>
        <v>17381700000</v>
      </c>
      <c r="AJ144" s="30" t="s">
        <v>685</v>
      </c>
      <c r="AK144" s="30" t="s">
        <v>358</v>
      </c>
      <c r="AL144" s="30" t="s">
        <v>119</v>
      </c>
      <c r="AM144" s="30" t="s">
        <v>119</v>
      </c>
      <c r="AN144" s="30" t="s">
        <v>119</v>
      </c>
      <c r="AO144" s="30" t="s">
        <v>119</v>
      </c>
      <c r="AP144" s="30" t="s">
        <v>119</v>
      </c>
      <c r="AQ144" s="30" t="s">
        <v>119</v>
      </c>
      <c r="AR144" s="30" t="s">
        <v>119</v>
      </c>
      <c r="AS144" s="33" t="str">
        <f t="shared" si="25"/>
        <v xml:space="preserve">Seal missing; </v>
      </c>
      <c r="AT144" s="36">
        <f>IFERROR(INDEX(Factors_ROT!$F$5:$F$200,MATCH("MAT|"&amp;G144,Factors_ROT!$A$5:$A$200,0)),1)</f>
        <v>1.9</v>
      </c>
      <c r="AU144" s="36">
        <f>IFERROR(INDEX(Factors_ROT!$F$5:$F$200,MATCH("SEAL_ARR|"&amp;P144,Factors_ROT!$A$5:$A$200,0)),1)*IFERROR(INDEX(Factors_ROT!$F$5:$F$200,MATCH("SEAL_CAT|"&amp;Q144,Factors_ROT!$A$5:$A$200,0)),1)*IFERROR(INDEX(Factors_ROT!$F$5:$F$200,MATCH("SEAL_PLAN|"&amp;R144,Factors_ROT!$A$5:$A$200,0)),1)</f>
        <v>1</v>
      </c>
      <c r="AV144" s="36">
        <f>IFERROR(INDEX(Factors_ROT!$F$5:$F$200,MATCH("DRV|"&amp;S144,Factors_ROT!$A$5:$A$200,0)),1)*IFERROR(INDEX(Factors_ROT!$F$5:$F$200,MATCH("NACE|"&amp;O144,Factors_ROT!$A$5:$A$200,0)),1)</f>
        <v>1.05</v>
      </c>
      <c r="AW144" s="36">
        <f>IFERROR(INDEX(Factors_ROT!$F$5:$F$200,MATCH("SC_DRV|"&amp;AL144,Factors_ROT!$A$5:$A$200,0)),1)*IFERROR(INDEX(Factors_ROT!$F$5:$F$200,MATCH("SC_BSP|"&amp;AM144,Factors_ROT!$A$5:$A$200,0)),1)*IFERROR(INDEX(Factors_ROT!$F$5:$F$200,MATCH("SC_SEAL|"&amp;AN144,Factors_ROT!$A$5:$A$200,0)),1)*IFERROR(INDEX(Factors_ROT!$F$5:$F$200,MATCH("SC_COMM|"&amp;AO144,Factors_ROT!$A$5:$A$200,0)),1)*IFERROR(INDEX(Factors_ROT!$F$5:$F$200,MATCH("SC_2Y|"&amp;AP144,Factors_ROT!$A$5:$A$200,0)),1)*IFERROR(INDEX(Factors_ROT!$F$5:$F$200,MATCH("SC_TPI|"&amp;AQ144,Factors_ROT!$A$5:$A$200,0)),1)*IFERROR(INDEX(Factors_ROT!$F$5:$F$200,MATCH("SC_FAT|"&amp;AR144,Factors_ROT!$A$5:$A$200,0)),1)</f>
        <v>1</v>
      </c>
      <c r="AX144" s="36">
        <f t="shared" si="26"/>
        <v>1.9949999999999999</v>
      </c>
      <c r="AY144" s="35">
        <f t="shared" si="27"/>
        <v>7518.7969924812032</v>
      </c>
      <c r="AZ144" s="37">
        <f>IFERROR(IF(N(INDEX(Escalation_Index!$B$5:$B$25,MATCH(Y144,Escalation_Index!$A$5:$A$25,0)))&gt;0,INDEX(Escalation_Index!$B$5:$B$25,MATCH(Y144,Escalation_Index!$A$5:$A$25,0)),""),"")</f>
        <v>91.346999999999994</v>
      </c>
      <c r="BA144" s="37">
        <f>IF(ISNUMBER('Assumptions &amp; FX Reference'!$I$12),'Assumptions &amp; FX Reference'!$I$12,"")</f>
        <v>123.416</v>
      </c>
      <c r="BB144" s="33" t="str">
        <f t="shared" si="28"/>
        <v>Y</v>
      </c>
      <c r="BC144" s="35">
        <f t="shared" si="29"/>
        <v>12531.328320802006</v>
      </c>
      <c r="BD144" s="35">
        <f>IF(AND(ISNUMBER(BC144),ISNUMBER(K144)),IF(K144&gt;0,BC144/K144^'Assumptions &amp; FX Reference'!$I$16,""),"")</f>
        <v>6006.9046655414095</v>
      </c>
      <c r="BE144" s="30" t="s">
        <v>804</v>
      </c>
      <c r="BF144" s="30" t="s">
        <v>805</v>
      </c>
      <c r="BG144" s="30" t="s">
        <v>361</v>
      </c>
    </row>
    <row r="145" spans="1:59" ht="24" customHeight="1">
      <c r="A145" s="30">
        <v>141</v>
      </c>
      <c r="B145" s="30" t="s">
        <v>723</v>
      </c>
      <c r="C145" s="30" t="s">
        <v>682</v>
      </c>
      <c r="D145" s="30" t="s">
        <v>724</v>
      </c>
      <c r="E145" s="30" t="s">
        <v>50</v>
      </c>
      <c r="F145" s="30" t="s">
        <v>128</v>
      </c>
      <c r="G145" s="30" t="s">
        <v>86</v>
      </c>
      <c r="H145" s="31">
        <v>15</v>
      </c>
      <c r="I145" s="31">
        <v>20</v>
      </c>
      <c r="J145" s="31"/>
      <c r="K145" s="32">
        <f>IF(ISNUMBER(J145),J145,IF(AND(ISNUMBER(H145),ISNUMBER(I145)),H145*I145/(367*'Assumptions &amp; FX Reference'!$I$17),""))</f>
        <v>1.3623978201634879</v>
      </c>
      <c r="L145" s="33" t="str">
        <f t="shared" si="24"/>
        <v>API 610 + IPS-G-PM-105</v>
      </c>
      <c r="M145" s="30" t="s">
        <v>470</v>
      </c>
      <c r="N145" s="30" t="s">
        <v>471</v>
      </c>
      <c r="O145" s="38" t="s">
        <v>305</v>
      </c>
      <c r="P145" s="30" t="s">
        <v>119</v>
      </c>
      <c r="Q145" s="30" t="s">
        <v>119</v>
      </c>
      <c r="R145" s="30" t="s">
        <v>119</v>
      </c>
      <c r="S145" s="38" t="s">
        <v>297</v>
      </c>
      <c r="T145" s="30" t="s">
        <v>334</v>
      </c>
      <c r="U145" s="30">
        <v>2</v>
      </c>
      <c r="V145" s="30" t="s">
        <v>299</v>
      </c>
      <c r="W145" s="31">
        <v>2.5</v>
      </c>
      <c r="X145" s="30" t="s">
        <v>119</v>
      </c>
      <c r="Y145" s="30">
        <v>1393</v>
      </c>
      <c r="Z145" s="30" t="s">
        <v>355</v>
      </c>
      <c r="AA145" s="34">
        <v>15000</v>
      </c>
      <c r="AB145" s="35">
        <f>IF(NOT(ISNUMBER(AA145)),"(Not stated)",IF(NOT(ISNUMBER(Y145)),"(Cost year not stated)",IFERROR(IF(Z145="EUR",AA145,IF(Z145="IRR",AA145/INDEX('Assumptions &amp; FX Reference'!$C$5:$C$25,MATCH(Y145,'Assumptions &amp; FX Reference'!$A$5:$A$25,0)),IF(Z145="USD",AA145*INDEX('Assumptions &amp; FX Reference'!$B$5:$B$25,MATCH(Y145,'Assumptions &amp; FX Reference'!$A$5:$A$25,0))/INDEX('Assumptions &amp; FX Reference'!$C$5:$C$25,MATCH(Y145,'Assumptions &amp; FX Reference'!$A$5:$A$25,0)),"(Currency?)"))),"(FX rate missing)")))</f>
        <v>15000</v>
      </c>
      <c r="AC145" s="35">
        <f>IF(NOT(ISNUMBER(AA145)),"(Not stated)",IF(NOT(ISNUMBER(Y145)),"(Cost year not stated)",IFERROR(IF(Z145="USD",AA145,IF(Z145="IRR",AA145/INDEX('Assumptions &amp; FX Reference'!$B$5:$B$25,MATCH(Y145,'Assumptions &amp; FX Reference'!$A$5:$A$25,0)),IF(Z145="EUR",AA145*INDEX('Assumptions &amp; FX Reference'!$C$5:$C$25,MATCH(Y145,'Assumptions &amp; FX Reference'!$A$5:$A$25,0))/INDEX('Assumptions &amp; FX Reference'!$B$5:$B$25,MATCH(Y145,'Assumptions &amp; FX Reference'!$A$5:$A$25,0)),"(Currency?)"))),"(FX rate missing)")))</f>
        <v>19611.677419354837</v>
      </c>
      <c r="AD145" s="35">
        <f>IF(NOT(ISNUMBER(AA145)),"(Not stated)",IF(NOT(ISNUMBER(Y145)),"(Cost year not stated)",IFERROR(IF(Z145="IRR",AA145,IF(Z145="USD",AA145*INDEX('Assumptions &amp; FX Reference'!$B$5:$B$25,MATCH(Y145,'Assumptions &amp; FX Reference'!$A$5:$A$25,0)),IF(Z145="EUR",AA145*INDEX('Assumptions &amp; FX Reference'!$C$5:$C$25,MATCH(Y145,'Assumptions &amp; FX Reference'!$A$5:$A$25,0)),"(Currency?)"))),"(FX rate missing)")))</f>
        <v>607962000</v>
      </c>
      <c r="AE145" s="30" t="s">
        <v>781</v>
      </c>
      <c r="AF145" s="30" t="s">
        <v>204</v>
      </c>
      <c r="AG145" s="35">
        <f>IF(AND(Z145="EUR",N(AA145)&gt;5000000),"(Check currency – excluded)",IF(AND(ISNUMBER(AB145),ISNUMBER(AZ145),ISNUMBER(BA145)),IF(AND(BB145="Y",ISNUMBER('Assumptions &amp; FX Reference'!$I$15)),MAX(AB145*BA145/AZ145,'Assumptions &amp; FX Reference'!$I$13*BA145/'Assumptions &amp; FX Reference'!$I$15),AB145*BA145/AZ145),"(PPI/FX missing)"))</f>
        <v>25000</v>
      </c>
      <c r="AH145" s="35">
        <f>IF(AND(ISNUMBER(AG145),ISNUMBER('Assumptions &amp; FX Reference'!$I$8),ISNUMBER('Assumptions &amp; FX Reference'!$I$11)),AG145*'Assumptions &amp; FX Reference'!$I$8/'Assumptions &amp; FX Reference'!$I$11,"")</f>
        <v>26394.577037141647</v>
      </c>
      <c r="AI145" s="35">
        <f>IF(AND(ISNUMBER(AG145),ISNUMBER('Assumptions &amp; FX Reference'!$I$8)),AG145*'Assumptions &amp; FX Reference'!$I$8,"")</f>
        <v>17381700000</v>
      </c>
      <c r="AJ145" s="30" t="s">
        <v>685</v>
      </c>
      <c r="AK145" s="30" t="s">
        <v>358</v>
      </c>
      <c r="AL145" s="30" t="s">
        <v>119</v>
      </c>
      <c r="AM145" s="30" t="s">
        <v>119</v>
      </c>
      <c r="AN145" s="30" t="s">
        <v>119</v>
      </c>
      <c r="AO145" s="30" t="s">
        <v>119</v>
      </c>
      <c r="AP145" s="30" t="s">
        <v>119</v>
      </c>
      <c r="AQ145" s="30" t="s">
        <v>119</v>
      </c>
      <c r="AR145" s="30" t="s">
        <v>119</v>
      </c>
      <c r="AS145" s="33" t="str">
        <f t="shared" si="25"/>
        <v xml:space="preserve">Seal missing; </v>
      </c>
      <c r="AT145" s="36">
        <f>IFERROR(INDEX(Factors_ROT!$F$5:$F$200,MATCH("MAT|"&amp;G145,Factors_ROT!$A$5:$A$200,0)),1)</f>
        <v>1.1000000000000001</v>
      </c>
      <c r="AU145" s="36">
        <f>IFERROR(INDEX(Factors_ROT!$F$5:$F$200,MATCH("SEAL_ARR|"&amp;P145,Factors_ROT!$A$5:$A$200,0)),1)*IFERROR(INDEX(Factors_ROT!$F$5:$F$200,MATCH("SEAL_CAT|"&amp;Q145,Factors_ROT!$A$5:$A$200,0)),1)*IFERROR(INDEX(Factors_ROT!$F$5:$F$200,MATCH("SEAL_PLAN|"&amp;R145,Factors_ROT!$A$5:$A$200,0)),1)</f>
        <v>1</v>
      </c>
      <c r="AV145" s="36">
        <f>IFERROR(INDEX(Factors_ROT!$F$5:$F$200,MATCH("DRV|"&amp;S145,Factors_ROT!$A$5:$A$200,0)),1)*IFERROR(INDEX(Factors_ROT!$F$5:$F$200,MATCH("NACE|"&amp;O145,Factors_ROT!$A$5:$A$200,0)),1)</f>
        <v>1</v>
      </c>
      <c r="AW145" s="36">
        <f>IFERROR(INDEX(Factors_ROT!$F$5:$F$200,MATCH("SC_DRV|"&amp;AL145,Factors_ROT!$A$5:$A$200,0)),1)*IFERROR(INDEX(Factors_ROT!$F$5:$F$200,MATCH("SC_BSP|"&amp;AM145,Factors_ROT!$A$5:$A$200,0)),1)*IFERROR(INDEX(Factors_ROT!$F$5:$F$200,MATCH("SC_SEAL|"&amp;AN145,Factors_ROT!$A$5:$A$200,0)),1)*IFERROR(INDEX(Factors_ROT!$F$5:$F$200,MATCH("SC_COMM|"&amp;AO145,Factors_ROT!$A$5:$A$200,0)),1)*IFERROR(INDEX(Factors_ROT!$F$5:$F$200,MATCH("SC_2Y|"&amp;AP145,Factors_ROT!$A$5:$A$200,0)),1)*IFERROR(INDEX(Factors_ROT!$F$5:$F$200,MATCH("SC_TPI|"&amp;AQ145,Factors_ROT!$A$5:$A$200,0)),1)*IFERROR(INDEX(Factors_ROT!$F$5:$F$200,MATCH("SC_FAT|"&amp;AR145,Factors_ROT!$A$5:$A$200,0)),1)</f>
        <v>1</v>
      </c>
      <c r="AX145" s="36">
        <f t="shared" si="26"/>
        <v>1.1000000000000001</v>
      </c>
      <c r="AY145" s="35">
        <f t="shared" si="27"/>
        <v>13636.363636363636</v>
      </c>
      <c r="AZ145" s="37">
        <f>IFERROR(IF(N(INDEX(Escalation_Index!$B$5:$B$25,MATCH(Y145,Escalation_Index!$A$5:$A$25,0)))&gt;0,INDEX(Escalation_Index!$B$5:$B$25,MATCH(Y145,Escalation_Index!$A$5:$A$25,0)),""),"")</f>
        <v>91.346999999999994</v>
      </c>
      <c r="BA145" s="37">
        <f>IF(ISNUMBER('Assumptions &amp; FX Reference'!$I$12),'Assumptions &amp; FX Reference'!$I$12,"")</f>
        <v>123.416</v>
      </c>
      <c r="BB145" s="33" t="str">
        <f t="shared" si="28"/>
        <v>Y</v>
      </c>
      <c r="BC145" s="35">
        <f t="shared" si="29"/>
        <v>22727.272727272724</v>
      </c>
      <c r="BD145" s="35">
        <f>IF(AND(ISNUMBER(BC145),ISNUMBER(K145)),IF(K145&gt;0,BC145/K145^'Assumptions &amp; FX Reference'!$I$16,""),"")</f>
        <v>18878.390248927291</v>
      </c>
      <c r="BE145" s="30" t="s">
        <v>806</v>
      </c>
      <c r="BF145" s="30" t="s">
        <v>807</v>
      </c>
      <c r="BG145" s="30" t="s">
        <v>361</v>
      </c>
    </row>
    <row r="146" spans="1:59" ht="24" customHeight="1">
      <c r="A146" s="30">
        <v>142</v>
      </c>
      <c r="B146" s="30" t="s">
        <v>627</v>
      </c>
      <c r="C146" s="30" t="s">
        <v>682</v>
      </c>
      <c r="D146" s="30" t="s">
        <v>727</v>
      </c>
      <c r="E146" s="30" t="s">
        <v>53</v>
      </c>
      <c r="F146" s="30" t="s">
        <v>188</v>
      </c>
      <c r="G146" s="30" t="s">
        <v>74</v>
      </c>
      <c r="H146" s="31">
        <v>10</v>
      </c>
      <c r="I146" s="31">
        <v>21</v>
      </c>
      <c r="J146" s="31"/>
      <c r="K146" s="32">
        <f>IF(ISNUMBER(J146),J146,IF(AND(ISNUMBER(H146),ISNUMBER(I146)),H146*I146/(367*'Assumptions &amp; FX Reference'!$I$17),""))</f>
        <v>0.95367847411444151</v>
      </c>
      <c r="L146" s="33" t="str">
        <f t="shared" si="24"/>
        <v>ISO 5199 + IPS-M-PM-115</v>
      </c>
      <c r="M146" s="30" t="s">
        <v>615</v>
      </c>
      <c r="N146" s="30" t="s">
        <v>616</v>
      </c>
      <c r="O146" s="38" t="s">
        <v>305</v>
      </c>
      <c r="P146" s="30" t="s">
        <v>119</v>
      </c>
      <c r="Q146" s="30" t="s">
        <v>119</v>
      </c>
      <c r="R146" s="30" t="s">
        <v>119</v>
      </c>
      <c r="S146" s="38" t="s">
        <v>297</v>
      </c>
      <c r="T146" s="30" t="s">
        <v>338</v>
      </c>
      <c r="U146" s="30">
        <v>1</v>
      </c>
      <c r="V146" s="30" t="s">
        <v>299</v>
      </c>
      <c r="W146" s="31">
        <v>2</v>
      </c>
      <c r="X146" s="30" t="s">
        <v>119</v>
      </c>
      <c r="Y146" s="30">
        <v>1393</v>
      </c>
      <c r="Z146" s="30" t="s">
        <v>355</v>
      </c>
      <c r="AA146" s="34">
        <v>10000</v>
      </c>
      <c r="AB146" s="35">
        <f>IF(NOT(ISNUMBER(AA146)),"(Not stated)",IF(NOT(ISNUMBER(Y146)),"(Cost year not stated)",IFERROR(IF(Z146="EUR",AA146,IF(Z146="IRR",AA146/INDEX('Assumptions &amp; FX Reference'!$C$5:$C$25,MATCH(Y146,'Assumptions &amp; FX Reference'!$A$5:$A$25,0)),IF(Z146="USD",AA146*INDEX('Assumptions &amp; FX Reference'!$B$5:$B$25,MATCH(Y146,'Assumptions &amp; FX Reference'!$A$5:$A$25,0))/INDEX('Assumptions &amp; FX Reference'!$C$5:$C$25,MATCH(Y146,'Assumptions &amp; FX Reference'!$A$5:$A$25,0)),"(Currency?)"))),"(FX rate missing)")))</f>
        <v>10000</v>
      </c>
      <c r="AC146" s="35">
        <f>IF(NOT(ISNUMBER(AA146)),"(Not stated)",IF(NOT(ISNUMBER(Y146)),"(Cost year not stated)",IFERROR(IF(Z146="USD",AA146,IF(Z146="IRR",AA146/INDEX('Assumptions &amp; FX Reference'!$B$5:$B$25,MATCH(Y146,'Assumptions &amp; FX Reference'!$A$5:$A$25,0)),IF(Z146="EUR",AA146*INDEX('Assumptions &amp; FX Reference'!$C$5:$C$25,MATCH(Y146,'Assumptions &amp; FX Reference'!$A$5:$A$25,0))/INDEX('Assumptions &amp; FX Reference'!$B$5:$B$25,MATCH(Y146,'Assumptions &amp; FX Reference'!$A$5:$A$25,0)),"(Currency?)"))),"(FX rate missing)")))</f>
        <v>13074.451612903225</v>
      </c>
      <c r="AD146" s="35">
        <f>IF(NOT(ISNUMBER(AA146)),"(Not stated)",IF(NOT(ISNUMBER(Y146)),"(Cost year not stated)",IFERROR(IF(Z146="IRR",AA146,IF(Z146="USD",AA146*INDEX('Assumptions &amp; FX Reference'!$B$5:$B$25,MATCH(Y146,'Assumptions &amp; FX Reference'!$A$5:$A$25,0)),IF(Z146="EUR",AA146*INDEX('Assumptions &amp; FX Reference'!$C$5:$C$25,MATCH(Y146,'Assumptions &amp; FX Reference'!$A$5:$A$25,0)),"(Currency?)"))),"(FX rate missing)")))</f>
        <v>405308000</v>
      </c>
      <c r="AE146" s="30" t="s">
        <v>781</v>
      </c>
      <c r="AF146" s="30" t="s">
        <v>204</v>
      </c>
      <c r="AG146" s="35">
        <f>IF(AND(Z146="EUR",N(AA146)&gt;5000000),"(Check currency – excluded)",IF(AND(ISNUMBER(AB146),ISNUMBER(AZ146),ISNUMBER(BA146)),IF(AND(BB146="Y",ISNUMBER('Assumptions &amp; FX Reference'!$I$15)),MAX(AB146*BA146/AZ146,'Assumptions &amp; FX Reference'!$I$13*BA146/'Assumptions &amp; FX Reference'!$I$15),AB146*BA146/AZ146),"(PPI/FX missing)"))</f>
        <v>13510.679058972928</v>
      </c>
      <c r="AH146" s="35">
        <f>IF(AND(ISNUMBER(AG146),ISNUMBER('Assumptions &amp; FX Reference'!$I$8),ISNUMBER('Assumptions &amp; FX Reference'!$I$11)),AG146*'Assumptions &amp; FX Reference'!$I$8/'Assumptions &amp; FX Reference'!$I$11,"")</f>
        <v>14264.346369846295</v>
      </c>
      <c r="AI146" s="35">
        <f>IF(AND(ISNUMBER(AG146),ISNUMBER('Assumptions &amp; FX Reference'!$I$8)),AG146*'Assumptions &amp; FX Reference'!$I$8,"")</f>
        <v>9393542807.9739895</v>
      </c>
      <c r="AJ146" s="30" t="s">
        <v>685</v>
      </c>
      <c r="AK146" s="30" t="s">
        <v>358</v>
      </c>
      <c r="AL146" s="30" t="s">
        <v>119</v>
      </c>
      <c r="AM146" s="30" t="s">
        <v>119</v>
      </c>
      <c r="AN146" s="30" t="s">
        <v>119</v>
      </c>
      <c r="AO146" s="30" t="s">
        <v>119</v>
      </c>
      <c r="AP146" s="30" t="s">
        <v>119</v>
      </c>
      <c r="AQ146" s="30" t="s">
        <v>119</v>
      </c>
      <c r="AR146" s="30" t="s">
        <v>119</v>
      </c>
      <c r="AS146" s="33" t="str">
        <f t="shared" si="25"/>
        <v xml:space="preserve">Seal missing; </v>
      </c>
      <c r="AT146" s="36">
        <f>IFERROR(INDEX(Factors_ROT!$F$5:$F$200,MATCH("MAT|"&amp;G146,Factors_ROT!$A$5:$A$200,0)),1)</f>
        <v>0.9</v>
      </c>
      <c r="AU146" s="36">
        <f>IFERROR(INDEX(Factors_ROT!$F$5:$F$200,MATCH("SEAL_ARR|"&amp;P146,Factors_ROT!$A$5:$A$200,0)),1)*IFERROR(INDEX(Factors_ROT!$F$5:$F$200,MATCH("SEAL_CAT|"&amp;Q146,Factors_ROT!$A$5:$A$200,0)),1)*IFERROR(INDEX(Factors_ROT!$F$5:$F$200,MATCH("SEAL_PLAN|"&amp;R146,Factors_ROT!$A$5:$A$200,0)),1)</f>
        <v>1</v>
      </c>
      <c r="AV146" s="36">
        <f>IFERROR(INDEX(Factors_ROT!$F$5:$F$200,MATCH("DRV|"&amp;S146,Factors_ROT!$A$5:$A$200,0)),1)*IFERROR(INDEX(Factors_ROT!$F$5:$F$200,MATCH("NACE|"&amp;O146,Factors_ROT!$A$5:$A$200,0)),1)</f>
        <v>1</v>
      </c>
      <c r="AW146" s="36">
        <f>IFERROR(INDEX(Factors_ROT!$F$5:$F$200,MATCH("SC_DRV|"&amp;AL146,Factors_ROT!$A$5:$A$200,0)),1)*IFERROR(INDEX(Factors_ROT!$F$5:$F$200,MATCH("SC_BSP|"&amp;AM146,Factors_ROT!$A$5:$A$200,0)),1)*IFERROR(INDEX(Factors_ROT!$F$5:$F$200,MATCH("SC_SEAL|"&amp;AN146,Factors_ROT!$A$5:$A$200,0)),1)*IFERROR(INDEX(Factors_ROT!$F$5:$F$200,MATCH("SC_COMM|"&amp;AO146,Factors_ROT!$A$5:$A$200,0)),1)*IFERROR(INDEX(Factors_ROT!$F$5:$F$200,MATCH("SC_2Y|"&amp;AP146,Factors_ROT!$A$5:$A$200,0)),1)*IFERROR(INDEX(Factors_ROT!$F$5:$F$200,MATCH("SC_TPI|"&amp;AQ146,Factors_ROT!$A$5:$A$200,0)),1)*IFERROR(INDEX(Factors_ROT!$F$5:$F$200,MATCH("SC_FAT|"&amp;AR146,Factors_ROT!$A$5:$A$200,0)),1)</f>
        <v>1</v>
      </c>
      <c r="AX146" s="36">
        <f t="shared" si="26"/>
        <v>0.9</v>
      </c>
      <c r="AY146" s="35">
        <f t="shared" si="27"/>
        <v>11111.111111111111</v>
      </c>
      <c r="AZ146" s="37">
        <f>IFERROR(IF(N(INDEX(Escalation_Index!$B$5:$B$25,MATCH(Y146,Escalation_Index!$A$5:$A$25,0)))&gt;0,INDEX(Escalation_Index!$B$5:$B$25,MATCH(Y146,Escalation_Index!$A$5:$A$25,0)),""),"")</f>
        <v>91.346999999999994</v>
      </c>
      <c r="BA146" s="37">
        <f>IF(ISNUMBER('Assumptions &amp; FX Reference'!$I$12),'Assumptions &amp; FX Reference'!$I$12,"")</f>
        <v>123.416</v>
      </c>
      <c r="BB146" s="33" t="str">
        <f t="shared" si="28"/>
        <v>N</v>
      </c>
      <c r="BC146" s="35">
        <f t="shared" si="29"/>
        <v>15011.865621081031</v>
      </c>
      <c r="BD146" s="35">
        <f>IF(AND(ISNUMBER(BC146),ISNUMBER(K146)),IF(K146&gt;0,BC146/K146^'Assumptions &amp; FX Reference'!$I$16,""),"")</f>
        <v>15445.197999549102</v>
      </c>
      <c r="BE146" s="30" t="s">
        <v>808</v>
      </c>
      <c r="BF146" s="30" t="s">
        <v>809</v>
      </c>
      <c r="BG146" s="30" t="s">
        <v>361</v>
      </c>
    </row>
    <row r="147" spans="1:59" ht="24" customHeight="1">
      <c r="A147" s="30">
        <v>143</v>
      </c>
      <c r="B147" s="30" t="s">
        <v>649</v>
      </c>
      <c r="C147" s="30" t="s">
        <v>682</v>
      </c>
      <c r="D147" s="30" t="s">
        <v>730</v>
      </c>
      <c r="E147" s="30" t="s">
        <v>56</v>
      </c>
      <c r="F147" s="30" t="s">
        <v>188</v>
      </c>
      <c r="G147" s="30" t="s">
        <v>70</v>
      </c>
      <c r="H147" s="31">
        <v>33</v>
      </c>
      <c r="I147" s="31">
        <v>31</v>
      </c>
      <c r="J147" s="31"/>
      <c r="K147" s="32">
        <f>IF(ISNUMBER(J147),J147,IF(AND(ISNUMBER(H147),ISNUMBER(I147)),H147*I147/(367*'Assumptions &amp; FX Reference'!$I$17),""))</f>
        <v>4.6457765667574931</v>
      </c>
      <c r="L147" s="33" t="str">
        <f t="shared" si="24"/>
        <v>ISO 5199 + IPS-M-PM-115</v>
      </c>
      <c r="M147" s="30" t="s">
        <v>615</v>
      </c>
      <c r="N147" s="30" t="s">
        <v>616</v>
      </c>
      <c r="O147" s="38" t="s">
        <v>305</v>
      </c>
      <c r="P147" s="30" t="s">
        <v>119</v>
      </c>
      <c r="Q147" s="30" t="s">
        <v>119</v>
      </c>
      <c r="R147" s="30" t="s">
        <v>119</v>
      </c>
      <c r="S147" s="38" t="s">
        <v>297</v>
      </c>
      <c r="T147" s="30" t="s">
        <v>445</v>
      </c>
      <c r="U147" s="30">
        <v>1</v>
      </c>
      <c r="V147" s="30" t="s">
        <v>299</v>
      </c>
      <c r="W147" s="31">
        <v>2.9</v>
      </c>
      <c r="X147" s="30" t="s">
        <v>119</v>
      </c>
      <c r="Y147" s="30">
        <v>1393</v>
      </c>
      <c r="Z147" s="30" t="s">
        <v>355</v>
      </c>
      <c r="AA147" s="34">
        <v>6500</v>
      </c>
      <c r="AB147" s="35">
        <f>IF(NOT(ISNUMBER(AA147)),"(Not stated)",IF(NOT(ISNUMBER(Y147)),"(Cost year not stated)",IFERROR(IF(Z147="EUR",AA147,IF(Z147="IRR",AA147/INDEX('Assumptions &amp; FX Reference'!$C$5:$C$25,MATCH(Y147,'Assumptions &amp; FX Reference'!$A$5:$A$25,0)),IF(Z147="USD",AA147*INDEX('Assumptions &amp; FX Reference'!$B$5:$B$25,MATCH(Y147,'Assumptions &amp; FX Reference'!$A$5:$A$25,0))/INDEX('Assumptions &amp; FX Reference'!$C$5:$C$25,MATCH(Y147,'Assumptions &amp; FX Reference'!$A$5:$A$25,0)),"(Currency?)"))),"(FX rate missing)")))</f>
        <v>6500</v>
      </c>
      <c r="AC147" s="35">
        <f>IF(NOT(ISNUMBER(AA147)),"(Not stated)",IF(NOT(ISNUMBER(Y147)),"(Cost year not stated)",IFERROR(IF(Z147="USD",AA147,IF(Z147="IRR",AA147/INDEX('Assumptions &amp; FX Reference'!$B$5:$B$25,MATCH(Y147,'Assumptions &amp; FX Reference'!$A$5:$A$25,0)),IF(Z147="EUR",AA147*INDEX('Assumptions &amp; FX Reference'!$C$5:$C$25,MATCH(Y147,'Assumptions &amp; FX Reference'!$A$5:$A$25,0))/INDEX('Assumptions &amp; FX Reference'!$B$5:$B$25,MATCH(Y147,'Assumptions &amp; FX Reference'!$A$5:$A$25,0)),"(Currency?)"))),"(FX rate missing)")))</f>
        <v>8498.3935483870973</v>
      </c>
      <c r="AD147" s="35">
        <f>IF(NOT(ISNUMBER(AA147)),"(Not stated)",IF(NOT(ISNUMBER(Y147)),"(Cost year not stated)",IFERROR(IF(Z147="IRR",AA147,IF(Z147="USD",AA147*INDEX('Assumptions &amp; FX Reference'!$B$5:$B$25,MATCH(Y147,'Assumptions &amp; FX Reference'!$A$5:$A$25,0)),IF(Z147="EUR",AA147*INDEX('Assumptions &amp; FX Reference'!$C$5:$C$25,MATCH(Y147,'Assumptions &amp; FX Reference'!$A$5:$A$25,0)),"(Currency?)"))),"(FX rate missing)")))</f>
        <v>263450200.00000003</v>
      </c>
      <c r="AE147" s="30" t="s">
        <v>781</v>
      </c>
      <c r="AF147" s="30" t="s">
        <v>204</v>
      </c>
      <c r="AG147" s="35">
        <f>IF(AND(Z147="EUR",N(AA147)&gt;5000000),"(Check currency – excluded)",IF(AND(ISNUMBER(AB147),ISNUMBER(AZ147),ISNUMBER(BA147)),IF(AND(BB147="Y",ISNUMBER('Assumptions &amp; FX Reference'!$I$15)),MAX(AB147*BA147/AZ147,'Assumptions &amp; FX Reference'!$I$13*BA147/'Assumptions &amp; FX Reference'!$I$15),AB147*BA147/AZ147),"(PPI/FX missing)"))</f>
        <v>8781.9413883324032</v>
      </c>
      <c r="AH147" s="35">
        <f>IF(AND(ISNUMBER(AG147),ISNUMBER('Assumptions &amp; FX Reference'!$I$8),ISNUMBER('Assumptions &amp; FX Reference'!$I$11)),AG147*'Assumptions &amp; FX Reference'!$I$8/'Assumptions &amp; FX Reference'!$I$11,"")</f>
        <v>9271.8251404000912</v>
      </c>
      <c r="AI147" s="35">
        <f>IF(AND(ISNUMBER(AG147),ISNUMBER('Assumptions &amp; FX Reference'!$I$8)),AG147*'Assumptions &amp; FX Reference'!$I$8,"")</f>
        <v>6105802825.1830931</v>
      </c>
      <c r="AJ147" s="30" t="s">
        <v>685</v>
      </c>
      <c r="AK147" s="30" t="s">
        <v>358</v>
      </c>
      <c r="AL147" s="30" t="s">
        <v>119</v>
      </c>
      <c r="AM147" s="30" t="s">
        <v>119</v>
      </c>
      <c r="AN147" s="30" t="s">
        <v>119</v>
      </c>
      <c r="AO147" s="30" t="s">
        <v>119</v>
      </c>
      <c r="AP147" s="30" t="s">
        <v>119</v>
      </c>
      <c r="AQ147" s="30" t="s">
        <v>119</v>
      </c>
      <c r="AR147" s="30" t="s">
        <v>119</v>
      </c>
      <c r="AS147" s="33" t="str">
        <f t="shared" si="25"/>
        <v xml:space="preserve">Seal missing; </v>
      </c>
      <c r="AT147" s="36">
        <f>IFERROR(INDEX(Factors_ROT!$F$5:$F$200,MATCH("MAT|"&amp;G147,Factors_ROT!$A$5:$A$200,0)),1)</f>
        <v>0.8</v>
      </c>
      <c r="AU147" s="36">
        <f>IFERROR(INDEX(Factors_ROT!$F$5:$F$200,MATCH("SEAL_ARR|"&amp;P147,Factors_ROT!$A$5:$A$200,0)),1)*IFERROR(INDEX(Factors_ROT!$F$5:$F$200,MATCH("SEAL_CAT|"&amp;Q147,Factors_ROT!$A$5:$A$200,0)),1)*IFERROR(INDEX(Factors_ROT!$F$5:$F$200,MATCH("SEAL_PLAN|"&amp;R147,Factors_ROT!$A$5:$A$200,0)),1)</f>
        <v>1</v>
      </c>
      <c r="AV147" s="36">
        <f>IFERROR(INDEX(Factors_ROT!$F$5:$F$200,MATCH("DRV|"&amp;S147,Factors_ROT!$A$5:$A$200,0)),1)*IFERROR(INDEX(Factors_ROT!$F$5:$F$200,MATCH("NACE|"&amp;O147,Factors_ROT!$A$5:$A$200,0)),1)</f>
        <v>1</v>
      </c>
      <c r="AW147" s="36">
        <f>IFERROR(INDEX(Factors_ROT!$F$5:$F$200,MATCH("SC_DRV|"&amp;AL147,Factors_ROT!$A$5:$A$200,0)),1)*IFERROR(INDEX(Factors_ROT!$F$5:$F$200,MATCH("SC_BSP|"&amp;AM147,Factors_ROT!$A$5:$A$200,0)),1)*IFERROR(INDEX(Factors_ROT!$F$5:$F$200,MATCH("SC_SEAL|"&amp;AN147,Factors_ROT!$A$5:$A$200,0)),1)*IFERROR(INDEX(Factors_ROT!$F$5:$F$200,MATCH("SC_COMM|"&amp;AO147,Factors_ROT!$A$5:$A$200,0)),1)*IFERROR(INDEX(Factors_ROT!$F$5:$F$200,MATCH("SC_2Y|"&amp;AP147,Factors_ROT!$A$5:$A$200,0)),1)*IFERROR(INDEX(Factors_ROT!$F$5:$F$200,MATCH("SC_TPI|"&amp;AQ147,Factors_ROT!$A$5:$A$200,0)),1)*IFERROR(INDEX(Factors_ROT!$F$5:$F$200,MATCH("SC_FAT|"&amp;AR147,Factors_ROT!$A$5:$A$200,0)),1)</f>
        <v>1</v>
      </c>
      <c r="AX147" s="36">
        <f t="shared" si="26"/>
        <v>0.8</v>
      </c>
      <c r="AY147" s="35">
        <f t="shared" si="27"/>
        <v>8125</v>
      </c>
      <c r="AZ147" s="37">
        <f>IFERROR(IF(N(INDEX(Escalation_Index!$B$5:$B$25,MATCH(Y147,Escalation_Index!$A$5:$A$25,0)))&gt;0,INDEX(Escalation_Index!$B$5:$B$25,MATCH(Y147,Escalation_Index!$A$5:$A$25,0)),""),"")</f>
        <v>91.346999999999994</v>
      </c>
      <c r="BA147" s="37">
        <f>IF(ISNUMBER('Assumptions &amp; FX Reference'!$I$12),'Assumptions &amp; FX Reference'!$I$12,"")</f>
        <v>123.416</v>
      </c>
      <c r="BB147" s="33" t="str">
        <f t="shared" si="28"/>
        <v>N</v>
      </c>
      <c r="BC147" s="35">
        <f t="shared" si="29"/>
        <v>10977.426735415504</v>
      </c>
      <c r="BD147" s="35">
        <f>IF(AND(ISNUMBER(BC147),ISNUMBER(K147)),IF(K147&gt;0,BC147/K147^'Assumptions &amp; FX Reference'!$I$16,""),"")</f>
        <v>4367.8282794861379</v>
      </c>
      <c r="BE147" s="30" t="s">
        <v>810</v>
      </c>
      <c r="BF147" s="30" t="s">
        <v>811</v>
      </c>
      <c r="BG147" s="30" t="s">
        <v>361</v>
      </c>
    </row>
    <row r="148" spans="1:59" ht="24" customHeight="1">
      <c r="A148" s="30">
        <v>144</v>
      </c>
      <c r="B148" s="30" t="s">
        <v>635</v>
      </c>
      <c r="C148" s="30" t="s">
        <v>682</v>
      </c>
      <c r="D148" s="30" t="s">
        <v>733</v>
      </c>
      <c r="E148" s="30" t="s">
        <v>56</v>
      </c>
      <c r="F148" s="30" t="s">
        <v>182</v>
      </c>
      <c r="G148" s="30" t="s">
        <v>70</v>
      </c>
      <c r="H148" s="31">
        <v>825</v>
      </c>
      <c r="I148" s="31">
        <v>107</v>
      </c>
      <c r="J148" s="31"/>
      <c r="K148" s="32">
        <f>IF(ISNUMBER(J148),J148,IF(AND(ISNUMBER(H148),ISNUMBER(I148)),H148*I148/(367*'Assumptions &amp; FX Reference'!$I$17),""))</f>
        <v>400.88555858310627</v>
      </c>
      <c r="L148" s="33" t="str">
        <f t="shared" si="24"/>
        <v>NFPA 20 + IPS-M-PM-125</v>
      </c>
      <c r="M148" s="30" t="s">
        <v>637</v>
      </c>
      <c r="N148" s="30" t="s">
        <v>638</v>
      </c>
      <c r="O148" s="38" t="s">
        <v>305</v>
      </c>
      <c r="P148" s="30" t="s">
        <v>119</v>
      </c>
      <c r="Q148" s="30" t="s">
        <v>119</v>
      </c>
      <c r="R148" s="30" t="s">
        <v>119</v>
      </c>
      <c r="S148" s="30" t="s">
        <v>297</v>
      </c>
      <c r="T148" s="30" t="s">
        <v>445</v>
      </c>
      <c r="U148" s="30">
        <v>1</v>
      </c>
      <c r="V148" s="30" t="s">
        <v>299</v>
      </c>
      <c r="W148" s="31">
        <v>11.3</v>
      </c>
      <c r="X148" s="30" t="s">
        <v>119</v>
      </c>
      <c r="Y148" s="30">
        <v>1393</v>
      </c>
      <c r="Z148" s="30" t="s">
        <v>355</v>
      </c>
      <c r="AA148" s="34">
        <v>80000</v>
      </c>
      <c r="AB148" s="35">
        <f>IF(NOT(ISNUMBER(AA148)),"(Not stated)",IF(NOT(ISNUMBER(Y148)),"(Cost year not stated)",IFERROR(IF(Z148="EUR",AA148,IF(Z148="IRR",AA148/INDEX('Assumptions &amp; FX Reference'!$C$5:$C$25,MATCH(Y148,'Assumptions &amp; FX Reference'!$A$5:$A$25,0)),IF(Z148="USD",AA148*INDEX('Assumptions &amp; FX Reference'!$B$5:$B$25,MATCH(Y148,'Assumptions &amp; FX Reference'!$A$5:$A$25,0))/INDEX('Assumptions &amp; FX Reference'!$C$5:$C$25,MATCH(Y148,'Assumptions &amp; FX Reference'!$A$5:$A$25,0)),"(Currency?)"))),"(FX rate missing)")))</f>
        <v>80000</v>
      </c>
      <c r="AC148" s="35">
        <f>IF(NOT(ISNUMBER(AA148)),"(Not stated)",IF(NOT(ISNUMBER(Y148)),"(Cost year not stated)",IFERROR(IF(Z148="USD",AA148,IF(Z148="IRR",AA148/INDEX('Assumptions &amp; FX Reference'!$B$5:$B$25,MATCH(Y148,'Assumptions &amp; FX Reference'!$A$5:$A$25,0)),IF(Z148="EUR",AA148*INDEX('Assumptions &amp; FX Reference'!$C$5:$C$25,MATCH(Y148,'Assumptions &amp; FX Reference'!$A$5:$A$25,0))/INDEX('Assumptions &amp; FX Reference'!$B$5:$B$25,MATCH(Y148,'Assumptions &amp; FX Reference'!$A$5:$A$25,0)),"(Currency?)"))),"(FX rate missing)")))</f>
        <v>104595.6129032258</v>
      </c>
      <c r="AD148" s="35">
        <f>IF(NOT(ISNUMBER(AA148)),"(Not stated)",IF(NOT(ISNUMBER(Y148)),"(Cost year not stated)",IFERROR(IF(Z148="IRR",AA148,IF(Z148="USD",AA148*INDEX('Assumptions &amp; FX Reference'!$B$5:$B$25,MATCH(Y148,'Assumptions &amp; FX Reference'!$A$5:$A$25,0)),IF(Z148="EUR",AA148*INDEX('Assumptions &amp; FX Reference'!$C$5:$C$25,MATCH(Y148,'Assumptions &amp; FX Reference'!$A$5:$A$25,0)),"(Currency?)"))),"(FX rate missing)")))</f>
        <v>3242464000</v>
      </c>
      <c r="AE148" s="30" t="s">
        <v>781</v>
      </c>
      <c r="AF148" s="30" t="s">
        <v>204</v>
      </c>
      <c r="AG148" s="35">
        <f>IF(AND(Z148="EUR",N(AA148)&gt;5000000),"(Check currency – excluded)",IF(AND(ISNUMBER(AB148),ISNUMBER(AZ148),ISNUMBER(BA148)),IF(AND(BB148="Y",ISNUMBER('Assumptions &amp; FX Reference'!$I$15)),MAX(AB148*BA148/AZ148,'Assumptions &amp; FX Reference'!$I$13*BA148/'Assumptions &amp; FX Reference'!$I$15),AB148*BA148/AZ148),"(PPI/FX missing)"))</f>
        <v>108085.43247178342</v>
      </c>
      <c r="AH148" s="35">
        <f>IF(AND(ISNUMBER(AG148),ISNUMBER('Assumptions &amp; FX Reference'!$I$8),ISNUMBER('Assumptions &amp; FX Reference'!$I$11)),AG148*'Assumptions &amp; FX Reference'!$I$8/'Assumptions &amp; FX Reference'!$I$11,"")</f>
        <v>114114.77095877036</v>
      </c>
      <c r="AI148" s="35">
        <f>IF(AND(ISNUMBER(AG148),ISNUMBER('Assumptions &amp; FX Reference'!$I$8)),AG148*'Assumptions &amp; FX Reference'!$I$8,"")</f>
        <v>75148342463.791916</v>
      </c>
      <c r="AJ148" s="30" t="s">
        <v>685</v>
      </c>
      <c r="AK148" s="30" t="s">
        <v>358</v>
      </c>
      <c r="AL148" s="30" t="s">
        <v>119</v>
      </c>
      <c r="AM148" s="30" t="s">
        <v>119</v>
      </c>
      <c r="AN148" s="30" t="s">
        <v>119</v>
      </c>
      <c r="AO148" s="30" t="s">
        <v>119</v>
      </c>
      <c r="AP148" s="30" t="s">
        <v>119</v>
      </c>
      <c r="AQ148" s="30" t="s">
        <v>119</v>
      </c>
      <c r="AR148" s="30" t="s">
        <v>119</v>
      </c>
      <c r="AS148" s="33" t="str">
        <f t="shared" si="25"/>
        <v xml:space="preserve">Seal missing; </v>
      </c>
      <c r="AT148" s="36">
        <f>IFERROR(INDEX(Factors_ROT!$F$5:$F$200,MATCH("MAT|"&amp;G148,Factors_ROT!$A$5:$A$200,0)),1)</f>
        <v>0.8</v>
      </c>
      <c r="AU148" s="36">
        <f>IFERROR(INDEX(Factors_ROT!$F$5:$F$200,MATCH("SEAL_ARR|"&amp;P148,Factors_ROT!$A$5:$A$200,0)),1)*IFERROR(INDEX(Factors_ROT!$F$5:$F$200,MATCH("SEAL_CAT|"&amp;Q148,Factors_ROT!$A$5:$A$200,0)),1)*IFERROR(INDEX(Factors_ROT!$F$5:$F$200,MATCH("SEAL_PLAN|"&amp;R148,Factors_ROT!$A$5:$A$200,0)),1)</f>
        <v>1</v>
      </c>
      <c r="AV148" s="36">
        <f>IFERROR(INDEX(Factors_ROT!$F$5:$F$200,MATCH("DRV|"&amp;S148,Factors_ROT!$A$5:$A$200,0)),1)*IFERROR(INDEX(Factors_ROT!$F$5:$F$200,MATCH("NACE|"&amp;O148,Factors_ROT!$A$5:$A$200,0)),1)</f>
        <v>1</v>
      </c>
      <c r="AW148" s="36">
        <f>IFERROR(INDEX(Factors_ROT!$F$5:$F$200,MATCH("SC_DRV|"&amp;AL148,Factors_ROT!$A$5:$A$200,0)),1)*IFERROR(INDEX(Factors_ROT!$F$5:$F$200,MATCH("SC_BSP|"&amp;AM148,Factors_ROT!$A$5:$A$200,0)),1)*IFERROR(INDEX(Factors_ROT!$F$5:$F$200,MATCH("SC_SEAL|"&amp;AN148,Factors_ROT!$A$5:$A$200,0)),1)*IFERROR(INDEX(Factors_ROT!$F$5:$F$200,MATCH("SC_COMM|"&amp;AO148,Factors_ROT!$A$5:$A$200,0)),1)*IFERROR(INDEX(Factors_ROT!$F$5:$F$200,MATCH("SC_2Y|"&amp;AP148,Factors_ROT!$A$5:$A$200,0)),1)*IFERROR(INDEX(Factors_ROT!$F$5:$F$200,MATCH("SC_TPI|"&amp;AQ148,Factors_ROT!$A$5:$A$200,0)),1)*IFERROR(INDEX(Factors_ROT!$F$5:$F$200,MATCH("SC_FAT|"&amp;AR148,Factors_ROT!$A$5:$A$200,0)),1)</f>
        <v>1</v>
      </c>
      <c r="AX148" s="36">
        <f t="shared" si="26"/>
        <v>0.8</v>
      </c>
      <c r="AY148" s="35">
        <f t="shared" si="27"/>
        <v>100000</v>
      </c>
      <c r="AZ148" s="37">
        <f>IFERROR(IF(N(INDEX(Escalation_Index!$B$5:$B$25,MATCH(Y148,Escalation_Index!$A$5:$A$25,0)))&gt;0,INDEX(Escalation_Index!$B$5:$B$25,MATCH(Y148,Escalation_Index!$A$5:$A$25,0)),""),"")</f>
        <v>91.346999999999994</v>
      </c>
      <c r="BA148" s="37">
        <f>IF(ISNUMBER('Assumptions &amp; FX Reference'!$I$12),'Assumptions &amp; FX Reference'!$I$12,"")</f>
        <v>123.416</v>
      </c>
      <c r="BB148" s="33" t="str">
        <f t="shared" si="28"/>
        <v>N</v>
      </c>
      <c r="BC148" s="35">
        <f t="shared" si="29"/>
        <v>135106.79058972927</v>
      </c>
      <c r="BD148" s="35">
        <f>IF(AND(ISNUMBER(BC148),ISNUMBER(K148)),IF(K148&gt;0,BC148/K148^'Assumptions &amp; FX Reference'!$I$16,""),"")</f>
        <v>3705.6545478495159</v>
      </c>
      <c r="BE148" s="30" t="s">
        <v>812</v>
      </c>
      <c r="BF148" s="30" t="s">
        <v>813</v>
      </c>
      <c r="BG148" s="30" t="s">
        <v>361</v>
      </c>
    </row>
    <row r="149" spans="1:59" ht="24" customHeight="1">
      <c r="A149" s="30">
        <v>145</v>
      </c>
      <c r="B149" s="30" t="s">
        <v>641</v>
      </c>
      <c r="C149" s="30" t="s">
        <v>682</v>
      </c>
      <c r="D149" s="30" t="s">
        <v>737</v>
      </c>
      <c r="E149" s="30" t="s">
        <v>56</v>
      </c>
      <c r="F149" s="30" t="s">
        <v>182</v>
      </c>
      <c r="G149" s="30" t="s">
        <v>70</v>
      </c>
      <c r="H149" s="31">
        <v>825</v>
      </c>
      <c r="I149" s="31">
        <v>107</v>
      </c>
      <c r="J149" s="31"/>
      <c r="K149" s="32">
        <f>IF(ISNUMBER(J149),J149,IF(AND(ISNUMBER(H149),ISNUMBER(I149)),H149*I149/(367*'Assumptions &amp; FX Reference'!$I$17),""))</f>
        <v>400.88555858310627</v>
      </c>
      <c r="L149" s="33" t="str">
        <f t="shared" si="24"/>
        <v>NFPA 20 + IPS-M-PM-125</v>
      </c>
      <c r="M149" s="30" t="s">
        <v>637</v>
      </c>
      <c r="N149" s="30" t="s">
        <v>638</v>
      </c>
      <c r="O149" s="38" t="s">
        <v>305</v>
      </c>
      <c r="P149" s="30" t="s">
        <v>119</v>
      </c>
      <c r="Q149" s="30" t="s">
        <v>119</v>
      </c>
      <c r="R149" s="30" t="s">
        <v>119</v>
      </c>
      <c r="S149" s="30" t="s">
        <v>452</v>
      </c>
      <c r="T149" s="30" t="s">
        <v>445</v>
      </c>
      <c r="U149" s="30">
        <v>1</v>
      </c>
      <c r="V149" s="30" t="s">
        <v>299</v>
      </c>
      <c r="W149" s="31">
        <v>11.3</v>
      </c>
      <c r="X149" s="30" t="s">
        <v>119</v>
      </c>
      <c r="Y149" s="30">
        <v>1393</v>
      </c>
      <c r="Z149" s="30" t="s">
        <v>355</v>
      </c>
      <c r="AA149" s="34">
        <v>100000</v>
      </c>
      <c r="AB149" s="35">
        <f>IF(NOT(ISNUMBER(AA149)),"(Not stated)",IF(NOT(ISNUMBER(Y149)),"(Cost year not stated)",IFERROR(IF(Z149="EUR",AA149,IF(Z149="IRR",AA149/INDEX('Assumptions &amp; FX Reference'!$C$5:$C$25,MATCH(Y149,'Assumptions &amp; FX Reference'!$A$5:$A$25,0)),IF(Z149="USD",AA149*INDEX('Assumptions &amp; FX Reference'!$B$5:$B$25,MATCH(Y149,'Assumptions &amp; FX Reference'!$A$5:$A$25,0))/INDEX('Assumptions &amp; FX Reference'!$C$5:$C$25,MATCH(Y149,'Assumptions &amp; FX Reference'!$A$5:$A$25,0)),"(Currency?)"))),"(FX rate missing)")))</f>
        <v>100000</v>
      </c>
      <c r="AC149" s="35">
        <f>IF(NOT(ISNUMBER(AA149)),"(Not stated)",IF(NOT(ISNUMBER(Y149)),"(Cost year not stated)",IFERROR(IF(Z149="USD",AA149,IF(Z149="IRR",AA149/INDEX('Assumptions &amp; FX Reference'!$B$5:$B$25,MATCH(Y149,'Assumptions &amp; FX Reference'!$A$5:$A$25,0)),IF(Z149="EUR",AA149*INDEX('Assumptions &amp; FX Reference'!$C$5:$C$25,MATCH(Y149,'Assumptions &amp; FX Reference'!$A$5:$A$25,0))/INDEX('Assumptions &amp; FX Reference'!$B$5:$B$25,MATCH(Y149,'Assumptions &amp; FX Reference'!$A$5:$A$25,0)),"(Currency?)"))),"(FX rate missing)")))</f>
        <v>130744.51612903227</v>
      </c>
      <c r="AD149" s="35">
        <f>IF(NOT(ISNUMBER(AA149)),"(Not stated)",IF(NOT(ISNUMBER(Y149)),"(Cost year not stated)",IFERROR(IF(Z149="IRR",AA149,IF(Z149="USD",AA149*INDEX('Assumptions &amp; FX Reference'!$B$5:$B$25,MATCH(Y149,'Assumptions &amp; FX Reference'!$A$5:$A$25,0)),IF(Z149="EUR",AA149*INDEX('Assumptions &amp; FX Reference'!$C$5:$C$25,MATCH(Y149,'Assumptions &amp; FX Reference'!$A$5:$A$25,0)),"(Currency?)"))),"(FX rate missing)")))</f>
        <v>4053080000.0000005</v>
      </c>
      <c r="AE149" s="30" t="s">
        <v>781</v>
      </c>
      <c r="AF149" s="30" t="s">
        <v>204</v>
      </c>
      <c r="AG149" s="35">
        <f>IF(AND(Z149="EUR",N(AA149)&gt;5000000),"(Check currency – excluded)",IF(AND(ISNUMBER(AB149),ISNUMBER(AZ149),ISNUMBER(BA149)),IF(AND(BB149="Y",ISNUMBER('Assumptions &amp; FX Reference'!$I$15)),MAX(AB149*BA149/AZ149,'Assumptions &amp; FX Reference'!$I$13*BA149/'Assumptions &amp; FX Reference'!$I$15),AB149*BA149/AZ149),"(PPI/FX missing)"))</f>
        <v>135106.79058972929</v>
      </c>
      <c r="AH149" s="35">
        <f>IF(AND(ISNUMBER(AG149),ISNUMBER('Assumptions &amp; FX Reference'!$I$8),ISNUMBER('Assumptions &amp; FX Reference'!$I$11)),AG149*'Assumptions &amp; FX Reference'!$I$8/'Assumptions &amp; FX Reference'!$I$11,"")</f>
        <v>142643.46369846296</v>
      </c>
      <c r="AI149" s="35">
        <f>IF(AND(ISNUMBER(AG149),ISNUMBER('Assumptions &amp; FX Reference'!$I$8)),AG149*'Assumptions &amp; FX Reference'!$I$8,"")</f>
        <v>93935428079.739914</v>
      </c>
      <c r="AJ149" s="30" t="s">
        <v>685</v>
      </c>
      <c r="AK149" s="30" t="s">
        <v>358</v>
      </c>
      <c r="AL149" s="30" t="s">
        <v>119</v>
      </c>
      <c r="AM149" s="30" t="s">
        <v>119</v>
      </c>
      <c r="AN149" s="30" t="s">
        <v>119</v>
      </c>
      <c r="AO149" s="30" t="s">
        <v>119</v>
      </c>
      <c r="AP149" s="30" t="s">
        <v>119</v>
      </c>
      <c r="AQ149" s="30" t="s">
        <v>119</v>
      </c>
      <c r="AR149" s="30" t="s">
        <v>119</v>
      </c>
      <c r="AS149" s="33" t="str">
        <f t="shared" si="25"/>
        <v xml:space="preserve">Seal missing; </v>
      </c>
      <c r="AT149" s="36">
        <f>IFERROR(INDEX(Factors_ROT!$F$5:$F$200,MATCH("MAT|"&amp;G149,Factors_ROT!$A$5:$A$200,0)),1)</f>
        <v>0.8</v>
      </c>
      <c r="AU149" s="36">
        <f>IFERROR(INDEX(Factors_ROT!$F$5:$F$200,MATCH("SEAL_ARR|"&amp;P149,Factors_ROT!$A$5:$A$200,0)),1)*IFERROR(INDEX(Factors_ROT!$F$5:$F$200,MATCH("SEAL_CAT|"&amp;Q149,Factors_ROT!$A$5:$A$200,0)),1)*IFERROR(INDEX(Factors_ROT!$F$5:$F$200,MATCH("SEAL_PLAN|"&amp;R149,Factors_ROT!$A$5:$A$200,0)),1)</f>
        <v>1</v>
      </c>
      <c r="AV149" s="36">
        <f>IFERROR(INDEX(Factors_ROT!$F$5:$F$200,MATCH("DRV|"&amp;S149,Factors_ROT!$A$5:$A$200,0)),1)*IFERROR(INDEX(Factors_ROT!$F$5:$F$200,MATCH("NACE|"&amp;O149,Factors_ROT!$A$5:$A$200,0)),1)</f>
        <v>1.35</v>
      </c>
      <c r="AW149" s="36">
        <f>IFERROR(INDEX(Factors_ROT!$F$5:$F$200,MATCH("SC_DRV|"&amp;AL149,Factors_ROT!$A$5:$A$200,0)),1)*IFERROR(INDEX(Factors_ROT!$F$5:$F$200,MATCH("SC_BSP|"&amp;AM149,Factors_ROT!$A$5:$A$200,0)),1)*IFERROR(INDEX(Factors_ROT!$F$5:$F$200,MATCH("SC_SEAL|"&amp;AN149,Factors_ROT!$A$5:$A$200,0)),1)*IFERROR(INDEX(Factors_ROT!$F$5:$F$200,MATCH("SC_COMM|"&amp;AO149,Factors_ROT!$A$5:$A$200,0)),1)*IFERROR(INDEX(Factors_ROT!$F$5:$F$200,MATCH("SC_2Y|"&amp;AP149,Factors_ROT!$A$5:$A$200,0)),1)*IFERROR(INDEX(Factors_ROT!$F$5:$F$200,MATCH("SC_TPI|"&amp;AQ149,Factors_ROT!$A$5:$A$200,0)),1)*IFERROR(INDEX(Factors_ROT!$F$5:$F$200,MATCH("SC_FAT|"&amp;AR149,Factors_ROT!$A$5:$A$200,0)),1)</f>
        <v>1</v>
      </c>
      <c r="AX149" s="36">
        <f t="shared" si="26"/>
        <v>1.08</v>
      </c>
      <c r="AY149" s="35">
        <f t="shared" si="27"/>
        <v>92592.592592592584</v>
      </c>
      <c r="AZ149" s="37">
        <f>IFERROR(IF(N(INDEX(Escalation_Index!$B$5:$B$25,MATCH(Y149,Escalation_Index!$A$5:$A$25,0)))&gt;0,INDEX(Escalation_Index!$B$5:$B$25,MATCH(Y149,Escalation_Index!$A$5:$A$25,0)),""),"")</f>
        <v>91.346999999999994</v>
      </c>
      <c r="BA149" s="37">
        <f>IF(ISNUMBER('Assumptions &amp; FX Reference'!$I$12),'Assumptions &amp; FX Reference'!$I$12,"")</f>
        <v>123.416</v>
      </c>
      <c r="BB149" s="33" t="str">
        <f t="shared" si="28"/>
        <v>N</v>
      </c>
      <c r="BC149" s="35">
        <f t="shared" si="29"/>
        <v>125098.88017567527</v>
      </c>
      <c r="BD149" s="35">
        <f>IF(AND(ISNUMBER(BC149),ISNUMBER(K149)),IF(K149&gt;0,BC149/K149^'Assumptions &amp; FX Reference'!$I$16,""),"")</f>
        <v>3431.1616183791821</v>
      </c>
      <c r="BE149" s="30" t="s">
        <v>814</v>
      </c>
      <c r="BF149" s="30" t="s">
        <v>815</v>
      </c>
      <c r="BG149" s="30" t="s">
        <v>361</v>
      </c>
    </row>
    <row r="150" spans="1:59" ht="24" customHeight="1">
      <c r="A150" s="30">
        <v>146</v>
      </c>
      <c r="B150" s="30" t="s">
        <v>645</v>
      </c>
      <c r="C150" s="30" t="s">
        <v>682</v>
      </c>
      <c r="D150" s="30" t="s">
        <v>740</v>
      </c>
      <c r="E150" s="30" t="s">
        <v>56</v>
      </c>
      <c r="F150" s="30" t="s">
        <v>179</v>
      </c>
      <c r="G150" s="30" t="s">
        <v>70</v>
      </c>
      <c r="H150" s="31">
        <v>16.5</v>
      </c>
      <c r="I150" s="31">
        <v>107</v>
      </c>
      <c r="J150" s="31"/>
      <c r="K150" s="32">
        <f>IF(ISNUMBER(J150),J150,IF(AND(ISNUMBER(H150),ISNUMBER(I150)),H150*I150/(367*'Assumptions &amp; FX Reference'!$I$17),""))</f>
        <v>8.0177111716621265</v>
      </c>
      <c r="L150" s="33" t="str">
        <f t="shared" si="24"/>
        <v>NFPA 20 + IPS-M-PM-125</v>
      </c>
      <c r="M150" s="30" t="s">
        <v>637</v>
      </c>
      <c r="N150" s="30" t="s">
        <v>638</v>
      </c>
      <c r="O150" s="38" t="s">
        <v>305</v>
      </c>
      <c r="P150" s="30" t="s">
        <v>119</v>
      </c>
      <c r="Q150" s="30" t="s">
        <v>119</v>
      </c>
      <c r="R150" s="30" t="s">
        <v>119</v>
      </c>
      <c r="S150" s="38" t="s">
        <v>297</v>
      </c>
      <c r="T150" s="30" t="s">
        <v>445</v>
      </c>
      <c r="U150" s="30">
        <v>2</v>
      </c>
      <c r="V150" s="30" t="s">
        <v>299</v>
      </c>
      <c r="W150" s="31">
        <v>11.3</v>
      </c>
      <c r="X150" s="30" t="s">
        <v>119</v>
      </c>
      <c r="Y150" s="30">
        <v>1393</v>
      </c>
      <c r="Z150" s="30" t="s">
        <v>355</v>
      </c>
      <c r="AA150" s="34">
        <v>15000</v>
      </c>
      <c r="AB150" s="35">
        <f>IF(NOT(ISNUMBER(AA150)),"(Not stated)",IF(NOT(ISNUMBER(Y150)),"(Cost year not stated)",IFERROR(IF(Z150="EUR",AA150,IF(Z150="IRR",AA150/INDEX('Assumptions &amp; FX Reference'!$C$5:$C$25,MATCH(Y150,'Assumptions &amp; FX Reference'!$A$5:$A$25,0)),IF(Z150="USD",AA150*INDEX('Assumptions &amp; FX Reference'!$B$5:$B$25,MATCH(Y150,'Assumptions &amp; FX Reference'!$A$5:$A$25,0))/INDEX('Assumptions &amp; FX Reference'!$C$5:$C$25,MATCH(Y150,'Assumptions &amp; FX Reference'!$A$5:$A$25,0)),"(Currency?)"))),"(FX rate missing)")))</f>
        <v>15000</v>
      </c>
      <c r="AC150" s="35">
        <f>IF(NOT(ISNUMBER(AA150)),"(Not stated)",IF(NOT(ISNUMBER(Y150)),"(Cost year not stated)",IFERROR(IF(Z150="USD",AA150,IF(Z150="IRR",AA150/INDEX('Assumptions &amp; FX Reference'!$B$5:$B$25,MATCH(Y150,'Assumptions &amp; FX Reference'!$A$5:$A$25,0)),IF(Z150="EUR",AA150*INDEX('Assumptions &amp; FX Reference'!$C$5:$C$25,MATCH(Y150,'Assumptions &amp; FX Reference'!$A$5:$A$25,0))/INDEX('Assumptions &amp; FX Reference'!$B$5:$B$25,MATCH(Y150,'Assumptions &amp; FX Reference'!$A$5:$A$25,0)),"(Currency?)"))),"(FX rate missing)")))</f>
        <v>19611.677419354837</v>
      </c>
      <c r="AD150" s="35">
        <f>IF(NOT(ISNUMBER(AA150)),"(Not stated)",IF(NOT(ISNUMBER(Y150)),"(Cost year not stated)",IFERROR(IF(Z150="IRR",AA150,IF(Z150="USD",AA150*INDEX('Assumptions &amp; FX Reference'!$B$5:$B$25,MATCH(Y150,'Assumptions &amp; FX Reference'!$A$5:$A$25,0)),IF(Z150="EUR",AA150*INDEX('Assumptions &amp; FX Reference'!$C$5:$C$25,MATCH(Y150,'Assumptions &amp; FX Reference'!$A$5:$A$25,0)),"(Currency?)"))),"(FX rate missing)")))</f>
        <v>607962000</v>
      </c>
      <c r="AE150" s="30" t="s">
        <v>781</v>
      </c>
      <c r="AF150" s="30" t="s">
        <v>204</v>
      </c>
      <c r="AG150" s="35">
        <f>IF(AND(Z150="EUR",N(AA150)&gt;5000000),"(Check currency – excluded)",IF(AND(ISNUMBER(AB150),ISNUMBER(AZ150),ISNUMBER(BA150)),IF(AND(BB150="Y",ISNUMBER('Assumptions &amp; FX Reference'!$I$15)),MAX(AB150*BA150/AZ150,'Assumptions &amp; FX Reference'!$I$13*BA150/'Assumptions &amp; FX Reference'!$I$15),AB150*BA150/AZ150),"(PPI/FX missing)"))</f>
        <v>20266.018588459392</v>
      </c>
      <c r="AH150" s="35">
        <f>IF(AND(ISNUMBER(AG150),ISNUMBER('Assumptions &amp; FX Reference'!$I$8),ISNUMBER('Assumptions &amp; FX Reference'!$I$11)),AG150*'Assumptions &amp; FX Reference'!$I$8/'Assumptions &amp; FX Reference'!$I$11,"")</f>
        <v>21396.519554769442</v>
      </c>
      <c r="AI150" s="35">
        <f>IF(AND(ISNUMBER(AG150),ISNUMBER('Assumptions &amp; FX Reference'!$I$8)),AG150*'Assumptions &amp; FX Reference'!$I$8,"")</f>
        <v>14090314211.960985</v>
      </c>
      <c r="AJ150" s="30" t="s">
        <v>685</v>
      </c>
      <c r="AK150" s="30" t="s">
        <v>358</v>
      </c>
      <c r="AL150" s="30" t="s">
        <v>119</v>
      </c>
      <c r="AM150" s="30" t="s">
        <v>119</v>
      </c>
      <c r="AN150" s="30" t="s">
        <v>119</v>
      </c>
      <c r="AO150" s="30" t="s">
        <v>119</v>
      </c>
      <c r="AP150" s="30" t="s">
        <v>119</v>
      </c>
      <c r="AQ150" s="30" t="s">
        <v>119</v>
      </c>
      <c r="AR150" s="30" t="s">
        <v>119</v>
      </c>
      <c r="AS150" s="33" t="str">
        <f t="shared" si="25"/>
        <v xml:space="preserve">Seal missing; </v>
      </c>
      <c r="AT150" s="36">
        <f>IFERROR(INDEX(Factors_ROT!$F$5:$F$200,MATCH("MAT|"&amp;G150,Factors_ROT!$A$5:$A$200,0)),1)</f>
        <v>0.8</v>
      </c>
      <c r="AU150" s="36">
        <f>IFERROR(INDEX(Factors_ROT!$F$5:$F$200,MATCH("SEAL_ARR|"&amp;P150,Factors_ROT!$A$5:$A$200,0)),1)*IFERROR(INDEX(Factors_ROT!$F$5:$F$200,MATCH("SEAL_CAT|"&amp;Q150,Factors_ROT!$A$5:$A$200,0)),1)*IFERROR(INDEX(Factors_ROT!$F$5:$F$200,MATCH("SEAL_PLAN|"&amp;R150,Factors_ROT!$A$5:$A$200,0)),1)</f>
        <v>1</v>
      </c>
      <c r="AV150" s="36">
        <f>IFERROR(INDEX(Factors_ROT!$F$5:$F$200,MATCH("DRV|"&amp;S150,Factors_ROT!$A$5:$A$200,0)),1)*IFERROR(INDEX(Factors_ROT!$F$5:$F$200,MATCH("NACE|"&amp;O150,Factors_ROT!$A$5:$A$200,0)),1)</f>
        <v>1</v>
      </c>
      <c r="AW150" s="36">
        <f>IFERROR(INDEX(Factors_ROT!$F$5:$F$200,MATCH("SC_DRV|"&amp;AL150,Factors_ROT!$A$5:$A$200,0)),1)*IFERROR(INDEX(Factors_ROT!$F$5:$F$200,MATCH("SC_BSP|"&amp;AM150,Factors_ROT!$A$5:$A$200,0)),1)*IFERROR(INDEX(Factors_ROT!$F$5:$F$200,MATCH("SC_SEAL|"&amp;AN150,Factors_ROT!$A$5:$A$200,0)),1)*IFERROR(INDEX(Factors_ROT!$F$5:$F$200,MATCH("SC_COMM|"&amp;AO150,Factors_ROT!$A$5:$A$200,0)),1)*IFERROR(INDEX(Factors_ROT!$F$5:$F$200,MATCH("SC_2Y|"&amp;AP150,Factors_ROT!$A$5:$A$200,0)),1)*IFERROR(INDEX(Factors_ROT!$F$5:$F$200,MATCH("SC_TPI|"&amp;AQ150,Factors_ROT!$A$5:$A$200,0)),1)*IFERROR(INDEX(Factors_ROT!$F$5:$F$200,MATCH("SC_FAT|"&amp;AR150,Factors_ROT!$A$5:$A$200,0)),1)</f>
        <v>1</v>
      </c>
      <c r="AX150" s="36">
        <f t="shared" si="26"/>
        <v>0.8</v>
      </c>
      <c r="AY150" s="35">
        <f t="shared" si="27"/>
        <v>18750</v>
      </c>
      <c r="AZ150" s="37">
        <f>IFERROR(IF(N(INDEX(Escalation_Index!$B$5:$B$25,MATCH(Y150,Escalation_Index!$A$5:$A$25,0)))&gt;0,INDEX(Escalation_Index!$B$5:$B$25,MATCH(Y150,Escalation_Index!$A$5:$A$25,0)),""),"")</f>
        <v>91.346999999999994</v>
      </c>
      <c r="BA150" s="37">
        <f>IF(ISNUMBER('Assumptions &amp; FX Reference'!$I$12),'Assumptions &amp; FX Reference'!$I$12,"")</f>
        <v>123.416</v>
      </c>
      <c r="BB150" s="33" t="str">
        <f t="shared" si="28"/>
        <v>N</v>
      </c>
      <c r="BC150" s="35">
        <f t="shared" si="29"/>
        <v>25332.523235574237</v>
      </c>
      <c r="BD150" s="35">
        <f>IF(AND(ISNUMBER(BC150),ISNUMBER(K150)),IF(K150&gt;0,BC150/K150^'Assumptions &amp; FX Reference'!$I$16,""),"")</f>
        <v>7265.2105565084685</v>
      </c>
      <c r="BE150" s="30" t="s">
        <v>816</v>
      </c>
      <c r="BF150" s="30" t="s">
        <v>817</v>
      </c>
      <c r="BG150" s="30" t="s">
        <v>361</v>
      </c>
    </row>
  </sheetData>
  <autoFilter ref="A4:BG150" xr:uid="{00000000-0009-0000-0000-000002000000}"/>
  <mergeCells count="8">
    <mergeCell ref="AL3:AR3"/>
    <mergeCell ref="AT3:BD3"/>
    <mergeCell ref="BE3:BG3"/>
    <mergeCell ref="A3:E3"/>
    <mergeCell ref="F3:U3"/>
    <mergeCell ref="V3:X3"/>
    <mergeCell ref="Y3:AI3"/>
    <mergeCell ref="AJ3:AK3"/>
  </mergeCell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8">
        <x14:dataValidation type="list" allowBlank="1" showErrorMessage="1" errorTitle="Invalid value" error="مقدار را از لیست انتخاب کنید (یا گزینه را به Lookup_Codes اضافه کنید)." xr:uid="{00000000-0002-0000-0200-000000000000}">
          <x14:formula1>
            <xm:f>Lookup_Codes!$A$5:$A$60</xm:f>
          </x14:formula1>
          <x14:formula2>
            <xm:f>0</xm:f>
          </x14:formula2>
          <xm:sqref>E5:E600</xm:sqref>
        </x14:dataValidation>
        <x14:dataValidation type="list" allowBlank="1" showErrorMessage="1" errorTitle="Invalid value" error="مقدار را از لیست انتخاب کنید (یا گزینه را به Lookup_Codes اضافه کنید)." xr:uid="{00000000-0002-0000-0200-000001000000}">
          <x14:formula1>
            <xm:f>Lookup_Codes!$F$5:$F$60</xm:f>
          </x14:formula1>
          <x14:formula2>
            <xm:f>0</xm:f>
          </x14:formula2>
          <xm:sqref>F5:F600</xm:sqref>
        </x14:dataValidation>
        <x14:dataValidation type="list" allowBlank="1" showErrorMessage="1" errorTitle="Invalid value" error="مقدار را از لیست انتخاب کنید (یا گزینه را به Lookup_Codes اضافه کنید)." xr:uid="{00000000-0002-0000-0200-000002000000}">
          <x14:formula1>
            <xm:f>Lookup_Codes!$R$5:$R$60</xm:f>
          </x14:formula1>
          <x14:formula2>
            <xm:f>0</xm:f>
          </x14:formula2>
          <xm:sqref>G5:G600</xm:sqref>
        </x14:dataValidation>
        <x14:dataValidation type="list" allowBlank="1" showErrorMessage="1" errorTitle="Invalid value" error="مقدار را از لیست انتخاب کنید (یا گزینه را به Lookup_Codes اضافه کنید)." xr:uid="{00000000-0002-0000-0200-000003000000}">
          <x14:formula1>
            <xm:f>Lookup_Codes!$C$5:$C$60</xm:f>
          </x14:formula1>
          <x14:formula2>
            <xm:f>0</xm:f>
          </x14:formula2>
          <xm:sqref>M5:M600</xm:sqref>
        </x14:dataValidation>
        <x14:dataValidation type="list" allowBlank="1" showErrorMessage="1" errorTitle="Invalid value" error="مقدار را از لیست انتخاب کنید (یا گزینه را به Lookup_Codes اضافه کنید)." xr:uid="{00000000-0002-0000-0200-000004000000}">
          <x14:formula1>
            <xm:f>Lookup_Codes!$D$5:$D$60</xm:f>
          </x14:formula1>
          <x14:formula2>
            <xm:f>0</xm:f>
          </x14:formula2>
          <xm:sqref>N5:N600</xm:sqref>
        </x14:dataValidation>
        <x14:dataValidation type="list" allowBlank="1" showErrorMessage="1" errorTitle="Invalid value" error="مقدار را از لیست انتخاب کنید (یا گزینه را به Lookup_Codes اضافه کنید)." xr:uid="{00000000-0002-0000-0200-000005000000}">
          <x14:formula1>
            <xm:f>Lookup_Codes!$I$5:$I$60</xm:f>
          </x14:formula1>
          <x14:formula2>
            <xm:f>0</xm:f>
          </x14:formula2>
          <xm:sqref>O5:O600 AL5:AR600</xm:sqref>
        </x14:dataValidation>
        <x14:dataValidation type="list" allowBlank="1" showErrorMessage="1" errorTitle="Invalid value" error="مقدار را از لیست انتخاب کنید (یا گزینه را به Lookup_Codes اضافه کنید)." xr:uid="{00000000-0002-0000-0200-000006000000}">
          <x14:formula1>
            <xm:f>Lookup_Codes!$S$5:$S$60</xm:f>
          </x14:formula1>
          <x14:formula2>
            <xm:f>0</xm:f>
          </x14:formula2>
          <xm:sqref>P5:P600</xm:sqref>
        </x14:dataValidation>
        <x14:dataValidation type="list" allowBlank="1" showErrorMessage="1" errorTitle="Invalid value" error="مقدار را از لیست انتخاب کنید (یا گزینه را به Lookup_Codes اضافه کنید)." xr:uid="{00000000-0002-0000-0200-000007000000}">
          <x14:formula1>
            <xm:f>Lookup_Codes!$T$5:$T$60</xm:f>
          </x14:formula1>
          <x14:formula2>
            <xm:f>0</xm:f>
          </x14:formula2>
          <xm:sqref>Q5:Q600</xm:sqref>
        </x14:dataValidation>
        <x14:dataValidation type="list" allowBlank="1" showErrorMessage="1" errorTitle="Invalid value" error="مقدار را از لیست انتخاب کنید (یا گزینه را به Lookup_Codes اضافه کنید)." xr:uid="{00000000-0002-0000-0200-000008000000}">
          <x14:formula1>
            <xm:f>Lookup_Codes!$U$5:$U$60</xm:f>
          </x14:formula1>
          <x14:formula2>
            <xm:f>0</xm:f>
          </x14:formula2>
          <xm:sqref>R5:R600</xm:sqref>
        </x14:dataValidation>
        <x14:dataValidation type="list" allowBlank="1" showErrorMessage="1" errorTitle="Invalid value" error="مقدار را از لیست انتخاب کنید (یا گزینه را به Lookup_Codes اضافه کنید)." xr:uid="{00000000-0002-0000-0200-000009000000}">
          <x14:formula1>
            <xm:f>Lookup_Codes!$V$5:$V$60</xm:f>
          </x14:formula1>
          <x14:formula2>
            <xm:f>0</xm:f>
          </x14:formula2>
          <xm:sqref>S5:S600</xm:sqref>
        </x14:dataValidation>
        <x14:dataValidation type="list" allowBlank="1" showErrorMessage="1" errorTitle="Invalid value" error="مقدار را از لیست انتخاب کنید (یا گزینه را به Lookup_Codes اضافه کنید)." xr:uid="{00000000-0002-0000-0200-00000A000000}">
          <x14:formula1>
            <xm:f>Lookup_Codes!$B$5:$B$60</xm:f>
          </x14:formula1>
          <x14:formula2>
            <xm:f>0</xm:f>
          </x14:formula2>
          <xm:sqref>T5:T600</xm:sqref>
        </x14:dataValidation>
        <x14:dataValidation type="list" allowBlank="1" showErrorMessage="1" errorTitle="Invalid value" error="مقدار را از لیست انتخاب کنید (یا گزینه را به Lookup_Codes اضافه کنید)." xr:uid="{00000000-0002-0000-0200-00000B000000}">
          <x14:formula1>
            <xm:f>Lookup_Codes!$E$5:$E$60</xm:f>
          </x14:formula1>
          <x14:formula2>
            <xm:f>0</xm:f>
          </x14:formula2>
          <xm:sqref>V5:V600</xm:sqref>
        </x14:dataValidation>
        <x14:dataValidation type="list" allowBlank="1" showErrorMessage="1" errorTitle="Invalid value" error="مقدار را از لیست انتخاب کنید (یا گزینه را به Lookup_Codes اضافه کنید)." xr:uid="{00000000-0002-0000-0200-00000C000000}">
          <x14:formula1>
            <xm:f>Lookup_Codes!$G$5:$G$60</xm:f>
          </x14:formula1>
          <x14:formula2>
            <xm:f>0</xm:f>
          </x14:formula2>
          <xm:sqref>X5:X600</xm:sqref>
        </x14:dataValidation>
        <x14:dataValidation type="list" allowBlank="1" showErrorMessage="1" errorTitle="Invalid value" error="مقدار را از لیست انتخاب کنید (یا گزینه را به Lookup_Codes اضافه کنید)." xr:uid="{00000000-0002-0000-0200-00000D000000}">
          <x14:formula1>
            <xm:f>Lookup_Codes!$K$5:$K$60</xm:f>
          </x14:formula1>
          <x14:formula2>
            <xm:f>0</xm:f>
          </x14:formula2>
          <xm:sqref>Y5:Y600</xm:sqref>
        </x14:dataValidation>
        <x14:dataValidation type="list" allowBlank="1" showErrorMessage="1" errorTitle="Invalid value" error="مقدار را از لیست انتخاب کنید (یا گزینه را به Lookup_Codes اضافه کنید)." xr:uid="{00000000-0002-0000-0200-00000E000000}">
          <x14:formula1>
            <xm:f>Lookup_Codes!$J$5:$J$60</xm:f>
          </x14:formula1>
          <x14:formula2>
            <xm:f>0</xm:f>
          </x14:formula2>
          <xm:sqref>Z5:Z600</xm:sqref>
        </x14:dataValidation>
        <x14:dataValidation type="list" allowBlank="1" showErrorMessage="1" errorTitle="Invalid value" error="مقدار را از لیست انتخاب کنید (یا گزینه را به Lookup_Codes اضافه کنید)." xr:uid="{00000000-0002-0000-0200-00000F000000}">
          <x14:formula1>
            <xm:f>Lookup_Codes!$L$5:$L$60</xm:f>
          </x14:formula1>
          <x14:formula2>
            <xm:f>0</xm:f>
          </x14:formula2>
          <xm:sqref>AF5:AF600</xm:sqref>
        </x14:dataValidation>
        <x14:dataValidation type="list" allowBlank="1" showErrorMessage="1" errorTitle="Invalid value" error="مقدار را از لیست انتخاب کنید (یا گزینه را به Lookup_Codes اضافه کنید)." xr:uid="{00000000-0002-0000-0200-000010000000}">
          <x14:formula1>
            <xm:f>Lookup_Codes!$M$5:$M$60</xm:f>
          </x14:formula1>
          <x14:formula2>
            <xm:f>0</xm:f>
          </x14:formula2>
          <xm:sqref>AK5:AK600</xm:sqref>
        </x14:dataValidation>
        <x14:dataValidation type="list" allowBlank="1" showErrorMessage="1" errorTitle="Invalid value" error="مقدار را از لیست انتخاب کنید (یا گزینه را به Lookup_Codes اضافه کنید)." xr:uid="{00000000-0002-0000-0200-000018000000}">
          <x14:formula1>
            <xm:f>Lookup_Codes!$H$5:$H$60</xm:f>
          </x14:formula1>
          <x14:formula2>
            <xm:f>0</xm:f>
          </x14:formula2>
          <xm:sqref>BG5:BG600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6"/>
  <sheetViews>
    <sheetView showGridLines="0" zoomScaleNormal="100" workbookViewId="0">
      <pane ySplit="4" topLeftCell="A5" activePane="bottomLeft" state="frozen"/>
      <selection pane="bottomLeft" activeCell="G12" sqref="G12"/>
    </sheetView>
  </sheetViews>
  <sheetFormatPr defaultColWidth="8.7109375" defaultRowHeight="15"/>
  <cols>
    <col min="1" max="1" width="30" customWidth="1"/>
    <col min="2" max="2" width="26" customWidth="1"/>
    <col min="3" max="3" width="8" customWidth="1"/>
    <col min="4" max="4" width="2" customWidth="1"/>
    <col min="5" max="5" width="30" customWidth="1"/>
    <col min="6" max="6" width="20" customWidth="1"/>
    <col min="7" max="7" width="38" customWidth="1"/>
  </cols>
  <sheetData>
    <row r="1" spans="1:7" ht="18">
      <c r="A1" s="10" t="s">
        <v>818</v>
      </c>
    </row>
    <row r="2" spans="1:7">
      <c r="A2" s="11" t="s">
        <v>819</v>
      </c>
    </row>
    <row r="4" spans="1:7">
      <c r="A4" s="18" t="s">
        <v>820</v>
      </c>
      <c r="B4" s="18" t="s">
        <v>821</v>
      </c>
      <c r="C4" s="18" t="s">
        <v>822</v>
      </c>
      <c r="E4" s="24" t="s">
        <v>823</v>
      </c>
      <c r="F4" s="24" t="s">
        <v>824</v>
      </c>
      <c r="G4" s="24" t="s">
        <v>825</v>
      </c>
    </row>
    <row r="5" spans="1:7">
      <c r="A5" s="13" t="s">
        <v>33</v>
      </c>
      <c r="B5" s="41" t="s">
        <v>47</v>
      </c>
      <c r="C5" s="33"/>
      <c r="E5" s="13" t="s">
        <v>826</v>
      </c>
      <c r="F5" s="32">
        <f>IF(ISNUMBER($B$23),$B$23,IF(AND(ISNUMBER($B$24),ISNUMBER($B$25)),$B$24*$B$25/(367*'Assumptions &amp; FX Reference'!$I$17),"(kW یا Q و H)"))</f>
        <v>217.98365122615806</v>
      </c>
      <c r="G5" s="83" t="s">
        <v>827</v>
      </c>
    </row>
    <row r="6" spans="1:7">
      <c r="A6" s="13" t="s">
        <v>2439</v>
      </c>
      <c r="B6" s="82" t="s">
        <v>361</v>
      </c>
      <c r="C6" s="33"/>
      <c r="E6" s="13" t="s">
        <v>279</v>
      </c>
      <c r="F6" s="36">
        <f>$C$10</f>
        <v>1.9</v>
      </c>
      <c r="G6" s="83" t="s">
        <v>828</v>
      </c>
    </row>
    <row r="7" spans="1:7">
      <c r="A7" s="13" t="s">
        <v>247</v>
      </c>
      <c r="B7" s="41" t="s">
        <v>470</v>
      </c>
      <c r="C7" s="33"/>
      <c r="E7" s="13" t="s">
        <v>280</v>
      </c>
      <c r="F7" s="36">
        <f>$C$11*$C$12*$C$13</f>
        <v>1.1648000000000001</v>
      </c>
      <c r="G7" s="83" t="s">
        <v>829</v>
      </c>
    </row>
    <row r="8" spans="1:7">
      <c r="A8" s="13" t="s">
        <v>256</v>
      </c>
      <c r="B8" s="41" t="s">
        <v>299</v>
      </c>
      <c r="C8" s="33"/>
      <c r="E8" s="13" t="s">
        <v>281</v>
      </c>
      <c r="F8" s="36">
        <f>$C$14*$C$15</f>
        <v>1.05</v>
      </c>
      <c r="G8" s="83" t="s">
        <v>830</v>
      </c>
    </row>
    <row r="9" spans="1:7">
      <c r="A9" s="13" t="s">
        <v>241</v>
      </c>
      <c r="B9" s="41" t="s">
        <v>149</v>
      </c>
      <c r="C9" s="33"/>
      <c r="E9" s="13" t="s">
        <v>282</v>
      </c>
      <c r="F9" s="36">
        <f>$C$16*$C$17*$C$18*$C$19*$C$20*$C$21*$C$22</f>
        <v>1.02</v>
      </c>
      <c r="G9" s="83" t="s">
        <v>831</v>
      </c>
    </row>
    <row r="10" spans="1:7">
      <c r="A10" s="13" t="s">
        <v>242</v>
      </c>
      <c r="B10" s="41" t="s">
        <v>111</v>
      </c>
      <c r="C10" s="42">
        <f>IFERROR(INDEX(Factors_ROT!$F$5:$F$200,MATCH("MAT|"&amp;$B$10,Factors_ROT!$A$5:$A$200,0)),1)</f>
        <v>1.9</v>
      </c>
      <c r="E10" s="13" t="s">
        <v>283</v>
      </c>
      <c r="F10" s="36">
        <f>F6*F7*F8*F9</f>
        <v>2.3702515200000001</v>
      </c>
      <c r="G10" s="83" t="s">
        <v>832</v>
      </c>
    </row>
    <row r="11" spans="1:7">
      <c r="A11" s="13" t="s">
        <v>250</v>
      </c>
      <c r="B11" s="41" t="s">
        <v>833</v>
      </c>
      <c r="C11" s="42">
        <f>IFERROR(INDEX(Factors_ROT!$F$5:$F$200,MATCH("SEAL_ARR|"&amp;$B$11,Factors_ROT!$A$5:$A$200,0)),1)</f>
        <v>1.1200000000000001</v>
      </c>
      <c r="E11" s="13" t="s">
        <v>834</v>
      </c>
      <c r="F11" s="43">
        <f>COUNTIFS('Master Database'!$BD$5:$BD$600,"&gt;0",'Master Database'!$V$5:$V$600,$B$8,'Master Database'!$M$5:$M$600,$B$7,'Master Database'!$BG$5:$BG$600,"Y",'Master Database'!$E$5:$E$600,IF($B$6="Y",$B$5,"*"))</f>
        <v>10</v>
      </c>
      <c r="G11" s="83" t="s">
        <v>835</v>
      </c>
    </row>
    <row r="12" spans="1:7">
      <c r="A12" s="13" t="s">
        <v>251</v>
      </c>
      <c r="B12" s="41" t="s">
        <v>836</v>
      </c>
      <c r="C12" s="42">
        <f>IFERROR(INDEX(Factors_ROT!$F$5:$F$200,MATCH("SEAL_CAT|"&amp;$B$12,Factors_ROT!$A$5:$A$200,0)),1)</f>
        <v>1</v>
      </c>
      <c r="E12" s="13" t="s">
        <v>837</v>
      </c>
      <c r="F12" s="35">
        <f>IFERROR(AVERAGEIFS('Master Database'!$BD$5:$BD$600,'Master Database'!$BD$5:$BD$600,"&gt;0",'Master Database'!$V$5:$V$600,$B$8,'Master Database'!$M$5:$M$600,$B$7,'Master Database'!$BG$5:$BG$600,"Y",'Master Database'!$E$5:$E$600,IF($B$6="Y",$B$5,"*")),"(no peers)")</f>
        <v>9515.938997709909</v>
      </c>
      <c r="G12" s="83" t="s">
        <v>838</v>
      </c>
    </row>
    <row r="13" spans="1:7">
      <c r="A13" s="13" t="s">
        <v>252</v>
      </c>
      <c r="B13" s="41" t="s">
        <v>839</v>
      </c>
      <c r="C13" s="42">
        <f>IFERROR(INDEX(Factors_ROT!$F$5:$F$200,MATCH("SEAL_PLAN|"&amp;$B$13,Factors_ROT!$A$5:$A$200,0)),1)</f>
        <v>1.04</v>
      </c>
      <c r="E13" s="13" t="s">
        <v>840</v>
      </c>
      <c r="F13" s="35">
        <f>IF(N(F11)=0,"",_xlfn.MINIFS('Master Database'!$BD$5:$BD$600,'Master Database'!$BD$5:$BD$600,"&gt;0",'Master Database'!$V$5:$V$600,$B$8,'Master Database'!$M$5:$M$600,$B$7,'Master Database'!$BG$5:$BG$600,"Y",'Master Database'!$E$5:$E$600,IF($B$6="Y",$B$5,"*")))</f>
        <v>5550.3244245297437</v>
      </c>
      <c r="G13" s="83"/>
    </row>
    <row r="14" spans="1:7">
      <c r="A14" s="13" t="s">
        <v>253</v>
      </c>
      <c r="B14" s="41" t="s">
        <v>297</v>
      </c>
      <c r="C14" s="42">
        <f>IFERROR(INDEX(Factors_ROT!$F$5:$F$200,MATCH("DRV|"&amp;$B$14,Factors_ROT!$A$5:$A$200,0)),1)</f>
        <v>1</v>
      </c>
      <c r="E14" s="13" t="s">
        <v>841</v>
      </c>
      <c r="F14" s="35">
        <f>IF(N(F11)=0,"",_xlfn.MAXIFS('Master Database'!$BD$5:$BD$600,'Master Database'!$BD$5:$BD$600,"&gt;0",'Master Database'!$V$5:$V$600,$B$8,'Master Database'!$M$5:$M$600,$B$7,'Master Database'!$BG$5:$BG$600,"Y",'Master Database'!$E$5:$E$600,IF($B$6="Y",$B$5,"*")))</f>
        <v>17266.686181055182</v>
      </c>
      <c r="G14" s="83"/>
    </row>
    <row r="15" spans="1:7">
      <c r="A15" s="13" t="s">
        <v>842</v>
      </c>
      <c r="B15" s="41" t="s">
        <v>361</v>
      </c>
      <c r="C15" s="42">
        <f>IFERROR(INDEX(Factors_ROT!$F$5:$F$200,MATCH("NACE|"&amp;$B$15,Factors_ROT!$A$5:$A$200,0)),1)</f>
        <v>1.05</v>
      </c>
      <c r="E15" s="13" t="s">
        <v>843</v>
      </c>
      <c r="F15" s="33" t="str">
        <f>IF(AND($B$7="API 610",LEFT($B$8,11)="Centrifugal",OR(LEFT($B$10,2)="S-",LEFT($B$10,2)="D-")),"Y","N")</f>
        <v>Y</v>
      </c>
      <c r="G15" s="83" t="s">
        <v>844</v>
      </c>
    </row>
    <row r="16" spans="1:7">
      <c r="A16" s="13" t="s">
        <v>271</v>
      </c>
      <c r="B16" s="41" t="s">
        <v>361</v>
      </c>
      <c r="C16" s="42">
        <f>IFERROR(INDEX(Factors_ROT!$F$5:$F$200,MATCH("SC_DRV|"&amp;$B$16,Factors_ROT!$A$5:$A$200,0)),1)</f>
        <v>1</v>
      </c>
      <c r="E16" s="13" t="s">
        <v>845</v>
      </c>
      <c r="F16" s="35">
        <f>IF(AND(ISNUMBER('Assumptions &amp; FX Reference'!$I$12),ISNUMBER('Assumptions &amp; FX Reference'!$I$15)),'Assumptions &amp; FX Reference'!$I$13*'Assumptions &amp; FX Reference'!$I$12/'Assumptions &amp; FX Reference'!$I$15,"")</f>
        <v>25000</v>
      </c>
      <c r="G16" s="83" t="s">
        <v>846</v>
      </c>
    </row>
    <row r="17" spans="1:7">
      <c r="A17" s="13" t="s">
        <v>272</v>
      </c>
      <c r="B17" s="41" t="s">
        <v>361</v>
      </c>
      <c r="C17" s="42">
        <f>IFERROR(INDEX(Factors_ROT!$F$5:$F$200,MATCH("SC_BSP|"&amp;$B$17,Factors_ROT!$A$5:$A$200,0)),1)</f>
        <v>1</v>
      </c>
      <c r="E17" s="25" t="s">
        <v>847</v>
      </c>
      <c r="F17" s="44"/>
      <c r="G17" s="44"/>
    </row>
    <row r="18" spans="1:7">
      <c r="A18" s="13" t="s">
        <v>273</v>
      </c>
      <c r="B18" s="41" t="s">
        <v>361</v>
      </c>
      <c r="C18" s="42">
        <f>IFERROR(INDEX(Factors_ROT!$F$5:$F$200,MATCH("SC_SEAL|"&amp;$B$18,Factors_ROT!$A$5:$A$200,0)),1)</f>
        <v>1</v>
      </c>
      <c r="E18" s="13" t="s">
        <v>848</v>
      </c>
      <c r="F18" s="45">
        <f>IF(AND(ISNUMBER(F12),ISNUMBER(F5)),IF(AND(F15="Y",ISNUMBER(F16)),MAX(F12*F5^'Assumptions &amp; FX Reference'!$I$16*F10,F16),F12*F5^'Assumptions &amp; FX Reference'!$I$16*F10),"")</f>
        <v>570558.83760356449</v>
      </c>
      <c r="G18" s="84" t="s">
        <v>849</v>
      </c>
    </row>
    <row r="19" spans="1:7">
      <c r="A19" s="13" t="s">
        <v>274</v>
      </c>
      <c r="B19" s="41" t="s">
        <v>361</v>
      </c>
      <c r="C19" s="42">
        <f>IFERROR(INDEX(Factors_ROT!$F$5:$F$200,MATCH("SC_COMM|"&amp;$B$19,Factors_ROT!$A$5:$A$200,0)),1)</f>
        <v>1</v>
      </c>
      <c r="E19" s="13" t="s">
        <v>850</v>
      </c>
      <c r="F19" s="45">
        <f>IF(AND(ISNUMBER(F13),ISNUMBER(F5)),IF(AND(F15="Y",ISNUMBER(F16)),MAX(F13*F5^'Assumptions &amp; FX Reference'!$I$16*F10,F16),F13*F5^'Assumptions &amp; FX Reference'!$I$16*F10),"")</f>
        <v>332787.61588787794</v>
      </c>
      <c r="G19" s="84" t="s">
        <v>851</v>
      </c>
    </row>
    <row r="20" spans="1:7">
      <c r="A20" s="13" t="s">
        <v>275</v>
      </c>
      <c r="B20" s="41" t="s">
        <v>305</v>
      </c>
      <c r="C20" s="42">
        <f>IFERROR(INDEX(Factors_ROT!$F$5:$F$200,MATCH("SC_2Y|"&amp;$B$20,Factors_ROT!$A$5:$A$200,0)),1)</f>
        <v>1</v>
      </c>
      <c r="E20" s="13" t="s">
        <v>852</v>
      </c>
      <c r="F20" s="45">
        <f>IF(AND(ISNUMBER(F14),ISNUMBER(F5)),IF(AND(F15="Y",ISNUMBER(F16)),MAX(F14*F5^'Assumptions &amp; FX Reference'!$I$16*F10,F16),F14*F5^'Assumptions &amp; FX Reference'!$I$16*F10),"")</f>
        <v>1035279.9023931595</v>
      </c>
      <c r="G20" s="84" t="s">
        <v>853</v>
      </c>
    </row>
    <row r="21" spans="1:7">
      <c r="A21" s="13" t="s">
        <v>276</v>
      </c>
      <c r="B21" s="41" t="s">
        <v>361</v>
      </c>
      <c r="C21" s="42">
        <f>IFERROR(INDEX(Factors_ROT!$F$5:$F$200,MATCH("SC_TPI|"&amp;$B$21,Factors_ROT!$A$5:$A$200,0)),1)</f>
        <v>1.02</v>
      </c>
      <c r="E21" s="13" t="s">
        <v>854</v>
      </c>
      <c r="F21" s="45">
        <f>IF(AND(ISNUMBER(F18),ISNUMBER('Assumptions &amp; FX Reference'!$I$8),ISNUMBER('Assumptions &amp; FX Reference'!$I$11)),F18*'Assumptions &amp; FX Reference'!$I$8/'Assumptions &amp; FX Reference'!$I$11,"")</f>
        <v>602386.36773397098</v>
      </c>
      <c r="G21" s="84" t="s">
        <v>855</v>
      </c>
    </row>
    <row r="22" spans="1:7">
      <c r="A22" s="13" t="s">
        <v>277</v>
      </c>
      <c r="B22" s="41" t="s">
        <v>305</v>
      </c>
      <c r="C22" s="42">
        <f>IFERROR(INDEX(Factors_ROT!$F$5:$F$200,MATCH("SC_FAT|"&amp;$B$22,Factors_ROT!$A$5:$A$200,0)),1)</f>
        <v>1</v>
      </c>
      <c r="E22" s="13" t="s">
        <v>856</v>
      </c>
      <c r="F22" s="45">
        <f>IF(AND(ISNUMBER(F18),ISNUMBER('Assumptions &amp; FX Reference'!$I$8)),F18*'Assumptions &amp; FX Reference'!$I$8,"")</f>
        <v>396691301902.95508</v>
      </c>
      <c r="G22" s="84" t="s">
        <v>857</v>
      </c>
    </row>
    <row r="23" spans="1:7">
      <c r="A23" s="13" t="s">
        <v>858</v>
      </c>
      <c r="B23" s="41"/>
      <c r="C23" s="33"/>
      <c r="E23" s="13" t="s">
        <v>859</v>
      </c>
      <c r="F23" s="45">
        <f>IF(ISNUMBER(F22),F22*N($B$26),"")</f>
        <v>793382603805.91016</v>
      </c>
      <c r="G23" s="84"/>
    </row>
    <row r="24" spans="1:7">
      <c r="A24" s="13" t="s">
        <v>243</v>
      </c>
      <c r="B24" s="41">
        <v>80</v>
      </c>
      <c r="C24" s="33"/>
      <c r="E24" s="13" t="s">
        <v>860</v>
      </c>
      <c r="F24" s="21" t="str">
        <f>'Assumptions &amp; FX Reference'!$I$5&amp;" / "&amp;TEXT('Assumptions &amp; FX Reference'!$I$8,"#,##0")&amp;" / "&amp;TEXT('Assumptions &amp; FX Reference'!$I$11,"#,##0")</f>
        <v>1404 / 695,268 / 658,533</v>
      </c>
      <c r="G24" s="84" t="s">
        <v>861</v>
      </c>
    </row>
    <row r="25" spans="1:7">
      <c r="A25" s="13" t="s">
        <v>244</v>
      </c>
      <c r="B25" s="41">
        <v>600</v>
      </c>
      <c r="C25" s="33"/>
    </row>
    <row r="26" spans="1:7">
      <c r="A26" s="13" t="s">
        <v>862</v>
      </c>
      <c r="B26" s="41">
        <v>2</v>
      </c>
      <c r="C26" s="33"/>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1">
        <x14:dataValidation type="list" allowBlank="1" xr:uid="{00000000-0002-0000-0300-000000000000}">
          <x14:formula1>
            <xm:f>Lookup_Codes!$A$5:$A$60</xm:f>
          </x14:formula1>
          <x14:formula2>
            <xm:f>0</xm:f>
          </x14:formula2>
          <xm:sqref>B5</xm:sqref>
        </x14:dataValidation>
        <x14:dataValidation type="list" allowBlank="1" xr:uid="{00000000-0002-0000-0300-000001000000}">
          <x14:formula1>
            <xm:f>Lookup_Codes!$H$5:$H$60</xm:f>
          </x14:formula1>
          <x14:formula2>
            <xm:f>0</xm:f>
          </x14:formula2>
          <xm:sqref>B6</xm:sqref>
        </x14:dataValidation>
        <x14:dataValidation type="list" allowBlank="1" xr:uid="{00000000-0002-0000-0300-000002000000}">
          <x14:formula1>
            <xm:f>Lookup_Codes!$C$5:$C$60</xm:f>
          </x14:formula1>
          <x14:formula2>
            <xm:f>0</xm:f>
          </x14:formula2>
          <xm:sqref>B7</xm:sqref>
        </x14:dataValidation>
        <x14:dataValidation type="list" allowBlank="1" xr:uid="{00000000-0002-0000-0300-000003000000}">
          <x14:formula1>
            <xm:f>Lookup_Codes!$E$5:$E$60</xm:f>
          </x14:formula1>
          <x14:formula2>
            <xm:f>0</xm:f>
          </x14:formula2>
          <xm:sqref>B8</xm:sqref>
        </x14:dataValidation>
        <x14:dataValidation type="list" allowBlank="1" xr:uid="{00000000-0002-0000-0300-000004000000}">
          <x14:formula1>
            <xm:f>Lookup_Codes!$F$5:$F$60</xm:f>
          </x14:formula1>
          <x14:formula2>
            <xm:f>0</xm:f>
          </x14:formula2>
          <xm:sqref>B9</xm:sqref>
        </x14:dataValidation>
        <x14:dataValidation type="list" allowBlank="1" xr:uid="{00000000-0002-0000-0300-000005000000}">
          <x14:formula1>
            <xm:f>Lookup_Codes!$R$5:$R$60</xm:f>
          </x14:formula1>
          <x14:formula2>
            <xm:f>0</xm:f>
          </x14:formula2>
          <xm:sqref>B10</xm:sqref>
        </x14:dataValidation>
        <x14:dataValidation type="list" allowBlank="1" xr:uid="{00000000-0002-0000-0300-000006000000}">
          <x14:formula1>
            <xm:f>Lookup_Codes!$S$5:$S$60</xm:f>
          </x14:formula1>
          <x14:formula2>
            <xm:f>0</xm:f>
          </x14:formula2>
          <xm:sqref>B11</xm:sqref>
        </x14:dataValidation>
        <x14:dataValidation type="list" allowBlank="1" xr:uid="{00000000-0002-0000-0300-000007000000}">
          <x14:formula1>
            <xm:f>Lookup_Codes!$T$5:$T$60</xm:f>
          </x14:formula1>
          <x14:formula2>
            <xm:f>0</xm:f>
          </x14:formula2>
          <xm:sqref>B12</xm:sqref>
        </x14:dataValidation>
        <x14:dataValidation type="list" allowBlank="1" xr:uid="{00000000-0002-0000-0300-000008000000}">
          <x14:formula1>
            <xm:f>Lookup_Codes!$U$5:$U$60</xm:f>
          </x14:formula1>
          <x14:formula2>
            <xm:f>0</xm:f>
          </x14:formula2>
          <xm:sqref>B13</xm:sqref>
        </x14:dataValidation>
        <x14:dataValidation type="list" allowBlank="1" xr:uid="{00000000-0002-0000-0300-000009000000}">
          <x14:formula1>
            <xm:f>Lookup_Codes!$V$5:$V$60</xm:f>
          </x14:formula1>
          <x14:formula2>
            <xm:f>0</xm:f>
          </x14:formula2>
          <xm:sqref>B14</xm:sqref>
        </x14:dataValidation>
        <x14:dataValidation type="list" allowBlank="1" xr:uid="{00000000-0002-0000-0300-00000A000000}">
          <x14:formula1>
            <xm:f>Lookup_Codes!$I$5:$I$60</xm:f>
          </x14:formula1>
          <x14:formula2>
            <xm:f>0</xm:f>
          </x14:formula2>
          <xm:sqref>B15:B22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600"/>
  <sheetViews>
    <sheetView showGridLines="0" zoomScaleNormal="100" workbookViewId="0">
      <pane xSplit="4" ySplit="15" topLeftCell="E16" activePane="bottomRight" state="frozen"/>
      <selection pane="topRight" activeCell="E1" sqref="E1"/>
      <selection pane="bottomLeft" activeCell="A16" sqref="A16"/>
      <selection pane="bottomRight" activeCell="F23" sqref="F23"/>
    </sheetView>
  </sheetViews>
  <sheetFormatPr defaultColWidth="8.7109375" defaultRowHeight="15"/>
  <cols>
    <col min="1" max="1" width="22" customWidth="1"/>
    <col min="2" max="2" width="18" customWidth="1"/>
    <col min="3" max="3" width="6" customWidth="1"/>
    <col min="4" max="4" width="32" customWidth="1"/>
    <col min="5" max="5" width="18" customWidth="1"/>
    <col min="6" max="6" width="13" customWidth="1"/>
    <col min="7" max="7" width="22" customWidth="1"/>
    <col min="8" max="8" width="18" customWidth="1"/>
    <col min="9" max="9" width="12" customWidth="1"/>
    <col min="10" max="12" width="8" customWidth="1"/>
    <col min="13" max="13" width="26" customWidth="1"/>
    <col min="14" max="14" width="14" customWidth="1"/>
    <col min="15" max="15" width="12" customWidth="1"/>
    <col min="16" max="16" width="15" customWidth="1"/>
    <col min="17" max="17" width="8" customWidth="1"/>
    <col min="18" max="18" width="6" customWidth="1"/>
    <col min="19" max="19" width="14" customWidth="1"/>
    <col min="20" max="20" width="30" customWidth="1"/>
    <col min="21" max="22" width="12" customWidth="1"/>
    <col min="23" max="23" width="16" customWidth="1"/>
    <col min="24" max="24" width="5" customWidth="1"/>
    <col min="53" max="54" width="13" hidden="1" customWidth="1"/>
  </cols>
  <sheetData>
    <row r="1" spans="1:54" ht="18">
      <c r="A1" s="10" t="s">
        <v>863</v>
      </c>
    </row>
    <row r="2" spans="1:54">
      <c r="A2" s="11" t="s">
        <v>864</v>
      </c>
    </row>
    <row r="4" spans="1:54">
      <c r="A4" s="18" t="s">
        <v>865</v>
      </c>
      <c r="B4" s="18" t="s">
        <v>821</v>
      </c>
      <c r="D4" s="18" t="s">
        <v>865</v>
      </c>
      <c r="E4" s="18" t="s">
        <v>821</v>
      </c>
      <c r="G4" s="18" t="s">
        <v>865</v>
      </c>
      <c r="H4" s="18" t="s">
        <v>821</v>
      </c>
      <c r="I4" s="18" t="s">
        <v>866</v>
      </c>
    </row>
    <row r="5" spans="1:54">
      <c r="A5" s="13" t="s">
        <v>867</v>
      </c>
      <c r="B5" s="85"/>
      <c r="D5" s="13" t="s">
        <v>241</v>
      </c>
      <c r="E5" s="41" t="s">
        <v>868</v>
      </c>
      <c r="G5" s="13" t="s">
        <v>869</v>
      </c>
      <c r="H5" s="41" t="s">
        <v>868</v>
      </c>
      <c r="BA5">
        <f>IF('Master Database'!$A5="",0,IF(AND(OR($B$5="",ISNUMBER(SEARCH($B$5,'Master Database'!$B5&amp;" "&amp;'Master Database'!$D5))),OR($B$6="(All)",'Master Database'!$C5=$B$6),OR($B$7="(All)",'Master Database'!$E5=$B$7),OR($B$8="(All)",'Master Database'!$T5=$B$8),OR($B$9="(All)",'Master Database'!$M5=$B$9),OR($B$10="(All)",'Master Database'!$V5=$B$10),OR($E$5="(All)",'Master Database'!$F5=$E$5),OR($E$6="(All)",'Master Database'!$G5=$E$6),OR($E$7="(All)",'Master Database'!$O5=$E$7),OR($E$8="(All)",'Master Database'!$P5=$E$8),OR($E$9="(All)",'Master Database'!$S5=$E$9),OR($E$10="(All)",'Master Database'!$Y5&amp;""=$E$10&amp;""),OR($H$5="(All)",'Master Database'!$BG5=$H$5),OR($H$6&lt;&gt;"Y",ISNUMBER('Master Database'!$AG5)),OR($H$7="",AND(ISNUMBER('Master Database'!$H5),N('Master Database'!$H5)&gt;=$H$7)),OR($I$7="",AND(ISNUMBER('Master Database'!$H5),N('Master Database'!$H5)&lt;=$I$7)),OR($H$8="",AND(ISNUMBER('Master Database'!$I5),N('Master Database'!$I5)&gt;=$H$8)),OR($I$8="",AND(ISNUMBER('Master Database'!$I5),N('Master Database'!$I5)&lt;=$I$8)),OR($H$9="",AND(ISNUMBER('Master Database'!$K5),N('Master Database'!$K5)&gt;=$H$9)),OR($I$9="",AND(ISNUMBER('Master Database'!$K5),N('Master Database'!$K5)&lt;=$I$9))),1,0))</f>
        <v>1</v>
      </c>
      <c r="BB5">
        <f>IF(BA5=1,COUNTIF($BA$5:BA5,1),"")</f>
        <v>1</v>
      </c>
    </row>
    <row r="6" spans="1:54">
      <c r="A6" s="13" t="s">
        <v>870</v>
      </c>
      <c r="B6" s="41" t="s">
        <v>868</v>
      </c>
      <c r="D6" s="13" t="s">
        <v>871</v>
      </c>
      <c r="E6" s="41" t="s">
        <v>868</v>
      </c>
      <c r="G6" s="13" t="s">
        <v>872</v>
      </c>
      <c r="H6" s="41" t="s">
        <v>305</v>
      </c>
      <c r="BA6">
        <f>IF('Master Database'!$A6="",0,IF(AND(OR($B$5="",ISNUMBER(SEARCH($B$5,'Master Database'!$B6&amp;" "&amp;'Master Database'!$D6))),OR($B$6="(All)",'Master Database'!$C6=$B$6),OR($B$7="(All)",'Master Database'!$E6=$B$7),OR($B$8="(All)",'Master Database'!$T6=$B$8),OR($B$9="(All)",'Master Database'!$M6=$B$9),OR($B$10="(All)",'Master Database'!$V6=$B$10),OR($E$5="(All)",'Master Database'!$F6=$E$5),OR($E$6="(All)",'Master Database'!$G6=$E$6),OR($E$7="(All)",'Master Database'!$O6=$E$7),OR($E$8="(All)",'Master Database'!$P6=$E$8),OR($E$9="(All)",'Master Database'!$S6=$E$9),OR($E$10="(All)",'Master Database'!$Y6&amp;""=$E$10&amp;""),OR($H$5="(All)",'Master Database'!$BG6=$H$5),OR($H$6&lt;&gt;"Y",ISNUMBER('Master Database'!$AG6)),OR($H$7="",AND(ISNUMBER('Master Database'!$H6),N('Master Database'!$H6)&gt;=$H$7)),OR($I$7="",AND(ISNUMBER('Master Database'!$H6),N('Master Database'!$H6)&lt;=$I$7)),OR($H$8="",AND(ISNUMBER('Master Database'!$I6),N('Master Database'!$I6)&gt;=$H$8)),OR($I$8="",AND(ISNUMBER('Master Database'!$I6),N('Master Database'!$I6)&lt;=$I$8)),OR($H$9="",AND(ISNUMBER('Master Database'!$K6),N('Master Database'!$K6)&gt;=$H$9)),OR($I$9="",AND(ISNUMBER('Master Database'!$K6),N('Master Database'!$K6)&lt;=$I$9))),1,0))</f>
        <v>1</v>
      </c>
      <c r="BB6">
        <f>IF(BA6=1,COUNTIF($BA$5:BA6,1),"")</f>
        <v>2</v>
      </c>
    </row>
    <row r="7" spans="1:54">
      <c r="A7" s="13" t="s">
        <v>33</v>
      </c>
      <c r="B7" s="41" t="s">
        <v>868</v>
      </c>
      <c r="D7" s="13" t="s">
        <v>842</v>
      </c>
      <c r="E7" s="41" t="s">
        <v>868</v>
      </c>
      <c r="G7" s="13" t="s">
        <v>873</v>
      </c>
      <c r="H7" s="41"/>
      <c r="I7" s="41"/>
      <c r="BA7">
        <f>IF('Master Database'!$A7="",0,IF(AND(OR($B$5="",ISNUMBER(SEARCH($B$5,'Master Database'!$B7&amp;" "&amp;'Master Database'!$D7))),OR($B$6="(All)",'Master Database'!$C7=$B$6),OR($B$7="(All)",'Master Database'!$E7=$B$7),OR($B$8="(All)",'Master Database'!$T7=$B$8),OR($B$9="(All)",'Master Database'!$M7=$B$9),OR($B$10="(All)",'Master Database'!$V7=$B$10),OR($E$5="(All)",'Master Database'!$F7=$E$5),OR($E$6="(All)",'Master Database'!$G7=$E$6),OR($E$7="(All)",'Master Database'!$O7=$E$7),OR($E$8="(All)",'Master Database'!$P7=$E$8),OR($E$9="(All)",'Master Database'!$S7=$E$9),OR($E$10="(All)",'Master Database'!$Y7&amp;""=$E$10&amp;""),OR($H$5="(All)",'Master Database'!$BG7=$H$5),OR($H$6&lt;&gt;"Y",ISNUMBER('Master Database'!$AG7)),OR($H$7="",AND(ISNUMBER('Master Database'!$H7),N('Master Database'!$H7)&gt;=$H$7)),OR($I$7="",AND(ISNUMBER('Master Database'!$H7),N('Master Database'!$H7)&lt;=$I$7)),OR($H$8="",AND(ISNUMBER('Master Database'!$I7),N('Master Database'!$I7)&gt;=$H$8)),OR($I$8="",AND(ISNUMBER('Master Database'!$I7),N('Master Database'!$I7)&lt;=$I$8)),OR($H$9="",AND(ISNUMBER('Master Database'!$K7),N('Master Database'!$K7)&gt;=$H$9)),OR($I$9="",AND(ISNUMBER('Master Database'!$K7),N('Master Database'!$K7)&lt;=$I$9))),1,0))</f>
        <v>1</v>
      </c>
      <c r="BB7">
        <f>IF(BA7=1,COUNTIF($BA$5:BA7,1),"")</f>
        <v>3</v>
      </c>
    </row>
    <row r="8" spans="1:54">
      <c r="A8" s="13" t="s">
        <v>254</v>
      </c>
      <c r="B8" s="41" t="s">
        <v>868</v>
      </c>
      <c r="D8" s="13" t="s">
        <v>874</v>
      </c>
      <c r="E8" s="41" t="s">
        <v>868</v>
      </c>
      <c r="G8" s="13" t="s">
        <v>875</v>
      </c>
      <c r="H8" s="41"/>
      <c r="I8" s="41"/>
      <c r="BA8">
        <f>IF('Master Database'!$A8="",0,IF(AND(OR($B$5="",ISNUMBER(SEARCH($B$5,'Master Database'!$B8&amp;" "&amp;'Master Database'!$D8))),OR($B$6="(All)",'Master Database'!$C8=$B$6),OR($B$7="(All)",'Master Database'!$E8=$B$7),OR($B$8="(All)",'Master Database'!$T8=$B$8),OR($B$9="(All)",'Master Database'!$M8=$B$9),OR($B$10="(All)",'Master Database'!$V8=$B$10),OR($E$5="(All)",'Master Database'!$F8=$E$5),OR($E$6="(All)",'Master Database'!$G8=$E$6),OR($E$7="(All)",'Master Database'!$O8=$E$7),OR($E$8="(All)",'Master Database'!$P8=$E$8),OR($E$9="(All)",'Master Database'!$S8=$E$9),OR($E$10="(All)",'Master Database'!$Y8&amp;""=$E$10&amp;""),OR($H$5="(All)",'Master Database'!$BG8=$H$5),OR($H$6&lt;&gt;"Y",ISNUMBER('Master Database'!$AG8)),OR($H$7="",AND(ISNUMBER('Master Database'!$H8),N('Master Database'!$H8)&gt;=$H$7)),OR($I$7="",AND(ISNUMBER('Master Database'!$H8),N('Master Database'!$H8)&lt;=$I$7)),OR($H$8="",AND(ISNUMBER('Master Database'!$I8),N('Master Database'!$I8)&gt;=$H$8)),OR($I$8="",AND(ISNUMBER('Master Database'!$I8),N('Master Database'!$I8)&lt;=$I$8)),OR($H$9="",AND(ISNUMBER('Master Database'!$K8),N('Master Database'!$K8)&gt;=$H$9)),OR($I$9="",AND(ISNUMBER('Master Database'!$K8),N('Master Database'!$K8)&lt;=$I$9))),1,0))</f>
        <v>1</v>
      </c>
      <c r="BB8">
        <f>IF(BA8=1,COUNTIF($BA$5:BA8,1),"")</f>
        <v>4</v>
      </c>
    </row>
    <row r="9" spans="1:54">
      <c r="A9" s="13" t="s">
        <v>247</v>
      </c>
      <c r="B9" s="41" t="s">
        <v>868</v>
      </c>
      <c r="D9" s="13" t="s">
        <v>253</v>
      </c>
      <c r="E9" s="41" t="s">
        <v>868</v>
      </c>
      <c r="G9" s="13" t="s">
        <v>876</v>
      </c>
      <c r="H9" s="41"/>
      <c r="I9" s="41"/>
      <c r="BA9">
        <f>IF('Master Database'!$A9="",0,IF(AND(OR($B$5="",ISNUMBER(SEARCH($B$5,'Master Database'!$B9&amp;" "&amp;'Master Database'!$D9))),OR($B$6="(All)",'Master Database'!$C9=$B$6),OR($B$7="(All)",'Master Database'!$E9=$B$7),OR($B$8="(All)",'Master Database'!$T9=$B$8),OR($B$9="(All)",'Master Database'!$M9=$B$9),OR($B$10="(All)",'Master Database'!$V9=$B$10),OR($E$5="(All)",'Master Database'!$F9=$E$5),OR($E$6="(All)",'Master Database'!$G9=$E$6),OR($E$7="(All)",'Master Database'!$O9=$E$7),OR($E$8="(All)",'Master Database'!$P9=$E$8),OR($E$9="(All)",'Master Database'!$S9=$E$9),OR($E$10="(All)",'Master Database'!$Y9&amp;""=$E$10&amp;""),OR($H$5="(All)",'Master Database'!$BG9=$H$5),OR($H$6&lt;&gt;"Y",ISNUMBER('Master Database'!$AG9)),OR($H$7="",AND(ISNUMBER('Master Database'!$H9),N('Master Database'!$H9)&gt;=$H$7)),OR($I$7="",AND(ISNUMBER('Master Database'!$H9),N('Master Database'!$H9)&lt;=$I$7)),OR($H$8="",AND(ISNUMBER('Master Database'!$I9),N('Master Database'!$I9)&gt;=$H$8)),OR($I$8="",AND(ISNUMBER('Master Database'!$I9),N('Master Database'!$I9)&lt;=$I$8)),OR($H$9="",AND(ISNUMBER('Master Database'!$K9),N('Master Database'!$K9)&gt;=$H$9)),OR($I$9="",AND(ISNUMBER('Master Database'!$K9),N('Master Database'!$K9)&lt;=$I$9))),1,0))</f>
        <v>1</v>
      </c>
      <c r="BB9">
        <f>IF(BA9=1,COUNTIF($BA$5:BA9,1),"")</f>
        <v>5</v>
      </c>
    </row>
    <row r="10" spans="1:54">
      <c r="A10" s="13" t="s">
        <v>256</v>
      </c>
      <c r="B10" s="41" t="s">
        <v>868</v>
      </c>
      <c r="D10" s="13" t="s">
        <v>877</v>
      </c>
      <c r="E10" s="41" t="s">
        <v>868</v>
      </c>
      <c r="BA10">
        <f>IF('Master Database'!$A10="",0,IF(AND(OR($B$5="",ISNUMBER(SEARCH($B$5,'Master Database'!$B10&amp;" "&amp;'Master Database'!$D10))),OR($B$6="(All)",'Master Database'!$C10=$B$6),OR($B$7="(All)",'Master Database'!$E10=$B$7),OR($B$8="(All)",'Master Database'!$T10=$B$8),OR($B$9="(All)",'Master Database'!$M10=$B$9),OR($B$10="(All)",'Master Database'!$V10=$B$10),OR($E$5="(All)",'Master Database'!$F10=$E$5),OR($E$6="(All)",'Master Database'!$G10=$E$6),OR($E$7="(All)",'Master Database'!$O10=$E$7),OR($E$8="(All)",'Master Database'!$P10=$E$8),OR($E$9="(All)",'Master Database'!$S10=$E$9),OR($E$10="(All)",'Master Database'!$Y10&amp;""=$E$10&amp;""),OR($H$5="(All)",'Master Database'!$BG10=$H$5),OR($H$6&lt;&gt;"Y",ISNUMBER('Master Database'!$AG10)),OR($H$7="",AND(ISNUMBER('Master Database'!$H10),N('Master Database'!$H10)&gt;=$H$7)),OR($I$7="",AND(ISNUMBER('Master Database'!$H10),N('Master Database'!$H10)&lt;=$I$7)),OR($H$8="",AND(ISNUMBER('Master Database'!$I10),N('Master Database'!$I10)&gt;=$H$8)),OR($I$8="",AND(ISNUMBER('Master Database'!$I10),N('Master Database'!$I10)&lt;=$I$8)),OR($H$9="",AND(ISNUMBER('Master Database'!$K10),N('Master Database'!$K10)&gt;=$H$9)),OR($I$9="",AND(ISNUMBER('Master Database'!$K10),N('Master Database'!$K10)&lt;=$I$9))),1,0))</f>
        <v>1</v>
      </c>
      <c r="BB10">
        <f>IF(BA10=1,COUNTIF($BA$5:BA10,1),"")</f>
        <v>6</v>
      </c>
    </row>
    <row r="11" spans="1:54">
      <c r="BA11">
        <f>IF('Master Database'!$A11="",0,IF(AND(OR($B$5="",ISNUMBER(SEARCH($B$5,'Master Database'!$B11&amp;" "&amp;'Master Database'!$D11))),OR($B$6="(All)",'Master Database'!$C11=$B$6),OR($B$7="(All)",'Master Database'!$E11=$B$7),OR($B$8="(All)",'Master Database'!$T11=$B$8),OR($B$9="(All)",'Master Database'!$M11=$B$9),OR($B$10="(All)",'Master Database'!$V11=$B$10),OR($E$5="(All)",'Master Database'!$F11=$E$5),OR($E$6="(All)",'Master Database'!$G11=$E$6),OR($E$7="(All)",'Master Database'!$O11=$E$7),OR($E$8="(All)",'Master Database'!$P11=$E$8),OR($E$9="(All)",'Master Database'!$S11=$E$9),OR($E$10="(All)",'Master Database'!$Y11&amp;""=$E$10&amp;""),OR($H$5="(All)",'Master Database'!$BG11=$H$5),OR($H$6&lt;&gt;"Y",ISNUMBER('Master Database'!$AG11)),OR($H$7="",AND(ISNUMBER('Master Database'!$H11),N('Master Database'!$H11)&gt;=$H$7)),OR($I$7="",AND(ISNUMBER('Master Database'!$H11),N('Master Database'!$H11)&lt;=$I$7)),OR($H$8="",AND(ISNUMBER('Master Database'!$I11),N('Master Database'!$I11)&gt;=$H$8)),OR($I$8="",AND(ISNUMBER('Master Database'!$I11),N('Master Database'!$I11)&lt;=$I$8)),OR($H$9="",AND(ISNUMBER('Master Database'!$K11),N('Master Database'!$K11)&gt;=$H$9)),OR($I$9="",AND(ISNUMBER('Master Database'!$K11),N('Master Database'!$K11)&lt;=$I$9))),1,0))</f>
        <v>1</v>
      </c>
      <c r="BB11">
        <f>IF(BA11=1,COUNTIF($BA$5:BA11,1),"")</f>
        <v>7</v>
      </c>
    </row>
    <row r="12" spans="1:54">
      <c r="A12" s="21" t="s">
        <v>878</v>
      </c>
      <c r="B12" s="22">
        <f>SUM($BA$5:$BA$600)</f>
        <v>146</v>
      </c>
      <c r="D12" s="21" t="s">
        <v>879</v>
      </c>
      <c r="E12" s="45">
        <f>IF(SUM($BA$5:$BA$600)=0,"",_xlfn.MINIFS('Master Database'!$AG$5:$AG$600,$BA$5:$BA$600,1))</f>
        <v>3333.4350812155021</v>
      </c>
      <c r="G12" s="21" t="s">
        <v>880</v>
      </c>
      <c r="H12" s="45">
        <f>IF(SUM($BA$5:$BA$600)=0,"",IFERROR(AVERAGEIFS('Master Database'!$AG$5:$AG$600,$BA$5:$BA$600,1),""))</f>
        <v>67124.668704309282</v>
      </c>
      <c r="BA12">
        <f>IF('Master Database'!$A12="",0,IF(AND(OR($B$5="",ISNUMBER(SEARCH($B$5,'Master Database'!$B12&amp;" "&amp;'Master Database'!$D12))),OR($B$6="(All)",'Master Database'!$C12=$B$6),OR($B$7="(All)",'Master Database'!$E12=$B$7),OR($B$8="(All)",'Master Database'!$T12=$B$8),OR($B$9="(All)",'Master Database'!$M12=$B$9),OR($B$10="(All)",'Master Database'!$V12=$B$10),OR($E$5="(All)",'Master Database'!$F12=$E$5),OR($E$6="(All)",'Master Database'!$G12=$E$6),OR($E$7="(All)",'Master Database'!$O12=$E$7),OR($E$8="(All)",'Master Database'!$P12=$E$8),OR($E$9="(All)",'Master Database'!$S12=$E$9),OR($E$10="(All)",'Master Database'!$Y12&amp;""=$E$10&amp;""),OR($H$5="(All)",'Master Database'!$BG12=$H$5),OR($H$6&lt;&gt;"Y",ISNUMBER('Master Database'!$AG12)),OR($H$7="",AND(ISNUMBER('Master Database'!$H12),N('Master Database'!$H12)&gt;=$H$7)),OR($I$7="",AND(ISNUMBER('Master Database'!$H12),N('Master Database'!$H12)&lt;=$I$7)),OR($H$8="",AND(ISNUMBER('Master Database'!$I12),N('Master Database'!$I12)&gt;=$H$8)),OR($I$8="",AND(ISNUMBER('Master Database'!$I12),N('Master Database'!$I12)&lt;=$I$8)),OR($H$9="",AND(ISNUMBER('Master Database'!$K12),N('Master Database'!$K12)&gt;=$H$9)),OR($I$9="",AND(ISNUMBER('Master Database'!$K12),N('Master Database'!$K12)&lt;=$I$9))),1,0))</f>
        <v>1</v>
      </c>
      <c r="BB12">
        <f>IF(BA12=1,COUNTIF($BA$5:BA12,1),"")</f>
        <v>8</v>
      </c>
    </row>
    <row r="13" spans="1:54">
      <c r="A13" s="21" t="s">
        <v>881</v>
      </c>
      <c r="B13" s="45">
        <f>IF(SUM($BA$5:$BA$600)=0,"",_xlfn.MAXIFS('Master Database'!$AG$5:$AG$600,$BA$5:$BA$600,1))</f>
        <v>445018.32269750355</v>
      </c>
      <c r="D13" s="21" t="s">
        <v>882</v>
      </c>
      <c r="E13" s="45">
        <f>IF(SUM($BA$5:$BA$600)=0,"",IFERROR(AVERAGEIFS('Master Database'!$AI$5:$AI$600,$BA$5:$BA$600,1),""))</f>
        <v>46669634160.707718</v>
      </c>
      <c r="G13" s="21" t="s">
        <v>883</v>
      </c>
      <c r="H13" s="22">
        <f>'Assumptions &amp; FX Reference'!$I$5</f>
        <v>1404</v>
      </c>
      <c r="BA13">
        <f>IF('Master Database'!$A13="",0,IF(AND(OR($B$5="",ISNUMBER(SEARCH($B$5,'Master Database'!$B13&amp;" "&amp;'Master Database'!$D13))),OR($B$6="(All)",'Master Database'!$C13=$B$6),OR($B$7="(All)",'Master Database'!$E13=$B$7),OR($B$8="(All)",'Master Database'!$T13=$B$8),OR($B$9="(All)",'Master Database'!$M13=$B$9),OR($B$10="(All)",'Master Database'!$V13=$B$10),OR($E$5="(All)",'Master Database'!$F13=$E$5),OR($E$6="(All)",'Master Database'!$G13=$E$6),OR($E$7="(All)",'Master Database'!$O13=$E$7),OR($E$8="(All)",'Master Database'!$P13=$E$8),OR($E$9="(All)",'Master Database'!$S13=$E$9),OR($E$10="(All)",'Master Database'!$Y13&amp;""=$E$10&amp;""),OR($H$5="(All)",'Master Database'!$BG13=$H$5),OR($H$6&lt;&gt;"Y",ISNUMBER('Master Database'!$AG13)),OR($H$7="",AND(ISNUMBER('Master Database'!$H13),N('Master Database'!$H13)&gt;=$H$7)),OR($I$7="",AND(ISNUMBER('Master Database'!$H13),N('Master Database'!$H13)&lt;=$I$7)),OR($H$8="",AND(ISNUMBER('Master Database'!$I13),N('Master Database'!$I13)&gt;=$H$8)),OR($I$8="",AND(ISNUMBER('Master Database'!$I13),N('Master Database'!$I13)&lt;=$I$8)),OR($H$9="",AND(ISNUMBER('Master Database'!$K13),N('Master Database'!$K13)&gt;=$H$9)),OR($I$9="",AND(ISNUMBER('Master Database'!$K13),N('Master Database'!$K13)&lt;=$I$9))),1,0))</f>
        <v>1</v>
      </c>
      <c r="BB13">
        <f>IF(BA13=1,COUNTIF($BA$5:BA13,1),"")</f>
        <v>9</v>
      </c>
    </row>
    <row r="14" spans="1:54">
      <c r="BA14">
        <f>IF('Master Database'!$A14="",0,IF(AND(OR($B$5="",ISNUMBER(SEARCH($B$5,'Master Database'!$B14&amp;" "&amp;'Master Database'!$D14))),OR($B$6="(All)",'Master Database'!$C14=$B$6),OR($B$7="(All)",'Master Database'!$E14=$B$7),OR($B$8="(All)",'Master Database'!$T14=$B$8),OR($B$9="(All)",'Master Database'!$M14=$B$9),OR($B$10="(All)",'Master Database'!$V14=$B$10),OR($E$5="(All)",'Master Database'!$F14=$E$5),OR($E$6="(All)",'Master Database'!$G14=$E$6),OR($E$7="(All)",'Master Database'!$O14=$E$7),OR($E$8="(All)",'Master Database'!$P14=$E$8),OR($E$9="(All)",'Master Database'!$S14=$E$9),OR($E$10="(All)",'Master Database'!$Y14&amp;""=$E$10&amp;""),OR($H$5="(All)",'Master Database'!$BG14=$H$5),OR($H$6&lt;&gt;"Y",ISNUMBER('Master Database'!$AG14)),OR($H$7="",AND(ISNUMBER('Master Database'!$H14),N('Master Database'!$H14)&gt;=$H$7)),OR($I$7="",AND(ISNUMBER('Master Database'!$H14),N('Master Database'!$H14)&lt;=$I$7)),OR($H$8="",AND(ISNUMBER('Master Database'!$I14),N('Master Database'!$I14)&gt;=$H$8)),OR($I$8="",AND(ISNUMBER('Master Database'!$I14),N('Master Database'!$I14)&lt;=$I$8)),OR($H$9="",AND(ISNUMBER('Master Database'!$K14),N('Master Database'!$K14)&gt;=$H$9)),OR($I$9="",AND(ISNUMBER('Master Database'!$K14),N('Master Database'!$K14)&lt;=$I$9))),1,0))</f>
        <v>1</v>
      </c>
      <c r="BB14">
        <f>IF(BA14=1,COUNTIF($BA$5:BA14,1),"")</f>
        <v>10</v>
      </c>
    </row>
    <row r="15" spans="1:54" ht="30" customHeight="1">
      <c r="A15" s="24" t="s">
        <v>884</v>
      </c>
      <c r="B15" s="24" t="s">
        <v>885</v>
      </c>
      <c r="C15" s="24" t="s">
        <v>237</v>
      </c>
      <c r="D15" s="24" t="s">
        <v>238</v>
      </c>
      <c r="E15" s="24" t="s">
        <v>870</v>
      </c>
      <c r="F15" s="24" t="s">
        <v>240</v>
      </c>
      <c r="G15" s="24" t="s">
        <v>886</v>
      </c>
      <c r="H15" s="24" t="s">
        <v>887</v>
      </c>
      <c r="I15" s="24" t="s">
        <v>888</v>
      </c>
      <c r="J15" s="24" t="s">
        <v>889</v>
      </c>
      <c r="K15" s="24" t="s">
        <v>890</v>
      </c>
      <c r="L15" s="24" t="s">
        <v>891</v>
      </c>
      <c r="M15" s="24" t="s">
        <v>6</v>
      </c>
      <c r="N15" s="24" t="s">
        <v>892</v>
      </c>
      <c r="O15" s="24" t="s">
        <v>893</v>
      </c>
      <c r="P15" s="24" t="s">
        <v>894</v>
      </c>
      <c r="Q15" s="24" t="s">
        <v>877</v>
      </c>
      <c r="R15" s="24" t="s">
        <v>895</v>
      </c>
      <c r="S15" s="24" t="s">
        <v>896</v>
      </c>
      <c r="T15" s="24" t="s">
        <v>897</v>
      </c>
      <c r="U15" s="24" t="s">
        <v>898</v>
      </c>
      <c r="V15" s="24" t="s">
        <v>899</v>
      </c>
      <c r="W15" s="24" t="s">
        <v>900</v>
      </c>
      <c r="X15" s="24" t="s">
        <v>901</v>
      </c>
      <c r="BA15">
        <f>IF('Master Database'!$A15="",0,IF(AND(OR($B$5="",ISNUMBER(SEARCH($B$5,'Master Database'!$B15&amp;" "&amp;'Master Database'!$D15))),OR($B$6="(All)",'Master Database'!$C15=$B$6),OR($B$7="(All)",'Master Database'!$E15=$B$7),OR($B$8="(All)",'Master Database'!$T15=$B$8),OR($B$9="(All)",'Master Database'!$M15=$B$9),OR($B$10="(All)",'Master Database'!$V15=$B$10),OR($E$5="(All)",'Master Database'!$F15=$E$5),OR($E$6="(All)",'Master Database'!$G15=$E$6),OR($E$7="(All)",'Master Database'!$O15=$E$7),OR($E$8="(All)",'Master Database'!$P15=$E$8),OR($E$9="(All)",'Master Database'!$S15=$E$9),OR($E$10="(All)",'Master Database'!$Y15&amp;""=$E$10&amp;""),OR($H$5="(All)",'Master Database'!$BG15=$H$5),OR($H$6&lt;&gt;"Y",ISNUMBER('Master Database'!$AG15)),OR($H$7="",AND(ISNUMBER('Master Database'!$H15),N('Master Database'!$H15)&gt;=$H$7)),OR($I$7="",AND(ISNUMBER('Master Database'!$H15),N('Master Database'!$H15)&lt;=$I$7)),OR($H$8="",AND(ISNUMBER('Master Database'!$I15),N('Master Database'!$I15)&gt;=$H$8)),OR($I$8="",AND(ISNUMBER('Master Database'!$I15),N('Master Database'!$I15)&lt;=$I$8)),OR($H$9="",AND(ISNUMBER('Master Database'!$K15),N('Master Database'!$K15)&gt;=$H$9)),OR($I$9="",AND(ISNUMBER('Master Database'!$K15),N('Master Database'!$K15)&lt;=$I$9))),1,0))</f>
        <v>1</v>
      </c>
      <c r="BB15">
        <f>IF(BA15=1,COUNTIF($BA$5:BA15,1),"")</f>
        <v>11</v>
      </c>
    </row>
    <row r="16" spans="1:54">
      <c r="A16" s="20">
        <f>IF(1&lt;=SUM($BA$5:$BA$600),1,"")</f>
        <v>1</v>
      </c>
      <c r="B16" s="20">
        <f t="shared" ref="B16:B47" si="0">IF(A16="","",MATCH(A16,$BB$5:$BB$600,0)+4)</f>
        <v>5</v>
      </c>
      <c r="C16" s="20">
        <f>IF($B16="","",IF(INDEX('Master Database'!$A$1:$A$600,$B16)="","",INDEX('Master Database'!$A$1:$A$600,$B16)))</f>
        <v>1</v>
      </c>
      <c r="D16" s="19" t="str">
        <f>IF($B16="","",IF(INDEX('Master Database'!$B$1:$B$600,$B16)="","",INDEX('Master Database'!$B$1:$B$600,$B16)))</f>
        <v>2nd Stage  Separators Oil Pumps</v>
      </c>
      <c r="E16" s="19" t="str">
        <f>IF($B16="","",IF(INDEX('Master Database'!$C$1:$C$600,$B16)="","",INDEX('Master Database'!$C$1:$C$600,$B16)))</f>
        <v>(نام پروژه در فایل قید نشده است) – CSV 18061405</v>
      </c>
      <c r="F16" s="19" t="str">
        <f>IF($B16="","",IF(INDEX('Master Database'!$D$1:$D$600,$B16)="","",INDEX('Master Database'!$D$1:$D$600,$B16)))</f>
        <v>(Not stated in source document)</v>
      </c>
      <c r="G16" s="19" t="str">
        <f>IF($B16="","",IF(INDEX('Master Database'!$E$1:$E$600,$B16)="","",INDEX('Master Database'!$E$1:$E$600,$B16)))</f>
        <v>ROT-CRU</v>
      </c>
      <c r="H16" s="19" t="str">
        <f>IF($B16="","",IF(INDEX('Master Database'!$F$1:$F$600,$B16)="","",INDEX('Master Database'!$F$1:$F$600,$B16)))</f>
        <v>Not stated</v>
      </c>
      <c r="I16" s="19" t="str">
        <f>IF($B16="","",IF(INDEX('Master Database'!$G$1:$G$600,$B16)="","",INDEX('Master Database'!$G$1:$G$600,$B16)))</f>
        <v>Not stated</v>
      </c>
      <c r="J16" s="46" t="str">
        <f>IF($B16="","",IF(INDEX('Master Database'!$H$1:$H$600,$B16)="","",INDEX('Master Database'!$H$1:$H$600,$B16)))</f>
        <v/>
      </c>
      <c r="K16" s="46">
        <f>IF($B16="","",IF(INDEX('Master Database'!$I$1:$I$600,$B16)="","",INDEX('Master Database'!$I$1:$I$600,$B16)))</f>
        <v>95.8</v>
      </c>
      <c r="L16" s="46">
        <f>IF($B16="","",IF(INDEX('Master Database'!$K$1:$K$600,$B16)="","",INDEX('Master Database'!$K$1:$K$600,$B16)))</f>
        <v>54.3</v>
      </c>
      <c r="M16" s="19" t="str">
        <f>IF($B16="","",IF(INDEX('Master Database'!$L$1:$L$600,$B16)="","",INDEX('Master Database'!$L$1:$L$600,$B16)))</f>
        <v>Not stated</v>
      </c>
      <c r="N16" s="19" t="str">
        <f>IF($B16="","",IF(INDEX('Master Database'!$P$1:$P$600,$B16)="","",INDEX('Master Database'!$P$1:$P$600,$B16)))</f>
        <v>Not stated</v>
      </c>
      <c r="O16" s="19" t="str">
        <f>IF($B16="","",IF(INDEX('Master Database'!$S$1:$S$600,$B16)="","",INDEX('Master Database'!$S$1:$S$600,$B16)))</f>
        <v>Electric Motor</v>
      </c>
      <c r="P16" s="19" t="str">
        <f>IF($B16="","",IF(INDEX('Master Database'!$T$1:$T$600,$B16)="","",INDEX('Master Database'!$T$1:$T$600,$B16)))</f>
        <v>Crude Oil</v>
      </c>
      <c r="Q16" s="19" t="str">
        <f>IF($B16="","",IF(INDEX('Master Database'!$Y$1:$Y$600,$B16)="","",INDEX('Master Database'!$Y$1:$Y$600,$B16)))</f>
        <v>(Not stated)</v>
      </c>
      <c r="R16" s="19" t="str">
        <f>IF($B16="","",IF(INDEX('Master Database'!$Z$1:$Z$600,$B16)="","",INDEX('Master Database'!$Z$1:$Z$600,$B16)))</f>
        <v>USD</v>
      </c>
      <c r="S16" s="47">
        <f>IF($B16="","",IF(INDEX('Master Database'!$AA$1:$AA$600,$B16)="","",INDEX('Master Database'!$AA$1:$AA$600,$B16)))</f>
        <v>240000</v>
      </c>
      <c r="T16" s="19" t="str">
        <f>IF($B16="","",IF(INDEX('Master Database'!$AE$1:$AE$600,$B16)="","",INDEX('Master Database'!$AE$1:$AE$600,$B16)))</f>
        <v>Purchase price (USD) – 18061405 pump CSV; project and year not stated</v>
      </c>
      <c r="U16" s="47" t="str">
        <f>IF($B16="","",IF(INDEX('Master Database'!$AG$1:$AG$600,$B16)="","",INDEX('Master Database'!$AG$1:$AG$600,$B16)))</f>
        <v>(PPI/FX missing)</v>
      </c>
      <c r="V16" s="47" t="str">
        <f>IF($B16="","",IF(INDEX('Master Database'!$AH$1:$AH$600,$B16)="","",INDEX('Master Database'!$AH$1:$AH$600,$B16)))</f>
        <v/>
      </c>
      <c r="W16" s="47" t="str">
        <f>IF($B16="","",IF(INDEX('Master Database'!$AI$1:$AI$600,$B16)="","",INDEX('Master Database'!$AI$1:$AI$600,$B16)))</f>
        <v/>
      </c>
      <c r="X16" s="19" t="str">
        <f>IF($B16="","",IF(INDEX('Master Database'!$BG$1:$BG$600,$B16)="","",INDEX('Master Database'!$BG$1:$BG$600,$B16)))</f>
        <v>N</v>
      </c>
      <c r="BA16">
        <f>IF('Master Database'!$A16="",0,IF(AND(OR($B$5="",ISNUMBER(SEARCH($B$5,'Master Database'!$B16&amp;" "&amp;'Master Database'!$D16))),OR($B$6="(All)",'Master Database'!$C16=$B$6),OR($B$7="(All)",'Master Database'!$E16=$B$7),OR($B$8="(All)",'Master Database'!$T16=$B$8),OR($B$9="(All)",'Master Database'!$M16=$B$9),OR($B$10="(All)",'Master Database'!$V16=$B$10),OR($E$5="(All)",'Master Database'!$F16=$E$5),OR($E$6="(All)",'Master Database'!$G16=$E$6),OR($E$7="(All)",'Master Database'!$O16=$E$7),OR($E$8="(All)",'Master Database'!$P16=$E$8),OR($E$9="(All)",'Master Database'!$S16=$E$9),OR($E$10="(All)",'Master Database'!$Y16&amp;""=$E$10&amp;""),OR($H$5="(All)",'Master Database'!$BG16=$H$5),OR($H$6&lt;&gt;"Y",ISNUMBER('Master Database'!$AG16)),OR($H$7="",AND(ISNUMBER('Master Database'!$H16),N('Master Database'!$H16)&gt;=$H$7)),OR($I$7="",AND(ISNUMBER('Master Database'!$H16),N('Master Database'!$H16)&lt;=$I$7)),OR($H$8="",AND(ISNUMBER('Master Database'!$I16),N('Master Database'!$I16)&gt;=$H$8)),OR($I$8="",AND(ISNUMBER('Master Database'!$I16),N('Master Database'!$I16)&lt;=$I$8)),OR($H$9="",AND(ISNUMBER('Master Database'!$K16),N('Master Database'!$K16)&gt;=$H$9)),OR($I$9="",AND(ISNUMBER('Master Database'!$K16),N('Master Database'!$K16)&lt;=$I$9))),1,0))</f>
        <v>1</v>
      </c>
      <c r="BB16">
        <f>IF(BA16=1,COUNTIF($BA$5:BA16,1),"")</f>
        <v>12</v>
      </c>
    </row>
    <row r="17" spans="1:54">
      <c r="A17" s="20">
        <f>IF(2&lt;=SUM($BA$5:$BA$600),2,"")</f>
        <v>2</v>
      </c>
      <c r="B17" s="20">
        <f t="shared" si="0"/>
        <v>6</v>
      </c>
      <c r="C17" s="20">
        <f>IF($B17="","",IF(INDEX('Master Database'!$A$1:$A$600,$B17)="","",INDEX('Master Database'!$A$1:$A$600,$B17)))</f>
        <v>2</v>
      </c>
      <c r="D17" s="19" t="str">
        <f>IF($B17="","",IF(INDEX('Master Database'!$B$1:$B$600,$B17)="","",INDEX('Master Database'!$B$1:$B$600,$B17)))</f>
        <v>3rd Stage  Separators Oil Pumps</v>
      </c>
      <c r="E17" s="19" t="str">
        <f>IF($B17="","",IF(INDEX('Master Database'!$C$1:$C$600,$B17)="","",INDEX('Master Database'!$C$1:$C$600,$B17)))</f>
        <v>(نام پروژه در فایل قید نشده است) – CSV 18061405</v>
      </c>
      <c r="F17" s="19" t="str">
        <f>IF($B17="","",IF(INDEX('Master Database'!$D$1:$D$600,$B17)="","",INDEX('Master Database'!$D$1:$D$600,$B17)))</f>
        <v>(Not stated in source document)</v>
      </c>
      <c r="G17" s="19" t="str">
        <f>IF($B17="","",IF(INDEX('Master Database'!$E$1:$E$600,$B17)="","",INDEX('Master Database'!$E$1:$E$600,$B17)))</f>
        <v>ROT-CRU</v>
      </c>
      <c r="H17" s="19" t="str">
        <f>IF($B17="","",IF(INDEX('Master Database'!$F$1:$F$600,$B17)="","",INDEX('Master Database'!$F$1:$F$600,$B17)))</f>
        <v>Not stated</v>
      </c>
      <c r="I17" s="19" t="str">
        <f>IF($B17="","",IF(INDEX('Master Database'!$G$1:$G$600,$B17)="","",INDEX('Master Database'!$G$1:$G$600,$B17)))</f>
        <v>Not stated</v>
      </c>
      <c r="J17" s="46" t="str">
        <f>IF($B17="","",IF(INDEX('Master Database'!$H$1:$H$600,$B17)="","",INDEX('Master Database'!$H$1:$H$600,$B17)))</f>
        <v/>
      </c>
      <c r="K17" s="46">
        <f>IF($B17="","",IF(INDEX('Master Database'!$I$1:$I$600,$B17)="","",INDEX('Master Database'!$I$1:$I$600,$B17)))</f>
        <v>59.9</v>
      </c>
      <c r="L17" s="46">
        <f>IF($B17="","",IF(INDEX('Master Database'!$K$1:$K$600,$B17)="","",INDEX('Master Database'!$K$1:$K$600,$B17)))</f>
        <v>33.1</v>
      </c>
      <c r="M17" s="19" t="str">
        <f>IF($B17="","",IF(INDEX('Master Database'!$L$1:$L$600,$B17)="","",INDEX('Master Database'!$L$1:$L$600,$B17)))</f>
        <v>Not stated</v>
      </c>
      <c r="N17" s="19" t="str">
        <f>IF($B17="","",IF(INDEX('Master Database'!$P$1:$P$600,$B17)="","",INDEX('Master Database'!$P$1:$P$600,$B17)))</f>
        <v>Not stated</v>
      </c>
      <c r="O17" s="19" t="str">
        <f>IF($B17="","",IF(INDEX('Master Database'!$S$1:$S$600,$B17)="","",INDEX('Master Database'!$S$1:$S$600,$B17)))</f>
        <v>Electric Motor</v>
      </c>
      <c r="P17" s="19" t="str">
        <f>IF($B17="","",IF(INDEX('Master Database'!$T$1:$T$600,$B17)="","",INDEX('Master Database'!$T$1:$T$600,$B17)))</f>
        <v>Crude Oil</v>
      </c>
      <c r="Q17" s="19" t="str">
        <f>IF($B17="","",IF(INDEX('Master Database'!$Y$1:$Y$600,$B17)="","",INDEX('Master Database'!$Y$1:$Y$600,$B17)))</f>
        <v>(Not stated)</v>
      </c>
      <c r="R17" s="19" t="str">
        <f>IF($B17="","",IF(INDEX('Master Database'!$Z$1:$Z$600,$B17)="","",INDEX('Master Database'!$Z$1:$Z$600,$B17)))</f>
        <v>USD</v>
      </c>
      <c r="S17" s="47">
        <f>IF($B17="","",IF(INDEX('Master Database'!$AA$1:$AA$600,$B17)="","",INDEX('Master Database'!$AA$1:$AA$600,$B17)))</f>
        <v>280000</v>
      </c>
      <c r="T17" s="19" t="str">
        <f>IF($B17="","",IF(INDEX('Master Database'!$AE$1:$AE$600,$B17)="","",INDEX('Master Database'!$AE$1:$AE$600,$B17)))</f>
        <v>Purchase price (USD) – 18061405 pump CSV; project and year not stated</v>
      </c>
      <c r="U17" s="47" t="str">
        <f>IF($B17="","",IF(INDEX('Master Database'!$AG$1:$AG$600,$B17)="","",INDEX('Master Database'!$AG$1:$AG$600,$B17)))</f>
        <v>(PPI/FX missing)</v>
      </c>
      <c r="V17" s="47" t="str">
        <f>IF($B17="","",IF(INDEX('Master Database'!$AH$1:$AH$600,$B17)="","",INDEX('Master Database'!$AH$1:$AH$600,$B17)))</f>
        <v/>
      </c>
      <c r="W17" s="47" t="str">
        <f>IF($B17="","",IF(INDEX('Master Database'!$AI$1:$AI$600,$B17)="","",INDEX('Master Database'!$AI$1:$AI$600,$B17)))</f>
        <v/>
      </c>
      <c r="X17" s="19" t="str">
        <f>IF($B17="","",IF(INDEX('Master Database'!$BG$1:$BG$600,$B17)="","",INDEX('Master Database'!$BG$1:$BG$600,$B17)))</f>
        <v>N</v>
      </c>
      <c r="BA17">
        <f>IF('Master Database'!$A17="",0,IF(AND(OR($B$5="",ISNUMBER(SEARCH($B$5,'Master Database'!$B17&amp;" "&amp;'Master Database'!$D17))),OR($B$6="(All)",'Master Database'!$C17=$B$6),OR($B$7="(All)",'Master Database'!$E17=$B$7),OR($B$8="(All)",'Master Database'!$T17=$B$8),OR($B$9="(All)",'Master Database'!$M17=$B$9),OR($B$10="(All)",'Master Database'!$V17=$B$10),OR($E$5="(All)",'Master Database'!$F17=$E$5),OR($E$6="(All)",'Master Database'!$G17=$E$6),OR($E$7="(All)",'Master Database'!$O17=$E$7),OR($E$8="(All)",'Master Database'!$P17=$E$8),OR($E$9="(All)",'Master Database'!$S17=$E$9),OR($E$10="(All)",'Master Database'!$Y17&amp;""=$E$10&amp;""),OR($H$5="(All)",'Master Database'!$BG17=$H$5),OR($H$6&lt;&gt;"Y",ISNUMBER('Master Database'!$AG17)),OR($H$7="",AND(ISNUMBER('Master Database'!$H17),N('Master Database'!$H17)&gt;=$H$7)),OR($I$7="",AND(ISNUMBER('Master Database'!$H17),N('Master Database'!$H17)&lt;=$I$7)),OR($H$8="",AND(ISNUMBER('Master Database'!$I17),N('Master Database'!$I17)&gt;=$H$8)),OR($I$8="",AND(ISNUMBER('Master Database'!$I17),N('Master Database'!$I17)&lt;=$I$8)),OR($H$9="",AND(ISNUMBER('Master Database'!$K17),N('Master Database'!$K17)&gt;=$H$9)),OR($I$9="",AND(ISNUMBER('Master Database'!$K17),N('Master Database'!$K17)&lt;=$I$9))),1,0))</f>
        <v>1</v>
      </c>
      <c r="BB17">
        <f>IF(BA17=1,COUNTIF($BA$5:BA17,1),"")</f>
        <v>13</v>
      </c>
    </row>
    <row r="18" spans="1:54">
      <c r="A18" s="20">
        <f>IF(3&lt;=SUM($BA$5:$BA$600),3,"")</f>
        <v>3</v>
      </c>
      <c r="B18" s="20">
        <f t="shared" si="0"/>
        <v>7</v>
      </c>
      <c r="C18" s="20">
        <f>IF($B18="","",IF(INDEX('Master Database'!$A$1:$A$600,$B18)="","",INDEX('Master Database'!$A$1:$A$600,$B18)))</f>
        <v>3</v>
      </c>
      <c r="D18" s="19" t="str">
        <f>IF($B18="","",IF(INDEX('Master Database'!$B$1:$B$600,$B18)="","",INDEX('Master Database'!$B$1:$B$600,$B18)))</f>
        <v>Stabilized Oil Pump</v>
      </c>
      <c r="E18" s="19" t="str">
        <f>IF($B18="","",IF(INDEX('Master Database'!$C$1:$C$600,$B18)="","",INDEX('Master Database'!$C$1:$C$600,$B18)))</f>
        <v>(نام پروژه در فایل قید نشده است) – CSV 18061405</v>
      </c>
      <c r="F18" s="19" t="str">
        <f>IF($B18="","",IF(INDEX('Master Database'!$D$1:$D$600,$B18)="","",INDEX('Master Database'!$D$1:$D$600,$B18)))</f>
        <v>(Not stated in source document)</v>
      </c>
      <c r="G18" s="19" t="str">
        <f>IF($B18="","",IF(INDEX('Master Database'!$E$1:$E$600,$B18)="","",INDEX('Master Database'!$E$1:$E$600,$B18)))</f>
        <v>ROT-CRU</v>
      </c>
      <c r="H18" s="19" t="str">
        <f>IF($B18="","",IF(INDEX('Master Database'!$F$1:$F$600,$B18)="","",INDEX('Master Database'!$F$1:$F$600,$B18)))</f>
        <v>Not stated</v>
      </c>
      <c r="I18" s="19" t="str">
        <f>IF($B18="","",IF(INDEX('Master Database'!$G$1:$G$600,$B18)="","",INDEX('Master Database'!$G$1:$G$600,$B18)))</f>
        <v>Not stated</v>
      </c>
      <c r="J18" s="46" t="str">
        <f>IF($B18="","",IF(INDEX('Master Database'!$H$1:$H$600,$B18)="","",INDEX('Master Database'!$H$1:$H$600,$B18)))</f>
        <v/>
      </c>
      <c r="K18" s="46">
        <f>IF($B18="","",IF(INDEX('Master Database'!$I$1:$I$600,$B18)="","",INDEX('Master Database'!$I$1:$I$600,$B18)))</f>
        <v>34.799999999999997</v>
      </c>
      <c r="L18" s="46">
        <f>IF($B18="","",IF(INDEX('Master Database'!$K$1:$K$600,$B18)="","",INDEX('Master Database'!$K$1:$K$600,$B18)))</f>
        <v>57.4</v>
      </c>
      <c r="M18" s="19" t="str">
        <f>IF($B18="","",IF(INDEX('Master Database'!$L$1:$L$600,$B18)="","",INDEX('Master Database'!$L$1:$L$600,$B18)))</f>
        <v>Not stated</v>
      </c>
      <c r="N18" s="19" t="str">
        <f>IF($B18="","",IF(INDEX('Master Database'!$P$1:$P$600,$B18)="","",INDEX('Master Database'!$P$1:$P$600,$B18)))</f>
        <v>Not stated</v>
      </c>
      <c r="O18" s="19" t="str">
        <f>IF($B18="","",IF(INDEX('Master Database'!$S$1:$S$600,$B18)="","",INDEX('Master Database'!$S$1:$S$600,$B18)))</f>
        <v>Electric Motor</v>
      </c>
      <c r="P18" s="19" t="str">
        <f>IF($B18="","",IF(INDEX('Master Database'!$T$1:$T$600,$B18)="","",INDEX('Master Database'!$T$1:$T$600,$B18)))</f>
        <v>Crude Oil</v>
      </c>
      <c r="Q18" s="19" t="str">
        <f>IF($B18="","",IF(INDEX('Master Database'!$Y$1:$Y$600,$B18)="","",INDEX('Master Database'!$Y$1:$Y$600,$B18)))</f>
        <v>(Not stated)</v>
      </c>
      <c r="R18" s="19" t="str">
        <f>IF($B18="","",IF(INDEX('Master Database'!$Z$1:$Z$600,$B18)="","",INDEX('Master Database'!$Z$1:$Z$600,$B18)))</f>
        <v>USD</v>
      </c>
      <c r="S18" s="47">
        <f>IF($B18="","",IF(INDEX('Master Database'!$AA$1:$AA$600,$B18)="","",INDEX('Master Database'!$AA$1:$AA$600,$B18)))</f>
        <v>250000</v>
      </c>
      <c r="T18" s="19" t="str">
        <f>IF($B18="","",IF(INDEX('Master Database'!$AE$1:$AE$600,$B18)="","",INDEX('Master Database'!$AE$1:$AE$600,$B18)))</f>
        <v>Purchase price (USD) – 18061405 pump CSV; project and year not stated</v>
      </c>
      <c r="U18" s="47" t="str">
        <f>IF($B18="","",IF(INDEX('Master Database'!$AG$1:$AG$600,$B18)="","",INDEX('Master Database'!$AG$1:$AG$600,$B18)))</f>
        <v>(PPI/FX missing)</v>
      </c>
      <c r="V18" s="47" t="str">
        <f>IF($B18="","",IF(INDEX('Master Database'!$AH$1:$AH$600,$B18)="","",INDEX('Master Database'!$AH$1:$AH$600,$B18)))</f>
        <v/>
      </c>
      <c r="W18" s="47" t="str">
        <f>IF($B18="","",IF(INDEX('Master Database'!$AI$1:$AI$600,$B18)="","",INDEX('Master Database'!$AI$1:$AI$600,$B18)))</f>
        <v/>
      </c>
      <c r="X18" s="19" t="str">
        <f>IF($B18="","",IF(INDEX('Master Database'!$BG$1:$BG$600,$B18)="","",INDEX('Master Database'!$BG$1:$BG$600,$B18)))</f>
        <v>N</v>
      </c>
      <c r="BA18">
        <f>IF('Master Database'!$A18="",0,IF(AND(OR($B$5="",ISNUMBER(SEARCH($B$5,'Master Database'!$B18&amp;" "&amp;'Master Database'!$D18))),OR($B$6="(All)",'Master Database'!$C18=$B$6),OR($B$7="(All)",'Master Database'!$E18=$B$7),OR($B$8="(All)",'Master Database'!$T18=$B$8),OR($B$9="(All)",'Master Database'!$M18=$B$9),OR($B$10="(All)",'Master Database'!$V18=$B$10),OR($E$5="(All)",'Master Database'!$F18=$E$5),OR($E$6="(All)",'Master Database'!$G18=$E$6),OR($E$7="(All)",'Master Database'!$O18=$E$7),OR($E$8="(All)",'Master Database'!$P18=$E$8),OR($E$9="(All)",'Master Database'!$S18=$E$9),OR($E$10="(All)",'Master Database'!$Y18&amp;""=$E$10&amp;""),OR($H$5="(All)",'Master Database'!$BG18=$H$5),OR($H$6&lt;&gt;"Y",ISNUMBER('Master Database'!$AG18)),OR($H$7="",AND(ISNUMBER('Master Database'!$H18),N('Master Database'!$H18)&gt;=$H$7)),OR($I$7="",AND(ISNUMBER('Master Database'!$H18),N('Master Database'!$H18)&lt;=$I$7)),OR($H$8="",AND(ISNUMBER('Master Database'!$I18),N('Master Database'!$I18)&gt;=$H$8)),OR($I$8="",AND(ISNUMBER('Master Database'!$I18),N('Master Database'!$I18)&lt;=$I$8)),OR($H$9="",AND(ISNUMBER('Master Database'!$K18),N('Master Database'!$K18)&gt;=$H$9)),OR($I$9="",AND(ISNUMBER('Master Database'!$K18),N('Master Database'!$K18)&lt;=$I$9))),1,0))</f>
        <v>1</v>
      </c>
      <c r="BB18">
        <f>IF(BA18=1,COUNTIF($BA$5:BA18,1),"")</f>
        <v>14</v>
      </c>
    </row>
    <row r="19" spans="1:54">
      <c r="A19" s="20">
        <f>IF(4&lt;=SUM($BA$5:$BA$600),4,"")</f>
        <v>4</v>
      </c>
      <c r="B19" s="20">
        <f t="shared" si="0"/>
        <v>8</v>
      </c>
      <c r="C19" s="20">
        <f>IF($B19="","",IF(INDEX('Master Database'!$A$1:$A$600,$B19)="","",INDEX('Master Database'!$A$1:$A$600,$B19)))</f>
        <v>4</v>
      </c>
      <c r="D19" s="19" t="str">
        <f>IF($B19="","",IF(INDEX('Master Database'!$B$1:$B$600,$B19)="","",INDEX('Master Database'!$B$1:$B$600,$B19)))</f>
        <v>Product Oil Pump</v>
      </c>
      <c r="E19" s="19" t="str">
        <f>IF($B19="","",IF(INDEX('Master Database'!$C$1:$C$600,$B19)="","",INDEX('Master Database'!$C$1:$C$600,$B19)))</f>
        <v>(نام پروژه در فایل قید نشده است) – CSV 18061405</v>
      </c>
      <c r="F19" s="19" t="str">
        <f>IF($B19="","",IF(INDEX('Master Database'!$D$1:$D$600,$B19)="","",INDEX('Master Database'!$D$1:$D$600,$B19)))</f>
        <v>(Not stated in source document)</v>
      </c>
      <c r="G19" s="19" t="str">
        <f>IF($B19="","",IF(INDEX('Master Database'!$E$1:$E$600,$B19)="","",INDEX('Master Database'!$E$1:$E$600,$B19)))</f>
        <v>ROT-CRU</v>
      </c>
      <c r="H19" s="19" t="str">
        <f>IF($B19="","",IF(INDEX('Master Database'!$F$1:$F$600,$B19)="","",INDEX('Master Database'!$F$1:$F$600,$B19)))</f>
        <v>Not stated</v>
      </c>
      <c r="I19" s="19" t="str">
        <f>IF($B19="","",IF(INDEX('Master Database'!$G$1:$G$600,$B19)="","",INDEX('Master Database'!$G$1:$G$600,$B19)))</f>
        <v>Not stated</v>
      </c>
      <c r="J19" s="46" t="str">
        <f>IF($B19="","",IF(INDEX('Master Database'!$H$1:$H$600,$B19)="","",INDEX('Master Database'!$H$1:$H$600,$B19)))</f>
        <v/>
      </c>
      <c r="K19" s="46">
        <f>IF($B19="","",IF(INDEX('Master Database'!$I$1:$I$600,$B19)="","",INDEX('Master Database'!$I$1:$I$600,$B19)))</f>
        <v>329</v>
      </c>
      <c r="L19" s="46">
        <f>IF($B19="","",IF(INDEX('Master Database'!$K$1:$K$600,$B19)="","",INDEX('Master Database'!$K$1:$K$600,$B19)))</f>
        <v>379</v>
      </c>
      <c r="M19" s="19" t="str">
        <f>IF($B19="","",IF(INDEX('Master Database'!$L$1:$L$600,$B19)="","",INDEX('Master Database'!$L$1:$L$600,$B19)))</f>
        <v>Not stated</v>
      </c>
      <c r="N19" s="19" t="str">
        <f>IF($B19="","",IF(INDEX('Master Database'!$P$1:$P$600,$B19)="","",INDEX('Master Database'!$P$1:$P$600,$B19)))</f>
        <v>Not stated</v>
      </c>
      <c r="O19" s="19" t="str">
        <f>IF($B19="","",IF(INDEX('Master Database'!$S$1:$S$600,$B19)="","",INDEX('Master Database'!$S$1:$S$600,$B19)))</f>
        <v>Electric Motor</v>
      </c>
      <c r="P19" s="19" t="str">
        <f>IF($B19="","",IF(INDEX('Master Database'!$T$1:$T$600,$B19)="","",INDEX('Master Database'!$T$1:$T$600,$B19)))</f>
        <v>Crude Oil</v>
      </c>
      <c r="Q19" s="19" t="str">
        <f>IF($B19="","",IF(INDEX('Master Database'!$Y$1:$Y$600,$B19)="","",INDEX('Master Database'!$Y$1:$Y$600,$B19)))</f>
        <v>(Not stated)</v>
      </c>
      <c r="R19" s="19" t="str">
        <f>IF($B19="","",IF(INDEX('Master Database'!$Z$1:$Z$600,$B19)="","",INDEX('Master Database'!$Z$1:$Z$600,$B19)))</f>
        <v>USD</v>
      </c>
      <c r="S19" s="47">
        <f>IF($B19="","",IF(INDEX('Master Database'!$AA$1:$AA$600,$B19)="","",INDEX('Master Database'!$AA$1:$AA$600,$B19)))</f>
        <v>420000</v>
      </c>
      <c r="T19" s="19" t="str">
        <f>IF($B19="","",IF(INDEX('Master Database'!$AE$1:$AE$600,$B19)="","",INDEX('Master Database'!$AE$1:$AE$600,$B19)))</f>
        <v>Purchase price (USD) – 18061405 pump CSV; project and year not stated</v>
      </c>
      <c r="U19" s="47" t="str">
        <f>IF($B19="","",IF(INDEX('Master Database'!$AG$1:$AG$600,$B19)="","",INDEX('Master Database'!$AG$1:$AG$600,$B19)))</f>
        <v>(PPI/FX missing)</v>
      </c>
      <c r="V19" s="47" t="str">
        <f>IF($B19="","",IF(INDEX('Master Database'!$AH$1:$AH$600,$B19)="","",INDEX('Master Database'!$AH$1:$AH$600,$B19)))</f>
        <v/>
      </c>
      <c r="W19" s="47" t="str">
        <f>IF($B19="","",IF(INDEX('Master Database'!$AI$1:$AI$600,$B19)="","",INDEX('Master Database'!$AI$1:$AI$600,$B19)))</f>
        <v/>
      </c>
      <c r="X19" s="19" t="str">
        <f>IF($B19="","",IF(INDEX('Master Database'!$BG$1:$BG$600,$B19)="","",INDEX('Master Database'!$BG$1:$BG$600,$B19)))</f>
        <v>N</v>
      </c>
      <c r="BA19">
        <f>IF('Master Database'!$A19="",0,IF(AND(OR($B$5="",ISNUMBER(SEARCH($B$5,'Master Database'!$B19&amp;" "&amp;'Master Database'!$D19))),OR($B$6="(All)",'Master Database'!$C19=$B$6),OR($B$7="(All)",'Master Database'!$E19=$B$7),OR($B$8="(All)",'Master Database'!$T19=$B$8),OR($B$9="(All)",'Master Database'!$M19=$B$9),OR($B$10="(All)",'Master Database'!$V19=$B$10),OR($E$5="(All)",'Master Database'!$F19=$E$5),OR($E$6="(All)",'Master Database'!$G19=$E$6),OR($E$7="(All)",'Master Database'!$O19=$E$7),OR($E$8="(All)",'Master Database'!$P19=$E$8),OR($E$9="(All)",'Master Database'!$S19=$E$9),OR($E$10="(All)",'Master Database'!$Y19&amp;""=$E$10&amp;""),OR($H$5="(All)",'Master Database'!$BG19=$H$5),OR($H$6&lt;&gt;"Y",ISNUMBER('Master Database'!$AG19)),OR($H$7="",AND(ISNUMBER('Master Database'!$H19),N('Master Database'!$H19)&gt;=$H$7)),OR($I$7="",AND(ISNUMBER('Master Database'!$H19),N('Master Database'!$H19)&lt;=$I$7)),OR($H$8="",AND(ISNUMBER('Master Database'!$I19),N('Master Database'!$I19)&gt;=$H$8)),OR($I$8="",AND(ISNUMBER('Master Database'!$I19),N('Master Database'!$I19)&lt;=$I$8)),OR($H$9="",AND(ISNUMBER('Master Database'!$K19),N('Master Database'!$K19)&gt;=$H$9)),OR($I$9="",AND(ISNUMBER('Master Database'!$K19),N('Master Database'!$K19)&lt;=$I$9))),1,0))</f>
        <v>1</v>
      </c>
      <c r="BB19">
        <f>IF(BA19=1,COUNTIF($BA$5:BA19,1),"")</f>
        <v>15</v>
      </c>
    </row>
    <row r="20" spans="1:54">
      <c r="A20" s="20">
        <f>IF(5&lt;=SUM($BA$5:$BA$600),5,"")</f>
        <v>5</v>
      </c>
      <c r="B20" s="20">
        <f t="shared" si="0"/>
        <v>9</v>
      </c>
      <c r="C20" s="20">
        <f>IF($B20="","",IF(INDEX('Master Database'!$A$1:$A$600,$B20)="","",INDEX('Master Database'!$A$1:$A$600,$B20)))</f>
        <v>5</v>
      </c>
      <c r="D20" s="19" t="str">
        <f>IF($B20="","",IF(INDEX('Master Database'!$B$1:$B$600,$B20)="","",INDEX('Master Database'!$B$1:$B$600,$B20)))</f>
        <v>Off Spec Crude Pump</v>
      </c>
      <c r="E20" s="19" t="str">
        <f>IF($B20="","",IF(INDEX('Master Database'!$C$1:$C$600,$B20)="","",INDEX('Master Database'!$C$1:$C$600,$B20)))</f>
        <v>(نام پروژه در فایل قید نشده است) – CSV 18061405</v>
      </c>
      <c r="F20" s="19" t="str">
        <f>IF($B20="","",IF(INDEX('Master Database'!$D$1:$D$600,$B20)="","",INDEX('Master Database'!$D$1:$D$600,$B20)))</f>
        <v>(Not stated in source document)</v>
      </c>
      <c r="G20" s="19" t="str">
        <f>IF($B20="","",IF(INDEX('Master Database'!$E$1:$E$600,$B20)="","",INDEX('Master Database'!$E$1:$E$600,$B20)))</f>
        <v>ROT-CRU</v>
      </c>
      <c r="H20" s="19" t="str">
        <f>IF($B20="","",IF(INDEX('Master Database'!$F$1:$F$600,$B20)="","",INDEX('Master Database'!$F$1:$F$600,$B20)))</f>
        <v>Not stated</v>
      </c>
      <c r="I20" s="19" t="str">
        <f>IF($B20="","",IF(INDEX('Master Database'!$G$1:$G$600,$B20)="","",INDEX('Master Database'!$G$1:$G$600,$B20)))</f>
        <v>Not stated</v>
      </c>
      <c r="J20" s="46" t="str">
        <f>IF($B20="","",IF(INDEX('Master Database'!$H$1:$H$600,$B20)="","",INDEX('Master Database'!$H$1:$H$600,$B20)))</f>
        <v/>
      </c>
      <c r="K20" s="46">
        <f>IF($B20="","",IF(INDEX('Master Database'!$I$1:$I$600,$B20)="","",INDEX('Master Database'!$I$1:$I$600,$B20)))</f>
        <v>311.3</v>
      </c>
      <c r="L20" s="46">
        <f>IF($B20="","",IF(INDEX('Master Database'!$K$1:$K$600,$B20)="","",INDEX('Master Database'!$K$1:$K$600,$B20)))</f>
        <v>48</v>
      </c>
      <c r="M20" s="19" t="str">
        <f>IF($B20="","",IF(INDEX('Master Database'!$L$1:$L$600,$B20)="","",INDEX('Master Database'!$L$1:$L$600,$B20)))</f>
        <v>Not stated</v>
      </c>
      <c r="N20" s="19" t="str">
        <f>IF($B20="","",IF(INDEX('Master Database'!$P$1:$P$600,$B20)="","",INDEX('Master Database'!$P$1:$P$600,$B20)))</f>
        <v>Not stated</v>
      </c>
      <c r="O20" s="19" t="str">
        <f>IF($B20="","",IF(INDEX('Master Database'!$S$1:$S$600,$B20)="","",INDEX('Master Database'!$S$1:$S$600,$B20)))</f>
        <v>Electric Motor</v>
      </c>
      <c r="P20" s="19" t="str">
        <f>IF($B20="","",IF(INDEX('Master Database'!$T$1:$T$600,$B20)="","",INDEX('Master Database'!$T$1:$T$600,$B20)))</f>
        <v>Crude Oil</v>
      </c>
      <c r="Q20" s="19" t="str">
        <f>IF($B20="","",IF(INDEX('Master Database'!$Y$1:$Y$600,$B20)="","",INDEX('Master Database'!$Y$1:$Y$600,$B20)))</f>
        <v>(Not stated)</v>
      </c>
      <c r="R20" s="19" t="str">
        <f>IF($B20="","",IF(INDEX('Master Database'!$Z$1:$Z$600,$B20)="","",INDEX('Master Database'!$Z$1:$Z$600,$B20)))</f>
        <v>USD</v>
      </c>
      <c r="S20" s="47">
        <f>IF($B20="","",IF(INDEX('Master Database'!$AA$1:$AA$600,$B20)="","",INDEX('Master Database'!$AA$1:$AA$600,$B20)))</f>
        <v>75000</v>
      </c>
      <c r="T20" s="19" t="str">
        <f>IF($B20="","",IF(INDEX('Master Database'!$AE$1:$AE$600,$B20)="","",INDEX('Master Database'!$AE$1:$AE$600,$B20)))</f>
        <v>Purchase price (USD) – 18061405 pump CSV; project and year not stated</v>
      </c>
      <c r="U20" s="47" t="str">
        <f>IF($B20="","",IF(INDEX('Master Database'!$AG$1:$AG$600,$B20)="","",INDEX('Master Database'!$AG$1:$AG$600,$B20)))</f>
        <v>(PPI/FX missing)</v>
      </c>
      <c r="V20" s="47" t="str">
        <f>IF($B20="","",IF(INDEX('Master Database'!$AH$1:$AH$600,$B20)="","",INDEX('Master Database'!$AH$1:$AH$600,$B20)))</f>
        <v/>
      </c>
      <c r="W20" s="47" t="str">
        <f>IF($B20="","",IF(INDEX('Master Database'!$AI$1:$AI$600,$B20)="","",INDEX('Master Database'!$AI$1:$AI$600,$B20)))</f>
        <v/>
      </c>
      <c r="X20" s="19" t="str">
        <f>IF($B20="","",IF(INDEX('Master Database'!$BG$1:$BG$600,$B20)="","",INDEX('Master Database'!$BG$1:$BG$600,$B20)))</f>
        <v>N</v>
      </c>
      <c r="BA20">
        <f>IF('Master Database'!$A20="",0,IF(AND(OR($B$5="",ISNUMBER(SEARCH($B$5,'Master Database'!$B20&amp;" "&amp;'Master Database'!$D20))),OR($B$6="(All)",'Master Database'!$C20=$B$6),OR($B$7="(All)",'Master Database'!$E20=$B$7),OR($B$8="(All)",'Master Database'!$T20=$B$8),OR($B$9="(All)",'Master Database'!$M20=$B$9),OR($B$10="(All)",'Master Database'!$V20=$B$10),OR($E$5="(All)",'Master Database'!$F20=$E$5),OR($E$6="(All)",'Master Database'!$G20=$E$6),OR($E$7="(All)",'Master Database'!$O20=$E$7),OR($E$8="(All)",'Master Database'!$P20=$E$8),OR($E$9="(All)",'Master Database'!$S20=$E$9),OR($E$10="(All)",'Master Database'!$Y20&amp;""=$E$10&amp;""),OR($H$5="(All)",'Master Database'!$BG20=$H$5),OR($H$6&lt;&gt;"Y",ISNUMBER('Master Database'!$AG20)),OR($H$7="",AND(ISNUMBER('Master Database'!$H20),N('Master Database'!$H20)&gt;=$H$7)),OR($I$7="",AND(ISNUMBER('Master Database'!$H20),N('Master Database'!$H20)&lt;=$I$7)),OR($H$8="",AND(ISNUMBER('Master Database'!$I20),N('Master Database'!$I20)&gt;=$H$8)),OR($I$8="",AND(ISNUMBER('Master Database'!$I20),N('Master Database'!$I20)&lt;=$I$8)),OR($H$9="",AND(ISNUMBER('Master Database'!$K20),N('Master Database'!$K20)&gt;=$H$9)),OR($I$9="",AND(ISNUMBER('Master Database'!$K20),N('Master Database'!$K20)&lt;=$I$9))),1,0))</f>
        <v>1</v>
      </c>
      <c r="BB20">
        <f>IF(BA20=1,COUNTIF($BA$5:BA20,1),"")</f>
        <v>16</v>
      </c>
    </row>
    <row r="21" spans="1:54">
      <c r="A21" s="20">
        <f>IF(6&lt;=SUM($BA$5:$BA$600),6,"")</f>
        <v>6</v>
      </c>
      <c r="B21" s="20">
        <f t="shared" si="0"/>
        <v>10</v>
      </c>
      <c r="C21" s="20">
        <f>IF($B21="","",IF(INDEX('Master Database'!$A$1:$A$600,$B21)="","",INDEX('Master Database'!$A$1:$A$600,$B21)))</f>
        <v>6</v>
      </c>
      <c r="D21" s="19" t="str">
        <f>IF($B21="","",IF(INDEX('Master Database'!$B$1:$B$600,$B21)="","",INDEX('Master Database'!$B$1:$B$600,$B21)))</f>
        <v>Second Stage Desalter Water Criculated Pump</v>
      </c>
      <c r="E21" s="19" t="str">
        <f>IF($B21="","",IF(INDEX('Master Database'!$C$1:$C$600,$B21)="","",INDEX('Master Database'!$C$1:$C$600,$B21)))</f>
        <v>(نام پروژه در فایل قید نشده است) – CSV 18061405</v>
      </c>
      <c r="F21" s="19" t="str">
        <f>IF($B21="","",IF(INDEX('Master Database'!$D$1:$D$600,$B21)="","",INDEX('Master Database'!$D$1:$D$600,$B21)))</f>
        <v>(Not stated in source document)</v>
      </c>
      <c r="G21" s="19" t="str">
        <f>IF($B21="","",IF(INDEX('Master Database'!$E$1:$E$600,$B21)="","",INDEX('Master Database'!$E$1:$E$600,$B21)))</f>
        <v>ROT-WAT</v>
      </c>
      <c r="H21" s="19" t="str">
        <f>IF($B21="","",IF(INDEX('Master Database'!$F$1:$F$600,$B21)="","",INDEX('Master Database'!$F$1:$F$600,$B21)))</f>
        <v>Not stated</v>
      </c>
      <c r="I21" s="19" t="str">
        <f>IF($B21="","",IF(INDEX('Master Database'!$G$1:$G$600,$B21)="","",INDEX('Master Database'!$G$1:$G$600,$B21)))</f>
        <v>Not stated</v>
      </c>
      <c r="J21" s="46" t="str">
        <f>IF($B21="","",IF(INDEX('Master Database'!$H$1:$H$600,$B21)="","",INDEX('Master Database'!$H$1:$H$600,$B21)))</f>
        <v/>
      </c>
      <c r="K21" s="46">
        <f>IF($B21="","",IF(INDEX('Master Database'!$I$1:$I$600,$B21)="","",INDEX('Master Database'!$I$1:$I$600,$B21)))</f>
        <v>32</v>
      </c>
      <c r="L21" s="46">
        <f>IF($B21="","",IF(INDEX('Master Database'!$K$1:$K$600,$B21)="","",INDEX('Master Database'!$K$1:$K$600,$B21)))</f>
        <v>2.2000000000000002</v>
      </c>
      <c r="M21" s="19" t="str">
        <f>IF($B21="","",IF(INDEX('Master Database'!$L$1:$L$600,$B21)="","",INDEX('Master Database'!$L$1:$L$600,$B21)))</f>
        <v>Not stated</v>
      </c>
      <c r="N21" s="19" t="str">
        <f>IF($B21="","",IF(INDEX('Master Database'!$P$1:$P$600,$B21)="","",INDEX('Master Database'!$P$1:$P$600,$B21)))</f>
        <v>Not stated</v>
      </c>
      <c r="O21" s="19" t="str">
        <f>IF($B21="","",IF(INDEX('Master Database'!$S$1:$S$600,$B21)="","",INDEX('Master Database'!$S$1:$S$600,$B21)))</f>
        <v>Electric Motor</v>
      </c>
      <c r="P21" s="19" t="str">
        <f>IF($B21="","",IF(INDEX('Master Database'!$T$1:$T$600,$B21)="","",INDEX('Master Database'!$T$1:$T$600,$B21)))</f>
        <v>Process / Dilution Water</v>
      </c>
      <c r="Q21" s="19" t="str">
        <f>IF($B21="","",IF(INDEX('Master Database'!$Y$1:$Y$600,$B21)="","",INDEX('Master Database'!$Y$1:$Y$600,$B21)))</f>
        <v>(Not stated)</v>
      </c>
      <c r="R21" s="19" t="str">
        <f>IF($B21="","",IF(INDEX('Master Database'!$Z$1:$Z$600,$B21)="","",INDEX('Master Database'!$Z$1:$Z$600,$B21)))</f>
        <v>USD</v>
      </c>
      <c r="S21" s="47">
        <f>IF($B21="","",IF(INDEX('Master Database'!$AA$1:$AA$600,$B21)="","",INDEX('Master Database'!$AA$1:$AA$600,$B21)))</f>
        <v>60000</v>
      </c>
      <c r="T21" s="19" t="str">
        <f>IF($B21="","",IF(INDEX('Master Database'!$AE$1:$AE$600,$B21)="","",INDEX('Master Database'!$AE$1:$AE$600,$B21)))</f>
        <v>Purchase price (USD) – 18061405 pump CSV; project and year not stated</v>
      </c>
      <c r="U21" s="47" t="str">
        <f>IF($B21="","",IF(INDEX('Master Database'!$AG$1:$AG$600,$B21)="","",INDEX('Master Database'!$AG$1:$AG$600,$B21)))</f>
        <v>(PPI/FX missing)</v>
      </c>
      <c r="V21" s="47" t="str">
        <f>IF($B21="","",IF(INDEX('Master Database'!$AH$1:$AH$600,$B21)="","",INDEX('Master Database'!$AH$1:$AH$600,$B21)))</f>
        <v/>
      </c>
      <c r="W21" s="47" t="str">
        <f>IF($B21="","",IF(INDEX('Master Database'!$AI$1:$AI$600,$B21)="","",INDEX('Master Database'!$AI$1:$AI$600,$B21)))</f>
        <v/>
      </c>
      <c r="X21" s="19" t="str">
        <f>IF($B21="","",IF(INDEX('Master Database'!$BG$1:$BG$600,$B21)="","",INDEX('Master Database'!$BG$1:$BG$600,$B21)))</f>
        <v>N</v>
      </c>
      <c r="BA21">
        <f>IF('Master Database'!$A21="",0,IF(AND(OR($B$5="",ISNUMBER(SEARCH($B$5,'Master Database'!$B21&amp;" "&amp;'Master Database'!$D21))),OR($B$6="(All)",'Master Database'!$C21=$B$6),OR($B$7="(All)",'Master Database'!$E21=$B$7),OR($B$8="(All)",'Master Database'!$T21=$B$8),OR($B$9="(All)",'Master Database'!$M21=$B$9),OR($B$10="(All)",'Master Database'!$V21=$B$10),OR($E$5="(All)",'Master Database'!$F21=$E$5),OR($E$6="(All)",'Master Database'!$G21=$E$6),OR($E$7="(All)",'Master Database'!$O21=$E$7),OR($E$8="(All)",'Master Database'!$P21=$E$8),OR($E$9="(All)",'Master Database'!$S21=$E$9),OR($E$10="(All)",'Master Database'!$Y21&amp;""=$E$10&amp;""),OR($H$5="(All)",'Master Database'!$BG21=$H$5),OR($H$6&lt;&gt;"Y",ISNUMBER('Master Database'!$AG21)),OR($H$7="",AND(ISNUMBER('Master Database'!$H21),N('Master Database'!$H21)&gt;=$H$7)),OR($I$7="",AND(ISNUMBER('Master Database'!$H21),N('Master Database'!$H21)&lt;=$I$7)),OR($H$8="",AND(ISNUMBER('Master Database'!$I21),N('Master Database'!$I21)&gt;=$H$8)),OR($I$8="",AND(ISNUMBER('Master Database'!$I21),N('Master Database'!$I21)&lt;=$I$8)),OR($H$9="",AND(ISNUMBER('Master Database'!$K21),N('Master Database'!$K21)&gt;=$H$9)),OR($I$9="",AND(ISNUMBER('Master Database'!$K21),N('Master Database'!$K21)&lt;=$I$9))),1,0))</f>
        <v>1</v>
      </c>
      <c r="BB21">
        <f>IF(BA21=1,COUNTIF($BA$5:BA21,1),"")</f>
        <v>17</v>
      </c>
    </row>
    <row r="22" spans="1:54">
      <c r="A22" s="20">
        <f>IF(7&lt;=SUM($BA$5:$BA$600),7,"")</f>
        <v>7</v>
      </c>
      <c r="B22" s="20">
        <f t="shared" si="0"/>
        <v>11</v>
      </c>
      <c r="C22" s="20">
        <f>IF($B22="","",IF(INDEX('Master Database'!$A$1:$A$600,$B22)="","",INDEX('Master Database'!$A$1:$A$600,$B22)))</f>
        <v>7</v>
      </c>
      <c r="D22" s="19" t="str">
        <f>IF($B22="","",IF(INDEX('Master Database'!$B$1:$B$600,$B22)="","",INDEX('Master Database'!$B$1:$B$600,$B22)))</f>
        <v>Degassing Water Pump</v>
      </c>
      <c r="E22" s="19" t="str">
        <f>IF($B22="","",IF(INDEX('Master Database'!$C$1:$C$600,$B22)="","",INDEX('Master Database'!$C$1:$C$600,$B22)))</f>
        <v>(نام پروژه در فایل قید نشده است) – CSV 18061405</v>
      </c>
      <c r="F22" s="19" t="str">
        <f>IF($B22="","",IF(INDEX('Master Database'!$D$1:$D$600,$B22)="","",INDEX('Master Database'!$D$1:$D$600,$B22)))</f>
        <v>(Not stated in source document)</v>
      </c>
      <c r="G22" s="19" t="str">
        <f>IF($B22="","",IF(INDEX('Master Database'!$E$1:$E$600,$B22)="","",INDEX('Master Database'!$E$1:$E$600,$B22)))</f>
        <v>ROT-WAT</v>
      </c>
      <c r="H22" s="19" t="str">
        <f>IF($B22="","",IF(INDEX('Master Database'!$F$1:$F$600,$B22)="","",INDEX('Master Database'!$F$1:$F$600,$B22)))</f>
        <v>Not stated</v>
      </c>
      <c r="I22" s="19" t="str">
        <f>IF($B22="","",IF(INDEX('Master Database'!$G$1:$G$600,$B22)="","",INDEX('Master Database'!$G$1:$G$600,$B22)))</f>
        <v>Not stated</v>
      </c>
      <c r="J22" s="46" t="str">
        <f>IF($B22="","",IF(INDEX('Master Database'!$H$1:$H$600,$B22)="","",INDEX('Master Database'!$H$1:$H$600,$B22)))</f>
        <v/>
      </c>
      <c r="K22" s="46">
        <f>IF($B22="","",IF(INDEX('Master Database'!$I$1:$I$600,$B22)="","",INDEX('Master Database'!$I$1:$I$600,$B22)))</f>
        <v>36.200000000000003</v>
      </c>
      <c r="L22" s="46">
        <f>IF($B22="","",IF(INDEX('Master Database'!$K$1:$K$600,$B22)="","",INDEX('Master Database'!$K$1:$K$600,$B22)))</f>
        <v>13.1</v>
      </c>
      <c r="M22" s="19" t="str">
        <f>IF($B22="","",IF(INDEX('Master Database'!$L$1:$L$600,$B22)="","",INDEX('Master Database'!$L$1:$L$600,$B22)))</f>
        <v>Not stated</v>
      </c>
      <c r="N22" s="19" t="str">
        <f>IF($B22="","",IF(INDEX('Master Database'!$P$1:$P$600,$B22)="","",INDEX('Master Database'!$P$1:$P$600,$B22)))</f>
        <v>Not stated</v>
      </c>
      <c r="O22" s="19" t="str">
        <f>IF($B22="","",IF(INDEX('Master Database'!$S$1:$S$600,$B22)="","",INDEX('Master Database'!$S$1:$S$600,$B22)))</f>
        <v>Electric Motor</v>
      </c>
      <c r="P22" s="19" t="str">
        <f>IF($B22="","",IF(INDEX('Master Database'!$T$1:$T$600,$B22)="","",INDEX('Master Database'!$T$1:$T$600,$B22)))</f>
        <v>Process / Dilution Water</v>
      </c>
      <c r="Q22" s="19" t="str">
        <f>IF($B22="","",IF(INDEX('Master Database'!$Y$1:$Y$600,$B22)="","",INDEX('Master Database'!$Y$1:$Y$600,$B22)))</f>
        <v>(Not stated)</v>
      </c>
      <c r="R22" s="19" t="str">
        <f>IF($B22="","",IF(INDEX('Master Database'!$Z$1:$Z$600,$B22)="","",INDEX('Master Database'!$Z$1:$Z$600,$B22)))</f>
        <v>USD</v>
      </c>
      <c r="S22" s="47">
        <f>IF($B22="","",IF(INDEX('Master Database'!$AA$1:$AA$600,$B22)="","",INDEX('Master Database'!$AA$1:$AA$600,$B22)))</f>
        <v>60000</v>
      </c>
      <c r="T22" s="19" t="str">
        <f>IF($B22="","",IF(INDEX('Master Database'!$AE$1:$AE$600,$B22)="","",INDEX('Master Database'!$AE$1:$AE$600,$B22)))</f>
        <v>Purchase price (USD) – 18061405 pump CSV; project and year not stated</v>
      </c>
      <c r="U22" s="47" t="str">
        <f>IF($B22="","",IF(INDEX('Master Database'!$AG$1:$AG$600,$B22)="","",INDEX('Master Database'!$AG$1:$AG$600,$B22)))</f>
        <v>(PPI/FX missing)</v>
      </c>
      <c r="V22" s="47" t="str">
        <f>IF($B22="","",IF(INDEX('Master Database'!$AH$1:$AH$600,$B22)="","",INDEX('Master Database'!$AH$1:$AH$600,$B22)))</f>
        <v/>
      </c>
      <c r="W22" s="47" t="str">
        <f>IF($B22="","",IF(INDEX('Master Database'!$AI$1:$AI$600,$B22)="","",INDEX('Master Database'!$AI$1:$AI$600,$B22)))</f>
        <v/>
      </c>
      <c r="X22" s="19" t="str">
        <f>IF($B22="","",IF(INDEX('Master Database'!$BG$1:$BG$600,$B22)="","",INDEX('Master Database'!$BG$1:$BG$600,$B22)))</f>
        <v>N</v>
      </c>
      <c r="BA22">
        <f>IF('Master Database'!$A22="",0,IF(AND(OR($B$5="",ISNUMBER(SEARCH($B$5,'Master Database'!$B22&amp;" "&amp;'Master Database'!$D22))),OR($B$6="(All)",'Master Database'!$C22=$B$6),OR($B$7="(All)",'Master Database'!$E22=$B$7),OR($B$8="(All)",'Master Database'!$T22=$B$8),OR($B$9="(All)",'Master Database'!$M22=$B$9),OR($B$10="(All)",'Master Database'!$V22=$B$10),OR($E$5="(All)",'Master Database'!$F22=$E$5),OR($E$6="(All)",'Master Database'!$G22=$E$6),OR($E$7="(All)",'Master Database'!$O22=$E$7),OR($E$8="(All)",'Master Database'!$P22=$E$8),OR($E$9="(All)",'Master Database'!$S22=$E$9),OR($E$10="(All)",'Master Database'!$Y22&amp;""=$E$10&amp;""),OR($H$5="(All)",'Master Database'!$BG22=$H$5),OR($H$6&lt;&gt;"Y",ISNUMBER('Master Database'!$AG22)),OR($H$7="",AND(ISNUMBER('Master Database'!$H22),N('Master Database'!$H22)&gt;=$H$7)),OR($I$7="",AND(ISNUMBER('Master Database'!$H22),N('Master Database'!$H22)&lt;=$I$7)),OR($H$8="",AND(ISNUMBER('Master Database'!$I22),N('Master Database'!$I22)&gt;=$H$8)),OR($I$8="",AND(ISNUMBER('Master Database'!$I22),N('Master Database'!$I22)&lt;=$I$8)),OR($H$9="",AND(ISNUMBER('Master Database'!$K22),N('Master Database'!$K22)&gt;=$H$9)),OR($I$9="",AND(ISNUMBER('Master Database'!$K22),N('Master Database'!$K22)&lt;=$I$9))),1,0))</f>
        <v>1</v>
      </c>
      <c r="BB22">
        <f>IF(BA22=1,COUNTIF($BA$5:BA22,1),"")</f>
        <v>18</v>
      </c>
    </row>
    <row r="23" spans="1:54">
      <c r="A23" s="20">
        <f>IF(8&lt;=SUM($BA$5:$BA$600),8,"")</f>
        <v>8</v>
      </c>
      <c r="B23" s="20">
        <f t="shared" si="0"/>
        <v>12</v>
      </c>
      <c r="C23" s="20">
        <f>IF($B23="","",IF(INDEX('Master Database'!$A$1:$A$600,$B23)="","",INDEX('Master Database'!$A$1:$A$600,$B23)))</f>
        <v>8</v>
      </c>
      <c r="D23" s="19" t="str">
        <f>IF($B23="","",IF(INDEX('Master Database'!$B$1:$B$600,$B23)="","",INDEX('Master Database'!$B$1:$B$600,$B23)))</f>
        <v>Disposal Water Pump</v>
      </c>
      <c r="E23" s="19" t="str">
        <f>IF($B23="","",IF(INDEX('Master Database'!$C$1:$C$600,$B23)="","",INDEX('Master Database'!$C$1:$C$600,$B23)))</f>
        <v>(نام پروژه در فایل قید نشده است) – CSV 18061405</v>
      </c>
      <c r="F23" s="19" t="str">
        <f>IF($B23="","",IF(INDEX('Master Database'!$D$1:$D$600,$B23)="","",INDEX('Master Database'!$D$1:$D$600,$B23)))</f>
        <v>(Not stated in source document)</v>
      </c>
      <c r="G23" s="19" t="str">
        <f>IF($B23="","",IF(INDEX('Master Database'!$E$1:$E$600,$B23)="","",INDEX('Master Database'!$E$1:$E$600,$B23)))</f>
        <v>ROT-INJ</v>
      </c>
      <c r="H23" s="19" t="str">
        <f>IF($B23="","",IF(INDEX('Master Database'!$F$1:$F$600,$B23)="","",INDEX('Master Database'!$F$1:$F$600,$B23)))</f>
        <v>Not stated</v>
      </c>
      <c r="I23" s="19" t="str">
        <f>IF($B23="","",IF(INDEX('Master Database'!$G$1:$G$600,$B23)="","",INDEX('Master Database'!$G$1:$G$600,$B23)))</f>
        <v>Not stated</v>
      </c>
      <c r="J23" s="46" t="str">
        <f>IF($B23="","",IF(INDEX('Master Database'!$H$1:$H$600,$B23)="","",INDEX('Master Database'!$H$1:$H$600,$B23)))</f>
        <v/>
      </c>
      <c r="K23" s="46">
        <f>IF($B23="","",IF(INDEX('Master Database'!$I$1:$I$600,$B23)="","",INDEX('Master Database'!$I$1:$I$600,$B23)))</f>
        <v>1383</v>
      </c>
      <c r="L23" s="46">
        <f>IF($B23="","",IF(INDEX('Master Database'!$K$1:$K$600,$B23)="","",INDEX('Master Database'!$K$1:$K$600,$B23)))</f>
        <v>423</v>
      </c>
      <c r="M23" s="19" t="str">
        <f>IF($B23="","",IF(INDEX('Master Database'!$L$1:$L$600,$B23)="","",INDEX('Master Database'!$L$1:$L$600,$B23)))</f>
        <v>Not stated</v>
      </c>
      <c r="N23" s="19" t="str">
        <f>IF($B23="","",IF(INDEX('Master Database'!$P$1:$P$600,$B23)="","",INDEX('Master Database'!$P$1:$P$600,$B23)))</f>
        <v>Not stated</v>
      </c>
      <c r="O23" s="19" t="str">
        <f>IF($B23="","",IF(INDEX('Master Database'!$S$1:$S$600,$B23)="","",INDEX('Master Database'!$S$1:$S$600,$B23)))</f>
        <v>Electric Motor</v>
      </c>
      <c r="P23" s="19" t="str">
        <f>IF($B23="","",IF(INDEX('Master Database'!$T$1:$T$600,$B23)="","",INDEX('Master Database'!$T$1:$T$600,$B23)))</f>
        <v>Produced / Disposal Water</v>
      </c>
      <c r="Q23" s="19" t="str">
        <f>IF($B23="","",IF(INDEX('Master Database'!$Y$1:$Y$600,$B23)="","",INDEX('Master Database'!$Y$1:$Y$600,$B23)))</f>
        <v>(Not stated)</v>
      </c>
      <c r="R23" s="19" t="str">
        <f>IF($B23="","",IF(INDEX('Master Database'!$Z$1:$Z$600,$B23)="","",INDEX('Master Database'!$Z$1:$Z$600,$B23)))</f>
        <v>USD</v>
      </c>
      <c r="S23" s="47">
        <f>IF($B23="","",IF(INDEX('Master Database'!$AA$1:$AA$600,$B23)="","",INDEX('Master Database'!$AA$1:$AA$600,$B23)))</f>
        <v>410000</v>
      </c>
      <c r="T23" s="19" t="str">
        <f>IF($B23="","",IF(INDEX('Master Database'!$AE$1:$AE$600,$B23)="","",INDEX('Master Database'!$AE$1:$AE$600,$B23)))</f>
        <v>Purchase price (USD) – 18061405 pump CSV; project and year not stated</v>
      </c>
      <c r="U23" s="47" t="str">
        <f>IF($B23="","",IF(INDEX('Master Database'!$AG$1:$AG$600,$B23)="","",INDEX('Master Database'!$AG$1:$AG$600,$B23)))</f>
        <v>(PPI/FX missing)</v>
      </c>
      <c r="V23" s="47" t="str">
        <f>IF($B23="","",IF(INDEX('Master Database'!$AH$1:$AH$600,$B23)="","",INDEX('Master Database'!$AH$1:$AH$600,$B23)))</f>
        <v/>
      </c>
      <c r="W23" s="47" t="str">
        <f>IF($B23="","",IF(INDEX('Master Database'!$AI$1:$AI$600,$B23)="","",INDEX('Master Database'!$AI$1:$AI$600,$B23)))</f>
        <v/>
      </c>
      <c r="X23" s="19" t="str">
        <f>IF($B23="","",IF(INDEX('Master Database'!$BG$1:$BG$600,$B23)="","",INDEX('Master Database'!$BG$1:$BG$600,$B23)))</f>
        <v>N</v>
      </c>
      <c r="BA23">
        <f>IF('Master Database'!$A23="",0,IF(AND(OR($B$5="",ISNUMBER(SEARCH($B$5,'Master Database'!$B23&amp;" "&amp;'Master Database'!$D23))),OR($B$6="(All)",'Master Database'!$C23=$B$6),OR($B$7="(All)",'Master Database'!$E23=$B$7),OR($B$8="(All)",'Master Database'!$T23=$B$8),OR($B$9="(All)",'Master Database'!$M23=$B$9),OR($B$10="(All)",'Master Database'!$V23=$B$10),OR($E$5="(All)",'Master Database'!$F23=$E$5),OR($E$6="(All)",'Master Database'!$G23=$E$6),OR($E$7="(All)",'Master Database'!$O23=$E$7),OR($E$8="(All)",'Master Database'!$P23=$E$8),OR($E$9="(All)",'Master Database'!$S23=$E$9),OR($E$10="(All)",'Master Database'!$Y23&amp;""=$E$10&amp;""),OR($H$5="(All)",'Master Database'!$BG23=$H$5),OR($H$6&lt;&gt;"Y",ISNUMBER('Master Database'!$AG23)),OR($H$7="",AND(ISNUMBER('Master Database'!$H23),N('Master Database'!$H23)&gt;=$H$7)),OR($I$7="",AND(ISNUMBER('Master Database'!$H23),N('Master Database'!$H23)&lt;=$I$7)),OR($H$8="",AND(ISNUMBER('Master Database'!$I23),N('Master Database'!$I23)&gt;=$H$8)),OR($I$8="",AND(ISNUMBER('Master Database'!$I23),N('Master Database'!$I23)&lt;=$I$8)),OR($H$9="",AND(ISNUMBER('Master Database'!$K23),N('Master Database'!$K23)&gt;=$H$9)),OR($I$9="",AND(ISNUMBER('Master Database'!$K23),N('Master Database'!$K23)&lt;=$I$9))),1,0))</f>
        <v>1</v>
      </c>
      <c r="BB23">
        <f>IF(BA23=1,COUNTIF($BA$5:BA23,1),"")</f>
        <v>19</v>
      </c>
    </row>
    <row r="24" spans="1:54">
      <c r="A24" s="20">
        <f>IF(9&lt;=SUM($BA$5:$BA$600),9,"")</f>
        <v>9</v>
      </c>
      <c r="B24" s="20">
        <f t="shared" si="0"/>
        <v>13</v>
      </c>
      <c r="C24" s="20">
        <f>IF($B24="","",IF(INDEX('Master Database'!$A$1:$A$600,$B24)="","",INDEX('Master Database'!$A$1:$A$600,$B24)))</f>
        <v>9</v>
      </c>
      <c r="D24" s="19" t="str">
        <f>IF($B24="","",IF(INDEX('Master Database'!$B$1:$B$600,$B24)="","",INDEX('Master Database'!$B$1:$B$600,$B24)))</f>
        <v>Fresh Water Pump</v>
      </c>
      <c r="E24" s="19" t="str">
        <f>IF($B24="","",IF(INDEX('Master Database'!$C$1:$C$600,$B24)="","",INDEX('Master Database'!$C$1:$C$600,$B24)))</f>
        <v>(نام پروژه در فایل قید نشده است) – CSV 18061405</v>
      </c>
      <c r="F24" s="19" t="str">
        <f>IF($B24="","",IF(INDEX('Master Database'!$D$1:$D$600,$B24)="","",INDEX('Master Database'!$D$1:$D$600,$B24)))</f>
        <v>(Not stated in source document)</v>
      </c>
      <c r="G24" s="19" t="str">
        <f>IF($B24="","",IF(INDEX('Master Database'!$E$1:$E$600,$B24)="","",INDEX('Master Database'!$E$1:$E$600,$B24)))</f>
        <v>ROT-WAT</v>
      </c>
      <c r="H24" s="19" t="str">
        <f>IF($B24="","",IF(INDEX('Master Database'!$F$1:$F$600,$B24)="","",INDEX('Master Database'!$F$1:$F$600,$B24)))</f>
        <v>Not stated</v>
      </c>
      <c r="I24" s="19" t="str">
        <f>IF($B24="","",IF(INDEX('Master Database'!$G$1:$G$600,$B24)="","",INDEX('Master Database'!$G$1:$G$600,$B24)))</f>
        <v>Not stated</v>
      </c>
      <c r="J24" s="46" t="str">
        <f>IF($B24="","",IF(INDEX('Master Database'!$H$1:$H$600,$B24)="","",INDEX('Master Database'!$H$1:$H$600,$B24)))</f>
        <v/>
      </c>
      <c r="K24" s="46">
        <f>IF($B24="","",IF(INDEX('Master Database'!$I$1:$I$600,$B24)="","",INDEX('Master Database'!$I$1:$I$600,$B24)))</f>
        <v>41</v>
      </c>
      <c r="L24" s="46">
        <f>IF($B24="","",IF(INDEX('Master Database'!$K$1:$K$600,$B24)="","",INDEX('Master Database'!$K$1:$K$600,$B24)))</f>
        <v>3.9</v>
      </c>
      <c r="M24" s="19" t="str">
        <f>IF($B24="","",IF(INDEX('Master Database'!$L$1:$L$600,$B24)="","",INDEX('Master Database'!$L$1:$L$600,$B24)))</f>
        <v>Not stated</v>
      </c>
      <c r="N24" s="19" t="str">
        <f>IF($B24="","",IF(INDEX('Master Database'!$P$1:$P$600,$B24)="","",INDEX('Master Database'!$P$1:$P$600,$B24)))</f>
        <v>Not stated</v>
      </c>
      <c r="O24" s="19" t="str">
        <f>IF($B24="","",IF(INDEX('Master Database'!$S$1:$S$600,$B24)="","",INDEX('Master Database'!$S$1:$S$600,$B24)))</f>
        <v>Electric Motor</v>
      </c>
      <c r="P24" s="19" t="str">
        <f>IF($B24="","",IF(INDEX('Master Database'!$T$1:$T$600,$B24)="","",INDEX('Master Database'!$T$1:$T$600,$B24)))</f>
        <v>Fresh / Potable Water</v>
      </c>
      <c r="Q24" s="19" t="str">
        <f>IF($B24="","",IF(INDEX('Master Database'!$Y$1:$Y$600,$B24)="","",INDEX('Master Database'!$Y$1:$Y$600,$B24)))</f>
        <v>(Not stated)</v>
      </c>
      <c r="R24" s="19" t="str">
        <f>IF($B24="","",IF(INDEX('Master Database'!$Z$1:$Z$600,$B24)="","",INDEX('Master Database'!$Z$1:$Z$600,$B24)))</f>
        <v>USD</v>
      </c>
      <c r="S24" s="47">
        <f>IF($B24="","",IF(INDEX('Master Database'!$AA$1:$AA$600,$B24)="","",INDEX('Master Database'!$AA$1:$AA$600,$B24)))</f>
        <v>8000</v>
      </c>
      <c r="T24" s="19" t="str">
        <f>IF($B24="","",IF(INDEX('Master Database'!$AE$1:$AE$600,$B24)="","",INDEX('Master Database'!$AE$1:$AE$600,$B24)))</f>
        <v>Purchase price (USD) – 18061405 pump CSV; project and year not stated</v>
      </c>
      <c r="U24" s="47" t="str">
        <f>IF($B24="","",IF(INDEX('Master Database'!$AG$1:$AG$600,$B24)="","",INDEX('Master Database'!$AG$1:$AG$600,$B24)))</f>
        <v>(PPI/FX missing)</v>
      </c>
      <c r="V24" s="47" t="str">
        <f>IF($B24="","",IF(INDEX('Master Database'!$AH$1:$AH$600,$B24)="","",INDEX('Master Database'!$AH$1:$AH$600,$B24)))</f>
        <v/>
      </c>
      <c r="W24" s="47" t="str">
        <f>IF($B24="","",IF(INDEX('Master Database'!$AI$1:$AI$600,$B24)="","",INDEX('Master Database'!$AI$1:$AI$600,$B24)))</f>
        <v/>
      </c>
      <c r="X24" s="19" t="str">
        <f>IF($B24="","",IF(INDEX('Master Database'!$BG$1:$BG$600,$B24)="","",INDEX('Master Database'!$BG$1:$BG$600,$B24)))</f>
        <v>N</v>
      </c>
      <c r="BA24">
        <f>IF('Master Database'!$A24="",0,IF(AND(OR($B$5="",ISNUMBER(SEARCH($B$5,'Master Database'!$B24&amp;" "&amp;'Master Database'!$D24))),OR($B$6="(All)",'Master Database'!$C24=$B$6),OR($B$7="(All)",'Master Database'!$E24=$B$7),OR($B$8="(All)",'Master Database'!$T24=$B$8),OR($B$9="(All)",'Master Database'!$M24=$B$9),OR($B$10="(All)",'Master Database'!$V24=$B$10),OR($E$5="(All)",'Master Database'!$F24=$E$5),OR($E$6="(All)",'Master Database'!$G24=$E$6),OR($E$7="(All)",'Master Database'!$O24=$E$7),OR($E$8="(All)",'Master Database'!$P24=$E$8),OR($E$9="(All)",'Master Database'!$S24=$E$9),OR($E$10="(All)",'Master Database'!$Y24&amp;""=$E$10&amp;""),OR($H$5="(All)",'Master Database'!$BG24=$H$5),OR($H$6&lt;&gt;"Y",ISNUMBER('Master Database'!$AG24)),OR($H$7="",AND(ISNUMBER('Master Database'!$H24),N('Master Database'!$H24)&gt;=$H$7)),OR($I$7="",AND(ISNUMBER('Master Database'!$H24),N('Master Database'!$H24)&lt;=$I$7)),OR($H$8="",AND(ISNUMBER('Master Database'!$I24),N('Master Database'!$I24)&gt;=$H$8)),OR($I$8="",AND(ISNUMBER('Master Database'!$I24),N('Master Database'!$I24)&lt;=$I$8)),OR($H$9="",AND(ISNUMBER('Master Database'!$K24),N('Master Database'!$K24)&gt;=$H$9)),OR($I$9="",AND(ISNUMBER('Master Database'!$K24),N('Master Database'!$K24)&lt;=$I$9))),1,0))</f>
        <v>1</v>
      </c>
      <c r="BB24">
        <f>IF(BA24=1,COUNTIF($BA$5:BA24,1),"")</f>
        <v>20</v>
      </c>
    </row>
    <row r="25" spans="1:54">
      <c r="A25" s="20">
        <f>IF(10&lt;=SUM($BA$5:$BA$600),10,"")</f>
        <v>10</v>
      </c>
      <c r="B25" s="20">
        <f t="shared" si="0"/>
        <v>14</v>
      </c>
      <c r="C25" s="20">
        <f>IF($B25="","",IF(INDEX('Master Database'!$A$1:$A$600,$B25)="","",INDEX('Master Database'!$A$1:$A$600,$B25)))</f>
        <v>10</v>
      </c>
      <c r="D25" s="19" t="str">
        <f>IF($B25="","",IF(INDEX('Master Database'!$B$1:$B$600,$B25)="","",INDEX('Master Database'!$B$1:$B$600,$B25)))</f>
        <v>Closed Drain Pump</v>
      </c>
      <c r="E25" s="19" t="str">
        <f>IF($B25="","",IF(INDEX('Master Database'!$C$1:$C$600,$B25)="","",INDEX('Master Database'!$C$1:$C$600,$B25)))</f>
        <v>(نام پروژه در فایل قید نشده است) – CSV 18061405</v>
      </c>
      <c r="F25" s="19" t="str">
        <f>IF($B25="","",IF(INDEX('Master Database'!$D$1:$D$600,$B25)="","",INDEX('Master Database'!$D$1:$D$600,$B25)))</f>
        <v>(Not stated in source document)</v>
      </c>
      <c r="G25" s="19" t="str">
        <f>IF($B25="","",IF(INDEX('Master Database'!$E$1:$E$600,$B25)="","",INDEX('Master Database'!$E$1:$E$600,$B25)))</f>
        <v>ROT-DRN</v>
      </c>
      <c r="H25" s="19" t="str">
        <f>IF($B25="","",IF(INDEX('Master Database'!$F$1:$F$600,$B25)="","",INDEX('Master Database'!$F$1:$F$600,$B25)))</f>
        <v>Not stated</v>
      </c>
      <c r="I25" s="19" t="str">
        <f>IF($B25="","",IF(INDEX('Master Database'!$G$1:$G$600,$B25)="","",INDEX('Master Database'!$G$1:$G$600,$B25)))</f>
        <v>Not stated</v>
      </c>
      <c r="J25" s="46" t="str">
        <f>IF($B25="","",IF(INDEX('Master Database'!$H$1:$H$600,$B25)="","",INDEX('Master Database'!$H$1:$H$600,$B25)))</f>
        <v/>
      </c>
      <c r="K25" s="46">
        <f>IF($B25="","",IF(INDEX('Master Database'!$I$1:$I$600,$B25)="","",INDEX('Master Database'!$I$1:$I$600,$B25)))</f>
        <v>120</v>
      </c>
      <c r="L25" s="46">
        <f>IF($B25="","",IF(INDEX('Master Database'!$K$1:$K$600,$B25)="","",INDEX('Master Database'!$K$1:$K$600,$B25)))</f>
        <v>13.7</v>
      </c>
      <c r="M25" s="19" t="str">
        <f>IF($B25="","",IF(INDEX('Master Database'!$L$1:$L$600,$B25)="","",INDEX('Master Database'!$L$1:$L$600,$B25)))</f>
        <v>Not stated</v>
      </c>
      <c r="N25" s="19" t="str">
        <f>IF($B25="","",IF(INDEX('Master Database'!$P$1:$P$600,$B25)="","",INDEX('Master Database'!$P$1:$P$600,$B25)))</f>
        <v>Not stated</v>
      </c>
      <c r="O25" s="19" t="str">
        <f>IF($B25="","",IF(INDEX('Master Database'!$S$1:$S$600,$B25)="","",INDEX('Master Database'!$S$1:$S$600,$B25)))</f>
        <v>Electric Motor</v>
      </c>
      <c r="P25" s="19" t="str">
        <f>IF($B25="","",IF(INDEX('Master Database'!$T$1:$T$600,$B25)="","",INDEX('Master Database'!$T$1:$T$600,$B25)))</f>
        <v>Oily Water / Drain</v>
      </c>
      <c r="Q25" s="19" t="str">
        <f>IF($B25="","",IF(INDEX('Master Database'!$Y$1:$Y$600,$B25)="","",INDEX('Master Database'!$Y$1:$Y$600,$B25)))</f>
        <v>(Not stated)</v>
      </c>
      <c r="R25" s="19" t="str">
        <f>IF($B25="","",IF(INDEX('Master Database'!$Z$1:$Z$600,$B25)="","",INDEX('Master Database'!$Z$1:$Z$600,$B25)))</f>
        <v>USD</v>
      </c>
      <c r="S25" s="47">
        <f>IF($B25="","",IF(INDEX('Master Database'!$AA$1:$AA$600,$B25)="","",INDEX('Master Database'!$AA$1:$AA$600,$B25)))</f>
        <v>40000</v>
      </c>
      <c r="T25" s="19" t="str">
        <f>IF($B25="","",IF(INDEX('Master Database'!$AE$1:$AE$600,$B25)="","",INDEX('Master Database'!$AE$1:$AE$600,$B25)))</f>
        <v>Purchase price (USD) – 18061405 pump CSV; project and year not stated</v>
      </c>
      <c r="U25" s="47" t="str">
        <f>IF($B25="","",IF(INDEX('Master Database'!$AG$1:$AG$600,$B25)="","",INDEX('Master Database'!$AG$1:$AG$600,$B25)))</f>
        <v>(PPI/FX missing)</v>
      </c>
      <c r="V25" s="47" t="str">
        <f>IF($B25="","",IF(INDEX('Master Database'!$AH$1:$AH$600,$B25)="","",INDEX('Master Database'!$AH$1:$AH$600,$B25)))</f>
        <v/>
      </c>
      <c r="W25" s="47" t="str">
        <f>IF($B25="","",IF(INDEX('Master Database'!$AI$1:$AI$600,$B25)="","",INDEX('Master Database'!$AI$1:$AI$600,$B25)))</f>
        <v/>
      </c>
      <c r="X25" s="19" t="str">
        <f>IF($B25="","",IF(INDEX('Master Database'!$BG$1:$BG$600,$B25)="","",INDEX('Master Database'!$BG$1:$BG$600,$B25)))</f>
        <v>N</v>
      </c>
      <c r="BA25">
        <f>IF('Master Database'!$A25="",0,IF(AND(OR($B$5="",ISNUMBER(SEARCH($B$5,'Master Database'!$B25&amp;" "&amp;'Master Database'!$D25))),OR($B$6="(All)",'Master Database'!$C25=$B$6),OR($B$7="(All)",'Master Database'!$E25=$B$7),OR($B$8="(All)",'Master Database'!$T25=$B$8),OR($B$9="(All)",'Master Database'!$M25=$B$9),OR($B$10="(All)",'Master Database'!$V25=$B$10),OR($E$5="(All)",'Master Database'!$F25=$E$5),OR($E$6="(All)",'Master Database'!$G25=$E$6),OR($E$7="(All)",'Master Database'!$O25=$E$7),OR($E$8="(All)",'Master Database'!$P25=$E$8),OR($E$9="(All)",'Master Database'!$S25=$E$9),OR($E$10="(All)",'Master Database'!$Y25&amp;""=$E$10&amp;""),OR($H$5="(All)",'Master Database'!$BG25=$H$5),OR($H$6&lt;&gt;"Y",ISNUMBER('Master Database'!$AG25)),OR($H$7="",AND(ISNUMBER('Master Database'!$H25),N('Master Database'!$H25)&gt;=$H$7)),OR($I$7="",AND(ISNUMBER('Master Database'!$H25),N('Master Database'!$H25)&lt;=$I$7)),OR($H$8="",AND(ISNUMBER('Master Database'!$I25),N('Master Database'!$I25)&gt;=$H$8)),OR($I$8="",AND(ISNUMBER('Master Database'!$I25),N('Master Database'!$I25)&lt;=$I$8)),OR($H$9="",AND(ISNUMBER('Master Database'!$K25),N('Master Database'!$K25)&gt;=$H$9)),OR($I$9="",AND(ISNUMBER('Master Database'!$K25),N('Master Database'!$K25)&lt;=$I$9))),1,0))</f>
        <v>1</v>
      </c>
      <c r="BB25">
        <f>IF(BA25=1,COUNTIF($BA$5:BA25,1),"")</f>
        <v>21</v>
      </c>
    </row>
    <row r="26" spans="1:54">
      <c r="A26" s="20">
        <f>IF(11&lt;=SUM($BA$5:$BA$600),11,"")</f>
        <v>11</v>
      </c>
      <c r="B26" s="20">
        <f t="shared" si="0"/>
        <v>15</v>
      </c>
      <c r="C26" s="20">
        <f>IF($B26="","",IF(INDEX('Master Database'!$A$1:$A$600,$B26)="","",INDEX('Master Database'!$A$1:$A$600,$B26)))</f>
        <v>11</v>
      </c>
      <c r="D26" s="19" t="str">
        <f>IF($B26="","",IF(INDEX('Master Database'!$B$1:$B$600,$B26)="","",INDEX('Master Database'!$B$1:$B$600,$B26)))</f>
        <v>Diesel Unlodaing pump</v>
      </c>
      <c r="E26" s="19" t="str">
        <f>IF($B26="","",IF(INDEX('Master Database'!$C$1:$C$600,$B26)="","",INDEX('Master Database'!$C$1:$C$600,$B26)))</f>
        <v>(نام پروژه در فایل قید نشده است) – CSV 18061405</v>
      </c>
      <c r="F26" s="19" t="str">
        <f>IF($B26="","",IF(INDEX('Master Database'!$D$1:$D$600,$B26)="","",INDEX('Master Database'!$D$1:$D$600,$B26)))</f>
        <v>(Not stated in source document)</v>
      </c>
      <c r="G26" s="19" t="str">
        <f>IF($B26="","",IF(INDEX('Master Database'!$E$1:$E$600,$B26)="","",INDEX('Master Database'!$E$1:$E$600,$B26)))</f>
        <v>ROT-AUX</v>
      </c>
      <c r="H26" s="19" t="str">
        <f>IF($B26="","",IF(INDEX('Master Database'!$F$1:$F$600,$B26)="","",INDEX('Master Database'!$F$1:$F$600,$B26)))</f>
        <v>N/A (non-API 610)</v>
      </c>
      <c r="I26" s="19" t="str">
        <f>IF($B26="","",IF(INDEX('Master Database'!$G$1:$G$600,$B26)="","",INDEX('Master Database'!$G$1:$G$600,$B26)))</f>
        <v>Not stated</v>
      </c>
      <c r="J26" s="46" t="str">
        <f>IF($B26="","",IF(INDEX('Master Database'!$H$1:$H$600,$B26)="","",INDEX('Master Database'!$H$1:$H$600,$B26)))</f>
        <v/>
      </c>
      <c r="K26" s="46">
        <f>IF($B26="","",IF(INDEX('Master Database'!$I$1:$I$600,$B26)="","",INDEX('Master Database'!$I$1:$I$600,$B26)))</f>
        <v>27.2</v>
      </c>
      <c r="L26" s="46">
        <f>IF($B26="","",IF(INDEX('Master Database'!$K$1:$K$600,$B26)="","",INDEX('Master Database'!$K$1:$K$600,$B26)))</f>
        <v>4</v>
      </c>
      <c r="M26" s="19" t="str">
        <f>IF($B26="","",IF(INDEX('Master Database'!$L$1:$L$600,$B26)="","",INDEX('Master Database'!$L$1:$L$600,$B26)))</f>
        <v>Not stated</v>
      </c>
      <c r="N26" s="19" t="str">
        <f>IF($B26="","",IF(INDEX('Master Database'!$P$1:$P$600,$B26)="","",INDEX('Master Database'!$P$1:$P$600,$B26)))</f>
        <v>Not stated</v>
      </c>
      <c r="O26" s="19" t="str">
        <f>IF($B26="","",IF(INDEX('Master Database'!$S$1:$S$600,$B26)="","",INDEX('Master Database'!$S$1:$S$600,$B26)))</f>
        <v>Electric Motor</v>
      </c>
      <c r="P26" s="19" t="str">
        <f>IF($B26="","",IF(INDEX('Master Database'!$T$1:$T$600,$B26)="","",INDEX('Master Database'!$T$1:$T$600,$B26)))</f>
        <v>Diesel / Fuel Oil</v>
      </c>
      <c r="Q26" s="19" t="str">
        <f>IF($B26="","",IF(INDEX('Master Database'!$Y$1:$Y$600,$B26)="","",INDEX('Master Database'!$Y$1:$Y$600,$B26)))</f>
        <v>(Not stated)</v>
      </c>
      <c r="R26" s="19" t="str">
        <f>IF($B26="","",IF(INDEX('Master Database'!$Z$1:$Z$600,$B26)="","",INDEX('Master Database'!$Z$1:$Z$600,$B26)))</f>
        <v>USD</v>
      </c>
      <c r="S26" s="47">
        <f>IF($B26="","",IF(INDEX('Master Database'!$AA$1:$AA$600,$B26)="","",INDEX('Master Database'!$AA$1:$AA$600,$B26)))</f>
        <v>5000</v>
      </c>
      <c r="T26" s="19" t="str">
        <f>IF($B26="","",IF(INDEX('Master Database'!$AE$1:$AE$600,$B26)="","",INDEX('Master Database'!$AE$1:$AE$600,$B26)))</f>
        <v>Purchase price (USD) – 18061405 pump CSV; project and year not stated</v>
      </c>
      <c r="U26" s="47" t="str">
        <f>IF($B26="","",IF(INDEX('Master Database'!$AG$1:$AG$600,$B26)="","",INDEX('Master Database'!$AG$1:$AG$600,$B26)))</f>
        <v>(PPI/FX missing)</v>
      </c>
      <c r="V26" s="47" t="str">
        <f>IF($B26="","",IF(INDEX('Master Database'!$AH$1:$AH$600,$B26)="","",INDEX('Master Database'!$AH$1:$AH$600,$B26)))</f>
        <v/>
      </c>
      <c r="W26" s="47" t="str">
        <f>IF($B26="","",IF(INDEX('Master Database'!$AI$1:$AI$600,$B26)="","",INDEX('Master Database'!$AI$1:$AI$600,$B26)))</f>
        <v/>
      </c>
      <c r="X26" s="19" t="str">
        <f>IF($B26="","",IF(INDEX('Master Database'!$BG$1:$BG$600,$B26)="","",INDEX('Master Database'!$BG$1:$BG$600,$B26)))</f>
        <v>N</v>
      </c>
      <c r="BA26">
        <f>IF('Master Database'!$A26="",0,IF(AND(OR($B$5="",ISNUMBER(SEARCH($B$5,'Master Database'!$B26&amp;" "&amp;'Master Database'!$D26))),OR($B$6="(All)",'Master Database'!$C26=$B$6),OR($B$7="(All)",'Master Database'!$E26=$B$7),OR($B$8="(All)",'Master Database'!$T26=$B$8),OR($B$9="(All)",'Master Database'!$M26=$B$9),OR($B$10="(All)",'Master Database'!$V26=$B$10),OR($E$5="(All)",'Master Database'!$F26=$E$5),OR($E$6="(All)",'Master Database'!$G26=$E$6),OR($E$7="(All)",'Master Database'!$O26=$E$7),OR($E$8="(All)",'Master Database'!$P26=$E$8),OR($E$9="(All)",'Master Database'!$S26=$E$9),OR($E$10="(All)",'Master Database'!$Y26&amp;""=$E$10&amp;""),OR($H$5="(All)",'Master Database'!$BG26=$H$5),OR($H$6&lt;&gt;"Y",ISNUMBER('Master Database'!$AG26)),OR($H$7="",AND(ISNUMBER('Master Database'!$H26),N('Master Database'!$H26)&gt;=$H$7)),OR($I$7="",AND(ISNUMBER('Master Database'!$H26),N('Master Database'!$H26)&lt;=$I$7)),OR($H$8="",AND(ISNUMBER('Master Database'!$I26),N('Master Database'!$I26)&gt;=$H$8)),OR($I$8="",AND(ISNUMBER('Master Database'!$I26),N('Master Database'!$I26)&lt;=$I$8)),OR($H$9="",AND(ISNUMBER('Master Database'!$K26),N('Master Database'!$K26)&gt;=$H$9)),OR($I$9="",AND(ISNUMBER('Master Database'!$K26),N('Master Database'!$K26)&lt;=$I$9))),1,0))</f>
        <v>1</v>
      </c>
      <c r="BB26">
        <f>IF(BA26=1,COUNTIF($BA$5:BA26,1),"")</f>
        <v>22</v>
      </c>
    </row>
    <row r="27" spans="1:54">
      <c r="A27" s="20">
        <f>IF(12&lt;=SUM($BA$5:$BA$600),12,"")</f>
        <v>12</v>
      </c>
      <c r="B27" s="20">
        <f t="shared" si="0"/>
        <v>16</v>
      </c>
      <c r="C27" s="20">
        <f>IF($B27="","",IF(INDEX('Master Database'!$A$1:$A$600,$B27)="","",INDEX('Master Database'!$A$1:$A$600,$B27)))</f>
        <v>12</v>
      </c>
      <c r="D27" s="19" t="str">
        <f>IF($B27="","",IF(INDEX('Master Database'!$B$1:$B$600,$B27)="","",INDEX('Master Database'!$B$1:$B$600,$B27)))</f>
        <v>Diesel Transfer pump</v>
      </c>
      <c r="E27" s="19" t="str">
        <f>IF($B27="","",IF(INDEX('Master Database'!$C$1:$C$600,$B27)="","",INDEX('Master Database'!$C$1:$C$600,$B27)))</f>
        <v>(نام پروژه در فایل قید نشده است) – CSV 18061405</v>
      </c>
      <c r="F27" s="19" t="str">
        <f>IF($B27="","",IF(INDEX('Master Database'!$D$1:$D$600,$B27)="","",INDEX('Master Database'!$D$1:$D$600,$B27)))</f>
        <v>(Not stated in source document)</v>
      </c>
      <c r="G27" s="19" t="str">
        <f>IF($B27="","",IF(INDEX('Master Database'!$E$1:$E$600,$B27)="","",INDEX('Master Database'!$E$1:$E$600,$B27)))</f>
        <v>ROT-AUX</v>
      </c>
      <c r="H27" s="19" t="str">
        <f>IF($B27="","",IF(INDEX('Master Database'!$F$1:$F$600,$B27)="","",INDEX('Master Database'!$F$1:$F$600,$B27)))</f>
        <v>N/A (non-API 610)</v>
      </c>
      <c r="I27" s="19" t="str">
        <f>IF($B27="","",IF(INDEX('Master Database'!$G$1:$G$600,$B27)="","",INDEX('Master Database'!$G$1:$G$600,$B27)))</f>
        <v>Not stated</v>
      </c>
      <c r="J27" s="46" t="str">
        <f>IF($B27="","",IF(INDEX('Master Database'!$H$1:$H$600,$B27)="","",INDEX('Master Database'!$H$1:$H$600,$B27)))</f>
        <v/>
      </c>
      <c r="K27" s="46">
        <f>IF($B27="","",IF(INDEX('Master Database'!$I$1:$I$600,$B27)="","",INDEX('Master Database'!$I$1:$I$600,$B27)))</f>
        <v>40.799999999999997</v>
      </c>
      <c r="L27" s="46">
        <f>IF($B27="","",IF(INDEX('Master Database'!$K$1:$K$600,$B27)="","",INDEX('Master Database'!$K$1:$K$600,$B27)))</f>
        <v>0.8</v>
      </c>
      <c r="M27" s="19" t="str">
        <f>IF($B27="","",IF(INDEX('Master Database'!$L$1:$L$600,$B27)="","",INDEX('Master Database'!$L$1:$L$600,$B27)))</f>
        <v>Not stated</v>
      </c>
      <c r="N27" s="19" t="str">
        <f>IF($B27="","",IF(INDEX('Master Database'!$P$1:$P$600,$B27)="","",INDEX('Master Database'!$P$1:$P$600,$B27)))</f>
        <v>Not stated</v>
      </c>
      <c r="O27" s="19" t="str">
        <f>IF($B27="","",IF(INDEX('Master Database'!$S$1:$S$600,$B27)="","",INDEX('Master Database'!$S$1:$S$600,$B27)))</f>
        <v>Electric Motor</v>
      </c>
      <c r="P27" s="19" t="str">
        <f>IF($B27="","",IF(INDEX('Master Database'!$T$1:$T$600,$B27)="","",INDEX('Master Database'!$T$1:$T$600,$B27)))</f>
        <v>Diesel / Fuel Oil</v>
      </c>
      <c r="Q27" s="19" t="str">
        <f>IF($B27="","",IF(INDEX('Master Database'!$Y$1:$Y$600,$B27)="","",INDEX('Master Database'!$Y$1:$Y$600,$B27)))</f>
        <v>(Not stated)</v>
      </c>
      <c r="R27" s="19" t="str">
        <f>IF($B27="","",IF(INDEX('Master Database'!$Z$1:$Z$600,$B27)="","",INDEX('Master Database'!$Z$1:$Z$600,$B27)))</f>
        <v>USD</v>
      </c>
      <c r="S27" s="47">
        <f>IF($B27="","",IF(INDEX('Master Database'!$AA$1:$AA$600,$B27)="","",INDEX('Master Database'!$AA$1:$AA$600,$B27)))</f>
        <v>3000</v>
      </c>
      <c r="T27" s="19" t="str">
        <f>IF($B27="","",IF(INDEX('Master Database'!$AE$1:$AE$600,$B27)="","",INDEX('Master Database'!$AE$1:$AE$600,$B27)))</f>
        <v>Purchase price (USD) – 18061405 pump CSV; project and year not stated</v>
      </c>
      <c r="U27" s="47" t="str">
        <f>IF($B27="","",IF(INDEX('Master Database'!$AG$1:$AG$600,$B27)="","",INDEX('Master Database'!$AG$1:$AG$600,$B27)))</f>
        <v>(PPI/FX missing)</v>
      </c>
      <c r="V27" s="47" t="str">
        <f>IF($B27="","",IF(INDEX('Master Database'!$AH$1:$AH$600,$B27)="","",INDEX('Master Database'!$AH$1:$AH$600,$B27)))</f>
        <v/>
      </c>
      <c r="W27" s="47" t="str">
        <f>IF($B27="","",IF(INDEX('Master Database'!$AI$1:$AI$600,$B27)="","",INDEX('Master Database'!$AI$1:$AI$600,$B27)))</f>
        <v/>
      </c>
      <c r="X27" s="19" t="str">
        <f>IF($B27="","",IF(INDEX('Master Database'!$BG$1:$BG$600,$B27)="","",INDEX('Master Database'!$BG$1:$BG$600,$B27)))</f>
        <v>N</v>
      </c>
      <c r="BA27">
        <f>IF('Master Database'!$A27="",0,IF(AND(OR($B$5="",ISNUMBER(SEARCH($B$5,'Master Database'!$B27&amp;" "&amp;'Master Database'!$D27))),OR($B$6="(All)",'Master Database'!$C27=$B$6),OR($B$7="(All)",'Master Database'!$E27=$B$7),OR($B$8="(All)",'Master Database'!$T27=$B$8),OR($B$9="(All)",'Master Database'!$M27=$B$9),OR($B$10="(All)",'Master Database'!$V27=$B$10),OR($E$5="(All)",'Master Database'!$F27=$E$5),OR($E$6="(All)",'Master Database'!$G27=$E$6),OR($E$7="(All)",'Master Database'!$O27=$E$7),OR($E$8="(All)",'Master Database'!$P27=$E$8),OR($E$9="(All)",'Master Database'!$S27=$E$9),OR($E$10="(All)",'Master Database'!$Y27&amp;""=$E$10&amp;""),OR($H$5="(All)",'Master Database'!$BG27=$H$5),OR($H$6&lt;&gt;"Y",ISNUMBER('Master Database'!$AG27)),OR($H$7="",AND(ISNUMBER('Master Database'!$H27),N('Master Database'!$H27)&gt;=$H$7)),OR($I$7="",AND(ISNUMBER('Master Database'!$H27),N('Master Database'!$H27)&lt;=$I$7)),OR($H$8="",AND(ISNUMBER('Master Database'!$I27),N('Master Database'!$I27)&gt;=$H$8)),OR($I$8="",AND(ISNUMBER('Master Database'!$I27),N('Master Database'!$I27)&lt;=$I$8)),OR($H$9="",AND(ISNUMBER('Master Database'!$K27),N('Master Database'!$K27)&gt;=$H$9)),OR($I$9="",AND(ISNUMBER('Master Database'!$K27),N('Master Database'!$K27)&lt;=$I$9))),1,0))</f>
        <v>1</v>
      </c>
      <c r="BB27">
        <f>IF(BA27=1,COUNTIF($BA$5:BA27,1),"")</f>
        <v>23</v>
      </c>
    </row>
    <row r="28" spans="1:54">
      <c r="A28" s="20">
        <f>IF(13&lt;=SUM($BA$5:$BA$600),13,"")</f>
        <v>13</v>
      </c>
      <c r="B28" s="20">
        <f t="shared" si="0"/>
        <v>17</v>
      </c>
      <c r="C28" s="20">
        <f>IF($B28="","",IF(INDEX('Master Database'!$A$1:$A$600,$B28)="","",INDEX('Master Database'!$A$1:$A$600,$B28)))</f>
        <v>13</v>
      </c>
      <c r="D28" s="19" t="str">
        <f>IF($B28="","",IF(INDEX('Master Database'!$B$1:$B$600,$B28)="","",INDEX('Master Database'!$B$1:$B$600,$B28)))</f>
        <v>Sludge Discharge Water Jet Pump</v>
      </c>
      <c r="E28" s="19" t="str">
        <f>IF($B28="","",IF(INDEX('Master Database'!$C$1:$C$600,$B28)="","",INDEX('Master Database'!$C$1:$C$600,$B28)))</f>
        <v>(نام پروژه در فایل قید نشده است) – CSV 18061405</v>
      </c>
      <c r="F28" s="19" t="str">
        <f>IF($B28="","",IF(INDEX('Master Database'!$D$1:$D$600,$B28)="","",INDEX('Master Database'!$D$1:$D$600,$B28)))</f>
        <v>(Not stated in source document)</v>
      </c>
      <c r="G28" s="19" t="str">
        <f>IF($B28="","",IF(INDEX('Master Database'!$E$1:$E$600,$B28)="","",INDEX('Master Database'!$E$1:$E$600,$B28)))</f>
        <v>ROT-WAT</v>
      </c>
      <c r="H28" s="19" t="str">
        <f>IF($B28="","",IF(INDEX('Master Database'!$F$1:$F$600,$B28)="","",INDEX('Master Database'!$F$1:$F$600,$B28)))</f>
        <v>Not stated</v>
      </c>
      <c r="I28" s="19" t="str">
        <f>IF($B28="","",IF(INDEX('Master Database'!$G$1:$G$600,$B28)="","",INDEX('Master Database'!$G$1:$G$600,$B28)))</f>
        <v>Not stated</v>
      </c>
      <c r="J28" s="46" t="str">
        <f>IF($B28="","",IF(INDEX('Master Database'!$H$1:$H$600,$B28)="","",INDEX('Master Database'!$H$1:$H$600,$B28)))</f>
        <v/>
      </c>
      <c r="K28" s="46">
        <f>IF($B28="","",IF(INDEX('Master Database'!$I$1:$I$600,$B28)="","",INDEX('Master Database'!$I$1:$I$600,$B28)))</f>
        <v>15</v>
      </c>
      <c r="L28" s="46">
        <f>IF($B28="","",IF(INDEX('Master Database'!$K$1:$K$600,$B28)="","",INDEX('Master Database'!$K$1:$K$600,$B28)))</f>
        <v>5</v>
      </c>
      <c r="M28" s="19" t="str">
        <f>IF($B28="","",IF(INDEX('Master Database'!$L$1:$L$600,$B28)="","",INDEX('Master Database'!$L$1:$L$600,$B28)))</f>
        <v>Not stated</v>
      </c>
      <c r="N28" s="19" t="str">
        <f>IF($B28="","",IF(INDEX('Master Database'!$P$1:$P$600,$B28)="","",INDEX('Master Database'!$P$1:$P$600,$B28)))</f>
        <v>Not stated</v>
      </c>
      <c r="O28" s="19" t="str">
        <f>IF($B28="","",IF(INDEX('Master Database'!$S$1:$S$600,$B28)="","",INDEX('Master Database'!$S$1:$S$600,$B28)))</f>
        <v>Electric Motor</v>
      </c>
      <c r="P28" s="19" t="str">
        <f>IF($B28="","",IF(INDEX('Master Database'!$T$1:$T$600,$B28)="","",INDEX('Master Database'!$T$1:$T$600,$B28)))</f>
        <v>Process / Dilution Water</v>
      </c>
      <c r="Q28" s="19" t="str">
        <f>IF($B28="","",IF(INDEX('Master Database'!$Y$1:$Y$600,$B28)="","",INDEX('Master Database'!$Y$1:$Y$600,$B28)))</f>
        <v>(Not stated)</v>
      </c>
      <c r="R28" s="19" t="str">
        <f>IF($B28="","",IF(INDEX('Master Database'!$Z$1:$Z$600,$B28)="","",INDEX('Master Database'!$Z$1:$Z$600,$B28)))</f>
        <v>USD</v>
      </c>
      <c r="S28" s="47">
        <f>IF($B28="","",IF(INDEX('Master Database'!$AA$1:$AA$600,$B28)="","",INDEX('Master Database'!$AA$1:$AA$600,$B28)))</f>
        <v>3000</v>
      </c>
      <c r="T28" s="19" t="str">
        <f>IF($B28="","",IF(INDEX('Master Database'!$AE$1:$AE$600,$B28)="","",INDEX('Master Database'!$AE$1:$AE$600,$B28)))</f>
        <v>Purchase price (USD) – 18061405 pump CSV; project and year not stated</v>
      </c>
      <c r="U28" s="47" t="str">
        <f>IF($B28="","",IF(INDEX('Master Database'!$AG$1:$AG$600,$B28)="","",INDEX('Master Database'!$AG$1:$AG$600,$B28)))</f>
        <v>(PPI/FX missing)</v>
      </c>
      <c r="V28" s="47" t="str">
        <f>IF($B28="","",IF(INDEX('Master Database'!$AH$1:$AH$600,$B28)="","",INDEX('Master Database'!$AH$1:$AH$600,$B28)))</f>
        <v/>
      </c>
      <c r="W28" s="47" t="str">
        <f>IF($B28="","",IF(INDEX('Master Database'!$AI$1:$AI$600,$B28)="","",INDEX('Master Database'!$AI$1:$AI$600,$B28)))</f>
        <v/>
      </c>
      <c r="X28" s="19" t="str">
        <f>IF($B28="","",IF(INDEX('Master Database'!$BG$1:$BG$600,$B28)="","",INDEX('Master Database'!$BG$1:$BG$600,$B28)))</f>
        <v>N</v>
      </c>
      <c r="BA28">
        <f>IF('Master Database'!$A28="",0,IF(AND(OR($B$5="",ISNUMBER(SEARCH($B$5,'Master Database'!$B28&amp;" "&amp;'Master Database'!$D28))),OR($B$6="(All)",'Master Database'!$C28=$B$6),OR($B$7="(All)",'Master Database'!$E28=$B$7),OR($B$8="(All)",'Master Database'!$T28=$B$8),OR($B$9="(All)",'Master Database'!$M28=$B$9),OR($B$10="(All)",'Master Database'!$V28=$B$10),OR($E$5="(All)",'Master Database'!$F28=$E$5),OR($E$6="(All)",'Master Database'!$G28=$E$6),OR($E$7="(All)",'Master Database'!$O28=$E$7),OR($E$8="(All)",'Master Database'!$P28=$E$8),OR($E$9="(All)",'Master Database'!$S28=$E$9),OR($E$10="(All)",'Master Database'!$Y28&amp;""=$E$10&amp;""),OR($H$5="(All)",'Master Database'!$BG28=$H$5),OR($H$6&lt;&gt;"Y",ISNUMBER('Master Database'!$AG28)),OR($H$7="",AND(ISNUMBER('Master Database'!$H28),N('Master Database'!$H28)&gt;=$H$7)),OR($I$7="",AND(ISNUMBER('Master Database'!$H28),N('Master Database'!$H28)&lt;=$I$7)),OR($H$8="",AND(ISNUMBER('Master Database'!$I28),N('Master Database'!$I28)&gt;=$H$8)),OR($I$8="",AND(ISNUMBER('Master Database'!$I28),N('Master Database'!$I28)&lt;=$I$8)),OR($H$9="",AND(ISNUMBER('Master Database'!$K28),N('Master Database'!$K28)&gt;=$H$9)),OR($I$9="",AND(ISNUMBER('Master Database'!$K28),N('Master Database'!$K28)&lt;=$I$9))),1,0))</f>
        <v>1</v>
      </c>
      <c r="BB28">
        <f>IF(BA28=1,COUNTIF($BA$5:BA28,1),"")</f>
        <v>24</v>
      </c>
    </row>
    <row r="29" spans="1:54">
      <c r="A29" s="20">
        <f>IF(14&lt;=SUM($BA$5:$BA$600),14,"")</f>
        <v>14</v>
      </c>
      <c r="B29" s="20">
        <f t="shared" si="0"/>
        <v>18</v>
      </c>
      <c r="C29" s="20">
        <f>IF($B29="","",IF(INDEX('Master Database'!$A$1:$A$600,$B29)="","",INDEX('Master Database'!$A$1:$A$600,$B29)))</f>
        <v>14</v>
      </c>
      <c r="D29" s="19" t="str">
        <f>IF($B29="","",IF(INDEX('Master Database'!$B$1:$B$600,$B29)="","",INDEX('Master Database'!$B$1:$B$600,$B29)))</f>
        <v>Flare KO Drum Pumps</v>
      </c>
      <c r="E29" s="19" t="str">
        <f>IF($B29="","",IF(INDEX('Master Database'!$C$1:$C$600,$B29)="","",INDEX('Master Database'!$C$1:$C$600,$B29)))</f>
        <v>(نام پروژه در فایل قید نشده است) – CSV 18061405</v>
      </c>
      <c r="F29" s="19" t="str">
        <f>IF($B29="","",IF(INDEX('Master Database'!$D$1:$D$600,$B29)="","",INDEX('Master Database'!$D$1:$D$600,$B29)))</f>
        <v>(Not stated in source document)</v>
      </c>
      <c r="G29" s="19" t="str">
        <f>IF($B29="","",IF(INDEX('Master Database'!$E$1:$E$600,$B29)="","",INDEX('Master Database'!$E$1:$E$600,$B29)))</f>
        <v>ROT-DRN</v>
      </c>
      <c r="H29" s="19" t="str">
        <f>IF($B29="","",IF(INDEX('Master Database'!$F$1:$F$600,$B29)="","",INDEX('Master Database'!$F$1:$F$600,$B29)))</f>
        <v>Not stated</v>
      </c>
      <c r="I29" s="19" t="str">
        <f>IF($B29="","",IF(INDEX('Master Database'!$G$1:$G$600,$B29)="","",INDEX('Master Database'!$G$1:$G$600,$B29)))</f>
        <v>Not stated</v>
      </c>
      <c r="J29" s="46" t="str">
        <f>IF($B29="","",IF(INDEX('Master Database'!$H$1:$H$600,$B29)="","",INDEX('Master Database'!$H$1:$H$600,$B29)))</f>
        <v/>
      </c>
      <c r="K29" s="46">
        <f>IF($B29="","",IF(INDEX('Master Database'!$I$1:$I$600,$B29)="","",INDEX('Master Database'!$I$1:$I$600,$B29)))</f>
        <v>18</v>
      </c>
      <c r="L29" s="46">
        <f>IF($B29="","",IF(INDEX('Master Database'!$K$1:$K$600,$B29)="","",INDEX('Master Database'!$K$1:$K$600,$B29)))</f>
        <v>2</v>
      </c>
      <c r="M29" s="19" t="str">
        <f>IF($B29="","",IF(INDEX('Master Database'!$L$1:$L$600,$B29)="","",INDEX('Master Database'!$L$1:$L$600,$B29)))</f>
        <v>Not stated</v>
      </c>
      <c r="N29" s="19" t="str">
        <f>IF($B29="","",IF(INDEX('Master Database'!$P$1:$P$600,$B29)="","",INDEX('Master Database'!$P$1:$P$600,$B29)))</f>
        <v>Not stated</v>
      </c>
      <c r="O29" s="19" t="str">
        <f>IF($B29="","",IF(INDEX('Master Database'!$S$1:$S$600,$B29)="","",INDEX('Master Database'!$S$1:$S$600,$B29)))</f>
        <v>Electric Motor</v>
      </c>
      <c r="P29" s="19" t="str">
        <f>IF($B29="","",IF(INDEX('Master Database'!$T$1:$T$600,$B29)="","",INDEX('Master Database'!$T$1:$T$600,$B29)))</f>
        <v>Oily Water / Drain</v>
      </c>
      <c r="Q29" s="19" t="str">
        <f>IF($B29="","",IF(INDEX('Master Database'!$Y$1:$Y$600,$B29)="","",INDEX('Master Database'!$Y$1:$Y$600,$B29)))</f>
        <v>(Not stated)</v>
      </c>
      <c r="R29" s="19" t="str">
        <f>IF($B29="","",IF(INDEX('Master Database'!$Z$1:$Z$600,$B29)="","",INDEX('Master Database'!$Z$1:$Z$600,$B29)))</f>
        <v>USD</v>
      </c>
      <c r="S29" s="47">
        <f>IF($B29="","",IF(INDEX('Master Database'!$AA$1:$AA$600,$B29)="","",INDEX('Master Database'!$AA$1:$AA$600,$B29)))</f>
        <v>40000</v>
      </c>
      <c r="T29" s="19" t="str">
        <f>IF($B29="","",IF(INDEX('Master Database'!$AE$1:$AE$600,$B29)="","",INDEX('Master Database'!$AE$1:$AE$600,$B29)))</f>
        <v>Purchase price (USD) – 18061405 pump CSV; project and year not stated</v>
      </c>
      <c r="U29" s="47" t="str">
        <f>IF($B29="","",IF(INDEX('Master Database'!$AG$1:$AG$600,$B29)="","",INDEX('Master Database'!$AG$1:$AG$600,$B29)))</f>
        <v>(PPI/FX missing)</v>
      </c>
      <c r="V29" s="47" t="str">
        <f>IF($B29="","",IF(INDEX('Master Database'!$AH$1:$AH$600,$B29)="","",INDEX('Master Database'!$AH$1:$AH$600,$B29)))</f>
        <v/>
      </c>
      <c r="W29" s="47" t="str">
        <f>IF($B29="","",IF(INDEX('Master Database'!$AI$1:$AI$600,$B29)="","",INDEX('Master Database'!$AI$1:$AI$600,$B29)))</f>
        <v/>
      </c>
      <c r="X29" s="19" t="str">
        <f>IF($B29="","",IF(INDEX('Master Database'!$BG$1:$BG$600,$B29)="","",INDEX('Master Database'!$BG$1:$BG$600,$B29)))</f>
        <v>N</v>
      </c>
      <c r="BA29">
        <f>IF('Master Database'!$A29="",0,IF(AND(OR($B$5="",ISNUMBER(SEARCH($B$5,'Master Database'!$B29&amp;" "&amp;'Master Database'!$D29))),OR($B$6="(All)",'Master Database'!$C29=$B$6),OR($B$7="(All)",'Master Database'!$E29=$B$7),OR($B$8="(All)",'Master Database'!$T29=$B$8),OR($B$9="(All)",'Master Database'!$M29=$B$9),OR($B$10="(All)",'Master Database'!$V29=$B$10),OR($E$5="(All)",'Master Database'!$F29=$E$5),OR($E$6="(All)",'Master Database'!$G29=$E$6),OR($E$7="(All)",'Master Database'!$O29=$E$7),OR($E$8="(All)",'Master Database'!$P29=$E$8),OR($E$9="(All)",'Master Database'!$S29=$E$9),OR($E$10="(All)",'Master Database'!$Y29&amp;""=$E$10&amp;""),OR($H$5="(All)",'Master Database'!$BG29=$H$5),OR($H$6&lt;&gt;"Y",ISNUMBER('Master Database'!$AG29)),OR($H$7="",AND(ISNUMBER('Master Database'!$H29),N('Master Database'!$H29)&gt;=$H$7)),OR($I$7="",AND(ISNUMBER('Master Database'!$H29),N('Master Database'!$H29)&lt;=$I$7)),OR($H$8="",AND(ISNUMBER('Master Database'!$I29),N('Master Database'!$I29)&gt;=$H$8)),OR($I$8="",AND(ISNUMBER('Master Database'!$I29),N('Master Database'!$I29)&lt;=$I$8)),OR($H$9="",AND(ISNUMBER('Master Database'!$K29),N('Master Database'!$K29)&gt;=$H$9)),OR($I$9="",AND(ISNUMBER('Master Database'!$K29),N('Master Database'!$K29)&lt;=$I$9))),1,0))</f>
        <v>1</v>
      </c>
      <c r="BB29">
        <f>IF(BA29=1,COUNTIF($BA$5:BA29,1),"")</f>
        <v>25</v>
      </c>
    </row>
    <row r="30" spans="1:54">
      <c r="A30" s="20">
        <f>IF(15&lt;=SUM($BA$5:$BA$600),15,"")</f>
        <v>15</v>
      </c>
      <c r="B30" s="20">
        <f t="shared" si="0"/>
        <v>19</v>
      </c>
      <c r="C30" s="20">
        <f>IF($B30="","",IF(INDEX('Master Database'!$A$1:$A$600,$B30)="","",INDEX('Master Database'!$A$1:$A$600,$B30)))</f>
        <v>15</v>
      </c>
      <c r="D30" s="19" t="str">
        <f>IF($B30="","",IF(INDEX('Master Database'!$B$1:$B$600,$B30)="","",INDEX('Master Database'!$B$1:$B$600,$B30)))</f>
        <v>MAIN TRANSFER PUMPS</v>
      </c>
      <c r="E30" s="19" t="str">
        <f>IF($B30="","",IF(INDEX('Master Database'!$C$1:$C$600,$B30)="","",INDEX('Master Database'!$C$1:$C$600,$B30)))</f>
        <v>Gachsaran 4</v>
      </c>
      <c r="F30" s="19" t="str">
        <f>IF($B30="","",IF(INDEX('Master Database'!$D$1:$D$600,$B30)="","",INDEX('Master Database'!$D$1:$D$600,$B30)))</f>
        <v>P-001-A/B</v>
      </c>
      <c r="G30" s="19" t="str">
        <f>IF($B30="","",IF(INDEX('Master Database'!$E$1:$E$600,$B30)="","",INDEX('Master Database'!$E$1:$E$600,$B30)))</f>
        <v>ROT-CRU</v>
      </c>
      <c r="H30" s="19" t="str">
        <f>IF($B30="","",IF(INDEX('Master Database'!$F$1:$F$600,$B30)="","",INDEX('Master Database'!$F$1:$F$600,$B30)))</f>
        <v>Not stated</v>
      </c>
      <c r="I30" s="19" t="str">
        <f>IF($B30="","",IF(INDEX('Master Database'!$G$1:$G$600,$B30)="","",INDEX('Master Database'!$G$1:$G$600,$B30)))</f>
        <v>Not stated</v>
      </c>
      <c r="J30" s="46">
        <f>IF($B30="","",IF(INDEX('Master Database'!$H$1:$H$600,$B30)="","",INDEX('Master Database'!$H$1:$H$600,$B30)))</f>
        <v>500</v>
      </c>
      <c r="K30" s="46" t="str">
        <f>IF($B30="","",IF(INDEX('Master Database'!$I$1:$I$600,$B30)="","",INDEX('Master Database'!$I$1:$I$600,$B30)))</f>
        <v/>
      </c>
      <c r="L30" s="46">
        <f>IF($B30="","",IF(INDEX('Master Database'!$K$1:$K$600,$B30)="","",INDEX('Master Database'!$K$1:$K$600,$B30)))</f>
        <v>216.3</v>
      </c>
      <c r="M30" s="19" t="str">
        <f>IF($B30="","",IF(INDEX('Master Database'!$L$1:$L$600,$B30)="","",INDEX('Master Database'!$L$1:$L$600,$B30)))</f>
        <v>Not stated</v>
      </c>
      <c r="N30" s="19" t="str">
        <f>IF($B30="","",IF(INDEX('Master Database'!$P$1:$P$600,$B30)="","",INDEX('Master Database'!$P$1:$P$600,$B30)))</f>
        <v>Not stated</v>
      </c>
      <c r="O30" s="19" t="str">
        <f>IF($B30="","",IF(INDEX('Master Database'!$S$1:$S$600,$B30)="","",INDEX('Master Database'!$S$1:$S$600,$B30)))</f>
        <v>Electric Motor</v>
      </c>
      <c r="P30" s="19" t="str">
        <f>IF($B30="","",IF(INDEX('Master Database'!$T$1:$T$600,$B30)="","",INDEX('Master Database'!$T$1:$T$600,$B30)))</f>
        <v>Crude Oil</v>
      </c>
      <c r="Q30" s="19">
        <f>IF($B30="","",IF(INDEX('Master Database'!$Y$1:$Y$600,$B30)="","",INDEX('Master Database'!$Y$1:$Y$600,$B30)))</f>
        <v>1402</v>
      </c>
      <c r="R30" s="19" t="str">
        <f>IF($B30="","",IF(INDEX('Master Database'!$Z$1:$Z$600,$B30)="","",INDEX('Master Database'!$Z$1:$Z$600,$B30)))</f>
        <v>EUR</v>
      </c>
      <c r="S30" s="47">
        <f>IF($B30="","",IF(INDEX('Master Database'!$AA$1:$AA$600,$B30)="","",INDEX('Master Database'!$AA$1:$AA$600,$B30)))</f>
        <v>385000</v>
      </c>
      <c r="T30" s="19" t="str">
        <f>IF($B30="","",IF(INDEX('Master Database'!$AE$1:$AE$600,$B30)="","",INDEX('Master Database'!$AE$1:$AE$600,$B30)))</f>
        <v>Consultant basic-design estimate – PEP Rev.1402/05, sheet P.ME «هزینه واحد بدون ضریب»; EUR figure (converted in the PEP at 420,000×1.085 IRR/EUR) | source label: AACE Class 2</v>
      </c>
      <c r="U30" s="47">
        <f>IF($B30="","",IF(INDEX('Master Database'!$AG$1:$AG$600,$B30)="","",INDEX('Master Database'!$AG$1:$AG$600,$B30)))</f>
        <v>398446.63776404387</v>
      </c>
      <c r="V30" s="47">
        <f>IF($B30="","",IF(INDEX('Master Database'!$AH$1:$AH$600,$B30)="","",INDEX('Master Database'!$AH$1:$AH$600,$B30)))</f>
        <v>420673.21902612515</v>
      </c>
      <c r="W30" s="47">
        <f>IF($B30="","",IF(INDEX('Master Database'!$AI$1:$AI$600,$B30)="","",INDEX('Master Database'!$AI$1:$AI$600,$B30)))</f>
        <v>277027196944.93127</v>
      </c>
      <c r="X30" s="19" t="str">
        <f>IF($B30="","",IF(INDEX('Master Database'!$BG$1:$BG$600,$B30)="","",INDEX('Master Database'!$BG$1:$BG$600,$B30)))</f>
        <v>Y</v>
      </c>
      <c r="BA30">
        <f>IF('Master Database'!$A30="",0,IF(AND(OR($B$5="",ISNUMBER(SEARCH($B$5,'Master Database'!$B30&amp;" "&amp;'Master Database'!$D30))),OR($B$6="(All)",'Master Database'!$C30=$B$6),OR($B$7="(All)",'Master Database'!$E30=$B$7),OR($B$8="(All)",'Master Database'!$T30=$B$8),OR($B$9="(All)",'Master Database'!$M30=$B$9),OR($B$10="(All)",'Master Database'!$V30=$B$10),OR($E$5="(All)",'Master Database'!$F30=$E$5),OR($E$6="(All)",'Master Database'!$G30=$E$6),OR($E$7="(All)",'Master Database'!$O30=$E$7),OR($E$8="(All)",'Master Database'!$P30=$E$8),OR($E$9="(All)",'Master Database'!$S30=$E$9),OR($E$10="(All)",'Master Database'!$Y30&amp;""=$E$10&amp;""),OR($H$5="(All)",'Master Database'!$BG30=$H$5),OR($H$6&lt;&gt;"Y",ISNUMBER('Master Database'!$AG30)),OR($H$7="",AND(ISNUMBER('Master Database'!$H30),N('Master Database'!$H30)&gt;=$H$7)),OR($I$7="",AND(ISNUMBER('Master Database'!$H30),N('Master Database'!$H30)&lt;=$I$7)),OR($H$8="",AND(ISNUMBER('Master Database'!$I30),N('Master Database'!$I30)&gt;=$H$8)),OR($I$8="",AND(ISNUMBER('Master Database'!$I30),N('Master Database'!$I30)&lt;=$I$8)),OR($H$9="",AND(ISNUMBER('Master Database'!$K30),N('Master Database'!$K30)&gt;=$H$9)),OR($I$9="",AND(ISNUMBER('Master Database'!$K30),N('Master Database'!$K30)&lt;=$I$9))),1,0))</f>
        <v>1</v>
      </c>
      <c r="BB30">
        <f>IF(BA30=1,COUNTIF($BA$5:BA30,1),"")</f>
        <v>26</v>
      </c>
    </row>
    <row r="31" spans="1:54">
      <c r="A31" s="20">
        <f>IF(16&lt;=SUM($BA$5:$BA$600),16,"")</f>
        <v>16</v>
      </c>
      <c r="B31" s="20">
        <f t="shared" si="0"/>
        <v>20</v>
      </c>
      <c r="C31" s="20">
        <f>IF($B31="","",IF(INDEX('Master Database'!$A$1:$A$600,$B31)="","",INDEX('Master Database'!$A$1:$A$600,$B31)))</f>
        <v>16</v>
      </c>
      <c r="D31" s="19" t="str">
        <f>IF($B31="","",IF(INDEX('Master Database'!$B$1:$B$600,$B31)="","",INDEX('Master Database'!$B$1:$B$600,$B31)))</f>
        <v>AUXILLIARY TRANSFER PUMPS</v>
      </c>
      <c r="E31" s="19" t="str">
        <f>IF($B31="","",IF(INDEX('Master Database'!$C$1:$C$600,$B31)="","",INDEX('Master Database'!$C$1:$C$600,$B31)))</f>
        <v>Gachsaran 4</v>
      </c>
      <c r="F31" s="19" t="str">
        <f>IF($B31="","",IF(INDEX('Master Database'!$D$1:$D$600,$B31)="","",INDEX('Master Database'!$D$1:$D$600,$B31)))</f>
        <v>P-002-A/B</v>
      </c>
      <c r="G31" s="19" t="str">
        <f>IF($B31="","",IF(INDEX('Master Database'!$E$1:$E$600,$B31)="","",INDEX('Master Database'!$E$1:$E$600,$B31)))</f>
        <v>ROT-CRU</v>
      </c>
      <c r="H31" s="19" t="str">
        <f>IF($B31="","",IF(INDEX('Master Database'!$F$1:$F$600,$B31)="","",INDEX('Master Database'!$F$1:$F$600,$B31)))</f>
        <v>Not stated</v>
      </c>
      <c r="I31" s="19" t="str">
        <f>IF($B31="","",IF(INDEX('Master Database'!$G$1:$G$600,$B31)="","",INDEX('Master Database'!$G$1:$G$600,$B31)))</f>
        <v>Not stated</v>
      </c>
      <c r="J31" s="46">
        <f>IF($B31="","",IF(INDEX('Master Database'!$H$1:$H$600,$B31)="","",INDEX('Master Database'!$H$1:$H$600,$B31)))</f>
        <v>250</v>
      </c>
      <c r="K31" s="46" t="str">
        <f>IF($B31="","",IF(INDEX('Master Database'!$I$1:$I$600,$B31)="","",INDEX('Master Database'!$I$1:$I$600,$B31)))</f>
        <v/>
      </c>
      <c r="L31" s="46">
        <f>IF($B31="","",IF(INDEX('Master Database'!$K$1:$K$600,$B31)="","",INDEX('Master Database'!$K$1:$K$600,$B31)))</f>
        <v>108.1</v>
      </c>
      <c r="M31" s="19" t="str">
        <f>IF($B31="","",IF(INDEX('Master Database'!$L$1:$L$600,$B31)="","",INDEX('Master Database'!$L$1:$L$600,$B31)))</f>
        <v>Not stated</v>
      </c>
      <c r="N31" s="19" t="str">
        <f>IF($B31="","",IF(INDEX('Master Database'!$P$1:$P$600,$B31)="","",INDEX('Master Database'!$P$1:$P$600,$B31)))</f>
        <v>Not stated</v>
      </c>
      <c r="O31" s="19" t="str">
        <f>IF($B31="","",IF(INDEX('Master Database'!$S$1:$S$600,$B31)="","",INDEX('Master Database'!$S$1:$S$600,$B31)))</f>
        <v>Electric Motor</v>
      </c>
      <c r="P31" s="19" t="str">
        <f>IF($B31="","",IF(INDEX('Master Database'!$T$1:$T$600,$B31)="","",INDEX('Master Database'!$T$1:$T$600,$B31)))</f>
        <v>Crude Oil</v>
      </c>
      <c r="Q31" s="19">
        <f>IF($B31="","",IF(INDEX('Master Database'!$Y$1:$Y$600,$B31)="","",INDEX('Master Database'!$Y$1:$Y$600,$B31)))</f>
        <v>1402</v>
      </c>
      <c r="R31" s="19" t="str">
        <f>IF($B31="","",IF(INDEX('Master Database'!$Z$1:$Z$600,$B31)="","",INDEX('Master Database'!$Z$1:$Z$600,$B31)))</f>
        <v>EUR</v>
      </c>
      <c r="S31" s="47">
        <f>IF($B31="","",IF(INDEX('Master Database'!$AA$1:$AA$600,$B31)="","",INDEX('Master Database'!$AA$1:$AA$600,$B31)))</f>
        <v>135000</v>
      </c>
      <c r="T31" s="19" t="str">
        <f>IF($B31="","",IF(INDEX('Master Database'!$AE$1:$AE$600,$B31)="","",INDEX('Master Database'!$AE$1:$AE$600,$B31)))</f>
        <v>Consultant basic-design estimate – PEP Rev.1402/05, sheet P.ME «هزینه واحد بدون ضریب»; EUR figure (converted in the PEP at 420,000×1.085 IRR/EUR) | source label: AACE Class 2</v>
      </c>
      <c r="U31" s="47">
        <f>IF($B31="","",IF(INDEX('Master Database'!$AG$1:$AG$600,$B31)="","",INDEX('Master Database'!$AG$1:$AG$600,$B31)))</f>
        <v>139715.05480037903</v>
      </c>
      <c r="V31" s="47">
        <f>IF($B31="","",IF(INDEX('Master Database'!$AH$1:$AH$600,$B31)="","",INDEX('Master Database'!$AH$1:$AH$600,$B31)))</f>
        <v>147508.79108708285</v>
      </c>
      <c r="W31" s="47">
        <f>IF($B31="","",IF(INDEX('Master Database'!$AI$1:$AI$600,$B31)="","",INDEX('Master Database'!$AI$1:$AI$600,$B31)))</f>
        <v>97139406720.949936</v>
      </c>
      <c r="X31" s="19" t="str">
        <f>IF($B31="","",IF(INDEX('Master Database'!$BG$1:$BG$600,$B31)="","",INDEX('Master Database'!$BG$1:$BG$600,$B31)))</f>
        <v>Y</v>
      </c>
      <c r="BA31">
        <f>IF('Master Database'!$A31="",0,IF(AND(OR($B$5="",ISNUMBER(SEARCH($B$5,'Master Database'!$B31&amp;" "&amp;'Master Database'!$D31))),OR($B$6="(All)",'Master Database'!$C31=$B$6),OR($B$7="(All)",'Master Database'!$E31=$B$7),OR($B$8="(All)",'Master Database'!$T31=$B$8),OR($B$9="(All)",'Master Database'!$M31=$B$9),OR($B$10="(All)",'Master Database'!$V31=$B$10),OR($E$5="(All)",'Master Database'!$F31=$E$5),OR($E$6="(All)",'Master Database'!$G31=$E$6),OR($E$7="(All)",'Master Database'!$O31=$E$7),OR($E$8="(All)",'Master Database'!$P31=$E$8),OR($E$9="(All)",'Master Database'!$S31=$E$9),OR($E$10="(All)",'Master Database'!$Y31&amp;""=$E$10&amp;""),OR($H$5="(All)",'Master Database'!$BG31=$H$5),OR($H$6&lt;&gt;"Y",ISNUMBER('Master Database'!$AG31)),OR($H$7="",AND(ISNUMBER('Master Database'!$H31),N('Master Database'!$H31)&gt;=$H$7)),OR($I$7="",AND(ISNUMBER('Master Database'!$H31),N('Master Database'!$H31)&lt;=$I$7)),OR($H$8="",AND(ISNUMBER('Master Database'!$I31),N('Master Database'!$I31)&gt;=$H$8)),OR($I$8="",AND(ISNUMBER('Master Database'!$I31),N('Master Database'!$I31)&lt;=$I$8)),OR($H$9="",AND(ISNUMBER('Master Database'!$K31),N('Master Database'!$K31)&gt;=$H$9)),OR($I$9="",AND(ISNUMBER('Master Database'!$K31),N('Master Database'!$K31)&lt;=$I$9))),1,0))</f>
        <v>1</v>
      </c>
      <c r="BB31">
        <f>IF(BA31=1,COUNTIF($BA$5:BA31,1),"")</f>
        <v>27</v>
      </c>
    </row>
    <row r="32" spans="1:54">
      <c r="A32" s="20">
        <f>IF(17&lt;=SUM($BA$5:$BA$600),17,"")</f>
        <v>17</v>
      </c>
      <c r="B32" s="20">
        <f t="shared" si="0"/>
        <v>21</v>
      </c>
      <c r="C32" s="20">
        <f>IF($B32="","",IF(INDEX('Master Database'!$A$1:$A$600,$B32)="","",INDEX('Master Database'!$A$1:$A$600,$B32)))</f>
        <v>17</v>
      </c>
      <c r="D32" s="19" t="str">
        <f>IF($B32="","",IF(INDEX('Master Database'!$B$1:$B$600,$B32)="","",INDEX('Master Database'!$B$1:$B$600,$B32)))</f>
        <v>OFF-SPEC PUMPS</v>
      </c>
      <c r="E32" s="19" t="str">
        <f>IF($B32="","",IF(INDEX('Master Database'!$C$1:$C$600,$B32)="","",INDEX('Master Database'!$C$1:$C$600,$B32)))</f>
        <v>Gachsaran 4</v>
      </c>
      <c r="F32" s="19" t="str">
        <f>IF($B32="","",IF(INDEX('Master Database'!$D$1:$D$600,$B32)="","",INDEX('Master Database'!$D$1:$D$600,$B32)))</f>
        <v>P-003-A/B</v>
      </c>
      <c r="G32" s="19" t="str">
        <f>IF($B32="","",IF(INDEX('Master Database'!$E$1:$E$600,$B32)="","",INDEX('Master Database'!$E$1:$E$600,$B32)))</f>
        <v>ROT-CRU</v>
      </c>
      <c r="H32" s="19" t="str">
        <f>IF($B32="","",IF(INDEX('Master Database'!$F$1:$F$600,$B32)="","",INDEX('Master Database'!$F$1:$F$600,$B32)))</f>
        <v>Not stated</v>
      </c>
      <c r="I32" s="19" t="str">
        <f>IF($B32="","",IF(INDEX('Master Database'!$G$1:$G$600,$B32)="","",INDEX('Master Database'!$G$1:$G$600,$B32)))</f>
        <v>Not stated</v>
      </c>
      <c r="J32" s="46">
        <f>IF($B32="","",IF(INDEX('Master Database'!$H$1:$H$600,$B32)="","",INDEX('Master Database'!$H$1:$H$600,$B32)))</f>
        <v>100</v>
      </c>
      <c r="K32" s="46" t="str">
        <f>IF($B32="","",IF(INDEX('Master Database'!$I$1:$I$600,$B32)="","",INDEX('Master Database'!$I$1:$I$600,$B32)))</f>
        <v/>
      </c>
      <c r="L32" s="46">
        <f>IF($B32="","",IF(INDEX('Master Database'!$K$1:$K$600,$B32)="","",INDEX('Master Database'!$K$1:$K$600,$B32)))</f>
        <v>44.2</v>
      </c>
      <c r="M32" s="19" t="str">
        <f>IF($B32="","",IF(INDEX('Master Database'!$L$1:$L$600,$B32)="","",INDEX('Master Database'!$L$1:$L$600,$B32)))</f>
        <v>Not stated</v>
      </c>
      <c r="N32" s="19" t="str">
        <f>IF($B32="","",IF(INDEX('Master Database'!$P$1:$P$600,$B32)="","",INDEX('Master Database'!$P$1:$P$600,$B32)))</f>
        <v>Not stated</v>
      </c>
      <c r="O32" s="19" t="str">
        <f>IF($B32="","",IF(INDEX('Master Database'!$S$1:$S$600,$B32)="","",INDEX('Master Database'!$S$1:$S$600,$B32)))</f>
        <v>Electric Motor</v>
      </c>
      <c r="P32" s="19" t="str">
        <f>IF($B32="","",IF(INDEX('Master Database'!$T$1:$T$600,$B32)="","",INDEX('Master Database'!$T$1:$T$600,$B32)))</f>
        <v>Crude Oil</v>
      </c>
      <c r="Q32" s="19">
        <f>IF($B32="","",IF(INDEX('Master Database'!$Y$1:$Y$600,$B32)="","",INDEX('Master Database'!$Y$1:$Y$600,$B32)))</f>
        <v>1402</v>
      </c>
      <c r="R32" s="19" t="str">
        <f>IF($B32="","",IF(INDEX('Master Database'!$Z$1:$Z$600,$B32)="","",INDEX('Master Database'!$Z$1:$Z$600,$B32)))</f>
        <v>EUR</v>
      </c>
      <c r="S32" s="47">
        <f>IF($B32="","",IF(INDEX('Master Database'!$AA$1:$AA$600,$B32)="","",INDEX('Master Database'!$AA$1:$AA$600,$B32)))</f>
        <v>140000</v>
      </c>
      <c r="T32" s="19" t="str">
        <f>IF($B32="","",IF(INDEX('Master Database'!$AE$1:$AE$600,$B32)="","",INDEX('Master Database'!$AE$1:$AE$600,$B32)))</f>
        <v>Consultant basic-design estimate – PEP Rev.1402/05, sheet P.ME «هزینه واحد بدون ضریب»; EUR figure (converted in the PEP at 420,000×1.085 IRR/EUR) | source label: AACE Class 2</v>
      </c>
      <c r="U32" s="47">
        <f>IF($B32="","",IF(INDEX('Master Database'!$AG$1:$AG$600,$B32)="","",INDEX('Master Database'!$AG$1:$AG$600,$B32)))</f>
        <v>144889.68645965232</v>
      </c>
      <c r="V32" s="47">
        <f>IF($B32="","",IF(INDEX('Master Database'!$AH$1:$AH$600,$B32)="","",INDEX('Master Database'!$AH$1:$AH$600,$B32)))</f>
        <v>152972.07964586368</v>
      </c>
      <c r="W32" s="47">
        <f>IF($B32="","",IF(INDEX('Master Database'!$AI$1:$AI$600,$B32)="","",INDEX('Master Database'!$AI$1:$AI$600,$B32)))</f>
        <v>100737162525.42955</v>
      </c>
      <c r="X32" s="19" t="str">
        <f>IF($B32="","",IF(INDEX('Master Database'!$BG$1:$BG$600,$B32)="","",INDEX('Master Database'!$BG$1:$BG$600,$B32)))</f>
        <v>Y</v>
      </c>
      <c r="BA32">
        <f>IF('Master Database'!$A32="",0,IF(AND(OR($B$5="",ISNUMBER(SEARCH($B$5,'Master Database'!$B32&amp;" "&amp;'Master Database'!$D32))),OR($B$6="(All)",'Master Database'!$C32=$B$6),OR($B$7="(All)",'Master Database'!$E32=$B$7),OR($B$8="(All)",'Master Database'!$T32=$B$8),OR($B$9="(All)",'Master Database'!$M32=$B$9),OR($B$10="(All)",'Master Database'!$V32=$B$10),OR($E$5="(All)",'Master Database'!$F32=$E$5),OR($E$6="(All)",'Master Database'!$G32=$E$6),OR($E$7="(All)",'Master Database'!$O32=$E$7),OR($E$8="(All)",'Master Database'!$P32=$E$8),OR($E$9="(All)",'Master Database'!$S32=$E$9),OR($E$10="(All)",'Master Database'!$Y32&amp;""=$E$10&amp;""),OR($H$5="(All)",'Master Database'!$BG32=$H$5),OR($H$6&lt;&gt;"Y",ISNUMBER('Master Database'!$AG32)),OR($H$7="",AND(ISNUMBER('Master Database'!$H32),N('Master Database'!$H32)&gt;=$H$7)),OR($I$7="",AND(ISNUMBER('Master Database'!$H32),N('Master Database'!$H32)&lt;=$I$7)),OR($H$8="",AND(ISNUMBER('Master Database'!$I32),N('Master Database'!$I32)&gt;=$H$8)),OR($I$8="",AND(ISNUMBER('Master Database'!$I32),N('Master Database'!$I32)&lt;=$I$8)),OR($H$9="",AND(ISNUMBER('Master Database'!$K32),N('Master Database'!$K32)&gt;=$H$9)),OR($I$9="",AND(ISNUMBER('Master Database'!$K32),N('Master Database'!$K32)&lt;=$I$9))),1,0))</f>
        <v>1</v>
      </c>
      <c r="BB32">
        <f>IF(BA32=1,COUNTIF($BA$5:BA32,1),"")</f>
        <v>28</v>
      </c>
    </row>
    <row r="33" spans="1:54">
      <c r="A33" s="20">
        <f>IF(18&lt;=SUM($BA$5:$BA$600),18,"")</f>
        <v>18</v>
      </c>
      <c r="B33" s="20">
        <f t="shared" si="0"/>
        <v>22</v>
      </c>
      <c r="C33" s="20">
        <f>IF($B33="","",IF(INDEX('Master Database'!$A$1:$A$600,$B33)="","",INDEX('Master Database'!$A$1:$A$600,$B33)))</f>
        <v>18</v>
      </c>
      <c r="D33" s="19" t="str">
        <f>IF($B33="","",IF(INDEX('Master Database'!$B$1:$B$600,$B33)="","",INDEX('Master Database'!$B$1:$B$600,$B33)))</f>
        <v>DEGASSING WATER  PUMPS</v>
      </c>
      <c r="E33" s="19" t="str">
        <f>IF($B33="","",IF(INDEX('Master Database'!$C$1:$C$600,$B33)="","",INDEX('Master Database'!$C$1:$C$600,$B33)))</f>
        <v>Gachsaran 4</v>
      </c>
      <c r="F33" s="19" t="str">
        <f>IF($B33="","",IF(INDEX('Master Database'!$D$1:$D$600,$B33)="","",INDEX('Master Database'!$D$1:$D$600,$B33)))</f>
        <v>P-005-A/B</v>
      </c>
      <c r="G33" s="19" t="str">
        <f>IF($B33="","",IF(INDEX('Master Database'!$E$1:$E$600,$B33)="","",INDEX('Master Database'!$E$1:$E$600,$B33)))</f>
        <v>ROT-WAT</v>
      </c>
      <c r="H33" s="19" t="str">
        <f>IF($B33="","",IF(INDEX('Master Database'!$F$1:$F$600,$B33)="","",INDEX('Master Database'!$F$1:$F$600,$B33)))</f>
        <v>Not stated</v>
      </c>
      <c r="I33" s="19" t="str">
        <f>IF($B33="","",IF(INDEX('Master Database'!$G$1:$G$600,$B33)="","",INDEX('Master Database'!$G$1:$G$600,$B33)))</f>
        <v>Not stated</v>
      </c>
      <c r="J33" s="46">
        <f>IF($B33="","",IF(INDEX('Master Database'!$H$1:$H$600,$B33)="","",INDEX('Master Database'!$H$1:$H$600,$B33)))</f>
        <v>30</v>
      </c>
      <c r="K33" s="46" t="str">
        <f>IF($B33="","",IF(INDEX('Master Database'!$I$1:$I$600,$B33)="","",INDEX('Master Database'!$I$1:$I$600,$B33)))</f>
        <v/>
      </c>
      <c r="L33" s="46">
        <f>IF($B33="","",IF(INDEX('Master Database'!$K$1:$K$600,$B33)="","",INDEX('Master Database'!$K$1:$K$600,$B33)))</f>
        <v>2.7</v>
      </c>
      <c r="M33" s="19" t="str">
        <f>IF($B33="","",IF(INDEX('Master Database'!$L$1:$L$600,$B33)="","",INDEX('Master Database'!$L$1:$L$600,$B33)))</f>
        <v>Not stated</v>
      </c>
      <c r="N33" s="19" t="str">
        <f>IF($B33="","",IF(INDEX('Master Database'!$P$1:$P$600,$B33)="","",INDEX('Master Database'!$P$1:$P$600,$B33)))</f>
        <v>Not stated</v>
      </c>
      <c r="O33" s="19" t="str">
        <f>IF($B33="","",IF(INDEX('Master Database'!$S$1:$S$600,$B33)="","",INDEX('Master Database'!$S$1:$S$600,$B33)))</f>
        <v>Electric Motor</v>
      </c>
      <c r="P33" s="19" t="str">
        <f>IF($B33="","",IF(INDEX('Master Database'!$T$1:$T$600,$B33)="","",INDEX('Master Database'!$T$1:$T$600,$B33)))</f>
        <v>Process / Dilution Water</v>
      </c>
      <c r="Q33" s="19">
        <f>IF($B33="","",IF(INDEX('Master Database'!$Y$1:$Y$600,$B33)="","",INDEX('Master Database'!$Y$1:$Y$600,$B33)))</f>
        <v>1402</v>
      </c>
      <c r="R33" s="19" t="str">
        <f>IF($B33="","",IF(INDEX('Master Database'!$Z$1:$Z$600,$B33)="","",INDEX('Master Database'!$Z$1:$Z$600,$B33)))</f>
        <v>EUR</v>
      </c>
      <c r="S33" s="47">
        <f>IF($B33="","",IF(INDEX('Master Database'!$AA$1:$AA$600,$B33)="","",INDEX('Master Database'!$AA$1:$AA$600,$B33)))</f>
        <v>34000</v>
      </c>
      <c r="T33" s="19" t="str">
        <f>IF($B33="","",IF(INDEX('Master Database'!$AE$1:$AE$600,$B33)="","",INDEX('Master Database'!$AE$1:$AE$600,$B33)))</f>
        <v>Consultant basic-design estimate – PEP Rev.1402/05, sheet P.ME «هزینه واحد بدون ضریب»; EUR figure (converted in the PEP at 420,000×1.085 IRR/EUR) | source label: AACE Class 2</v>
      </c>
      <c r="U33" s="47">
        <f>IF($B33="","",IF(INDEX('Master Database'!$AG$1:$AG$600,$B33)="","",INDEX('Master Database'!$AG$1:$AG$600,$B33)))</f>
        <v>35187.495283058423</v>
      </c>
      <c r="V33" s="47">
        <f>IF($B33="","",IF(INDEX('Master Database'!$AH$1:$AH$600,$B33)="","",INDEX('Master Database'!$AH$1:$AH$600,$B33)))</f>
        <v>37150.362199709758</v>
      </c>
      <c r="W33" s="47">
        <f>IF($B33="","",IF(INDEX('Master Database'!$AI$1:$AI$600,$B33)="","",INDEX('Master Database'!$AI$1:$AI$600,$B33)))</f>
        <v>24464739470.461464</v>
      </c>
      <c r="X33" s="19" t="str">
        <f>IF($B33="","",IF(INDEX('Master Database'!$BG$1:$BG$600,$B33)="","",INDEX('Master Database'!$BG$1:$BG$600,$B33)))</f>
        <v>Y</v>
      </c>
      <c r="BA33">
        <f>IF('Master Database'!$A33="",0,IF(AND(OR($B$5="",ISNUMBER(SEARCH($B$5,'Master Database'!$B33&amp;" "&amp;'Master Database'!$D33))),OR($B$6="(All)",'Master Database'!$C33=$B$6),OR($B$7="(All)",'Master Database'!$E33=$B$7),OR($B$8="(All)",'Master Database'!$T33=$B$8),OR($B$9="(All)",'Master Database'!$M33=$B$9),OR($B$10="(All)",'Master Database'!$V33=$B$10),OR($E$5="(All)",'Master Database'!$F33=$E$5),OR($E$6="(All)",'Master Database'!$G33=$E$6),OR($E$7="(All)",'Master Database'!$O33=$E$7),OR($E$8="(All)",'Master Database'!$P33=$E$8),OR($E$9="(All)",'Master Database'!$S33=$E$9),OR($E$10="(All)",'Master Database'!$Y33&amp;""=$E$10&amp;""),OR($H$5="(All)",'Master Database'!$BG33=$H$5),OR($H$6&lt;&gt;"Y",ISNUMBER('Master Database'!$AG33)),OR($H$7="",AND(ISNUMBER('Master Database'!$H33),N('Master Database'!$H33)&gt;=$H$7)),OR($I$7="",AND(ISNUMBER('Master Database'!$H33),N('Master Database'!$H33)&lt;=$I$7)),OR($H$8="",AND(ISNUMBER('Master Database'!$I33),N('Master Database'!$I33)&gt;=$H$8)),OR($I$8="",AND(ISNUMBER('Master Database'!$I33),N('Master Database'!$I33)&lt;=$I$8)),OR($H$9="",AND(ISNUMBER('Master Database'!$K33),N('Master Database'!$K33)&gt;=$H$9)),OR($I$9="",AND(ISNUMBER('Master Database'!$K33),N('Master Database'!$K33)&lt;=$I$9))),1,0))</f>
        <v>1</v>
      </c>
      <c r="BB33">
        <f>IF(BA33=1,COUNTIF($BA$5:BA33,1),"")</f>
        <v>29</v>
      </c>
    </row>
    <row r="34" spans="1:54">
      <c r="A34" s="20">
        <f>IF(19&lt;=SUM($BA$5:$BA$600),19,"")</f>
        <v>19</v>
      </c>
      <c r="B34" s="20">
        <f t="shared" si="0"/>
        <v>23</v>
      </c>
      <c r="C34" s="20">
        <f>IF($B34="","",IF(INDEX('Master Database'!$A$1:$A$600,$B34)="","",INDEX('Master Database'!$A$1:$A$600,$B34)))</f>
        <v>19</v>
      </c>
      <c r="D34" s="19" t="str">
        <f>IF($B34="","",IF(INDEX('Master Database'!$B$1:$B$600,$B34)="","",INDEX('Master Database'!$B$1:$B$600,$B34)))</f>
        <v>DILUTION WATER PUMPS</v>
      </c>
      <c r="E34" s="19" t="str">
        <f>IF($B34="","",IF(INDEX('Master Database'!$C$1:$C$600,$B34)="","",INDEX('Master Database'!$C$1:$C$600,$B34)))</f>
        <v>Gachsaran 4</v>
      </c>
      <c r="F34" s="19" t="str">
        <f>IF($B34="","",IF(INDEX('Master Database'!$D$1:$D$600,$B34)="","",INDEX('Master Database'!$D$1:$D$600,$B34)))</f>
        <v>P-103</v>
      </c>
      <c r="G34" s="19" t="str">
        <f>IF($B34="","",IF(INDEX('Master Database'!$E$1:$E$600,$B34)="","",INDEX('Master Database'!$E$1:$E$600,$B34)))</f>
        <v>ROT-WAT</v>
      </c>
      <c r="H34" s="19" t="str">
        <f>IF($B34="","",IF(INDEX('Master Database'!$F$1:$F$600,$B34)="","",INDEX('Master Database'!$F$1:$F$600,$B34)))</f>
        <v>Not stated</v>
      </c>
      <c r="I34" s="19" t="str">
        <f>IF($B34="","",IF(INDEX('Master Database'!$G$1:$G$600,$B34)="","",INDEX('Master Database'!$G$1:$G$600,$B34)))</f>
        <v>Not stated</v>
      </c>
      <c r="J34" s="46">
        <f>IF($B34="","",IF(INDEX('Master Database'!$H$1:$H$600,$B34)="","",INDEX('Master Database'!$H$1:$H$600,$B34)))</f>
        <v>40</v>
      </c>
      <c r="K34" s="46" t="str">
        <f>IF($B34="","",IF(INDEX('Master Database'!$I$1:$I$600,$B34)="","",INDEX('Master Database'!$I$1:$I$600,$B34)))</f>
        <v/>
      </c>
      <c r="L34" s="46">
        <f>IF($B34="","",IF(INDEX('Master Database'!$K$1:$K$600,$B34)="","",INDEX('Master Database'!$K$1:$K$600,$B34)))</f>
        <v>12</v>
      </c>
      <c r="M34" s="19" t="str">
        <f>IF($B34="","",IF(INDEX('Master Database'!$L$1:$L$600,$B34)="","",INDEX('Master Database'!$L$1:$L$600,$B34)))</f>
        <v>Not stated</v>
      </c>
      <c r="N34" s="19" t="str">
        <f>IF($B34="","",IF(INDEX('Master Database'!$P$1:$P$600,$B34)="","",INDEX('Master Database'!$P$1:$P$600,$B34)))</f>
        <v>Not stated</v>
      </c>
      <c r="O34" s="19" t="str">
        <f>IF($B34="","",IF(INDEX('Master Database'!$S$1:$S$600,$B34)="","",INDEX('Master Database'!$S$1:$S$600,$B34)))</f>
        <v>Electric Motor</v>
      </c>
      <c r="P34" s="19" t="str">
        <f>IF($B34="","",IF(INDEX('Master Database'!$T$1:$T$600,$B34)="","",INDEX('Master Database'!$T$1:$T$600,$B34)))</f>
        <v>Process / Dilution Water</v>
      </c>
      <c r="Q34" s="19">
        <f>IF($B34="","",IF(INDEX('Master Database'!$Y$1:$Y$600,$B34)="","",INDEX('Master Database'!$Y$1:$Y$600,$B34)))</f>
        <v>1402</v>
      </c>
      <c r="R34" s="19" t="str">
        <f>IF($B34="","",IF(INDEX('Master Database'!$Z$1:$Z$600,$B34)="","",INDEX('Master Database'!$Z$1:$Z$600,$B34)))</f>
        <v>EUR</v>
      </c>
      <c r="S34" s="47">
        <f>IF($B34="","",IF(INDEX('Master Database'!$AA$1:$AA$600,$B34)="","",INDEX('Master Database'!$AA$1:$AA$600,$B34)))</f>
        <v>29000</v>
      </c>
      <c r="T34" s="19" t="str">
        <f>IF($B34="","",IF(INDEX('Master Database'!$AE$1:$AE$600,$B34)="","",INDEX('Master Database'!$AE$1:$AE$600,$B34)))</f>
        <v>Consultant basic-design estimate – PEP Rev.1402/05, sheet P.ME «هزینه واحد بدون ضریب»; EUR figure (converted in the PEP at 420,000×1.085 IRR/EUR) | source label: AACE Class 2</v>
      </c>
      <c r="U34" s="47">
        <f>IF($B34="","",IF(INDEX('Master Database'!$AG$1:$AG$600,$B34)="","",INDEX('Master Database'!$AG$1:$AG$600,$B34)))</f>
        <v>30012.863623785124</v>
      </c>
      <c r="V34" s="47">
        <f>IF($B34="","",IF(INDEX('Master Database'!$AH$1:$AH$600,$B34)="","",INDEX('Master Database'!$AH$1:$AH$600,$B34)))</f>
        <v>31687.073640928906</v>
      </c>
      <c r="W34" s="47">
        <f>IF($B34="","",IF(INDEX('Master Database'!$AI$1:$AI$600,$B34)="","",INDEX('Master Database'!$AI$1:$AI$600,$B34)))</f>
        <v>20866983665.981834</v>
      </c>
      <c r="X34" s="19" t="str">
        <f>IF($B34="","",IF(INDEX('Master Database'!$BG$1:$BG$600,$B34)="","",INDEX('Master Database'!$BG$1:$BG$600,$B34)))</f>
        <v>Y</v>
      </c>
      <c r="BA34">
        <f>IF('Master Database'!$A34="",0,IF(AND(OR($B$5="",ISNUMBER(SEARCH($B$5,'Master Database'!$B34&amp;" "&amp;'Master Database'!$D34))),OR($B$6="(All)",'Master Database'!$C34=$B$6),OR($B$7="(All)",'Master Database'!$E34=$B$7),OR($B$8="(All)",'Master Database'!$T34=$B$8),OR($B$9="(All)",'Master Database'!$M34=$B$9),OR($B$10="(All)",'Master Database'!$V34=$B$10),OR($E$5="(All)",'Master Database'!$F34=$E$5),OR($E$6="(All)",'Master Database'!$G34=$E$6),OR($E$7="(All)",'Master Database'!$O34=$E$7),OR($E$8="(All)",'Master Database'!$P34=$E$8),OR($E$9="(All)",'Master Database'!$S34=$E$9),OR($E$10="(All)",'Master Database'!$Y34&amp;""=$E$10&amp;""),OR($H$5="(All)",'Master Database'!$BG34=$H$5),OR($H$6&lt;&gt;"Y",ISNUMBER('Master Database'!$AG34)),OR($H$7="",AND(ISNUMBER('Master Database'!$H34),N('Master Database'!$H34)&gt;=$H$7)),OR($I$7="",AND(ISNUMBER('Master Database'!$H34),N('Master Database'!$H34)&lt;=$I$7)),OR($H$8="",AND(ISNUMBER('Master Database'!$I34),N('Master Database'!$I34)&gt;=$H$8)),OR($I$8="",AND(ISNUMBER('Master Database'!$I34),N('Master Database'!$I34)&lt;=$I$8)),OR($H$9="",AND(ISNUMBER('Master Database'!$K34),N('Master Database'!$K34)&gt;=$H$9)),OR($I$9="",AND(ISNUMBER('Master Database'!$K34),N('Master Database'!$K34)&lt;=$I$9))),1,0))</f>
        <v>1</v>
      </c>
      <c r="BB34">
        <f>IF(BA34=1,COUNTIF($BA$5:BA34,1),"")</f>
        <v>30</v>
      </c>
    </row>
    <row r="35" spans="1:54">
      <c r="A35" s="20">
        <f>IF(20&lt;=SUM($BA$5:$BA$600),20,"")</f>
        <v>20</v>
      </c>
      <c r="B35" s="20">
        <f t="shared" si="0"/>
        <v>24</v>
      </c>
      <c r="C35" s="20">
        <f>IF($B35="","",IF(INDEX('Master Database'!$A$1:$A$600,$B35)="","",INDEX('Master Database'!$A$1:$A$600,$B35)))</f>
        <v>20</v>
      </c>
      <c r="D35" s="19" t="str">
        <f>IF($B35="","",IF(INDEX('Master Database'!$B$1:$B$600,$B35)="","",INDEX('Master Database'!$B$1:$B$600,$B35)))</f>
        <v>DILUTION WATER PUMPS</v>
      </c>
      <c r="E35" s="19" t="str">
        <f>IF($B35="","",IF(INDEX('Master Database'!$C$1:$C$600,$B35)="","",INDEX('Master Database'!$C$1:$C$600,$B35)))</f>
        <v>Gachsaran 4</v>
      </c>
      <c r="F35" s="19" t="str">
        <f>IF($B35="","",IF(INDEX('Master Database'!$D$1:$D$600,$B35)="","",INDEX('Master Database'!$D$1:$D$600,$B35)))</f>
        <v>P-106-A1/A2</v>
      </c>
      <c r="G35" s="19" t="str">
        <f>IF($B35="","",IF(INDEX('Master Database'!$E$1:$E$600,$B35)="","",INDEX('Master Database'!$E$1:$E$600,$B35)))</f>
        <v>ROT-WAT</v>
      </c>
      <c r="H35" s="19" t="str">
        <f>IF($B35="","",IF(INDEX('Master Database'!$F$1:$F$600,$B35)="","",INDEX('Master Database'!$F$1:$F$600,$B35)))</f>
        <v>Not stated</v>
      </c>
      <c r="I35" s="19" t="str">
        <f>IF($B35="","",IF(INDEX('Master Database'!$G$1:$G$600,$B35)="","",INDEX('Master Database'!$G$1:$G$600,$B35)))</f>
        <v>Not stated</v>
      </c>
      <c r="J35" s="46">
        <f>IF($B35="","",IF(INDEX('Master Database'!$H$1:$H$600,$B35)="","",INDEX('Master Database'!$H$1:$H$600,$B35)))</f>
        <v>20</v>
      </c>
      <c r="K35" s="46" t="str">
        <f>IF($B35="","",IF(INDEX('Master Database'!$I$1:$I$600,$B35)="","",INDEX('Master Database'!$I$1:$I$600,$B35)))</f>
        <v/>
      </c>
      <c r="L35" s="46">
        <f>IF($B35="","",IF(INDEX('Master Database'!$K$1:$K$600,$B35)="","",INDEX('Master Database'!$K$1:$K$600,$B35)))</f>
        <v>6</v>
      </c>
      <c r="M35" s="19" t="str">
        <f>IF($B35="","",IF(INDEX('Master Database'!$L$1:$L$600,$B35)="","",INDEX('Master Database'!$L$1:$L$600,$B35)))</f>
        <v>Not stated</v>
      </c>
      <c r="N35" s="19" t="str">
        <f>IF($B35="","",IF(INDEX('Master Database'!$P$1:$P$600,$B35)="","",INDEX('Master Database'!$P$1:$P$600,$B35)))</f>
        <v>Not stated</v>
      </c>
      <c r="O35" s="19" t="str">
        <f>IF($B35="","",IF(INDEX('Master Database'!$S$1:$S$600,$B35)="","",INDEX('Master Database'!$S$1:$S$600,$B35)))</f>
        <v>Electric Motor</v>
      </c>
      <c r="P35" s="19" t="str">
        <f>IF($B35="","",IF(INDEX('Master Database'!$T$1:$T$600,$B35)="","",INDEX('Master Database'!$T$1:$T$600,$B35)))</f>
        <v>Process / Dilution Water</v>
      </c>
      <c r="Q35" s="19">
        <f>IF($B35="","",IF(INDEX('Master Database'!$Y$1:$Y$600,$B35)="","",INDEX('Master Database'!$Y$1:$Y$600,$B35)))</f>
        <v>1402</v>
      </c>
      <c r="R35" s="19" t="str">
        <f>IF($B35="","",IF(INDEX('Master Database'!$Z$1:$Z$600,$B35)="","",INDEX('Master Database'!$Z$1:$Z$600,$B35)))</f>
        <v>EUR</v>
      </c>
      <c r="S35" s="47">
        <f>IF($B35="","",IF(INDEX('Master Database'!$AA$1:$AA$600,$B35)="","",INDEX('Master Database'!$AA$1:$AA$600,$B35)))</f>
        <v>27500</v>
      </c>
      <c r="T35" s="19" t="str">
        <f>IF($B35="","",IF(INDEX('Master Database'!$AE$1:$AE$600,$B35)="","",INDEX('Master Database'!$AE$1:$AE$600,$B35)))</f>
        <v>Consultant basic-design estimate – PEP Rev.1402/05, sheet P.ME «هزینه واحد بدون ضریب»; EUR figure (converted in the PEP at 420,000×1.085 IRR/EUR) | source label: AACE Class 2</v>
      </c>
      <c r="U35" s="47">
        <f>IF($B35="","",IF(INDEX('Master Database'!$AG$1:$AG$600,$B35)="","",INDEX('Master Database'!$AG$1:$AG$600,$B35)))</f>
        <v>28460.474126003137</v>
      </c>
      <c r="V35" s="47">
        <f>IF($B35="","",IF(INDEX('Master Database'!$AH$1:$AH$600,$B35)="","",INDEX('Master Database'!$AH$1:$AH$600,$B35)))</f>
        <v>30048.087073294657</v>
      </c>
      <c r="W35" s="47">
        <f>IF($B35="","",IF(INDEX('Master Database'!$AI$1:$AI$600,$B35)="","",INDEX('Master Database'!$AI$1:$AI$600,$B35)))</f>
        <v>19787656924.637951</v>
      </c>
      <c r="X35" s="19" t="str">
        <f>IF($B35="","",IF(INDEX('Master Database'!$BG$1:$BG$600,$B35)="","",INDEX('Master Database'!$BG$1:$BG$600,$B35)))</f>
        <v>Y</v>
      </c>
      <c r="BA35">
        <f>IF('Master Database'!$A35="",0,IF(AND(OR($B$5="",ISNUMBER(SEARCH($B$5,'Master Database'!$B35&amp;" "&amp;'Master Database'!$D35))),OR($B$6="(All)",'Master Database'!$C35=$B$6),OR($B$7="(All)",'Master Database'!$E35=$B$7),OR($B$8="(All)",'Master Database'!$T35=$B$8),OR($B$9="(All)",'Master Database'!$M35=$B$9),OR($B$10="(All)",'Master Database'!$V35=$B$10),OR($E$5="(All)",'Master Database'!$F35=$E$5),OR($E$6="(All)",'Master Database'!$G35=$E$6),OR($E$7="(All)",'Master Database'!$O35=$E$7),OR($E$8="(All)",'Master Database'!$P35=$E$8),OR($E$9="(All)",'Master Database'!$S35=$E$9),OR($E$10="(All)",'Master Database'!$Y35&amp;""=$E$10&amp;""),OR($H$5="(All)",'Master Database'!$BG35=$H$5),OR($H$6&lt;&gt;"Y",ISNUMBER('Master Database'!$AG35)),OR($H$7="",AND(ISNUMBER('Master Database'!$H35),N('Master Database'!$H35)&gt;=$H$7)),OR($I$7="",AND(ISNUMBER('Master Database'!$H35),N('Master Database'!$H35)&lt;=$I$7)),OR($H$8="",AND(ISNUMBER('Master Database'!$I35),N('Master Database'!$I35)&gt;=$H$8)),OR($I$8="",AND(ISNUMBER('Master Database'!$I35),N('Master Database'!$I35)&lt;=$I$8)),OR($H$9="",AND(ISNUMBER('Master Database'!$K35),N('Master Database'!$K35)&gt;=$H$9)),OR($I$9="",AND(ISNUMBER('Master Database'!$K35),N('Master Database'!$K35)&lt;=$I$9))),1,0))</f>
        <v>1</v>
      </c>
      <c r="BB35">
        <f>IF(BA35=1,COUNTIF($BA$5:BA35,1),"")</f>
        <v>31</v>
      </c>
    </row>
    <row r="36" spans="1:54">
      <c r="A36" s="20">
        <f>IF(21&lt;=SUM($BA$5:$BA$600),21,"")</f>
        <v>21</v>
      </c>
      <c r="B36" s="20">
        <f t="shared" si="0"/>
        <v>25</v>
      </c>
      <c r="C36" s="20">
        <f>IF($B36="","",IF(INDEX('Master Database'!$A$1:$A$600,$B36)="","",INDEX('Master Database'!$A$1:$A$600,$B36)))</f>
        <v>21</v>
      </c>
      <c r="D36" s="19" t="str">
        <f>IF($B36="","",IF(INDEX('Master Database'!$B$1:$B$600,$B36)="","",INDEX('Master Database'!$B$1:$B$600,$B36)))</f>
        <v>DEAERATED WATER PUMPS</v>
      </c>
      <c r="E36" s="19" t="str">
        <f>IF($B36="","",IF(INDEX('Master Database'!$C$1:$C$600,$B36)="","",INDEX('Master Database'!$C$1:$C$600,$B36)))</f>
        <v>Gachsaran 4</v>
      </c>
      <c r="F36" s="19" t="str">
        <f>IF($B36="","",IF(INDEX('Master Database'!$D$1:$D$600,$B36)="","",INDEX('Master Database'!$D$1:$D$600,$B36)))</f>
        <v>P-102-A/B</v>
      </c>
      <c r="G36" s="19" t="str">
        <f>IF($B36="","",IF(INDEX('Master Database'!$E$1:$E$600,$B36)="","",INDEX('Master Database'!$E$1:$E$600,$B36)))</f>
        <v>ROT-WAT</v>
      </c>
      <c r="H36" s="19" t="str">
        <f>IF($B36="","",IF(INDEX('Master Database'!$F$1:$F$600,$B36)="","",INDEX('Master Database'!$F$1:$F$600,$B36)))</f>
        <v>Not stated</v>
      </c>
      <c r="I36" s="19" t="str">
        <f>IF($B36="","",IF(INDEX('Master Database'!$G$1:$G$600,$B36)="","",INDEX('Master Database'!$G$1:$G$600,$B36)))</f>
        <v>Not stated</v>
      </c>
      <c r="J36" s="46">
        <f>IF($B36="","",IF(INDEX('Master Database'!$H$1:$H$600,$B36)="","",INDEX('Master Database'!$H$1:$H$600,$B36)))</f>
        <v>20</v>
      </c>
      <c r="K36" s="46" t="str">
        <f>IF($B36="","",IF(INDEX('Master Database'!$I$1:$I$600,$B36)="","",INDEX('Master Database'!$I$1:$I$600,$B36)))</f>
        <v/>
      </c>
      <c r="L36" s="46">
        <f>IF($B36="","",IF(INDEX('Master Database'!$K$1:$K$600,$B36)="","",INDEX('Master Database'!$K$1:$K$600,$B36)))</f>
        <v>1.35</v>
      </c>
      <c r="M36" s="19" t="str">
        <f>IF($B36="","",IF(INDEX('Master Database'!$L$1:$L$600,$B36)="","",INDEX('Master Database'!$L$1:$L$600,$B36)))</f>
        <v>Not stated</v>
      </c>
      <c r="N36" s="19" t="str">
        <f>IF($B36="","",IF(INDEX('Master Database'!$P$1:$P$600,$B36)="","",INDEX('Master Database'!$P$1:$P$600,$B36)))</f>
        <v>Not stated</v>
      </c>
      <c r="O36" s="19" t="str">
        <f>IF($B36="","",IF(INDEX('Master Database'!$S$1:$S$600,$B36)="","",INDEX('Master Database'!$S$1:$S$600,$B36)))</f>
        <v>Electric Motor</v>
      </c>
      <c r="P36" s="19" t="str">
        <f>IF($B36="","",IF(INDEX('Master Database'!$T$1:$T$600,$B36)="","",INDEX('Master Database'!$T$1:$T$600,$B36)))</f>
        <v>Deaerated Water</v>
      </c>
      <c r="Q36" s="19">
        <f>IF($B36="","",IF(INDEX('Master Database'!$Y$1:$Y$600,$B36)="","",INDEX('Master Database'!$Y$1:$Y$600,$B36)))</f>
        <v>1402</v>
      </c>
      <c r="R36" s="19" t="str">
        <f>IF($B36="","",IF(INDEX('Master Database'!$Z$1:$Z$600,$B36)="","",INDEX('Master Database'!$Z$1:$Z$600,$B36)))</f>
        <v>EUR</v>
      </c>
      <c r="S36" s="47">
        <f>IF($B36="","",IF(INDEX('Master Database'!$AA$1:$AA$600,$B36)="","",INDEX('Master Database'!$AA$1:$AA$600,$B36)))</f>
        <v>15000</v>
      </c>
      <c r="T36" s="19" t="str">
        <f>IF($B36="","",IF(INDEX('Master Database'!$AE$1:$AE$600,$B36)="","",INDEX('Master Database'!$AE$1:$AE$600,$B36)))</f>
        <v>Consultant basic-design estimate – PEP Rev.1402/05, sheet P.ME «هزینه واحد بدون ضریب»; EUR figure (converted in the PEP at 420,000×1.085 IRR/EUR) | source label: AACE Class 2</v>
      </c>
      <c r="U36" s="47">
        <f>IF($B36="","",IF(INDEX('Master Database'!$AG$1:$AG$600,$B36)="","",INDEX('Master Database'!$AG$1:$AG$600,$B36)))</f>
        <v>15523.894977819891</v>
      </c>
      <c r="V36" s="47">
        <f>IF($B36="","",IF(INDEX('Master Database'!$AH$1:$AH$600,$B36)="","",INDEX('Master Database'!$AH$1:$AH$600,$B36)))</f>
        <v>16389.865676342539</v>
      </c>
      <c r="W36" s="47">
        <f>IF($B36="","",IF(INDEX('Master Database'!$AI$1:$AI$600,$B36)="","",INDEX('Master Database'!$AI$1:$AI$600,$B36)))</f>
        <v>10793267413.438881</v>
      </c>
      <c r="X36" s="19" t="str">
        <f>IF($B36="","",IF(INDEX('Master Database'!$BG$1:$BG$600,$B36)="","",INDEX('Master Database'!$BG$1:$BG$600,$B36)))</f>
        <v>Y</v>
      </c>
      <c r="BA36">
        <f>IF('Master Database'!$A36="",0,IF(AND(OR($B$5="",ISNUMBER(SEARCH($B$5,'Master Database'!$B36&amp;" "&amp;'Master Database'!$D36))),OR($B$6="(All)",'Master Database'!$C36=$B$6),OR($B$7="(All)",'Master Database'!$E36=$B$7),OR($B$8="(All)",'Master Database'!$T36=$B$8),OR($B$9="(All)",'Master Database'!$M36=$B$9),OR($B$10="(All)",'Master Database'!$V36=$B$10),OR($E$5="(All)",'Master Database'!$F36=$E$5),OR($E$6="(All)",'Master Database'!$G36=$E$6),OR($E$7="(All)",'Master Database'!$O36=$E$7),OR($E$8="(All)",'Master Database'!$P36=$E$8),OR($E$9="(All)",'Master Database'!$S36=$E$9),OR($E$10="(All)",'Master Database'!$Y36&amp;""=$E$10&amp;""),OR($H$5="(All)",'Master Database'!$BG36=$H$5),OR($H$6&lt;&gt;"Y",ISNUMBER('Master Database'!$AG36)),OR($H$7="",AND(ISNUMBER('Master Database'!$H36),N('Master Database'!$H36)&gt;=$H$7)),OR($I$7="",AND(ISNUMBER('Master Database'!$H36),N('Master Database'!$H36)&lt;=$I$7)),OR($H$8="",AND(ISNUMBER('Master Database'!$I36),N('Master Database'!$I36)&gt;=$H$8)),OR($I$8="",AND(ISNUMBER('Master Database'!$I36),N('Master Database'!$I36)&lt;=$I$8)),OR($H$9="",AND(ISNUMBER('Master Database'!$K36),N('Master Database'!$K36)&gt;=$H$9)),OR($I$9="",AND(ISNUMBER('Master Database'!$K36),N('Master Database'!$K36)&lt;=$I$9))),1,0))</f>
        <v>1</v>
      </c>
      <c r="BB36">
        <f>IF(BA36=1,COUNTIF($BA$5:BA36,1),"")</f>
        <v>32</v>
      </c>
    </row>
    <row r="37" spans="1:54">
      <c r="A37" s="20">
        <f>IF(22&lt;=SUM($BA$5:$BA$600),22,"")</f>
        <v>22</v>
      </c>
      <c r="B37" s="20">
        <f t="shared" si="0"/>
        <v>26</v>
      </c>
      <c r="C37" s="20">
        <f>IF($B37="","",IF(INDEX('Master Database'!$A$1:$A$600,$B37)="","",INDEX('Master Database'!$A$1:$A$600,$B37)))</f>
        <v>22</v>
      </c>
      <c r="D37" s="19" t="str">
        <f>IF($B37="","",IF(INDEX('Master Database'!$B$1:$B$600,$B37)="","",INDEX('Master Database'!$B$1:$B$600,$B37)))</f>
        <v>DEAERATED WATER PUMPS</v>
      </c>
      <c r="E37" s="19" t="str">
        <f>IF($B37="","",IF(INDEX('Master Database'!$C$1:$C$600,$B37)="","",INDEX('Master Database'!$C$1:$C$600,$B37)))</f>
        <v>Gachsaran 4</v>
      </c>
      <c r="F37" s="19" t="str">
        <f>IF($B37="","",IF(INDEX('Master Database'!$D$1:$D$600,$B37)="","",INDEX('Master Database'!$D$1:$D$600,$B37)))</f>
        <v>P-105</v>
      </c>
      <c r="G37" s="19" t="str">
        <f>IF($B37="","",IF(INDEX('Master Database'!$E$1:$E$600,$B37)="","",INDEX('Master Database'!$E$1:$E$600,$B37)))</f>
        <v>ROT-WAT</v>
      </c>
      <c r="H37" s="19" t="str">
        <f>IF($B37="","",IF(INDEX('Master Database'!$F$1:$F$600,$B37)="","",INDEX('Master Database'!$F$1:$F$600,$B37)))</f>
        <v>Not stated</v>
      </c>
      <c r="I37" s="19" t="str">
        <f>IF($B37="","",IF(INDEX('Master Database'!$G$1:$G$600,$B37)="","",INDEX('Master Database'!$G$1:$G$600,$B37)))</f>
        <v>Not stated</v>
      </c>
      <c r="J37" s="46">
        <f>IF($B37="","",IF(INDEX('Master Database'!$H$1:$H$600,$B37)="","",INDEX('Master Database'!$H$1:$H$600,$B37)))</f>
        <v>40</v>
      </c>
      <c r="K37" s="46" t="str">
        <f>IF($B37="","",IF(INDEX('Master Database'!$I$1:$I$600,$B37)="","",INDEX('Master Database'!$I$1:$I$600,$B37)))</f>
        <v/>
      </c>
      <c r="L37" s="46">
        <f>IF($B37="","",IF(INDEX('Master Database'!$K$1:$K$600,$B37)="","",INDEX('Master Database'!$K$1:$K$600,$B37)))</f>
        <v>2.7</v>
      </c>
      <c r="M37" s="19" t="str">
        <f>IF($B37="","",IF(INDEX('Master Database'!$L$1:$L$600,$B37)="","",INDEX('Master Database'!$L$1:$L$600,$B37)))</f>
        <v>Not stated</v>
      </c>
      <c r="N37" s="19" t="str">
        <f>IF($B37="","",IF(INDEX('Master Database'!$P$1:$P$600,$B37)="","",INDEX('Master Database'!$P$1:$P$600,$B37)))</f>
        <v>Not stated</v>
      </c>
      <c r="O37" s="19" t="str">
        <f>IF($B37="","",IF(INDEX('Master Database'!$S$1:$S$600,$B37)="","",INDEX('Master Database'!$S$1:$S$600,$B37)))</f>
        <v>Electric Motor</v>
      </c>
      <c r="P37" s="19" t="str">
        <f>IF($B37="","",IF(INDEX('Master Database'!$T$1:$T$600,$B37)="","",INDEX('Master Database'!$T$1:$T$600,$B37)))</f>
        <v>Deaerated Water</v>
      </c>
      <c r="Q37" s="19">
        <f>IF($B37="","",IF(INDEX('Master Database'!$Y$1:$Y$600,$B37)="","",INDEX('Master Database'!$Y$1:$Y$600,$B37)))</f>
        <v>1402</v>
      </c>
      <c r="R37" s="19" t="str">
        <f>IF($B37="","",IF(INDEX('Master Database'!$Z$1:$Z$600,$B37)="","",INDEX('Master Database'!$Z$1:$Z$600,$B37)))</f>
        <v>EUR</v>
      </c>
      <c r="S37" s="47">
        <f>IF($B37="","",IF(INDEX('Master Database'!$AA$1:$AA$600,$B37)="","",INDEX('Master Database'!$AA$1:$AA$600,$B37)))</f>
        <v>17000</v>
      </c>
      <c r="T37" s="19" t="str">
        <f>IF($B37="","",IF(INDEX('Master Database'!$AE$1:$AE$600,$B37)="","",INDEX('Master Database'!$AE$1:$AE$600,$B37)))</f>
        <v>Consultant basic-design estimate – PEP Rev.1402/05, sheet P.ME «هزینه واحد بدون ضریب»; EUR figure (converted in the PEP at 420,000×1.085 IRR/EUR) | source label: AACE Class 2</v>
      </c>
      <c r="U37" s="47">
        <f>IF($B37="","",IF(INDEX('Master Database'!$AG$1:$AG$600,$B37)="","",INDEX('Master Database'!$AG$1:$AG$600,$B37)))</f>
        <v>17593.747641529211</v>
      </c>
      <c r="V37" s="47">
        <f>IF($B37="","",IF(INDEX('Master Database'!$AH$1:$AH$600,$B37)="","",INDEX('Master Database'!$AH$1:$AH$600,$B37)))</f>
        <v>18575.181099854879</v>
      </c>
      <c r="W37" s="47">
        <f>IF($B37="","",IF(INDEX('Master Database'!$AI$1:$AI$600,$B37)="","",INDEX('Master Database'!$AI$1:$AI$600,$B37)))</f>
        <v>12232369735.230732</v>
      </c>
      <c r="X37" s="19" t="str">
        <f>IF($B37="","",IF(INDEX('Master Database'!$BG$1:$BG$600,$B37)="","",INDEX('Master Database'!$BG$1:$BG$600,$B37)))</f>
        <v>Y</v>
      </c>
      <c r="BA37">
        <f>IF('Master Database'!$A37="",0,IF(AND(OR($B$5="",ISNUMBER(SEARCH($B$5,'Master Database'!$B37&amp;" "&amp;'Master Database'!$D37))),OR($B$6="(All)",'Master Database'!$C37=$B$6),OR($B$7="(All)",'Master Database'!$E37=$B$7),OR($B$8="(All)",'Master Database'!$T37=$B$8),OR($B$9="(All)",'Master Database'!$M37=$B$9),OR($B$10="(All)",'Master Database'!$V37=$B$10),OR($E$5="(All)",'Master Database'!$F37=$E$5),OR($E$6="(All)",'Master Database'!$G37=$E$6),OR($E$7="(All)",'Master Database'!$O37=$E$7),OR($E$8="(All)",'Master Database'!$P37=$E$8),OR($E$9="(All)",'Master Database'!$S37=$E$9),OR($E$10="(All)",'Master Database'!$Y37&amp;""=$E$10&amp;""),OR($H$5="(All)",'Master Database'!$BG37=$H$5),OR($H$6&lt;&gt;"Y",ISNUMBER('Master Database'!$AG37)),OR($H$7="",AND(ISNUMBER('Master Database'!$H37),N('Master Database'!$H37)&gt;=$H$7)),OR($I$7="",AND(ISNUMBER('Master Database'!$H37),N('Master Database'!$H37)&lt;=$I$7)),OR($H$8="",AND(ISNUMBER('Master Database'!$I37),N('Master Database'!$I37)&gt;=$H$8)),OR($I$8="",AND(ISNUMBER('Master Database'!$I37),N('Master Database'!$I37)&lt;=$I$8)),OR($H$9="",AND(ISNUMBER('Master Database'!$K37),N('Master Database'!$K37)&gt;=$H$9)),OR($I$9="",AND(ISNUMBER('Master Database'!$K37),N('Master Database'!$K37)&lt;=$I$9))),1,0))</f>
        <v>1</v>
      </c>
      <c r="BB37">
        <f>IF(BA37=1,COUNTIF($BA$5:BA37,1),"")</f>
        <v>33</v>
      </c>
    </row>
    <row r="38" spans="1:54">
      <c r="A38" s="20">
        <f>IF(23&lt;=SUM($BA$5:$BA$600),23,"")</f>
        <v>23</v>
      </c>
      <c r="B38" s="20">
        <f t="shared" si="0"/>
        <v>27</v>
      </c>
      <c r="C38" s="20">
        <f>IF($B38="","",IF(INDEX('Master Database'!$A$1:$A$600,$B38)="","",INDEX('Master Database'!$A$1:$A$600,$B38)))</f>
        <v>23</v>
      </c>
      <c r="D38" s="19" t="str">
        <f>IF($B38="","",IF(INDEX('Master Database'!$B$1:$B$600,$B38)="","",INDEX('Master Database'!$B$1:$B$600,$B38)))</f>
        <v>POTABLE WATER FILLING PUMP</v>
      </c>
      <c r="E38" s="19" t="str">
        <f>IF($B38="","",IF(INDEX('Master Database'!$C$1:$C$600,$B38)="","",INDEX('Master Database'!$C$1:$C$600,$B38)))</f>
        <v>Gachsaran 4</v>
      </c>
      <c r="F38" s="19" t="str">
        <f>IF($B38="","",IF(INDEX('Master Database'!$D$1:$D$600,$B38)="","",INDEX('Master Database'!$D$1:$D$600,$B38)))</f>
        <v>P-104</v>
      </c>
      <c r="G38" s="19" t="str">
        <f>IF($B38="","",IF(INDEX('Master Database'!$E$1:$E$600,$B38)="","",INDEX('Master Database'!$E$1:$E$600,$B38)))</f>
        <v>ROT-WAT</v>
      </c>
      <c r="H38" s="19" t="str">
        <f>IF($B38="","",IF(INDEX('Master Database'!$F$1:$F$600,$B38)="","",INDEX('Master Database'!$F$1:$F$600,$B38)))</f>
        <v>Not stated</v>
      </c>
      <c r="I38" s="19" t="str">
        <f>IF($B38="","",IF(INDEX('Master Database'!$G$1:$G$600,$B38)="","",INDEX('Master Database'!$G$1:$G$600,$B38)))</f>
        <v>Not stated</v>
      </c>
      <c r="J38" s="46">
        <f>IF($B38="","",IF(INDEX('Master Database'!$H$1:$H$600,$B38)="","",INDEX('Master Database'!$H$1:$H$600,$B38)))</f>
        <v>20</v>
      </c>
      <c r="K38" s="46" t="str">
        <f>IF($B38="","",IF(INDEX('Master Database'!$I$1:$I$600,$B38)="","",INDEX('Master Database'!$I$1:$I$600,$B38)))</f>
        <v/>
      </c>
      <c r="L38" s="46">
        <f>IF($B38="","",IF(INDEX('Master Database'!$K$1:$K$600,$B38)="","",INDEX('Master Database'!$K$1:$K$600,$B38)))</f>
        <v>1.4</v>
      </c>
      <c r="M38" s="19" t="str">
        <f>IF($B38="","",IF(INDEX('Master Database'!$L$1:$L$600,$B38)="","",INDEX('Master Database'!$L$1:$L$600,$B38)))</f>
        <v>Not stated</v>
      </c>
      <c r="N38" s="19" t="str">
        <f>IF($B38="","",IF(INDEX('Master Database'!$P$1:$P$600,$B38)="","",INDEX('Master Database'!$P$1:$P$600,$B38)))</f>
        <v>Not stated</v>
      </c>
      <c r="O38" s="19" t="str">
        <f>IF($B38="","",IF(INDEX('Master Database'!$S$1:$S$600,$B38)="","",INDEX('Master Database'!$S$1:$S$600,$B38)))</f>
        <v>Electric Motor</v>
      </c>
      <c r="P38" s="19" t="str">
        <f>IF($B38="","",IF(INDEX('Master Database'!$T$1:$T$600,$B38)="","",INDEX('Master Database'!$T$1:$T$600,$B38)))</f>
        <v>Fresh / Potable Water</v>
      </c>
      <c r="Q38" s="19">
        <f>IF($B38="","",IF(INDEX('Master Database'!$Y$1:$Y$600,$B38)="","",INDEX('Master Database'!$Y$1:$Y$600,$B38)))</f>
        <v>1402</v>
      </c>
      <c r="R38" s="19" t="str">
        <f>IF($B38="","",IF(INDEX('Master Database'!$Z$1:$Z$600,$B38)="","",INDEX('Master Database'!$Z$1:$Z$600,$B38)))</f>
        <v>EUR</v>
      </c>
      <c r="S38" s="47">
        <f>IF($B38="","",IF(INDEX('Master Database'!$AA$1:$AA$600,$B38)="","",INDEX('Master Database'!$AA$1:$AA$600,$B38)))</f>
        <v>11000</v>
      </c>
      <c r="T38" s="19" t="str">
        <f>IF($B38="","",IF(INDEX('Master Database'!$AE$1:$AE$600,$B38)="","",INDEX('Master Database'!$AE$1:$AE$600,$B38)))</f>
        <v>Consultant basic-design estimate – PEP Rev.1402/05, sheet P.ME «هزینه واحد بدون ضریب»; EUR figure (converted in the PEP at 420,000×1.085 IRR/EUR) | source label: AACE Class 2</v>
      </c>
      <c r="U38" s="47">
        <f>IF($B38="","",IF(INDEX('Master Database'!$AG$1:$AG$600,$B38)="","",INDEX('Master Database'!$AG$1:$AG$600,$B38)))</f>
        <v>11384.189650401255</v>
      </c>
      <c r="V38" s="47">
        <f>IF($B38="","",IF(INDEX('Master Database'!$AH$1:$AH$600,$B38)="","",INDEX('Master Database'!$AH$1:$AH$600,$B38)))</f>
        <v>12019.234829317862</v>
      </c>
      <c r="W38" s="47">
        <f>IF($B38="","",IF(INDEX('Master Database'!$AI$1:$AI$600,$B38)="","",INDEX('Master Database'!$AI$1:$AI$600,$B38)))</f>
        <v>7915062769.8551798</v>
      </c>
      <c r="X38" s="19" t="str">
        <f>IF($B38="","",IF(INDEX('Master Database'!$BG$1:$BG$600,$B38)="","",INDEX('Master Database'!$BG$1:$BG$600,$B38)))</f>
        <v>Y</v>
      </c>
      <c r="BA38">
        <f>IF('Master Database'!$A38="",0,IF(AND(OR($B$5="",ISNUMBER(SEARCH($B$5,'Master Database'!$B38&amp;" "&amp;'Master Database'!$D38))),OR($B$6="(All)",'Master Database'!$C38=$B$6),OR($B$7="(All)",'Master Database'!$E38=$B$7),OR($B$8="(All)",'Master Database'!$T38=$B$8),OR($B$9="(All)",'Master Database'!$M38=$B$9),OR($B$10="(All)",'Master Database'!$V38=$B$10),OR($E$5="(All)",'Master Database'!$F38=$E$5),OR($E$6="(All)",'Master Database'!$G38=$E$6),OR($E$7="(All)",'Master Database'!$O38=$E$7),OR($E$8="(All)",'Master Database'!$P38=$E$8),OR($E$9="(All)",'Master Database'!$S38=$E$9),OR($E$10="(All)",'Master Database'!$Y38&amp;""=$E$10&amp;""),OR($H$5="(All)",'Master Database'!$BG38=$H$5),OR($H$6&lt;&gt;"Y",ISNUMBER('Master Database'!$AG38)),OR($H$7="",AND(ISNUMBER('Master Database'!$H38),N('Master Database'!$H38)&gt;=$H$7)),OR($I$7="",AND(ISNUMBER('Master Database'!$H38),N('Master Database'!$H38)&lt;=$I$7)),OR($H$8="",AND(ISNUMBER('Master Database'!$I38),N('Master Database'!$I38)&gt;=$H$8)),OR($I$8="",AND(ISNUMBER('Master Database'!$I38),N('Master Database'!$I38)&lt;=$I$8)),OR($H$9="",AND(ISNUMBER('Master Database'!$K38),N('Master Database'!$K38)&gt;=$H$9)),OR($I$9="",AND(ISNUMBER('Master Database'!$K38),N('Master Database'!$K38)&lt;=$I$9))),1,0))</f>
        <v>1</v>
      </c>
      <c r="BB38">
        <f>IF(BA38=1,COUNTIF($BA$5:BA38,1),"")</f>
        <v>34</v>
      </c>
    </row>
    <row r="39" spans="1:54">
      <c r="A39" s="20">
        <f>IF(24&lt;=SUM($BA$5:$BA$600),24,"")</f>
        <v>24</v>
      </c>
      <c r="B39" s="20">
        <f t="shared" si="0"/>
        <v>28</v>
      </c>
      <c r="C39" s="20">
        <f>IF($B39="","",IF(INDEX('Master Database'!$A$1:$A$600,$B39)="","",INDEX('Master Database'!$A$1:$A$600,$B39)))</f>
        <v>24</v>
      </c>
      <c r="D39" s="19" t="str">
        <f>IF($B39="","",IF(INDEX('Master Database'!$B$1:$B$600,$B39)="","",INDEX('Master Database'!$B$1:$B$600,$B39)))</f>
        <v>WATER INJECTION MAIN PUMPS</v>
      </c>
      <c r="E39" s="19" t="str">
        <f>IF($B39="","",IF(INDEX('Master Database'!$C$1:$C$600,$B39)="","",INDEX('Master Database'!$C$1:$C$600,$B39)))</f>
        <v>Gachsaran 4</v>
      </c>
      <c r="F39" s="19" t="str">
        <f>IF($B39="","",IF(INDEX('Master Database'!$D$1:$D$600,$B39)="","",INDEX('Master Database'!$D$1:$D$600,$B39)))</f>
        <v>P-201-A/B/C</v>
      </c>
      <c r="G39" s="19" t="str">
        <f>IF($B39="","",IF(INDEX('Master Database'!$E$1:$E$600,$B39)="","",INDEX('Master Database'!$E$1:$E$600,$B39)))</f>
        <v>ROT-INJ</v>
      </c>
      <c r="H39" s="19" t="str">
        <f>IF($B39="","",IF(INDEX('Master Database'!$F$1:$F$600,$B39)="","",INDEX('Master Database'!$F$1:$F$600,$B39)))</f>
        <v>Not stated</v>
      </c>
      <c r="I39" s="19" t="str">
        <f>IF($B39="","",IF(INDEX('Master Database'!$G$1:$G$600,$B39)="","",INDEX('Master Database'!$G$1:$G$600,$B39)))</f>
        <v>Not stated</v>
      </c>
      <c r="J39" s="46">
        <f>IF($B39="","",IF(INDEX('Master Database'!$H$1:$H$600,$B39)="","",INDEX('Master Database'!$H$1:$H$600,$B39)))</f>
        <v>73</v>
      </c>
      <c r="K39" s="46" t="str">
        <f>IF($B39="","",IF(INDEX('Master Database'!$I$1:$I$600,$B39)="","",INDEX('Master Database'!$I$1:$I$600,$B39)))</f>
        <v/>
      </c>
      <c r="L39" s="46">
        <f>IF($B39="","",IF(INDEX('Master Database'!$K$1:$K$600,$B39)="","",INDEX('Master Database'!$K$1:$K$600,$B39)))</f>
        <v>73.599999999999994</v>
      </c>
      <c r="M39" s="19" t="str">
        <f>IF($B39="","",IF(INDEX('Master Database'!$L$1:$L$600,$B39)="","",INDEX('Master Database'!$L$1:$L$600,$B39)))</f>
        <v>Not stated</v>
      </c>
      <c r="N39" s="19" t="str">
        <f>IF($B39="","",IF(INDEX('Master Database'!$P$1:$P$600,$B39)="","",INDEX('Master Database'!$P$1:$P$600,$B39)))</f>
        <v>Not stated</v>
      </c>
      <c r="O39" s="19" t="str">
        <f>IF($B39="","",IF(INDEX('Master Database'!$S$1:$S$600,$B39)="","",INDEX('Master Database'!$S$1:$S$600,$B39)))</f>
        <v>Electric Motor</v>
      </c>
      <c r="P39" s="19" t="str">
        <f>IF($B39="","",IF(INDEX('Master Database'!$T$1:$T$600,$B39)="","",INDEX('Master Database'!$T$1:$T$600,$B39)))</f>
        <v>Produced / Disposal Water</v>
      </c>
      <c r="Q39" s="19">
        <f>IF($B39="","",IF(INDEX('Master Database'!$Y$1:$Y$600,$B39)="","",INDEX('Master Database'!$Y$1:$Y$600,$B39)))</f>
        <v>1402</v>
      </c>
      <c r="R39" s="19" t="str">
        <f>IF($B39="","",IF(INDEX('Master Database'!$Z$1:$Z$600,$B39)="","",INDEX('Master Database'!$Z$1:$Z$600,$B39)))</f>
        <v>EUR</v>
      </c>
      <c r="S39" s="47">
        <f>IF($B39="","",IF(INDEX('Master Database'!$AA$1:$AA$600,$B39)="","",INDEX('Master Database'!$AA$1:$AA$600,$B39)))</f>
        <v>430000</v>
      </c>
      <c r="T39" s="19" t="str">
        <f>IF($B39="","",IF(INDEX('Master Database'!$AE$1:$AE$600,$B39)="","",INDEX('Master Database'!$AE$1:$AE$600,$B39)))</f>
        <v>Consultant basic-design estimate – PEP Rev.1402/05, sheet P.ME «هزینه واحد بدون ضریب»; EUR figure (converted in the PEP at 420,000×1.085 IRR/EUR) | source label: AACE Class 2</v>
      </c>
      <c r="U39" s="47">
        <f>IF($B39="","",IF(INDEX('Master Database'!$AG$1:$AG$600,$B39)="","",INDEX('Master Database'!$AG$1:$AG$600,$B39)))</f>
        <v>445018.32269750355</v>
      </c>
      <c r="V39" s="47">
        <f>IF($B39="","",IF(INDEX('Master Database'!$AH$1:$AH$600,$B39)="","",INDEX('Master Database'!$AH$1:$AH$600,$B39)))</f>
        <v>469842.8160551528</v>
      </c>
      <c r="W39" s="47">
        <f>IF($B39="","",IF(INDEX('Master Database'!$AI$1:$AI$600,$B39)="","",INDEX('Master Database'!$AI$1:$AI$600,$B39)))</f>
        <v>309406999185.24792</v>
      </c>
      <c r="X39" s="19" t="str">
        <f>IF($B39="","",IF(INDEX('Master Database'!$BG$1:$BG$600,$B39)="","",INDEX('Master Database'!$BG$1:$BG$600,$B39)))</f>
        <v>Y</v>
      </c>
      <c r="BA39">
        <f>IF('Master Database'!$A39="",0,IF(AND(OR($B$5="",ISNUMBER(SEARCH($B$5,'Master Database'!$B39&amp;" "&amp;'Master Database'!$D39))),OR($B$6="(All)",'Master Database'!$C39=$B$6),OR($B$7="(All)",'Master Database'!$E39=$B$7),OR($B$8="(All)",'Master Database'!$T39=$B$8),OR($B$9="(All)",'Master Database'!$M39=$B$9),OR($B$10="(All)",'Master Database'!$V39=$B$10),OR($E$5="(All)",'Master Database'!$F39=$E$5),OR($E$6="(All)",'Master Database'!$G39=$E$6),OR($E$7="(All)",'Master Database'!$O39=$E$7),OR($E$8="(All)",'Master Database'!$P39=$E$8),OR($E$9="(All)",'Master Database'!$S39=$E$9),OR($E$10="(All)",'Master Database'!$Y39&amp;""=$E$10&amp;""),OR($H$5="(All)",'Master Database'!$BG39=$H$5),OR($H$6&lt;&gt;"Y",ISNUMBER('Master Database'!$AG39)),OR($H$7="",AND(ISNUMBER('Master Database'!$H39),N('Master Database'!$H39)&gt;=$H$7)),OR($I$7="",AND(ISNUMBER('Master Database'!$H39),N('Master Database'!$H39)&lt;=$I$7)),OR($H$8="",AND(ISNUMBER('Master Database'!$I39),N('Master Database'!$I39)&gt;=$H$8)),OR($I$8="",AND(ISNUMBER('Master Database'!$I39),N('Master Database'!$I39)&lt;=$I$8)),OR($H$9="",AND(ISNUMBER('Master Database'!$K39),N('Master Database'!$K39)&gt;=$H$9)),OR($I$9="",AND(ISNUMBER('Master Database'!$K39),N('Master Database'!$K39)&lt;=$I$9))),1,0))</f>
        <v>1</v>
      </c>
      <c r="BB39">
        <f>IF(BA39=1,COUNTIF($BA$5:BA39,1),"")</f>
        <v>35</v>
      </c>
    </row>
    <row r="40" spans="1:54">
      <c r="A40" s="20">
        <f>IF(25&lt;=SUM($BA$5:$BA$600),25,"")</f>
        <v>25</v>
      </c>
      <c r="B40" s="20">
        <f t="shared" si="0"/>
        <v>29</v>
      </c>
      <c r="C40" s="20">
        <f>IF($B40="","",IF(INDEX('Master Database'!$A$1:$A$600,$B40)="","",INDEX('Master Database'!$A$1:$A$600,$B40)))</f>
        <v>25</v>
      </c>
      <c r="D40" s="19" t="str">
        <f>IF($B40="","",IF(INDEX('Master Database'!$B$1:$B$600,$B40)="","",INDEX('Master Database'!$B$1:$B$600,$B40)))</f>
        <v>WATER INJECTION BOOSTER PUMPS</v>
      </c>
      <c r="E40" s="19" t="str">
        <f>IF($B40="","",IF(INDEX('Master Database'!$C$1:$C$600,$B40)="","",INDEX('Master Database'!$C$1:$C$600,$B40)))</f>
        <v>Gachsaran 4</v>
      </c>
      <c r="F40" s="19" t="str">
        <f>IF($B40="","",IF(INDEX('Master Database'!$D$1:$D$600,$B40)="","",INDEX('Master Database'!$D$1:$D$600,$B40)))</f>
        <v>P-206-A/B/C</v>
      </c>
      <c r="G40" s="19" t="str">
        <f>IF($B40="","",IF(INDEX('Master Database'!$E$1:$E$600,$B40)="","",INDEX('Master Database'!$E$1:$E$600,$B40)))</f>
        <v>ROT-INJ</v>
      </c>
      <c r="H40" s="19" t="str">
        <f>IF($B40="","",IF(INDEX('Master Database'!$F$1:$F$600,$B40)="","",INDEX('Master Database'!$F$1:$F$600,$B40)))</f>
        <v>Not stated</v>
      </c>
      <c r="I40" s="19" t="str">
        <f>IF($B40="","",IF(INDEX('Master Database'!$G$1:$G$600,$B40)="","",INDEX('Master Database'!$G$1:$G$600,$B40)))</f>
        <v>Not stated</v>
      </c>
      <c r="J40" s="46">
        <f>IF($B40="","",IF(INDEX('Master Database'!$H$1:$H$600,$B40)="","",INDEX('Master Database'!$H$1:$H$600,$B40)))</f>
        <v>36.5</v>
      </c>
      <c r="K40" s="46" t="str">
        <f>IF($B40="","",IF(INDEX('Master Database'!$I$1:$I$600,$B40)="","",INDEX('Master Database'!$I$1:$I$600,$B40)))</f>
        <v/>
      </c>
      <c r="L40" s="46">
        <f>IF($B40="","",IF(INDEX('Master Database'!$K$1:$K$600,$B40)="","",INDEX('Master Database'!$K$1:$K$600,$B40)))</f>
        <v>36.5</v>
      </c>
      <c r="M40" s="19" t="str">
        <f>IF($B40="","",IF(INDEX('Master Database'!$L$1:$L$600,$B40)="","",INDEX('Master Database'!$L$1:$L$600,$B40)))</f>
        <v>Not stated</v>
      </c>
      <c r="N40" s="19" t="str">
        <f>IF($B40="","",IF(INDEX('Master Database'!$P$1:$P$600,$B40)="","",INDEX('Master Database'!$P$1:$P$600,$B40)))</f>
        <v>Not stated</v>
      </c>
      <c r="O40" s="19" t="str">
        <f>IF($B40="","",IF(INDEX('Master Database'!$S$1:$S$600,$B40)="","",INDEX('Master Database'!$S$1:$S$600,$B40)))</f>
        <v>Electric Motor</v>
      </c>
      <c r="P40" s="19" t="str">
        <f>IF($B40="","",IF(INDEX('Master Database'!$T$1:$T$600,$B40)="","",INDEX('Master Database'!$T$1:$T$600,$B40)))</f>
        <v>Produced / Disposal Water</v>
      </c>
      <c r="Q40" s="19">
        <f>IF($B40="","",IF(INDEX('Master Database'!$Y$1:$Y$600,$B40)="","",INDEX('Master Database'!$Y$1:$Y$600,$B40)))</f>
        <v>1402</v>
      </c>
      <c r="R40" s="19" t="str">
        <f>IF($B40="","",IF(INDEX('Master Database'!$Z$1:$Z$600,$B40)="","",INDEX('Master Database'!$Z$1:$Z$600,$B40)))</f>
        <v>EUR</v>
      </c>
      <c r="S40" s="47">
        <f>IF($B40="","",IF(INDEX('Master Database'!$AA$1:$AA$600,$B40)="","",INDEX('Master Database'!$AA$1:$AA$600,$B40)))</f>
        <v>285000</v>
      </c>
      <c r="T40" s="19" t="str">
        <f>IF($B40="","",IF(INDEX('Master Database'!$AE$1:$AE$600,$B40)="","",INDEX('Master Database'!$AE$1:$AE$600,$B40)))</f>
        <v>Consultant basic-design estimate – PEP Rev.1402/05, sheet P.ME «هزینه واحد بدون ضریب»; EUR figure (converted in the PEP at 420,000×1.085 IRR/EUR) | source label: AACE Class 2</v>
      </c>
      <c r="U40" s="47">
        <f>IF($B40="","",IF(INDEX('Master Database'!$AG$1:$AG$600,$B40)="","",INDEX('Master Database'!$AG$1:$AG$600,$B40)))</f>
        <v>294954.00457857794</v>
      </c>
      <c r="V40" s="47">
        <f>IF($B40="","",IF(INDEX('Master Database'!$AH$1:$AH$600,$B40)="","",INDEX('Master Database'!$AH$1:$AH$600,$B40)))</f>
        <v>311407.44785050821</v>
      </c>
      <c r="W40" s="47">
        <f>IF($B40="","",IF(INDEX('Master Database'!$AI$1:$AI$600,$B40)="","",INDEX('Master Database'!$AI$1:$AI$600,$B40)))</f>
        <v>205072080855.33871</v>
      </c>
      <c r="X40" s="19" t="str">
        <f>IF($B40="","",IF(INDEX('Master Database'!$BG$1:$BG$600,$B40)="","",INDEX('Master Database'!$BG$1:$BG$600,$B40)))</f>
        <v>Y</v>
      </c>
      <c r="BA40">
        <f>IF('Master Database'!$A40="",0,IF(AND(OR($B$5="",ISNUMBER(SEARCH($B$5,'Master Database'!$B40&amp;" "&amp;'Master Database'!$D40))),OR($B$6="(All)",'Master Database'!$C40=$B$6),OR($B$7="(All)",'Master Database'!$E40=$B$7),OR($B$8="(All)",'Master Database'!$T40=$B$8),OR($B$9="(All)",'Master Database'!$M40=$B$9),OR($B$10="(All)",'Master Database'!$V40=$B$10),OR($E$5="(All)",'Master Database'!$F40=$E$5),OR($E$6="(All)",'Master Database'!$G40=$E$6),OR($E$7="(All)",'Master Database'!$O40=$E$7),OR($E$8="(All)",'Master Database'!$P40=$E$8),OR($E$9="(All)",'Master Database'!$S40=$E$9),OR($E$10="(All)",'Master Database'!$Y40&amp;""=$E$10&amp;""),OR($H$5="(All)",'Master Database'!$BG40=$H$5),OR($H$6&lt;&gt;"Y",ISNUMBER('Master Database'!$AG40)),OR($H$7="",AND(ISNUMBER('Master Database'!$H40),N('Master Database'!$H40)&gt;=$H$7)),OR($I$7="",AND(ISNUMBER('Master Database'!$H40),N('Master Database'!$H40)&lt;=$I$7)),OR($H$8="",AND(ISNUMBER('Master Database'!$I40),N('Master Database'!$I40)&gt;=$H$8)),OR($I$8="",AND(ISNUMBER('Master Database'!$I40),N('Master Database'!$I40)&lt;=$I$8)),OR($H$9="",AND(ISNUMBER('Master Database'!$K40),N('Master Database'!$K40)&gt;=$H$9)),OR($I$9="",AND(ISNUMBER('Master Database'!$K40),N('Master Database'!$K40)&lt;=$I$9))),1,0))</f>
        <v>1</v>
      </c>
      <c r="BB40">
        <f>IF(BA40=1,COUNTIF($BA$5:BA40,1),"")</f>
        <v>36</v>
      </c>
    </row>
    <row r="41" spans="1:54">
      <c r="A41" s="20">
        <f>IF(26&lt;=SUM($BA$5:$BA$600),26,"")</f>
        <v>26</v>
      </c>
      <c r="B41" s="20">
        <f t="shared" si="0"/>
        <v>30</v>
      </c>
      <c r="C41" s="20">
        <f>IF($B41="","",IF(INDEX('Master Database'!$A$1:$A$600,$B41)="","",INDEX('Master Database'!$A$1:$A$600,$B41)))</f>
        <v>26</v>
      </c>
      <c r="D41" s="19" t="str">
        <f>IF($B41="","",IF(INDEX('Master Database'!$B$1:$B$600,$B41)="","",INDEX('Master Database'!$B$1:$B$600,$B41)))</f>
        <v>CHEMICAL INJECTION PORTABLE PUMPS</v>
      </c>
      <c r="E41" s="19" t="str">
        <f>IF($B41="","",IF(INDEX('Master Database'!$C$1:$C$600,$B41)="","",INDEX('Master Database'!$C$1:$C$600,$B41)))</f>
        <v>Gachsaran 4</v>
      </c>
      <c r="F41" s="19" t="str">
        <f>IF($B41="","",IF(INDEX('Master Database'!$D$1:$D$600,$B41)="","",INDEX('Master Database'!$D$1:$D$600,$B41)))</f>
        <v>P-501-A/B/C</v>
      </c>
      <c r="G41" s="19" t="str">
        <f>IF($B41="","",IF(INDEX('Master Database'!$E$1:$E$600,$B41)="","",INDEX('Master Database'!$E$1:$E$600,$B41)))</f>
        <v>ROT-AUX</v>
      </c>
      <c r="H41" s="19" t="str">
        <f>IF($B41="","",IF(INDEX('Master Database'!$F$1:$F$600,$B41)="","",INDEX('Master Database'!$F$1:$F$600,$B41)))</f>
        <v>Not stated</v>
      </c>
      <c r="I41" s="19" t="str">
        <f>IF($B41="","",IF(INDEX('Master Database'!$G$1:$G$600,$B41)="","",INDEX('Master Database'!$G$1:$G$600,$B41)))</f>
        <v>Not stated</v>
      </c>
      <c r="J41" s="46" t="str">
        <f>IF($B41="","",IF(INDEX('Master Database'!$H$1:$H$600,$B41)="","",INDEX('Master Database'!$H$1:$H$600,$B41)))</f>
        <v/>
      </c>
      <c r="K41" s="46" t="str">
        <f>IF($B41="","",IF(INDEX('Master Database'!$I$1:$I$600,$B41)="","",INDEX('Master Database'!$I$1:$I$600,$B41)))</f>
        <v/>
      </c>
      <c r="L41" s="46">
        <f>IF($B41="","",IF(INDEX('Master Database'!$K$1:$K$600,$B41)="","",INDEX('Master Database'!$K$1:$K$600,$B41)))</f>
        <v>0.45</v>
      </c>
      <c r="M41" s="19" t="str">
        <f>IF($B41="","",IF(INDEX('Master Database'!$L$1:$L$600,$B41)="","",INDEX('Master Database'!$L$1:$L$600,$B41)))</f>
        <v>Not stated</v>
      </c>
      <c r="N41" s="19" t="str">
        <f>IF($B41="","",IF(INDEX('Master Database'!$P$1:$P$600,$B41)="","",INDEX('Master Database'!$P$1:$P$600,$B41)))</f>
        <v>Not stated</v>
      </c>
      <c r="O41" s="19" t="str">
        <f>IF($B41="","",IF(INDEX('Master Database'!$S$1:$S$600,$B41)="","",INDEX('Master Database'!$S$1:$S$600,$B41)))</f>
        <v>Electric Motor</v>
      </c>
      <c r="P41" s="19" t="str">
        <f>IF($B41="","",IF(INDEX('Master Database'!$T$1:$T$600,$B41)="","",INDEX('Master Database'!$T$1:$T$600,$B41)))</f>
        <v>Chemical</v>
      </c>
      <c r="Q41" s="19">
        <f>IF($B41="","",IF(INDEX('Master Database'!$Y$1:$Y$600,$B41)="","",INDEX('Master Database'!$Y$1:$Y$600,$B41)))</f>
        <v>1402</v>
      </c>
      <c r="R41" s="19" t="str">
        <f>IF($B41="","",IF(INDEX('Master Database'!$Z$1:$Z$600,$B41)="","",INDEX('Master Database'!$Z$1:$Z$600,$B41)))</f>
        <v>EUR</v>
      </c>
      <c r="S41" s="47">
        <f>IF($B41="","",IF(INDEX('Master Database'!$AA$1:$AA$600,$B41)="","",INDEX('Master Database'!$AA$1:$AA$600,$B41)))</f>
        <v>9000</v>
      </c>
      <c r="T41" s="19" t="str">
        <f>IF($B41="","",IF(INDEX('Master Database'!$AE$1:$AE$600,$B41)="","",INDEX('Master Database'!$AE$1:$AE$600,$B41)))</f>
        <v>Consultant basic-design estimate – PEP Rev.1402/05, sheet P.ME «هزینه واحد بدون ضریب»; EUR figure (converted in the PEP at 420,000×1.085 IRR/EUR) | source label: AACE Class 2</v>
      </c>
      <c r="U41" s="47">
        <f>IF($B41="","",IF(INDEX('Master Database'!$AG$1:$AG$600,$B41)="","",INDEX('Master Database'!$AG$1:$AG$600,$B41)))</f>
        <v>9314.3369866919347</v>
      </c>
      <c r="V41" s="47">
        <f>IF($B41="","",IF(INDEX('Master Database'!$AH$1:$AH$600,$B41)="","",INDEX('Master Database'!$AH$1:$AH$600,$B41)))</f>
        <v>9833.9194058055218</v>
      </c>
      <c r="W41" s="47">
        <f>IF($B41="","",IF(INDEX('Master Database'!$AI$1:$AI$600,$B41)="","",INDEX('Master Database'!$AI$1:$AI$600,$B41)))</f>
        <v>6475960448.0633278</v>
      </c>
      <c r="X41" s="19" t="str">
        <f>IF($B41="","",IF(INDEX('Master Database'!$BG$1:$BG$600,$B41)="","",INDEX('Master Database'!$BG$1:$BG$600,$B41)))</f>
        <v>Y</v>
      </c>
      <c r="BA41">
        <f>IF('Master Database'!$A41="",0,IF(AND(OR($B$5="",ISNUMBER(SEARCH($B$5,'Master Database'!$B41&amp;" "&amp;'Master Database'!$D41))),OR($B$6="(All)",'Master Database'!$C41=$B$6),OR($B$7="(All)",'Master Database'!$E41=$B$7),OR($B$8="(All)",'Master Database'!$T41=$B$8),OR($B$9="(All)",'Master Database'!$M41=$B$9),OR($B$10="(All)",'Master Database'!$V41=$B$10),OR($E$5="(All)",'Master Database'!$F41=$E$5),OR($E$6="(All)",'Master Database'!$G41=$E$6),OR($E$7="(All)",'Master Database'!$O41=$E$7),OR($E$8="(All)",'Master Database'!$P41=$E$8),OR($E$9="(All)",'Master Database'!$S41=$E$9),OR($E$10="(All)",'Master Database'!$Y41&amp;""=$E$10&amp;""),OR($H$5="(All)",'Master Database'!$BG41=$H$5),OR($H$6&lt;&gt;"Y",ISNUMBER('Master Database'!$AG41)),OR($H$7="",AND(ISNUMBER('Master Database'!$H41),N('Master Database'!$H41)&gt;=$H$7)),OR($I$7="",AND(ISNUMBER('Master Database'!$H41),N('Master Database'!$H41)&lt;=$I$7)),OR($H$8="",AND(ISNUMBER('Master Database'!$I41),N('Master Database'!$I41)&gt;=$H$8)),OR($I$8="",AND(ISNUMBER('Master Database'!$I41),N('Master Database'!$I41)&lt;=$I$8)),OR($H$9="",AND(ISNUMBER('Master Database'!$K41),N('Master Database'!$K41)&gt;=$H$9)),OR($I$9="",AND(ISNUMBER('Master Database'!$K41),N('Master Database'!$K41)&lt;=$I$9))),1,0))</f>
        <v>1</v>
      </c>
      <c r="BB41">
        <f>IF(BA41=1,COUNTIF($BA$5:BA41,1),"")</f>
        <v>37</v>
      </c>
    </row>
    <row r="42" spans="1:54">
      <c r="A42" s="20">
        <f>IF(27&lt;=SUM($BA$5:$BA$600),27,"")</f>
        <v>27</v>
      </c>
      <c r="B42" s="20">
        <f t="shared" si="0"/>
        <v>31</v>
      </c>
      <c r="C42" s="20">
        <f>IF($B42="","",IF(INDEX('Master Database'!$A$1:$A$600,$B42)="","",INDEX('Master Database'!$A$1:$A$600,$B42)))</f>
        <v>27</v>
      </c>
      <c r="D42" s="19" t="str">
        <f>IF($B42="","",IF(INDEX('Master Database'!$B$1:$B$600,$B42)="","",INDEX('Master Database'!$B$1:$B$600,$B42)))</f>
        <v>FLARE K.O DRUM LIQUID PUMPS</v>
      </c>
      <c r="E42" s="19" t="str">
        <f>IF($B42="","",IF(INDEX('Master Database'!$C$1:$C$600,$B42)="","",INDEX('Master Database'!$C$1:$C$600,$B42)))</f>
        <v>Gachsaran 4</v>
      </c>
      <c r="F42" s="19" t="str">
        <f>IF($B42="","",IF(INDEX('Master Database'!$D$1:$D$600,$B42)="","",INDEX('Master Database'!$D$1:$D$600,$B42)))</f>
        <v>P-601-A/B</v>
      </c>
      <c r="G42" s="19" t="str">
        <f>IF($B42="","",IF(INDEX('Master Database'!$E$1:$E$600,$B42)="","",INDEX('Master Database'!$E$1:$E$600,$B42)))</f>
        <v>ROT-DRN</v>
      </c>
      <c r="H42" s="19" t="str">
        <f>IF($B42="","",IF(INDEX('Master Database'!$F$1:$F$600,$B42)="","",INDEX('Master Database'!$F$1:$F$600,$B42)))</f>
        <v>Not stated</v>
      </c>
      <c r="I42" s="19" t="str">
        <f>IF($B42="","",IF(INDEX('Master Database'!$G$1:$G$600,$B42)="","",INDEX('Master Database'!$G$1:$G$600,$B42)))</f>
        <v>Not stated</v>
      </c>
      <c r="J42" s="46">
        <f>IF($B42="","",IF(INDEX('Master Database'!$H$1:$H$600,$B42)="","",INDEX('Master Database'!$H$1:$H$600,$B42)))</f>
        <v>15</v>
      </c>
      <c r="K42" s="46" t="str">
        <f>IF($B42="","",IF(INDEX('Master Database'!$I$1:$I$600,$B42)="","",INDEX('Master Database'!$I$1:$I$600,$B42)))</f>
        <v/>
      </c>
      <c r="L42" s="46">
        <f>IF($B42="","",IF(INDEX('Master Database'!$K$1:$K$600,$B42)="","",INDEX('Master Database'!$K$1:$K$600,$B42)))</f>
        <v>0.33</v>
      </c>
      <c r="M42" s="19" t="str">
        <f>IF($B42="","",IF(INDEX('Master Database'!$L$1:$L$600,$B42)="","",INDEX('Master Database'!$L$1:$L$600,$B42)))</f>
        <v>Not stated</v>
      </c>
      <c r="N42" s="19" t="str">
        <f>IF($B42="","",IF(INDEX('Master Database'!$P$1:$P$600,$B42)="","",INDEX('Master Database'!$P$1:$P$600,$B42)))</f>
        <v>Not stated</v>
      </c>
      <c r="O42" s="19" t="str">
        <f>IF($B42="","",IF(INDEX('Master Database'!$S$1:$S$600,$B42)="","",INDEX('Master Database'!$S$1:$S$600,$B42)))</f>
        <v>Electric Motor</v>
      </c>
      <c r="P42" s="19" t="str">
        <f>IF($B42="","",IF(INDEX('Master Database'!$T$1:$T$600,$B42)="","",INDEX('Master Database'!$T$1:$T$600,$B42)))</f>
        <v>Oily Water / Drain</v>
      </c>
      <c r="Q42" s="19">
        <f>IF($B42="","",IF(INDEX('Master Database'!$Y$1:$Y$600,$B42)="","",INDEX('Master Database'!$Y$1:$Y$600,$B42)))</f>
        <v>1402</v>
      </c>
      <c r="R42" s="19" t="str">
        <f>IF($B42="","",IF(INDEX('Master Database'!$Z$1:$Z$600,$B42)="","",INDEX('Master Database'!$Z$1:$Z$600,$B42)))</f>
        <v>EUR</v>
      </c>
      <c r="S42" s="47">
        <f>IF($B42="","",IF(INDEX('Master Database'!$AA$1:$AA$600,$B42)="","",INDEX('Master Database'!$AA$1:$AA$600,$B42)))</f>
        <v>28000</v>
      </c>
      <c r="T42" s="19" t="str">
        <f>IF($B42="","",IF(INDEX('Master Database'!$AE$1:$AE$600,$B42)="","",INDEX('Master Database'!$AE$1:$AE$600,$B42)))</f>
        <v>Consultant basic-design estimate – PEP Rev.1402/05, sheet P.ME «هزینه واحد بدون ضریب»; EUR figure (converted in the PEP at 420,000×1.085 IRR/EUR) | source label: AACE Class 2</v>
      </c>
      <c r="U42" s="47">
        <f>IF($B42="","",IF(INDEX('Master Database'!$AG$1:$AG$600,$B42)="","",INDEX('Master Database'!$AG$1:$AG$600,$B42)))</f>
        <v>28977.937291930466</v>
      </c>
      <c r="V42" s="47">
        <f>IF($B42="","",IF(INDEX('Master Database'!$AH$1:$AH$600,$B42)="","",INDEX('Master Database'!$AH$1:$AH$600,$B42)))</f>
        <v>30594.415929172737</v>
      </c>
      <c r="W42" s="47">
        <f>IF($B42="","",IF(INDEX('Master Database'!$AI$1:$AI$600,$B42)="","",INDEX('Master Database'!$AI$1:$AI$600,$B42)))</f>
        <v>20147432505.085911</v>
      </c>
      <c r="X42" s="19" t="str">
        <f>IF($B42="","",IF(INDEX('Master Database'!$BG$1:$BG$600,$B42)="","",INDEX('Master Database'!$BG$1:$BG$600,$B42)))</f>
        <v>Y</v>
      </c>
      <c r="BA42">
        <f>IF('Master Database'!$A42="",0,IF(AND(OR($B$5="",ISNUMBER(SEARCH($B$5,'Master Database'!$B42&amp;" "&amp;'Master Database'!$D42))),OR($B$6="(All)",'Master Database'!$C42=$B$6),OR($B$7="(All)",'Master Database'!$E42=$B$7),OR($B$8="(All)",'Master Database'!$T42=$B$8),OR($B$9="(All)",'Master Database'!$M42=$B$9),OR($B$10="(All)",'Master Database'!$V42=$B$10),OR($E$5="(All)",'Master Database'!$F42=$E$5),OR($E$6="(All)",'Master Database'!$G42=$E$6),OR($E$7="(All)",'Master Database'!$O42=$E$7),OR($E$8="(All)",'Master Database'!$P42=$E$8),OR($E$9="(All)",'Master Database'!$S42=$E$9),OR($E$10="(All)",'Master Database'!$Y42&amp;""=$E$10&amp;""),OR($H$5="(All)",'Master Database'!$BG42=$H$5),OR($H$6&lt;&gt;"Y",ISNUMBER('Master Database'!$AG42)),OR($H$7="",AND(ISNUMBER('Master Database'!$H42),N('Master Database'!$H42)&gt;=$H$7)),OR($I$7="",AND(ISNUMBER('Master Database'!$H42),N('Master Database'!$H42)&lt;=$I$7)),OR($H$8="",AND(ISNUMBER('Master Database'!$I42),N('Master Database'!$I42)&gt;=$H$8)),OR($I$8="",AND(ISNUMBER('Master Database'!$I42),N('Master Database'!$I42)&lt;=$I$8)),OR($H$9="",AND(ISNUMBER('Master Database'!$K42),N('Master Database'!$K42)&gt;=$H$9)),OR($I$9="",AND(ISNUMBER('Master Database'!$K42),N('Master Database'!$K42)&lt;=$I$9))),1,0))</f>
        <v>1</v>
      </c>
      <c r="BB42">
        <f>IF(BA42=1,COUNTIF($BA$5:BA42,1),"")</f>
        <v>38</v>
      </c>
    </row>
    <row r="43" spans="1:54">
      <c r="A43" s="20">
        <f>IF(28&lt;=SUM($BA$5:$BA$600),28,"")</f>
        <v>28</v>
      </c>
      <c r="B43" s="20">
        <f t="shared" si="0"/>
        <v>32</v>
      </c>
      <c r="C43" s="20">
        <f>IF($B43="","",IF(INDEX('Master Database'!$A$1:$A$600,$B43)="","",INDEX('Master Database'!$A$1:$A$600,$B43)))</f>
        <v>28</v>
      </c>
      <c r="D43" s="19" t="str">
        <f>IF($B43="","",IF(INDEX('Master Database'!$B$1:$B$600,$B43)="","",INDEX('Master Database'!$B$1:$B$600,$B43)))</f>
        <v>HC CLOSED DRAIN TRANSFER PUMPS</v>
      </c>
      <c r="E43" s="19" t="str">
        <f>IF($B43="","",IF(INDEX('Master Database'!$C$1:$C$600,$B43)="","",INDEX('Master Database'!$C$1:$C$600,$B43)))</f>
        <v>Gachsaran 4</v>
      </c>
      <c r="F43" s="19" t="str">
        <f>IF($B43="","",IF(INDEX('Master Database'!$D$1:$D$600,$B43)="","",INDEX('Master Database'!$D$1:$D$600,$B43)))</f>
        <v>P-701-A/B</v>
      </c>
      <c r="G43" s="19" t="str">
        <f>IF($B43="","",IF(INDEX('Master Database'!$E$1:$E$600,$B43)="","",INDEX('Master Database'!$E$1:$E$600,$B43)))</f>
        <v>ROT-DRN</v>
      </c>
      <c r="H43" s="19" t="str">
        <f>IF($B43="","",IF(INDEX('Master Database'!$F$1:$F$600,$B43)="","",INDEX('Master Database'!$F$1:$F$600,$B43)))</f>
        <v>Not stated</v>
      </c>
      <c r="I43" s="19" t="str">
        <f>IF($B43="","",IF(INDEX('Master Database'!$G$1:$G$600,$B43)="","",INDEX('Master Database'!$G$1:$G$600,$B43)))</f>
        <v>Not stated</v>
      </c>
      <c r="J43" s="46">
        <f>IF($B43="","",IF(INDEX('Master Database'!$H$1:$H$600,$B43)="","",INDEX('Master Database'!$H$1:$H$600,$B43)))</f>
        <v>27.5</v>
      </c>
      <c r="K43" s="46" t="str">
        <f>IF($B43="","",IF(INDEX('Master Database'!$I$1:$I$600,$B43)="","",INDEX('Master Database'!$I$1:$I$600,$B43)))</f>
        <v/>
      </c>
      <c r="L43" s="46">
        <f>IF($B43="","",IF(INDEX('Master Database'!$K$1:$K$600,$B43)="","",INDEX('Master Database'!$K$1:$K$600,$B43)))</f>
        <v>3.3</v>
      </c>
      <c r="M43" s="19" t="str">
        <f>IF($B43="","",IF(INDEX('Master Database'!$L$1:$L$600,$B43)="","",INDEX('Master Database'!$L$1:$L$600,$B43)))</f>
        <v>Not stated</v>
      </c>
      <c r="N43" s="19" t="str">
        <f>IF($B43="","",IF(INDEX('Master Database'!$P$1:$P$600,$B43)="","",INDEX('Master Database'!$P$1:$P$600,$B43)))</f>
        <v>Not stated</v>
      </c>
      <c r="O43" s="19" t="str">
        <f>IF($B43="","",IF(INDEX('Master Database'!$S$1:$S$600,$B43)="","",INDEX('Master Database'!$S$1:$S$600,$B43)))</f>
        <v>Electric Motor</v>
      </c>
      <c r="P43" s="19" t="str">
        <f>IF($B43="","",IF(INDEX('Master Database'!$T$1:$T$600,$B43)="","",INDEX('Master Database'!$T$1:$T$600,$B43)))</f>
        <v>Oily Water / Drain</v>
      </c>
      <c r="Q43" s="19">
        <f>IF($B43="","",IF(INDEX('Master Database'!$Y$1:$Y$600,$B43)="","",INDEX('Master Database'!$Y$1:$Y$600,$B43)))</f>
        <v>1402</v>
      </c>
      <c r="R43" s="19" t="str">
        <f>IF($B43="","",IF(INDEX('Master Database'!$Z$1:$Z$600,$B43)="","",INDEX('Master Database'!$Z$1:$Z$600,$B43)))</f>
        <v>EUR</v>
      </c>
      <c r="S43" s="47">
        <f>IF($B43="","",IF(INDEX('Master Database'!$AA$1:$AA$600,$B43)="","",INDEX('Master Database'!$AA$1:$AA$600,$B43)))</f>
        <v>53000</v>
      </c>
      <c r="T43" s="19" t="str">
        <f>IF($B43="","",IF(INDEX('Master Database'!$AE$1:$AE$600,$B43)="","",INDEX('Master Database'!$AE$1:$AE$600,$B43)))</f>
        <v>Consultant basic-design estimate – PEP Rev.1402/05, sheet P.ME «هزینه واحد بدون ضریب»; EUR figure (converted in the PEP at 420,000×1.085 IRR/EUR) | source label: AACE Class 2</v>
      </c>
      <c r="U43" s="47">
        <f>IF($B43="","",IF(INDEX('Master Database'!$AG$1:$AG$600,$B43)="","",INDEX('Master Database'!$AG$1:$AG$600,$B43)))</f>
        <v>54851.09558829695</v>
      </c>
      <c r="V43" s="47">
        <f>IF($B43="","",IF(INDEX('Master Database'!$AH$1:$AH$600,$B43)="","",INDEX('Master Database'!$AH$1:$AH$600,$B43)))</f>
        <v>57910.85872307697</v>
      </c>
      <c r="W43" s="47">
        <f>IF($B43="","",IF(INDEX('Master Database'!$AI$1:$AI$600,$B43)="","",INDEX('Master Database'!$AI$1:$AI$600,$B43)))</f>
        <v>38136211527.484047</v>
      </c>
      <c r="X43" s="19" t="str">
        <f>IF($B43="","",IF(INDEX('Master Database'!$BG$1:$BG$600,$B43)="","",INDEX('Master Database'!$BG$1:$BG$600,$B43)))</f>
        <v>Y</v>
      </c>
      <c r="BA43">
        <f>IF('Master Database'!$A43="",0,IF(AND(OR($B$5="",ISNUMBER(SEARCH($B$5,'Master Database'!$B43&amp;" "&amp;'Master Database'!$D43))),OR($B$6="(All)",'Master Database'!$C43=$B$6),OR($B$7="(All)",'Master Database'!$E43=$B$7),OR($B$8="(All)",'Master Database'!$T43=$B$8),OR($B$9="(All)",'Master Database'!$M43=$B$9),OR($B$10="(All)",'Master Database'!$V43=$B$10),OR($E$5="(All)",'Master Database'!$F43=$E$5),OR($E$6="(All)",'Master Database'!$G43=$E$6),OR($E$7="(All)",'Master Database'!$O43=$E$7),OR($E$8="(All)",'Master Database'!$P43=$E$8),OR($E$9="(All)",'Master Database'!$S43=$E$9),OR($E$10="(All)",'Master Database'!$Y43&amp;""=$E$10&amp;""),OR($H$5="(All)",'Master Database'!$BG43=$H$5),OR($H$6&lt;&gt;"Y",ISNUMBER('Master Database'!$AG43)),OR($H$7="",AND(ISNUMBER('Master Database'!$H43),N('Master Database'!$H43)&gt;=$H$7)),OR($I$7="",AND(ISNUMBER('Master Database'!$H43),N('Master Database'!$H43)&lt;=$I$7)),OR($H$8="",AND(ISNUMBER('Master Database'!$I43),N('Master Database'!$I43)&gt;=$H$8)),OR($I$8="",AND(ISNUMBER('Master Database'!$I43),N('Master Database'!$I43)&lt;=$I$8)),OR($H$9="",AND(ISNUMBER('Master Database'!$K43),N('Master Database'!$K43)&gt;=$H$9)),OR($I$9="",AND(ISNUMBER('Master Database'!$K43),N('Master Database'!$K43)&lt;=$I$9))),1,0))</f>
        <v>1</v>
      </c>
      <c r="BB43">
        <f>IF(BA43=1,COUNTIF($BA$5:BA43,1),"")</f>
        <v>39</v>
      </c>
    </row>
    <row r="44" spans="1:54">
      <c r="A44" s="20">
        <f>IF(29&lt;=SUM($BA$5:$BA$600),29,"")</f>
        <v>29</v>
      </c>
      <c r="B44" s="20">
        <f t="shared" si="0"/>
        <v>33</v>
      </c>
      <c r="C44" s="20">
        <f>IF($B44="","",IF(INDEX('Master Database'!$A$1:$A$600,$B44)="","",INDEX('Master Database'!$A$1:$A$600,$B44)))</f>
        <v>29</v>
      </c>
      <c r="D44" s="19" t="str">
        <f>IF($B44="","",IF(INDEX('Master Database'!$B$1:$B$600,$B44)="","",INDEX('Master Database'!$B$1:$B$600,$B44)))</f>
        <v>HC CLOSED DRAIN DRUM SUMP PUMP</v>
      </c>
      <c r="E44" s="19" t="str">
        <f>IF($B44="","",IF(INDEX('Master Database'!$C$1:$C$600,$B44)="","",INDEX('Master Database'!$C$1:$C$600,$B44)))</f>
        <v>Gachsaran 4</v>
      </c>
      <c r="F44" s="19" t="str">
        <f>IF($B44="","",IF(INDEX('Master Database'!$D$1:$D$600,$B44)="","",INDEX('Master Database'!$D$1:$D$600,$B44)))</f>
        <v>P-702A/B</v>
      </c>
      <c r="G44" s="19" t="str">
        <f>IF($B44="","",IF(INDEX('Master Database'!$E$1:$E$600,$B44)="","",INDEX('Master Database'!$E$1:$E$600,$B44)))</f>
        <v>ROT-DRN</v>
      </c>
      <c r="H44" s="19" t="str">
        <f>IF($B44="","",IF(INDEX('Master Database'!$F$1:$F$600,$B44)="","",INDEX('Master Database'!$F$1:$F$600,$B44)))</f>
        <v>Not stated</v>
      </c>
      <c r="I44" s="19" t="str">
        <f>IF($B44="","",IF(INDEX('Master Database'!$G$1:$G$600,$B44)="","",INDEX('Master Database'!$G$1:$G$600,$B44)))</f>
        <v>Not stated</v>
      </c>
      <c r="J44" s="46">
        <f>IF($B44="","",IF(INDEX('Master Database'!$H$1:$H$600,$B44)="","",INDEX('Master Database'!$H$1:$H$600,$B44)))</f>
        <v>5.5</v>
      </c>
      <c r="K44" s="46" t="str">
        <f>IF($B44="","",IF(INDEX('Master Database'!$I$1:$I$600,$B44)="","",INDEX('Master Database'!$I$1:$I$600,$B44)))</f>
        <v/>
      </c>
      <c r="L44" s="46">
        <f>IF($B44="","",IF(INDEX('Master Database'!$K$1:$K$600,$B44)="","",INDEX('Master Database'!$K$1:$K$600,$B44)))</f>
        <v>0.11</v>
      </c>
      <c r="M44" s="19" t="str">
        <f>IF($B44="","",IF(INDEX('Master Database'!$L$1:$L$600,$B44)="","",INDEX('Master Database'!$L$1:$L$600,$B44)))</f>
        <v>Not stated</v>
      </c>
      <c r="N44" s="19" t="str">
        <f>IF($B44="","",IF(INDEX('Master Database'!$P$1:$P$600,$B44)="","",INDEX('Master Database'!$P$1:$P$600,$B44)))</f>
        <v>Not stated</v>
      </c>
      <c r="O44" s="19" t="str">
        <f>IF($B44="","",IF(INDEX('Master Database'!$S$1:$S$600,$B44)="","",INDEX('Master Database'!$S$1:$S$600,$B44)))</f>
        <v>Electric Motor</v>
      </c>
      <c r="P44" s="19" t="str">
        <f>IF($B44="","",IF(INDEX('Master Database'!$T$1:$T$600,$B44)="","",INDEX('Master Database'!$T$1:$T$600,$B44)))</f>
        <v>Oily Water / Drain</v>
      </c>
      <c r="Q44" s="19">
        <f>IF($B44="","",IF(INDEX('Master Database'!$Y$1:$Y$600,$B44)="","",INDEX('Master Database'!$Y$1:$Y$600,$B44)))</f>
        <v>1402</v>
      </c>
      <c r="R44" s="19" t="str">
        <f>IF($B44="","",IF(INDEX('Master Database'!$Z$1:$Z$600,$B44)="","",INDEX('Master Database'!$Z$1:$Z$600,$B44)))</f>
        <v>EUR</v>
      </c>
      <c r="S44" s="47">
        <f>IF($B44="","",IF(INDEX('Master Database'!$AA$1:$AA$600,$B44)="","",INDEX('Master Database'!$AA$1:$AA$600,$B44)))</f>
        <v>53000</v>
      </c>
      <c r="T44" s="19" t="str">
        <f>IF($B44="","",IF(INDEX('Master Database'!$AE$1:$AE$600,$B44)="","",INDEX('Master Database'!$AE$1:$AE$600,$B44)))</f>
        <v>Consultant basic-design estimate – PEP Rev.1402/05, sheet P.ME «هزینه واحد بدون ضریب»; EUR figure (converted in the PEP at 420,000×1.085 IRR/EUR) | source label: AACE Class 2</v>
      </c>
      <c r="U44" s="47">
        <f>IF($B44="","",IF(INDEX('Master Database'!$AG$1:$AG$600,$B44)="","",INDEX('Master Database'!$AG$1:$AG$600,$B44)))</f>
        <v>54851.09558829695</v>
      </c>
      <c r="V44" s="47">
        <f>IF($B44="","",IF(INDEX('Master Database'!$AH$1:$AH$600,$B44)="","",INDEX('Master Database'!$AH$1:$AH$600,$B44)))</f>
        <v>57910.85872307697</v>
      </c>
      <c r="W44" s="47">
        <f>IF($B44="","",IF(INDEX('Master Database'!$AI$1:$AI$600,$B44)="","",INDEX('Master Database'!$AI$1:$AI$600,$B44)))</f>
        <v>38136211527.484047</v>
      </c>
      <c r="X44" s="19" t="str">
        <f>IF($B44="","",IF(INDEX('Master Database'!$BG$1:$BG$600,$B44)="","",INDEX('Master Database'!$BG$1:$BG$600,$B44)))</f>
        <v>Y</v>
      </c>
      <c r="BA44">
        <f>IF('Master Database'!$A44="",0,IF(AND(OR($B$5="",ISNUMBER(SEARCH($B$5,'Master Database'!$B44&amp;" "&amp;'Master Database'!$D44))),OR($B$6="(All)",'Master Database'!$C44=$B$6),OR($B$7="(All)",'Master Database'!$E44=$B$7),OR($B$8="(All)",'Master Database'!$T44=$B$8),OR($B$9="(All)",'Master Database'!$M44=$B$9),OR($B$10="(All)",'Master Database'!$V44=$B$10),OR($E$5="(All)",'Master Database'!$F44=$E$5),OR($E$6="(All)",'Master Database'!$G44=$E$6),OR($E$7="(All)",'Master Database'!$O44=$E$7),OR($E$8="(All)",'Master Database'!$P44=$E$8),OR($E$9="(All)",'Master Database'!$S44=$E$9),OR($E$10="(All)",'Master Database'!$Y44&amp;""=$E$10&amp;""),OR($H$5="(All)",'Master Database'!$BG44=$H$5),OR($H$6&lt;&gt;"Y",ISNUMBER('Master Database'!$AG44)),OR($H$7="",AND(ISNUMBER('Master Database'!$H44),N('Master Database'!$H44)&gt;=$H$7)),OR($I$7="",AND(ISNUMBER('Master Database'!$H44),N('Master Database'!$H44)&lt;=$I$7)),OR($H$8="",AND(ISNUMBER('Master Database'!$I44),N('Master Database'!$I44)&gt;=$H$8)),OR($I$8="",AND(ISNUMBER('Master Database'!$I44),N('Master Database'!$I44)&lt;=$I$8)),OR($H$9="",AND(ISNUMBER('Master Database'!$K44),N('Master Database'!$K44)&gt;=$H$9)),OR($I$9="",AND(ISNUMBER('Master Database'!$K44),N('Master Database'!$K44)&lt;=$I$9))),1,0))</f>
        <v>1</v>
      </c>
      <c r="BB44">
        <f>IF(BA44=1,COUNTIF($BA$5:BA44,1),"")</f>
        <v>40</v>
      </c>
    </row>
    <row r="45" spans="1:54">
      <c r="A45" s="20">
        <f>IF(30&lt;=SUM($BA$5:$BA$600),30,"")</f>
        <v>30</v>
      </c>
      <c r="B45" s="20">
        <f t="shared" si="0"/>
        <v>34</v>
      </c>
      <c r="C45" s="20">
        <f>IF($B45="","",IF(INDEX('Master Database'!$A$1:$A$600,$B45)="","",INDEX('Master Database'!$A$1:$A$600,$B45)))</f>
        <v>30</v>
      </c>
      <c r="D45" s="19" t="str">
        <f>IF($B45="","",IF(INDEX('Master Database'!$B$1:$B$600,$B45)="","",INDEX('Master Database'!$B$1:$B$600,$B45)))</f>
        <v>CLEAN WATER PUMPS</v>
      </c>
      <c r="E45" s="19" t="str">
        <f>IF($B45="","",IF(INDEX('Master Database'!$C$1:$C$600,$B45)="","",INDEX('Master Database'!$C$1:$C$600,$B45)))</f>
        <v>Gachsaran 4</v>
      </c>
      <c r="F45" s="19" t="str">
        <f>IF($B45="","",IF(INDEX('Master Database'!$D$1:$D$600,$B45)="","",INDEX('Master Database'!$D$1:$D$600,$B45)))</f>
        <v>P-703-A/B</v>
      </c>
      <c r="G45" s="19" t="str">
        <f>IF($B45="","",IF(INDEX('Master Database'!$E$1:$E$600,$B45)="","",INDEX('Master Database'!$E$1:$E$600,$B45)))</f>
        <v>ROT-WAT</v>
      </c>
      <c r="H45" s="19" t="str">
        <f>IF($B45="","",IF(INDEX('Master Database'!$F$1:$F$600,$B45)="","",INDEX('Master Database'!$F$1:$F$600,$B45)))</f>
        <v>Not stated</v>
      </c>
      <c r="I45" s="19" t="str">
        <f>IF($B45="","",IF(INDEX('Master Database'!$G$1:$G$600,$B45)="","",INDEX('Master Database'!$G$1:$G$600,$B45)))</f>
        <v>Not stated</v>
      </c>
      <c r="J45" s="46">
        <f>IF($B45="","",IF(INDEX('Master Database'!$H$1:$H$600,$B45)="","",INDEX('Master Database'!$H$1:$H$600,$B45)))</f>
        <v>11</v>
      </c>
      <c r="K45" s="46" t="str">
        <f>IF($B45="","",IF(INDEX('Master Database'!$I$1:$I$600,$B45)="","",INDEX('Master Database'!$I$1:$I$600,$B45)))</f>
        <v/>
      </c>
      <c r="L45" s="46">
        <f>IF($B45="","",IF(INDEX('Master Database'!$K$1:$K$600,$B45)="","",INDEX('Master Database'!$K$1:$K$600,$B45)))</f>
        <v>0.54</v>
      </c>
      <c r="M45" s="19" t="str">
        <f>IF($B45="","",IF(INDEX('Master Database'!$L$1:$L$600,$B45)="","",INDEX('Master Database'!$L$1:$L$600,$B45)))</f>
        <v>Not stated</v>
      </c>
      <c r="N45" s="19" t="str">
        <f>IF($B45="","",IF(INDEX('Master Database'!$P$1:$P$600,$B45)="","",INDEX('Master Database'!$P$1:$P$600,$B45)))</f>
        <v>Not stated</v>
      </c>
      <c r="O45" s="19" t="str">
        <f>IF($B45="","",IF(INDEX('Master Database'!$S$1:$S$600,$B45)="","",INDEX('Master Database'!$S$1:$S$600,$B45)))</f>
        <v>Electric Motor</v>
      </c>
      <c r="P45" s="19" t="str">
        <f>IF($B45="","",IF(INDEX('Master Database'!$T$1:$T$600,$B45)="","",INDEX('Master Database'!$T$1:$T$600,$B45)))</f>
        <v>Process / Dilution Water</v>
      </c>
      <c r="Q45" s="19">
        <f>IF($B45="","",IF(INDEX('Master Database'!$Y$1:$Y$600,$B45)="","",INDEX('Master Database'!$Y$1:$Y$600,$B45)))</f>
        <v>1402</v>
      </c>
      <c r="R45" s="19" t="str">
        <f>IF($B45="","",IF(INDEX('Master Database'!$Z$1:$Z$600,$B45)="","",INDEX('Master Database'!$Z$1:$Z$600,$B45)))</f>
        <v>EUR</v>
      </c>
      <c r="S45" s="47">
        <f>IF($B45="","",IF(INDEX('Master Database'!$AA$1:$AA$600,$B45)="","",INDEX('Master Database'!$AA$1:$AA$600,$B45)))</f>
        <v>29000</v>
      </c>
      <c r="T45" s="19" t="str">
        <f>IF($B45="","",IF(INDEX('Master Database'!$AE$1:$AE$600,$B45)="","",INDEX('Master Database'!$AE$1:$AE$600,$B45)))</f>
        <v>Consultant basic-design estimate – PEP Rev.1402/05, sheet P.ME «هزینه واحد بدون ضریب»; EUR figure (converted in the PEP at 420,000×1.085 IRR/EUR) | source label: AACE Class 2</v>
      </c>
      <c r="U45" s="47">
        <f>IF($B45="","",IF(INDEX('Master Database'!$AG$1:$AG$600,$B45)="","",INDEX('Master Database'!$AG$1:$AG$600,$B45)))</f>
        <v>30012.863623785124</v>
      </c>
      <c r="V45" s="47">
        <f>IF($B45="","",IF(INDEX('Master Database'!$AH$1:$AH$600,$B45)="","",INDEX('Master Database'!$AH$1:$AH$600,$B45)))</f>
        <v>31687.073640928906</v>
      </c>
      <c r="W45" s="47">
        <f>IF($B45="","",IF(INDEX('Master Database'!$AI$1:$AI$600,$B45)="","",INDEX('Master Database'!$AI$1:$AI$600,$B45)))</f>
        <v>20866983665.981834</v>
      </c>
      <c r="X45" s="19" t="str">
        <f>IF($B45="","",IF(INDEX('Master Database'!$BG$1:$BG$600,$B45)="","",INDEX('Master Database'!$BG$1:$BG$600,$B45)))</f>
        <v>Y</v>
      </c>
      <c r="BA45">
        <f>IF('Master Database'!$A45="",0,IF(AND(OR($B$5="",ISNUMBER(SEARCH($B$5,'Master Database'!$B45&amp;" "&amp;'Master Database'!$D45))),OR($B$6="(All)",'Master Database'!$C45=$B$6),OR($B$7="(All)",'Master Database'!$E45=$B$7),OR($B$8="(All)",'Master Database'!$T45=$B$8),OR($B$9="(All)",'Master Database'!$M45=$B$9),OR($B$10="(All)",'Master Database'!$V45=$B$10),OR($E$5="(All)",'Master Database'!$F45=$E$5),OR($E$6="(All)",'Master Database'!$G45=$E$6),OR($E$7="(All)",'Master Database'!$O45=$E$7),OR($E$8="(All)",'Master Database'!$P45=$E$8),OR($E$9="(All)",'Master Database'!$S45=$E$9),OR($E$10="(All)",'Master Database'!$Y45&amp;""=$E$10&amp;""),OR($H$5="(All)",'Master Database'!$BG45=$H$5),OR($H$6&lt;&gt;"Y",ISNUMBER('Master Database'!$AG45)),OR($H$7="",AND(ISNUMBER('Master Database'!$H45),N('Master Database'!$H45)&gt;=$H$7)),OR($I$7="",AND(ISNUMBER('Master Database'!$H45),N('Master Database'!$H45)&lt;=$I$7)),OR($H$8="",AND(ISNUMBER('Master Database'!$I45),N('Master Database'!$I45)&gt;=$H$8)),OR($I$8="",AND(ISNUMBER('Master Database'!$I45),N('Master Database'!$I45)&lt;=$I$8)),OR($H$9="",AND(ISNUMBER('Master Database'!$K45),N('Master Database'!$K45)&gt;=$H$9)),OR($I$9="",AND(ISNUMBER('Master Database'!$K45),N('Master Database'!$K45)&lt;=$I$9))),1,0))</f>
        <v>1</v>
      </c>
      <c r="BB45">
        <f>IF(BA45=1,COUNTIF($BA$5:BA45,1),"")</f>
        <v>41</v>
      </c>
    </row>
    <row r="46" spans="1:54">
      <c r="A46" s="20">
        <f>IF(31&lt;=SUM($BA$5:$BA$600),31,"")</f>
        <v>31</v>
      </c>
      <c r="B46" s="20">
        <f t="shared" si="0"/>
        <v>35</v>
      </c>
      <c r="C46" s="20">
        <f>IF($B46="","",IF(INDEX('Master Database'!$A$1:$A$600,$B46)="","",INDEX('Master Database'!$A$1:$A$600,$B46)))</f>
        <v>31</v>
      </c>
      <c r="D46" s="19" t="str">
        <f>IF($B46="","",IF(INDEX('Master Database'!$B$1:$B$600,$B46)="","",INDEX('Master Database'!$B$1:$B$600,$B46)))</f>
        <v>RECOVERED WASTE OIL PUMPS</v>
      </c>
      <c r="E46" s="19" t="str">
        <f>IF($B46="","",IF(INDEX('Master Database'!$C$1:$C$600,$B46)="","",INDEX('Master Database'!$C$1:$C$600,$B46)))</f>
        <v>Gachsaran 4</v>
      </c>
      <c r="F46" s="19" t="str">
        <f>IF($B46="","",IF(INDEX('Master Database'!$D$1:$D$600,$B46)="","",INDEX('Master Database'!$D$1:$D$600,$B46)))</f>
        <v>P-704-A/B</v>
      </c>
      <c r="G46" s="19" t="str">
        <f>IF($B46="","",IF(INDEX('Master Database'!$E$1:$E$600,$B46)="","",INDEX('Master Database'!$E$1:$E$600,$B46)))</f>
        <v>ROT-DRN</v>
      </c>
      <c r="H46" s="19" t="str">
        <f>IF($B46="","",IF(INDEX('Master Database'!$F$1:$F$600,$B46)="","",INDEX('Master Database'!$F$1:$F$600,$B46)))</f>
        <v>Not stated</v>
      </c>
      <c r="I46" s="19" t="str">
        <f>IF($B46="","",IF(INDEX('Master Database'!$G$1:$G$600,$B46)="","",INDEX('Master Database'!$G$1:$G$600,$B46)))</f>
        <v>Not stated</v>
      </c>
      <c r="J46" s="46">
        <f>IF($B46="","",IF(INDEX('Master Database'!$H$1:$H$600,$B46)="","",INDEX('Master Database'!$H$1:$H$600,$B46)))</f>
        <v>11</v>
      </c>
      <c r="K46" s="46" t="str">
        <f>IF($B46="","",IF(INDEX('Master Database'!$I$1:$I$600,$B46)="","",INDEX('Master Database'!$I$1:$I$600,$B46)))</f>
        <v/>
      </c>
      <c r="L46" s="46">
        <f>IF($B46="","",IF(INDEX('Master Database'!$K$1:$K$600,$B46)="","",INDEX('Master Database'!$K$1:$K$600,$B46)))</f>
        <v>0.8</v>
      </c>
      <c r="M46" s="19" t="str">
        <f>IF($B46="","",IF(INDEX('Master Database'!$L$1:$L$600,$B46)="","",INDEX('Master Database'!$L$1:$L$600,$B46)))</f>
        <v>Not stated</v>
      </c>
      <c r="N46" s="19" t="str">
        <f>IF($B46="","",IF(INDEX('Master Database'!$P$1:$P$600,$B46)="","",INDEX('Master Database'!$P$1:$P$600,$B46)))</f>
        <v>Not stated</v>
      </c>
      <c r="O46" s="19" t="str">
        <f>IF($B46="","",IF(INDEX('Master Database'!$S$1:$S$600,$B46)="","",INDEX('Master Database'!$S$1:$S$600,$B46)))</f>
        <v>Electric Motor</v>
      </c>
      <c r="P46" s="19" t="str">
        <f>IF($B46="","",IF(INDEX('Master Database'!$T$1:$T$600,$B46)="","",INDEX('Master Database'!$T$1:$T$600,$B46)))</f>
        <v>Slop / Dirty Oil</v>
      </c>
      <c r="Q46" s="19">
        <f>IF($B46="","",IF(INDEX('Master Database'!$Y$1:$Y$600,$B46)="","",INDEX('Master Database'!$Y$1:$Y$600,$B46)))</f>
        <v>1402</v>
      </c>
      <c r="R46" s="19" t="str">
        <f>IF($B46="","",IF(INDEX('Master Database'!$Z$1:$Z$600,$B46)="","",INDEX('Master Database'!$Z$1:$Z$600,$B46)))</f>
        <v>EUR</v>
      </c>
      <c r="S46" s="47">
        <f>IF($B46="","",IF(INDEX('Master Database'!$AA$1:$AA$600,$B46)="","",INDEX('Master Database'!$AA$1:$AA$600,$B46)))</f>
        <v>35000</v>
      </c>
      <c r="T46" s="19" t="str">
        <f>IF($B46="","",IF(INDEX('Master Database'!$AE$1:$AE$600,$B46)="","",INDEX('Master Database'!$AE$1:$AE$600,$B46)))</f>
        <v>Consultant basic-design estimate – PEP Rev.1402/05, sheet P.ME «هزینه واحد بدون ضریب»; EUR figure (converted in the PEP at 420,000×1.085 IRR/EUR) | source label: AACE Class 2</v>
      </c>
      <c r="U46" s="47">
        <f>IF($B46="","",IF(INDEX('Master Database'!$AG$1:$AG$600,$B46)="","",INDEX('Master Database'!$AG$1:$AG$600,$B46)))</f>
        <v>36222.421614913081</v>
      </c>
      <c r="V46" s="47">
        <f>IF($B46="","",IF(INDEX('Master Database'!$AH$1:$AH$600,$B46)="","",INDEX('Master Database'!$AH$1:$AH$600,$B46)))</f>
        <v>38243.019911465919</v>
      </c>
      <c r="W46" s="47">
        <f>IF($B46="","",IF(INDEX('Master Database'!$AI$1:$AI$600,$B46)="","",INDEX('Master Database'!$AI$1:$AI$600,$B46)))</f>
        <v>25184290631.357388</v>
      </c>
      <c r="X46" s="19" t="str">
        <f>IF($B46="","",IF(INDEX('Master Database'!$BG$1:$BG$600,$B46)="","",INDEX('Master Database'!$BG$1:$BG$600,$B46)))</f>
        <v>Y</v>
      </c>
      <c r="BA46">
        <f>IF('Master Database'!$A46="",0,IF(AND(OR($B$5="",ISNUMBER(SEARCH($B$5,'Master Database'!$B46&amp;" "&amp;'Master Database'!$D46))),OR($B$6="(All)",'Master Database'!$C46=$B$6),OR($B$7="(All)",'Master Database'!$E46=$B$7),OR($B$8="(All)",'Master Database'!$T46=$B$8),OR($B$9="(All)",'Master Database'!$M46=$B$9),OR($B$10="(All)",'Master Database'!$V46=$B$10),OR($E$5="(All)",'Master Database'!$F46=$E$5),OR($E$6="(All)",'Master Database'!$G46=$E$6),OR($E$7="(All)",'Master Database'!$O46=$E$7),OR($E$8="(All)",'Master Database'!$P46=$E$8),OR($E$9="(All)",'Master Database'!$S46=$E$9),OR($E$10="(All)",'Master Database'!$Y46&amp;""=$E$10&amp;""),OR($H$5="(All)",'Master Database'!$BG46=$H$5),OR($H$6&lt;&gt;"Y",ISNUMBER('Master Database'!$AG46)),OR($H$7="",AND(ISNUMBER('Master Database'!$H46),N('Master Database'!$H46)&gt;=$H$7)),OR($I$7="",AND(ISNUMBER('Master Database'!$H46),N('Master Database'!$H46)&lt;=$I$7)),OR($H$8="",AND(ISNUMBER('Master Database'!$I46),N('Master Database'!$I46)&gt;=$H$8)),OR($I$8="",AND(ISNUMBER('Master Database'!$I46),N('Master Database'!$I46)&lt;=$I$8)),OR($H$9="",AND(ISNUMBER('Master Database'!$K46),N('Master Database'!$K46)&gt;=$H$9)),OR($I$9="",AND(ISNUMBER('Master Database'!$K46),N('Master Database'!$K46)&lt;=$I$9))),1,0))</f>
        <v>1</v>
      </c>
      <c r="BB46">
        <f>IF(BA46=1,COUNTIF($BA$5:BA46,1),"")</f>
        <v>42</v>
      </c>
    </row>
    <row r="47" spans="1:54">
      <c r="A47" s="20">
        <f>IF(32&lt;=SUM($BA$5:$BA$600),32,"")</f>
        <v>32</v>
      </c>
      <c r="B47" s="20">
        <f t="shared" si="0"/>
        <v>36</v>
      </c>
      <c r="C47" s="20">
        <f>IF($B47="","",IF(INDEX('Master Database'!$A$1:$A$600,$B47)="","",INDEX('Master Database'!$A$1:$A$600,$B47)))</f>
        <v>32</v>
      </c>
      <c r="D47" s="19" t="str">
        <f>IF($B47="","",IF(INDEX('Master Database'!$B$1:$B$600,$B47)="","",INDEX('Master Database'!$B$1:$B$600,$B47)))</f>
        <v>OILY WATER SEPARATOR PUMP</v>
      </c>
      <c r="E47" s="19" t="str">
        <f>IF($B47="","",IF(INDEX('Master Database'!$C$1:$C$600,$B47)="","",INDEX('Master Database'!$C$1:$C$600,$B47)))</f>
        <v>Gachsaran 4</v>
      </c>
      <c r="F47" s="19" t="str">
        <f>IF($B47="","",IF(INDEX('Master Database'!$D$1:$D$600,$B47)="","",INDEX('Master Database'!$D$1:$D$600,$B47)))</f>
        <v>P-750</v>
      </c>
      <c r="G47" s="19" t="str">
        <f>IF($B47="","",IF(INDEX('Master Database'!$E$1:$E$600,$B47)="","",INDEX('Master Database'!$E$1:$E$600,$B47)))</f>
        <v>ROT-DRN</v>
      </c>
      <c r="H47" s="19" t="str">
        <f>IF($B47="","",IF(INDEX('Master Database'!$F$1:$F$600,$B47)="","",INDEX('Master Database'!$F$1:$F$600,$B47)))</f>
        <v>Not stated</v>
      </c>
      <c r="I47" s="19" t="str">
        <f>IF($B47="","",IF(INDEX('Master Database'!$G$1:$G$600,$B47)="","",INDEX('Master Database'!$G$1:$G$600,$B47)))</f>
        <v>Not stated</v>
      </c>
      <c r="J47" s="46">
        <f>IF($B47="","",IF(INDEX('Master Database'!$H$1:$H$600,$B47)="","",INDEX('Master Database'!$H$1:$H$600,$B47)))</f>
        <v>1</v>
      </c>
      <c r="K47" s="46" t="str">
        <f>IF($B47="","",IF(INDEX('Master Database'!$I$1:$I$600,$B47)="","",INDEX('Master Database'!$I$1:$I$600,$B47)))</f>
        <v/>
      </c>
      <c r="L47" s="46">
        <f>IF($B47="","",IF(INDEX('Master Database'!$K$1:$K$600,$B47)="","",INDEX('Master Database'!$K$1:$K$600,$B47)))</f>
        <v>0.02</v>
      </c>
      <c r="M47" s="19" t="str">
        <f>IF($B47="","",IF(INDEX('Master Database'!$L$1:$L$600,$B47)="","",INDEX('Master Database'!$L$1:$L$600,$B47)))</f>
        <v>Not stated</v>
      </c>
      <c r="N47" s="19" t="str">
        <f>IF($B47="","",IF(INDEX('Master Database'!$P$1:$P$600,$B47)="","",INDEX('Master Database'!$P$1:$P$600,$B47)))</f>
        <v>Not stated</v>
      </c>
      <c r="O47" s="19" t="str">
        <f>IF($B47="","",IF(INDEX('Master Database'!$S$1:$S$600,$B47)="","",INDEX('Master Database'!$S$1:$S$600,$B47)))</f>
        <v>Electric Motor</v>
      </c>
      <c r="P47" s="19" t="str">
        <f>IF($B47="","",IF(INDEX('Master Database'!$T$1:$T$600,$B47)="","",INDEX('Master Database'!$T$1:$T$600,$B47)))</f>
        <v>Oily Water / Drain</v>
      </c>
      <c r="Q47" s="19">
        <f>IF($B47="","",IF(INDEX('Master Database'!$Y$1:$Y$600,$B47)="","",INDEX('Master Database'!$Y$1:$Y$600,$B47)))</f>
        <v>1402</v>
      </c>
      <c r="R47" s="19" t="str">
        <f>IF($B47="","",IF(INDEX('Master Database'!$Z$1:$Z$600,$B47)="","",INDEX('Master Database'!$Z$1:$Z$600,$B47)))</f>
        <v>EUR</v>
      </c>
      <c r="S47" s="47">
        <f>IF($B47="","",IF(INDEX('Master Database'!$AA$1:$AA$600,$B47)="","",INDEX('Master Database'!$AA$1:$AA$600,$B47)))</f>
        <v>13350</v>
      </c>
      <c r="T47" s="19" t="str">
        <f>IF($B47="","",IF(INDEX('Master Database'!$AE$1:$AE$600,$B47)="","",INDEX('Master Database'!$AE$1:$AE$600,$B47)))</f>
        <v>Consultant basic-design estimate – PEP Rev.1402/05, sheet P.ME «هزینه واحد بدون ضریب»; EUR figure (converted in the PEP at 420,000×1.085 IRR/EUR) | source label: AACE Class 2</v>
      </c>
      <c r="U47" s="47">
        <f>IF($B47="","",IF(INDEX('Master Database'!$AG$1:$AG$600,$B47)="","",INDEX('Master Database'!$AG$1:$AG$600,$B47)))</f>
        <v>13816.266530259703</v>
      </c>
      <c r="V47" s="47">
        <f>IF($B47="","",IF(INDEX('Master Database'!$AH$1:$AH$600,$B47)="","",INDEX('Master Database'!$AH$1:$AH$600,$B47)))</f>
        <v>14586.980451944859</v>
      </c>
      <c r="W47" s="47">
        <f>IF($B47="","",IF(INDEX('Master Database'!$AI$1:$AI$600,$B47)="","",INDEX('Master Database'!$AI$1:$AI$600,$B47)))</f>
        <v>9606007997.9606037</v>
      </c>
      <c r="X47" s="19" t="str">
        <f>IF($B47="","",IF(INDEX('Master Database'!$BG$1:$BG$600,$B47)="","",INDEX('Master Database'!$BG$1:$BG$600,$B47)))</f>
        <v>Y</v>
      </c>
      <c r="BA47">
        <f>IF('Master Database'!$A47="",0,IF(AND(OR($B$5="",ISNUMBER(SEARCH($B$5,'Master Database'!$B47&amp;" "&amp;'Master Database'!$D47))),OR($B$6="(All)",'Master Database'!$C47=$B$6),OR($B$7="(All)",'Master Database'!$E47=$B$7),OR($B$8="(All)",'Master Database'!$T47=$B$8),OR($B$9="(All)",'Master Database'!$M47=$B$9),OR($B$10="(All)",'Master Database'!$V47=$B$10),OR($E$5="(All)",'Master Database'!$F47=$E$5),OR($E$6="(All)",'Master Database'!$G47=$E$6),OR($E$7="(All)",'Master Database'!$O47=$E$7),OR($E$8="(All)",'Master Database'!$P47=$E$8),OR($E$9="(All)",'Master Database'!$S47=$E$9),OR($E$10="(All)",'Master Database'!$Y47&amp;""=$E$10&amp;""),OR($H$5="(All)",'Master Database'!$BG47=$H$5),OR($H$6&lt;&gt;"Y",ISNUMBER('Master Database'!$AG47)),OR($H$7="",AND(ISNUMBER('Master Database'!$H47),N('Master Database'!$H47)&gt;=$H$7)),OR($I$7="",AND(ISNUMBER('Master Database'!$H47),N('Master Database'!$H47)&lt;=$I$7)),OR($H$8="",AND(ISNUMBER('Master Database'!$I47),N('Master Database'!$I47)&gt;=$H$8)),OR($I$8="",AND(ISNUMBER('Master Database'!$I47),N('Master Database'!$I47)&lt;=$I$8)),OR($H$9="",AND(ISNUMBER('Master Database'!$K47),N('Master Database'!$K47)&gt;=$H$9)),OR($I$9="",AND(ISNUMBER('Master Database'!$K47),N('Master Database'!$K47)&lt;=$I$9))),1,0))</f>
        <v>1</v>
      </c>
      <c r="BB47">
        <f>IF(BA47=1,COUNTIF($BA$5:BA47,1),"")</f>
        <v>43</v>
      </c>
    </row>
    <row r="48" spans="1:54">
      <c r="A48" s="20">
        <f>IF(33&lt;=SUM($BA$5:$BA$600),33,"")</f>
        <v>33</v>
      </c>
      <c r="B48" s="20">
        <f t="shared" ref="B48:B79" si="1">IF(A48="","",MATCH(A48,$BB$5:$BB$600,0)+4)</f>
        <v>37</v>
      </c>
      <c r="C48" s="20">
        <f>IF($B48="","",IF(INDEX('Master Database'!$A$1:$A$600,$B48)="","",INDEX('Master Database'!$A$1:$A$600,$B48)))</f>
        <v>33</v>
      </c>
      <c r="D48" s="19" t="str">
        <f>IF($B48="","",IF(INDEX('Master Database'!$B$1:$B$600,$B48)="","",INDEX('Master Database'!$B$1:$B$600,$B48)))</f>
        <v>DIRTY OIL PUMPS</v>
      </c>
      <c r="E48" s="19" t="str">
        <f>IF($B48="","",IF(INDEX('Master Database'!$C$1:$C$600,$B48)="","",INDEX('Master Database'!$C$1:$C$600,$B48)))</f>
        <v>Gachsaran 4</v>
      </c>
      <c r="F48" s="19" t="str">
        <f>IF($B48="","",IF(INDEX('Master Database'!$D$1:$D$600,$B48)="","",INDEX('Master Database'!$D$1:$D$600,$B48)))</f>
        <v>P-705-A/B</v>
      </c>
      <c r="G48" s="19" t="str">
        <f>IF($B48="","",IF(INDEX('Master Database'!$E$1:$E$600,$B48)="","",INDEX('Master Database'!$E$1:$E$600,$B48)))</f>
        <v>ROT-DRN</v>
      </c>
      <c r="H48" s="19" t="str">
        <f>IF($B48="","",IF(INDEX('Master Database'!$F$1:$F$600,$B48)="","",INDEX('Master Database'!$F$1:$F$600,$B48)))</f>
        <v>Not stated</v>
      </c>
      <c r="I48" s="19" t="str">
        <f>IF($B48="","",IF(INDEX('Master Database'!$G$1:$G$600,$B48)="","",INDEX('Master Database'!$G$1:$G$600,$B48)))</f>
        <v>Not stated</v>
      </c>
      <c r="J48" s="46">
        <f>IF($B48="","",IF(INDEX('Master Database'!$H$1:$H$600,$B48)="","",INDEX('Master Database'!$H$1:$H$600,$B48)))</f>
        <v>5</v>
      </c>
      <c r="K48" s="46" t="str">
        <f>IF($B48="","",IF(INDEX('Master Database'!$I$1:$I$600,$B48)="","",INDEX('Master Database'!$I$1:$I$600,$B48)))</f>
        <v/>
      </c>
      <c r="L48" s="46">
        <f>IF($B48="","",IF(INDEX('Master Database'!$K$1:$K$600,$B48)="","",INDEX('Master Database'!$K$1:$K$600,$B48)))</f>
        <v>0.3</v>
      </c>
      <c r="M48" s="19" t="str">
        <f>IF($B48="","",IF(INDEX('Master Database'!$L$1:$L$600,$B48)="","",INDEX('Master Database'!$L$1:$L$600,$B48)))</f>
        <v>Not stated</v>
      </c>
      <c r="N48" s="19" t="str">
        <f>IF($B48="","",IF(INDEX('Master Database'!$P$1:$P$600,$B48)="","",INDEX('Master Database'!$P$1:$P$600,$B48)))</f>
        <v>Not stated</v>
      </c>
      <c r="O48" s="19" t="str">
        <f>IF($B48="","",IF(INDEX('Master Database'!$S$1:$S$600,$B48)="","",INDEX('Master Database'!$S$1:$S$600,$B48)))</f>
        <v>Electric Motor</v>
      </c>
      <c r="P48" s="19" t="str">
        <f>IF($B48="","",IF(INDEX('Master Database'!$T$1:$T$600,$B48)="","",INDEX('Master Database'!$T$1:$T$600,$B48)))</f>
        <v>Slop / Dirty Oil</v>
      </c>
      <c r="Q48" s="19">
        <f>IF($B48="","",IF(INDEX('Master Database'!$Y$1:$Y$600,$B48)="","",INDEX('Master Database'!$Y$1:$Y$600,$B48)))</f>
        <v>1402</v>
      </c>
      <c r="R48" s="19" t="str">
        <f>IF($B48="","",IF(INDEX('Master Database'!$Z$1:$Z$600,$B48)="","",INDEX('Master Database'!$Z$1:$Z$600,$B48)))</f>
        <v>EUR</v>
      </c>
      <c r="S48" s="47">
        <f>IF($B48="","",IF(INDEX('Master Database'!$AA$1:$AA$600,$B48)="","",INDEX('Master Database'!$AA$1:$AA$600,$B48)))</f>
        <v>31000</v>
      </c>
      <c r="T48" s="19" t="str">
        <f>IF($B48="","",IF(INDEX('Master Database'!$AE$1:$AE$600,$B48)="","",INDEX('Master Database'!$AE$1:$AE$600,$B48)))</f>
        <v>Consultant basic-design estimate – PEP Rev.1402/05, sheet P.ME «هزینه واحد بدون ضریب»; EUR figure (converted in the PEP at 420,000×1.085 IRR/EUR) | source label: AACE Class 2</v>
      </c>
      <c r="U48" s="47">
        <f>IF($B48="","",IF(INDEX('Master Database'!$AG$1:$AG$600,$B48)="","",INDEX('Master Database'!$AG$1:$AG$600,$B48)))</f>
        <v>32082.716287494444</v>
      </c>
      <c r="V48" s="47">
        <f>IF($B48="","",IF(INDEX('Master Database'!$AH$1:$AH$600,$B48)="","",INDEX('Master Database'!$AH$1:$AH$600,$B48)))</f>
        <v>33872.389064441246</v>
      </c>
      <c r="W48" s="47">
        <f>IF($B48="","",IF(INDEX('Master Database'!$AI$1:$AI$600,$B48)="","",INDEX('Master Database'!$AI$1:$AI$600,$B48)))</f>
        <v>22306085987.773685</v>
      </c>
      <c r="X48" s="19" t="str">
        <f>IF($B48="","",IF(INDEX('Master Database'!$BG$1:$BG$600,$B48)="","",INDEX('Master Database'!$BG$1:$BG$600,$B48)))</f>
        <v>Y</v>
      </c>
      <c r="BA48">
        <f>IF('Master Database'!$A48="",0,IF(AND(OR($B$5="",ISNUMBER(SEARCH($B$5,'Master Database'!$B48&amp;" "&amp;'Master Database'!$D48))),OR($B$6="(All)",'Master Database'!$C48=$B$6),OR($B$7="(All)",'Master Database'!$E48=$B$7),OR($B$8="(All)",'Master Database'!$T48=$B$8),OR($B$9="(All)",'Master Database'!$M48=$B$9),OR($B$10="(All)",'Master Database'!$V48=$B$10),OR($E$5="(All)",'Master Database'!$F48=$E$5),OR($E$6="(All)",'Master Database'!$G48=$E$6),OR($E$7="(All)",'Master Database'!$O48=$E$7),OR($E$8="(All)",'Master Database'!$P48=$E$8),OR($E$9="(All)",'Master Database'!$S48=$E$9),OR($E$10="(All)",'Master Database'!$Y48&amp;""=$E$10&amp;""),OR($H$5="(All)",'Master Database'!$BG48=$H$5),OR($H$6&lt;&gt;"Y",ISNUMBER('Master Database'!$AG48)),OR($H$7="",AND(ISNUMBER('Master Database'!$H48),N('Master Database'!$H48)&gt;=$H$7)),OR($I$7="",AND(ISNUMBER('Master Database'!$H48),N('Master Database'!$H48)&lt;=$I$7)),OR($H$8="",AND(ISNUMBER('Master Database'!$I48),N('Master Database'!$I48)&gt;=$H$8)),OR($I$8="",AND(ISNUMBER('Master Database'!$I48),N('Master Database'!$I48)&lt;=$I$8)),OR($H$9="",AND(ISNUMBER('Master Database'!$K48),N('Master Database'!$K48)&gt;=$H$9)),OR($I$9="",AND(ISNUMBER('Master Database'!$K48),N('Master Database'!$K48)&lt;=$I$9))),1,0))</f>
        <v>1</v>
      </c>
      <c r="BB48">
        <f>IF(BA48=1,COUNTIF($BA$5:BA48,1),"")</f>
        <v>44</v>
      </c>
    </row>
    <row r="49" spans="1:54">
      <c r="A49" s="20">
        <f>IF(34&lt;=SUM($BA$5:$BA$600),34,"")</f>
        <v>34</v>
      </c>
      <c r="B49" s="20">
        <f t="shared" si="1"/>
        <v>38</v>
      </c>
      <c r="C49" s="20">
        <f>IF($B49="","",IF(INDEX('Master Database'!$A$1:$A$600,$B49)="","",INDEX('Master Database'!$A$1:$A$600,$B49)))</f>
        <v>34</v>
      </c>
      <c r="D49" s="19" t="str">
        <f>IF($B49="","",IF(INDEX('Master Database'!$B$1:$B$600,$B49)="","",INDEX('Master Database'!$B$1:$B$600,$B49)))</f>
        <v>RECOVERED WASTE WATER  PUMPS</v>
      </c>
      <c r="E49" s="19" t="str">
        <f>IF($B49="","",IF(INDEX('Master Database'!$C$1:$C$600,$B49)="","",INDEX('Master Database'!$C$1:$C$600,$B49)))</f>
        <v>Gachsaran 4</v>
      </c>
      <c r="F49" s="19" t="str">
        <f>IF($B49="","",IF(INDEX('Master Database'!$D$1:$D$600,$B49)="","",INDEX('Master Database'!$D$1:$D$600,$B49)))</f>
        <v>P-706-A/B</v>
      </c>
      <c r="G49" s="19" t="str">
        <f>IF($B49="","",IF(INDEX('Master Database'!$E$1:$E$600,$B49)="","",INDEX('Master Database'!$E$1:$E$600,$B49)))</f>
        <v>ROT-INJ</v>
      </c>
      <c r="H49" s="19" t="str">
        <f>IF($B49="","",IF(INDEX('Master Database'!$F$1:$F$600,$B49)="","",INDEX('Master Database'!$F$1:$F$600,$B49)))</f>
        <v>Not stated</v>
      </c>
      <c r="I49" s="19" t="str">
        <f>IF($B49="","",IF(INDEX('Master Database'!$G$1:$G$600,$B49)="","",INDEX('Master Database'!$G$1:$G$600,$B49)))</f>
        <v>Not stated</v>
      </c>
      <c r="J49" s="46">
        <f>IF($B49="","",IF(INDEX('Master Database'!$H$1:$H$600,$B49)="","",INDEX('Master Database'!$H$1:$H$600,$B49)))</f>
        <v>33</v>
      </c>
      <c r="K49" s="46" t="str">
        <f>IF($B49="","",IF(INDEX('Master Database'!$I$1:$I$600,$B49)="","",INDEX('Master Database'!$I$1:$I$600,$B49)))</f>
        <v/>
      </c>
      <c r="L49" s="46">
        <f>IF($B49="","",IF(INDEX('Master Database'!$K$1:$K$600,$B49)="","",INDEX('Master Database'!$K$1:$K$600,$B49)))</f>
        <v>1.35</v>
      </c>
      <c r="M49" s="19" t="str">
        <f>IF($B49="","",IF(INDEX('Master Database'!$L$1:$L$600,$B49)="","",INDEX('Master Database'!$L$1:$L$600,$B49)))</f>
        <v>Not stated</v>
      </c>
      <c r="N49" s="19" t="str">
        <f>IF($B49="","",IF(INDEX('Master Database'!$P$1:$P$600,$B49)="","",INDEX('Master Database'!$P$1:$P$600,$B49)))</f>
        <v>Not stated</v>
      </c>
      <c r="O49" s="19" t="str">
        <f>IF($B49="","",IF(INDEX('Master Database'!$S$1:$S$600,$B49)="","",INDEX('Master Database'!$S$1:$S$600,$B49)))</f>
        <v>Electric Motor</v>
      </c>
      <c r="P49" s="19" t="str">
        <f>IF($B49="","",IF(INDEX('Master Database'!$T$1:$T$600,$B49)="","",INDEX('Master Database'!$T$1:$T$600,$B49)))</f>
        <v>Produced / Disposal Water</v>
      </c>
      <c r="Q49" s="19">
        <f>IF($B49="","",IF(INDEX('Master Database'!$Y$1:$Y$600,$B49)="","",INDEX('Master Database'!$Y$1:$Y$600,$B49)))</f>
        <v>1402</v>
      </c>
      <c r="R49" s="19" t="str">
        <f>IF($B49="","",IF(INDEX('Master Database'!$Z$1:$Z$600,$B49)="","",INDEX('Master Database'!$Z$1:$Z$600,$B49)))</f>
        <v>EUR</v>
      </c>
      <c r="S49" s="47">
        <f>IF($B49="","",IF(INDEX('Master Database'!$AA$1:$AA$600,$B49)="","",INDEX('Master Database'!$AA$1:$AA$600,$B49)))</f>
        <v>28000</v>
      </c>
      <c r="T49" s="19" t="str">
        <f>IF($B49="","",IF(INDEX('Master Database'!$AE$1:$AE$600,$B49)="","",INDEX('Master Database'!$AE$1:$AE$600,$B49)))</f>
        <v>Consultant basic-design estimate – PEP Rev.1402/05, sheet P.ME «هزینه واحد بدون ضریب»; EUR figure (converted in the PEP at 420,000×1.085 IRR/EUR) | source label: AACE Class 2</v>
      </c>
      <c r="U49" s="47">
        <f>IF($B49="","",IF(INDEX('Master Database'!$AG$1:$AG$600,$B49)="","",INDEX('Master Database'!$AG$1:$AG$600,$B49)))</f>
        <v>28977.937291930466</v>
      </c>
      <c r="V49" s="47">
        <f>IF($B49="","",IF(INDEX('Master Database'!$AH$1:$AH$600,$B49)="","",INDEX('Master Database'!$AH$1:$AH$600,$B49)))</f>
        <v>30594.415929172737</v>
      </c>
      <c r="W49" s="47">
        <f>IF($B49="","",IF(INDEX('Master Database'!$AI$1:$AI$600,$B49)="","",INDEX('Master Database'!$AI$1:$AI$600,$B49)))</f>
        <v>20147432505.085911</v>
      </c>
      <c r="X49" s="19" t="str">
        <f>IF($B49="","",IF(INDEX('Master Database'!$BG$1:$BG$600,$B49)="","",INDEX('Master Database'!$BG$1:$BG$600,$B49)))</f>
        <v>Y</v>
      </c>
      <c r="BA49">
        <f>IF('Master Database'!$A49="",0,IF(AND(OR($B$5="",ISNUMBER(SEARCH($B$5,'Master Database'!$B49&amp;" "&amp;'Master Database'!$D49))),OR($B$6="(All)",'Master Database'!$C49=$B$6),OR($B$7="(All)",'Master Database'!$E49=$B$7),OR($B$8="(All)",'Master Database'!$T49=$B$8),OR($B$9="(All)",'Master Database'!$M49=$B$9),OR($B$10="(All)",'Master Database'!$V49=$B$10),OR($E$5="(All)",'Master Database'!$F49=$E$5),OR($E$6="(All)",'Master Database'!$G49=$E$6),OR($E$7="(All)",'Master Database'!$O49=$E$7),OR($E$8="(All)",'Master Database'!$P49=$E$8),OR($E$9="(All)",'Master Database'!$S49=$E$9),OR($E$10="(All)",'Master Database'!$Y49&amp;""=$E$10&amp;""),OR($H$5="(All)",'Master Database'!$BG49=$H$5),OR($H$6&lt;&gt;"Y",ISNUMBER('Master Database'!$AG49)),OR($H$7="",AND(ISNUMBER('Master Database'!$H49),N('Master Database'!$H49)&gt;=$H$7)),OR($I$7="",AND(ISNUMBER('Master Database'!$H49),N('Master Database'!$H49)&lt;=$I$7)),OR($H$8="",AND(ISNUMBER('Master Database'!$I49),N('Master Database'!$I49)&gt;=$H$8)),OR($I$8="",AND(ISNUMBER('Master Database'!$I49),N('Master Database'!$I49)&lt;=$I$8)),OR($H$9="",AND(ISNUMBER('Master Database'!$K49),N('Master Database'!$K49)&gt;=$H$9)),OR($I$9="",AND(ISNUMBER('Master Database'!$K49),N('Master Database'!$K49)&lt;=$I$9))),1,0))</f>
        <v>1</v>
      </c>
      <c r="BB49">
        <f>IF(BA49=1,COUNTIF($BA$5:BA49,1),"")</f>
        <v>45</v>
      </c>
    </row>
    <row r="50" spans="1:54">
      <c r="A50" s="20">
        <f>IF(35&lt;=SUM($BA$5:$BA$600),35,"")</f>
        <v>35</v>
      </c>
      <c r="B50" s="20">
        <f t="shared" si="1"/>
        <v>39</v>
      </c>
      <c r="C50" s="20">
        <f>IF($B50="","",IF(INDEX('Master Database'!$A$1:$A$600,$B50)="","",INDEX('Master Database'!$A$1:$A$600,$B50)))</f>
        <v>35</v>
      </c>
      <c r="D50" s="19" t="str">
        <f>IF($B50="","",IF(INDEX('Master Database'!$B$1:$B$600,$B50)="","",INDEX('Master Database'!$B$1:$B$600,$B50)))</f>
        <v>DIESEL OIL PUMP</v>
      </c>
      <c r="E50" s="19" t="str">
        <f>IF($B50="","",IF(INDEX('Master Database'!$C$1:$C$600,$B50)="","",INDEX('Master Database'!$C$1:$C$600,$B50)))</f>
        <v>Gachsaran 4</v>
      </c>
      <c r="F50" s="19" t="str">
        <f>IF($B50="","",IF(INDEX('Master Database'!$D$1:$D$600,$B50)="","",INDEX('Master Database'!$D$1:$D$600,$B50)))</f>
        <v>P-801</v>
      </c>
      <c r="G50" s="19" t="str">
        <f>IF($B50="","",IF(INDEX('Master Database'!$E$1:$E$600,$B50)="","",INDEX('Master Database'!$E$1:$E$600,$B50)))</f>
        <v>ROT-AUX</v>
      </c>
      <c r="H50" s="19" t="str">
        <f>IF($B50="","",IF(INDEX('Master Database'!$F$1:$F$600,$B50)="","",INDEX('Master Database'!$F$1:$F$600,$B50)))</f>
        <v>Not stated</v>
      </c>
      <c r="I50" s="19" t="str">
        <f>IF($B50="","",IF(INDEX('Master Database'!$G$1:$G$600,$B50)="","",INDEX('Master Database'!$G$1:$G$600,$B50)))</f>
        <v>Not stated</v>
      </c>
      <c r="J50" s="46">
        <f>IF($B50="","",IF(INDEX('Master Database'!$H$1:$H$600,$B50)="","",INDEX('Master Database'!$H$1:$H$600,$B50)))</f>
        <v>10</v>
      </c>
      <c r="K50" s="46" t="str">
        <f>IF($B50="","",IF(INDEX('Master Database'!$I$1:$I$600,$B50)="","",INDEX('Master Database'!$I$1:$I$600,$B50)))</f>
        <v/>
      </c>
      <c r="L50" s="46">
        <f>IF($B50="","",IF(INDEX('Master Database'!$K$1:$K$600,$B50)="","",INDEX('Master Database'!$K$1:$K$600,$B50)))</f>
        <v>0.16</v>
      </c>
      <c r="M50" s="19" t="str">
        <f>IF($B50="","",IF(INDEX('Master Database'!$L$1:$L$600,$B50)="","",INDEX('Master Database'!$L$1:$L$600,$B50)))</f>
        <v>Not stated</v>
      </c>
      <c r="N50" s="19" t="str">
        <f>IF($B50="","",IF(INDEX('Master Database'!$P$1:$P$600,$B50)="","",INDEX('Master Database'!$P$1:$P$600,$B50)))</f>
        <v>Not stated</v>
      </c>
      <c r="O50" s="19" t="str">
        <f>IF($B50="","",IF(INDEX('Master Database'!$S$1:$S$600,$B50)="","",INDEX('Master Database'!$S$1:$S$600,$B50)))</f>
        <v>Electric Motor</v>
      </c>
      <c r="P50" s="19" t="str">
        <f>IF($B50="","",IF(INDEX('Master Database'!$T$1:$T$600,$B50)="","",INDEX('Master Database'!$T$1:$T$600,$B50)))</f>
        <v>Diesel / Fuel Oil</v>
      </c>
      <c r="Q50" s="19">
        <f>IF($B50="","",IF(INDEX('Master Database'!$Y$1:$Y$600,$B50)="","",INDEX('Master Database'!$Y$1:$Y$600,$B50)))</f>
        <v>1402</v>
      </c>
      <c r="R50" s="19" t="str">
        <f>IF($B50="","",IF(INDEX('Master Database'!$Z$1:$Z$600,$B50)="","",INDEX('Master Database'!$Z$1:$Z$600,$B50)))</f>
        <v>EUR</v>
      </c>
      <c r="S50" s="47">
        <f>IF($B50="","",IF(INDEX('Master Database'!$AA$1:$AA$600,$B50)="","",INDEX('Master Database'!$AA$1:$AA$600,$B50)))</f>
        <v>13500</v>
      </c>
      <c r="T50" s="19" t="str">
        <f>IF($B50="","",IF(INDEX('Master Database'!$AE$1:$AE$600,$B50)="","",INDEX('Master Database'!$AE$1:$AE$600,$B50)))</f>
        <v>Consultant basic-design estimate – PEP Rev.1402/05, sheet P.ME «هزینه واحد بدون ضریب»; EUR figure (converted in the PEP at 420,000×1.085 IRR/EUR) | source label: AACE Class 2</v>
      </c>
      <c r="U50" s="47">
        <f>IF($B50="","",IF(INDEX('Master Database'!$AG$1:$AG$600,$B50)="","",INDEX('Master Database'!$AG$1:$AG$600,$B50)))</f>
        <v>13971.505480037902</v>
      </c>
      <c r="V50" s="47">
        <f>IF($B50="","",IF(INDEX('Master Database'!$AH$1:$AH$600,$B50)="","",INDEX('Master Database'!$AH$1:$AH$600,$B50)))</f>
        <v>14750.879108708283</v>
      </c>
      <c r="W50" s="47">
        <f>IF($B50="","",IF(INDEX('Master Database'!$AI$1:$AI$600,$B50)="","",INDEX('Master Database'!$AI$1:$AI$600,$B50)))</f>
        <v>9713940672.0949917</v>
      </c>
      <c r="X50" s="19" t="str">
        <f>IF($B50="","",IF(INDEX('Master Database'!$BG$1:$BG$600,$B50)="","",INDEX('Master Database'!$BG$1:$BG$600,$B50)))</f>
        <v>Y</v>
      </c>
      <c r="BA50">
        <f>IF('Master Database'!$A50="",0,IF(AND(OR($B$5="",ISNUMBER(SEARCH($B$5,'Master Database'!$B50&amp;" "&amp;'Master Database'!$D50))),OR($B$6="(All)",'Master Database'!$C50=$B$6),OR($B$7="(All)",'Master Database'!$E50=$B$7),OR($B$8="(All)",'Master Database'!$T50=$B$8),OR($B$9="(All)",'Master Database'!$M50=$B$9),OR($B$10="(All)",'Master Database'!$V50=$B$10),OR($E$5="(All)",'Master Database'!$F50=$E$5),OR($E$6="(All)",'Master Database'!$G50=$E$6),OR($E$7="(All)",'Master Database'!$O50=$E$7),OR($E$8="(All)",'Master Database'!$P50=$E$8),OR($E$9="(All)",'Master Database'!$S50=$E$9),OR($E$10="(All)",'Master Database'!$Y50&amp;""=$E$10&amp;""),OR($H$5="(All)",'Master Database'!$BG50=$H$5),OR($H$6&lt;&gt;"Y",ISNUMBER('Master Database'!$AG50)),OR($H$7="",AND(ISNUMBER('Master Database'!$H50),N('Master Database'!$H50)&gt;=$H$7)),OR($I$7="",AND(ISNUMBER('Master Database'!$H50),N('Master Database'!$H50)&lt;=$I$7)),OR($H$8="",AND(ISNUMBER('Master Database'!$I50),N('Master Database'!$I50)&gt;=$H$8)),OR($I$8="",AND(ISNUMBER('Master Database'!$I50),N('Master Database'!$I50)&lt;=$I$8)),OR($H$9="",AND(ISNUMBER('Master Database'!$K50),N('Master Database'!$K50)&gt;=$H$9)),OR($I$9="",AND(ISNUMBER('Master Database'!$K50),N('Master Database'!$K50)&lt;=$I$9))),1,0))</f>
        <v>1</v>
      </c>
      <c r="BB50">
        <f>IF(BA50=1,COUNTIF($BA$5:BA50,1),"")</f>
        <v>46</v>
      </c>
    </row>
    <row r="51" spans="1:54">
      <c r="A51" s="20">
        <f>IF(36&lt;=SUM($BA$5:$BA$600),36,"")</f>
        <v>36</v>
      </c>
      <c r="B51" s="20">
        <f t="shared" si="1"/>
        <v>40</v>
      </c>
      <c r="C51" s="20">
        <f>IF($B51="","",IF(INDEX('Master Database'!$A$1:$A$600,$B51)="","",INDEX('Master Database'!$A$1:$A$600,$B51)))</f>
        <v>36</v>
      </c>
      <c r="D51" s="19" t="str">
        <f>IF($B51="","",IF(INDEX('Master Database'!$B$1:$B$600,$B51)="","",INDEX('Master Database'!$B$1:$B$600,$B51)))</f>
        <v>FIRE WATER MAIN ELECTRICAL PUMP</v>
      </c>
      <c r="E51" s="19" t="str">
        <f>IF($B51="","",IF(INDEX('Master Database'!$C$1:$C$600,$B51)="","",INDEX('Master Database'!$C$1:$C$600,$B51)))</f>
        <v>Gachsaran 4</v>
      </c>
      <c r="F51" s="19" t="str">
        <f>IF($B51="","",IF(INDEX('Master Database'!$D$1:$D$600,$B51)="","",INDEX('Master Database'!$D$1:$D$600,$B51)))</f>
        <v>P-901A/B</v>
      </c>
      <c r="G51" s="19" t="str">
        <f>IF($B51="","",IF(INDEX('Master Database'!$E$1:$E$600,$B51)="","",INDEX('Master Database'!$E$1:$E$600,$B51)))</f>
        <v>ROT-FIR</v>
      </c>
      <c r="H51" s="19" t="str">
        <f>IF($B51="","",IF(INDEX('Master Database'!$F$1:$F$600,$B51)="","",INDEX('Master Database'!$F$1:$F$600,$B51)))</f>
        <v>Not stated</v>
      </c>
      <c r="I51" s="19" t="str">
        <f>IF($B51="","",IF(INDEX('Master Database'!$G$1:$G$600,$B51)="","",INDEX('Master Database'!$G$1:$G$600,$B51)))</f>
        <v>Not stated</v>
      </c>
      <c r="J51" s="46">
        <f>IF($B51="","",IF(INDEX('Master Database'!$H$1:$H$600,$B51)="","",INDEX('Master Database'!$H$1:$H$600,$B51)))</f>
        <v>480</v>
      </c>
      <c r="K51" s="46" t="str">
        <f>IF($B51="","",IF(INDEX('Master Database'!$I$1:$I$600,$B51)="","",INDEX('Master Database'!$I$1:$I$600,$B51)))</f>
        <v/>
      </c>
      <c r="L51" s="46">
        <f>IF($B51="","",IF(INDEX('Master Database'!$K$1:$K$600,$B51)="","",INDEX('Master Database'!$K$1:$K$600,$B51)))</f>
        <v>133</v>
      </c>
      <c r="M51" s="19" t="str">
        <f>IF($B51="","",IF(INDEX('Master Database'!$L$1:$L$600,$B51)="","",INDEX('Master Database'!$L$1:$L$600,$B51)))</f>
        <v>Not stated</v>
      </c>
      <c r="N51" s="19" t="str">
        <f>IF($B51="","",IF(INDEX('Master Database'!$P$1:$P$600,$B51)="","",INDEX('Master Database'!$P$1:$P$600,$B51)))</f>
        <v>Not stated</v>
      </c>
      <c r="O51" s="19" t="str">
        <f>IF($B51="","",IF(INDEX('Master Database'!$S$1:$S$600,$B51)="","",INDEX('Master Database'!$S$1:$S$600,$B51)))</f>
        <v>Electric Motor</v>
      </c>
      <c r="P51" s="19" t="str">
        <f>IF($B51="","",IF(INDEX('Master Database'!$T$1:$T$600,$B51)="","",INDEX('Master Database'!$T$1:$T$600,$B51)))</f>
        <v>Fire Water</v>
      </c>
      <c r="Q51" s="19">
        <f>IF($B51="","",IF(INDEX('Master Database'!$Y$1:$Y$600,$B51)="","",INDEX('Master Database'!$Y$1:$Y$600,$B51)))</f>
        <v>1402</v>
      </c>
      <c r="R51" s="19" t="str">
        <f>IF($B51="","",IF(INDEX('Master Database'!$Z$1:$Z$600,$B51)="","",INDEX('Master Database'!$Z$1:$Z$600,$B51)))</f>
        <v>IRR</v>
      </c>
      <c r="S51" s="47">
        <f>IF($B51="","",IF(INDEX('Master Database'!$AA$1:$AA$600,$B51)="","",INDEX('Master Database'!$AA$1:$AA$600,$B51)))</f>
        <v>37500000000</v>
      </c>
      <c r="T51" s="19" t="str">
        <f>IF($B51="","",IF(INDEX('Master Database'!$AE$1:$AE$600,$B51)="","",INDEX('Master Database'!$AE$1:$AE$600,$B51)))</f>
        <v>Consultant basic-design estimate – PEP Rev.1402/05, sheet P.ME «هزینه واحد بدون ضریب»; IRR lump figure | source label: AACE Class 2</v>
      </c>
      <c r="U51" s="47">
        <f>IF($B51="","",IF(INDEX('Master Database'!$AG$1:$AG$600,$B51)="","",INDEX('Master Database'!$AG$1:$AG$600,$B51)))</f>
        <v>73295.065995372483</v>
      </c>
      <c r="V51" s="47">
        <f>IF($B51="","",IF(INDEX('Master Database'!$AH$1:$AH$600,$B51)="","",INDEX('Master Database'!$AH$1:$AH$600,$B51)))</f>
        <v>77383.690634289596</v>
      </c>
      <c r="W51" s="47">
        <f>IF($B51="","",IF(INDEX('Master Database'!$AI$1:$AI$600,$B51)="","",INDEX('Master Database'!$AI$1:$AI$600,$B51)))</f>
        <v>50959713944.470634</v>
      </c>
      <c r="X51" s="19" t="str">
        <f>IF($B51="","",IF(INDEX('Master Database'!$BG$1:$BG$600,$B51)="","",INDEX('Master Database'!$BG$1:$BG$600,$B51)))</f>
        <v>Y</v>
      </c>
      <c r="BA51">
        <f>IF('Master Database'!$A51="",0,IF(AND(OR($B$5="",ISNUMBER(SEARCH($B$5,'Master Database'!$B51&amp;" "&amp;'Master Database'!$D51))),OR($B$6="(All)",'Master Database'!$C51=$B$6),OR($B$7="(All)",'Master Database'!$E51=$B$7),OR($B$8="(All)",'Master Database'!$T51=$B$8),OR($B$9="(All)",'Master Database'!$M51=$B$9),OR($B$10="(All)",'Master Database'!$V51=$B$10),OR($E$5="(All)",'Master Database'!$F51=$E$5),OR($E$6="(All)",'Master Database'!$G51=$E$6),OR($E$7="(All)",'Master Database'!$O51=$E$7),OR($E$8="(All)",'Master Database'!$P51=$E$8),OR($E$9="(All)",'Master Database'!$S51=$E$9),OR($E$10="(All)",'Master Database'!$Y51&amp;""=$E$10&amp;""),OR($H$5="(All)",'Master Database'!$BG51=$H$5),OR($H$6&lt;&gt;"Y",ISNUMBER('Master Database'!$AG51)),OR($H$7="",AND(ISNUMBER('Master Database'!$H51),N('Master Database'!$H51)&gt;=$H$7)),OR($I$7="",AND(ISNUMBER('Master Database'!$H51),N('Master Database'!$H51)&lt;=$I$7)),OR($H$8="",AND(ISNUMBER('Master Database'!$I51),N('Master Database'!$I51)&gt;=$H$8)),OR($I$8="",AND(ISNUMBER('Master Database'!$I51),N('Master Database'!$I51)&lt;=$I$8)),OR($H$9="",AND(ISNUMBER('Master Database'!$K51),N('Master Database'!$K51)&gt;=$H$9)),OR($I$9="",AND(ISNUMBER('Master Database'!$K51),N('Master Database'!$K51)&lt;=$I$9))),1,0))</f>
        <v>1</v>
      </c>
      <c r="BB51">
        <f>IF(BA51=1,COUNTIF($BA$5:BA51,1),"")</f>
        <v>47</v>
      </c>
    </row>
    <row r="52" spans="1:54">
      <c r="A52" s="20">
        <f>IF(37&lt;=SUM($BA$5:$BA$600),37,"")</f>
        <v>37</v>
      </c>
      <c r="B52" s="20">
        <f t="shared" si="1"/>
        <v>41</v>
      </c>
      <c r="C52" s="20">
        <f>IF($B52="","",IF(INDEX('Master Database'!$A$1:$A$600,$B52)="","",INDEX('Master Database'!$A$1:$A$600,$B52)))</f>
        <v>37</v>
      </c>
      <c r="D52" s="19" t="str">
        <f>IF($B52="","",IF(INDEX('Master Database'!$B$1:$B$600,$B52)="","",INDEX('Master Database'!$B$1:$B$600,$B52)))</f>
        <v>FIRE WATER MAIN DESEL PUMP</v>
      </c>
      <c r="E52" s="19" t="str">
        <f>IF($B52="","",IF(INDEX('Master Database'!$C$1:$C$600,$B52)="","",INDEX('Master Database'!$C$1:$C$600,$B52)))</f>
        <v>Gachsaran 4</v>
      </c>
      <c r="F52" s="19" t="str">
        <f>IF($B52="","",IF(INDEX('Master Database'!$D$1:$D$600,$B52)="","",INDEX('Master Database'!$D$1:$D$600,$B52)))</f>
        <v>P902</v>
      </c>
      <c r="G52" s="19" t="str">
        <f>IF($B52="","",IF(INDEX('Master Database'!$E$1:$E$600,$B52)="","",INDEX('Master Database'!$E$1:$E$600,$B52)))</f>
        <v>ROT-FIR</v>
      </c>
      <c r="H52" s="19" t="str">
        <f>IF($B52="","",IF(INDEX('Master Database'!$F$1:$F$600,$B52)="","",INDEX('Master Database'!$F$1:$F$600,$B52)))</f>
        <v>Not stated</v>
      </c>
      <c r="I52" s="19" t="str">
        <f>IF($B52="","",IF(INDEX('Master Database'!$G$1:$G$600,$B52)="","",INDEX('Master Database'!$G$1:$G$600,$B52)))</f>
        <v>Not stated</v>
      </c>
      <c r="J52" s="46">
        <f>IF($B52="","",IF(INDEX('Master Database'!$H$1:$H$600,$B52)="","",INDEX('Master Database'!$H$1:$H$600,$B52)))</f>
        <v>480</v>
      </c>
      <c r="K52" s="46" t="str">
        <f>IF($B52="","",IF(INDEX('Master Database'!$I$1:$I$600,$B52)="","",INDEX('Master Database'!$I$1:$I$600,$B52)))</f>
        <v/>
      </c>
      <c r="L52" s="46">
        <f>IF($B52="","",IF(INDEX('Master Database'!$K$1:$K$600,$B52)="","",INDEX('Master Database'!$K$1:$K$600,$B52)))</f>
        <v>133</v>
      </c>
      <c r="M52" s="19" t="str">
        <f>IF($B52="","",IF(INDEX('Master Database'!$L$1:$L$600,$B52)="","",INDEX('Master Database'!$L$1:$L$600,$B52)))</f>
        <v>Not stated</v>
      </c>
      <c r="N52" s="19" t="str">
        <f>IF($B52="","",IF(INDEX('Master Database'!$P$1:$P$600,$B52)="","",INDEX('Master Database'!$P$1:$P$600,$B52)))</f>
        <v>Not stated</v>
      </c>
      <c r="O52" s="19" t="str">
        <f>IF($B52="","",IF(INDEX('Master Database'!$S$1:$S$600,$B52)="","",INDEX('Master Database'!$S$1:$S$600,$B52)))</f>
        <v>Diesel Engine</v>
      </c>
      <c r="P52" s="19" t="str">
        <f>IF($B52="","",IF(INDEX('Master Database'!$T$1:$T$600,$B52)="","",INDEX('Master Database'!$T$1:$T$600,$B52)))</f>
        <v>Fire Water</v>
      </c>
      <c r="Q52" s="19">
        <f>IF($B52="","",IF(INDEX('Master Database'!$Y$1:$Y$600,$B52)="","",INDEX('Master Database'!$Y$1:$Y$600,$B52)))</f>
        <v>1402</v>
      </c>
      <c r="R52" s="19" t="str">
        <f>IF($B52="","",IF(INDEX('Master Database'!$Z$1:$Z$600,$B52)="","",INDEX('Master Database'!$Z$1:$Z$600,$B52)))</f>
        <v>IRR</v>
      </c>
      <c r="S52" s="47">
        <f>IF($B52="","",IF(INDEX('Master Database'!$AA$1:$AA$600,$B52)="","",INDEX('Master Database'!$AA$1:$AA$600,$B52)))</f>
        <v>45000000000</v>
      </c>
      <c r="T52" s="19" t="str">
        <f>IF($B52="","",IF(INDEX('Master Database'!$AE$1:$AE$600,$B52)="","",INDEX('Master Database'!$AE$1:$AE$600,$B52)))</f>
        <v>Consultant basic-design estimate – PEP Rev.1402/05, sheet P.ME «هزینه واحد بدون ضریب»; IRR lump figure | source label: AACE Class 2</v>
      </c>
      <c r="U52" s="47">
        <f>IF($B52="","",IF(INDEX('Master Database'!$AG$1:$AG$600,$B52)="","",INDEX('Master Database'!$AG$1:$AG$600,$B52)))</f>
        <v>87954.079194446997</v>
      </c>
      <c r="V52" s="47">
        <f>IF($B52="","",IF(INDEX('Master Database'!$AH$1:$AH$600,$B52)="","",INDEX('Master Database'!$AH$1:$AH$600,$B52)))</f>
        <v>92860.428761147545</v>
      </c>
      <c r="W52" s="47">
        <f>IF($B52="","",IF(INDEX('Master Database'!$AI$1:$AI$600,$B52)="","",INDEX('Master Database'!$AI$1:$AI$600,$B52)))</f>
        <v>61151656733.364777</v>
      </c>
      <c r="X52" s="19" t="str">
        <f>IF($B52="","",IF(INDEX('Master Database'!$BG$1:$BG$600,$B52)="","",INDEX('Master Database'!$BG$1:$BG$600,$B52)))</f>
        <v>Y</v>
      </c>
      <c r="BA52">
        <f>IF('Master Database'!$A52="",0,IF(AND(OR($B$5="",ISNUMBER(SEARCH($B$5,'Master Database'!$B52&amp;" "&amp;'Master Database'!$D52))),OR($B$6="(All)",'Master Database'!$C52=$B$6),OR($B$7="(All)",'Master Database'!$E52=$B$7),OR($B$8="(All)",'Master Database'!$T52=$B$8),OR($B$9="(All)",'Master Database'!$M52=$B$9),OR($B$10="(All)",'Master Database'!$V52=$B$10),OR($E$5="(All)",'Master Database'!$F52=$E$5),OR($E$6="(All)",'Master Database'!$G52=$E$6),OR($E$7="(All)",'Master Database'!$O52=$E$7),OR($E$8="(All)",'Master Database'!$P52=$E$8),OR($E$9="(All)",'Master Database'!$S52=$E$9),OR($E$10="(All)",'Master Database'!$Y52&amp;""=$E$10&amp;""),OR($H$5="(All)",'Master Database'!$BG52=$H$5),OR($H$6&lt;&gt;"Y",ISNUMBER('Master Database'!$AG52)),OR($H$7="",AND(ISNUMBER('Master Database'!$H52),N('Master Database'!$H52)&gt;=$H$7)),OR($I$7="",AND(ISNUMBER('Master Database'!$H52),N('Master Database'!$H52)&lt;=$I$7)),OR($H$8="",AND(ISNUMBER('Master Database'!$I52),N('Master Database'!$I52)&gt;=$H$8)),OR($I$8="",AND(ISNUMBER('Master Database'!$I52),N('Master Database'!$I52)&lt;=$I$8)),OR($H$9="",AND(ISNUMBER('Master Database'!$K52),N('Master Database'!$K52)&gt;=$H$9)),OR($I$9="",AND(ISNUMBER('Master Database'!$K52),N('Master Database'!$K52)&lt;=$I$9))),1,0))</f>
        <v>1</v>
      </c>
      <c r="BB52">
        <f>IF(BA52=1,COUNTIF($BA$5:BA52,1),"")</f>
        <v>48</v>
      </c>
    </row>
    <row r="53" spans="1:54">
      <c r="A53" s="20">
        <f>IF(38&lt;=SUM($BA$5:$BA$600),38,"")</f>
        <v>38</v>
      </c>
      <c r="B53" s="20">
        <f t="shared" si="1"/>
        <v>42</v>
      </c>
      <c r="C53" s="20">
        <f>IF($B53="","",IF(INDEX('Master Database'!$A$1:$A$600,$B53)="","",INDEX('Master Database'!$A$1:$A$600,$B53)))</f>
        <v>38</v>
      </c>
      <c r="D53" s="19" t="str">
        <f>IF($B53="","",IF(INDEX('Master Database'!$B$1:$B$600,$B53)="","",INDEX('Master Database'!$B$1:$B$600,$B53)))</f>
        <v>FIRE WATER JOCKEY PUMPS</v>
      </c>
      <c r="E53" s="19" t="str">
        <f>IF($B53="","",IF(INDEX('Master Database'!$C$1:$C$600,$B53)="","",INDEX('Master Database'!$C$1:$C$600,$B53)))</f>
        <v>Gachsaran 4</v>
      </c>
      <c r="F53" s="19" t="str">
        <f>IF($B53="","",IF(INDEX('Master Database'!$D$1:$D$600,$B53)="","",INDEX('Master Database'!$D$1:$D$600,$B53)))</f>
        <v>P-903-A/B</v>
      </c>
      <c r="G53" s="19" t="str">
        <f>IF($B53="","",IF(INDEX('Master Database'!$E$1:$E$600,$B53)="","",INDEX('Master Database'!$E$1:$E$600,$B53)))</f>
        <v>ROT-FIR</v>
      </c>
      <c r="H53" s="19" t="str">
        <f>IF($B53="","",IF(INDEX('Master Database'!$F$1:$F$600,$B53)="","",INDEX('Master Database'!$F$1:$F$600,$B53)))</f>
        <v>Not stated</v>
      </c>
      <c r="I53" s="19" t="str">
        <f>IF($B53="","",IF(INDEX('Master Database'!$G$1:$G$600,$B53)="","",INDEX('Master Database'!$G$1:$G$600,$B53)))</f>
        <v>Not stated</v>
      </c>
      <c r="J53" s="46">
        <f>IF($B53="","",IF(INDEX('Master Database'!$H$1:$H$600,$B53)="","",INDEX('Master Database'!$H$1:$H$600,$B53)))</f>
        <v>15</v>
      </c>
      <c r="K53" s="46" t="str">
        <f>IF($B53="","",IF(INDEX('Master Database'!$I$1:$I$600,$B53)="","",INDEX('Master Database'!$I$1:$I$600,$B53)))</f>
        <v/>
      </c>
      <c r="L53" s="46">
        <f>IF($B53="","",IF(INDEX('Master Database'!$K$1:$K$600,$B53)="","",INDEX('Master Database'!$K$1:$K$600,$B53)))</f>
        <v>2.5</v>
      </c>
      <c r="M53" s="19" t="str">
        <f>IF($B53="","",IF(INDEX('Master Database'!$L$1:$L$600,$B53)="","",INDEX('Master Database'!$L$1:$L$600,$B53)))</f>
        <v>Not stated</v>
      </c>
      <c r="N53" s="19" t="str">
        <f>IF($B53="","",IF(INDEX('Master Database'!$P$1:$P$600,$B53)="","",INDEX('Master Database'!$P$1:$P$600,$B53)))</f>
        <v>Not stated</v>
      </c>
      <c r="O53" s="19" t="str">
        <f>IF($B53="","",IF(INDEX('Master Database'!$S$1:$S$600,$B53)="","",INDEX('Master Database'!$S$1:$S$600,$B53)))</f>
        <v>Electric Motor</v>
      </c>
      <c r="P53" s="19" t="str">
        <f>IF($B53="","",IF(INDEX('Master Database'!$T$1:$T$600,$B53)="","",INDEX('Master Database'!$T$1:$T$600,$B53)))</f>
        <v>Fire Water</v>
      </c>
      <c r="Q53" s="19">
        <f>IF($B53="","",IF(INDEX('Master Database'!$Y$1:$Y$600,$B53)="","",INDEX('Master Database'!$Y$1:$Y$600,$B53)))</f>
        <v>1402</v>
      </c>
      <c r="R53" s="19" t="str">
        <f>IF($B53="","",IF(INDEX('Master Database'!$Z$1:$Z$600,$B53)="","",INDEX('Master Database'!$Z$1:$Z$600,$B53)))</f>
        <v>IRR</v>
      </c>
      <c r="S53" s="47">
        <f>IF($B53="","",IF(INDEX('Master Database'!$AA$1:$AA$600,$B53)="","",INDEX('Master Database'!$AA$1:$AA$600,$B53)))</f>
        <v>2000000000</v>
      </c>
      <c r="T53" s="19" t="str">
        <f>IF($B53="","",IF(INDEX('Master Database'!$AE$1:$AE$600,$B53)="","",INDEX('Master Database'!$AE$1:$AE$600,$B53)))</f>
        <v>Consultant basic-design estimate – PEP Rev.1402/05, sheet P.ME «هزینه واحد بدون ضریب»; IRR lump figure | source label: AACE Class 2</v>
      </c>
      <c r="U53" s="47">
        <f>IF($B53="","",IF(INDEX('Master Database'!$AG$1:$AG$600,$B53)="","",INDEX('Master Database'!$AG$1:$AG$600,$B53)))</f>
        <v>3909.0701864198659</v>
      </c>
      <c r="V53" s="47">
        <f>IF($B53="","",IF(INDEX('Master Database'!$AH$1:$AH$600,$B53)="","",INDEX('Master Database'!$AH$1:$AH$600,$B53)))</f>
        <v>4127.1301671621122</v>
      </c>
      <c r="W53" s="47">
        <f>IF($B53="","",IF(INDEX('Master Database'!$AI$1:$AI$600,$B53)="","",INDEX('Master Database'!$AI$1:$AI$600,$B53)))</f>
        <v>2717851410.3717675</v>
      </c>
      <c r="X53" s="19" t="str">
        <f>IF($B53="","",IF(INDEX('Master Database'!$BG$1:$BG$600,$B53)="","",INDEX('Master Database'!$BG$1:$BG$600,$B53)))</f>
        <v>Y</v>
      </c>
      <c r="BA53">
        <f>IF('Master Database'!$A53="",0,IF(AND(OR($B$5="",ISNUMBER(SEARCH($B$5,'Master Database'!$B53&amp;" "&amp;'Master Database'!$D53))),OR($B$6="(All)",'Master Database'!$C53=$B$6),OR($B$7="(All)",'Master Database'!$E53=$B$7),OR($B$8="(All)",'Master Database'!$T53=$B$8),OR($B$9="(All)",'Master Database'!$M53=$B$9),OR($B$10="(All)",'Master Database'!$V53=$B$10),OR($E$5="(All)",'Master Database'!$F53=$E$5),OR($E$6="(All)",'Master Database'!$G53=$E$6),OR($E$7="(All)",'Master Database'!$O53=$E$7),OR($E$8="(All)",'Master Database'!$P53=$E$8),OR($E$9="(All)",'Master Database'!$S53=$E$9),OR($E$10="(All)",'Master Database'!$Y53&amp;""=$E$10&amp;""),OR($H$5="(All)",'Master Database'!$BG53=$H$5),OR($H$6&lt;&gt;"Y",ISNUMBER('Master Database'!$AG53)),OR($H$7="",AND(ISNUMBER('Master Database'!$H53),N('Master Database'!$H53)&gt;=$H$7)),OR($I$7="",AND(ISNUMBER('Master Database'!$H53),N('Master Database'!$H53)&lt;=$I$7)),OR($H$8="",AND(ISNUMBER('Master Database'!$I53),N('Master Database'!$I53)&gt;=$H$8)),OR($I$8="",AND(ISNUMBER('Master Database'!$I53),N('Master Database'!$I53)&lt;=$I$8)),OR($H$9="",AND(ISNUMBER('Master Database'!$K53),N('Master Database'!$K53)&gt;=$H$9)),OR($I$9="",AND(ISNUMBER('Master Database'!$K53),N('Master Database'!$K53)&lt;=$I$9))),1,0))</f>
        <v>1</v>
      </c>
      <c r="BB53">
        <f>IF(BA53=1,COUNTIF($BA$5:BA53,1),"")</f>
        <v>49</v>
      </c>
    </row>
    <row r="54" spans="1:54">
      <c r="A54" s="20">
        <f>IF(39&lt;=SUM($BA$5:$BA$600),39,"")</f>
        <v>39</v>
      </c>
      <c r="B54" s="20">
        <f t="shared" si="1"/>
        <v>43</v>
      </c>
      <c r="C54" s="20">
        <f>IF($B54="","",IF(INDEX('Master Database'!$A$1:$A$600,$B54)="","",INDEX('Master Database'!$A$1:$A$600,$B54)))</f>
        <v>39</v>
      </c>
      <c r="D54" s="19" t="str">
        <f>IF($B54="","",IF(INDEX('Master Database'!$B$1:$B$600,$B54)="","",INDEX('Master Database'!$B$1:$B$600,$B54)))</f>
        <v>UNIT SUPPLY WATER PUMP</v>
      </c>
      <c r="E54" s="19" t="str">
        <f>IF($B54="","",IF(INDEX('Master Database'!$C$1:$C$600,$B54)="","",INDEX('Master Database'!$C$1:$C$600,$B54)))</f>
        <v>Gachsaran 4</v>
      </c>
      <c r="F54" s="19" t="str">
        <f>IF($B54="","",IF(INDEX('Master Database'!$D$1:$D$600,$B54)="","",INDEX('Master Database'!$D$1:$D$600,$B54)))</f>
        <v>P108A/B</v>
      </c>
      <c r="G54" s="19" t="str">
        <f>IF($B54="","",IF(INDEX('Master Database'!$E$1:$E$600,$B54)="","",INDEX('Master Database'!$E$1:$E$600,$B54)))</f>
        <v>ROT-WAT</v>
      </c>
      <c r="H54" s="19" t="str">
        <f>IF($B54="","",IF(INDEX('Master Database'!$F$1:$F$600,$B54)="","",INDEX('Master Database'!$F$1:$F$600,$B54)))</f>
        <v>Not stated</v>
      </c>
      <c r="I54" s="19" t="str">
        <f>IF($B54="","",IF(INDEX('Master Database'!$G$1:$G$600,$B54)="","",INDEX('Master Database'!$G$1:$G$600,$B54)))</f>
        <v>Not stated</v>
      </c>
      <c r="J54" s="46">
        <f>IF($B54="","",IF(INDEX('Master Database'!$H$1:$H$600,$B54)="","",INDEX('Master Database'!$H$1:$H$600,$B54)))</f>
        <v>15</v>
      </c>
      <c r="K54" s="46" t="str">
        <f>IF($B54="","",IF(INDEX('Master Database'!$I$1:$I$600,$B54)="","",INDEX('Master Database'!$I$1:$I$600,$B54)))</f>
        <v/>
      </c>
      <c r="L54" s="46">
        <f>IF($B54="","",IF(INDEX('Master Database'!$K$1:$K$600,$B54)="","",INDEX('Master Database'!$K$1:$K$600,$B54)))</f>
        <v>2.5</v>
      </c>
      <c r="M54" s="19" t="str">
        <f>IF($B54="","",IF(INDEX('Master Database'!$L$1:$L$600,$B54)="","",INDEX('Master Database'!$L$1:$L$600,$B54)))</f>
        <v>Not stated</v>
      </c>
      <c r="N54" s="19" t="str">
        <f>IF($B54="","",IF(INDEX('Master Database'!$P$1:$P$600,$B54)="","",INDEX('Master Database'!$P$1:$P$600,$B54)))</f>
        <v>Not stated</v>
      </c>
      <c r="O54" s="19" t="str">
        <f>IF($B54="","",IF(INDEX('Master Database'!$S$1:$S$600,$B54)="","",INDEX('Master Database'!$S$1:$S$600,$B54)))</f>
        <v>Electric Motor</v>
      </c>
      <c r="P54" s="19" t="str">
        <f>IF($B54="","",IF(INDEX('Master Database'!$T$1:$T$600,$B54)="","",INDEX('Master Database'!$T$1:$T$600,$B54)))</f>
        <v>Fresh / Potable Water</v>
      </c>
      <c r="Q54" s="19">
        <f>IF($B54="","",IF(INDEX('Master Database'!$Y$1:$Y$600,$B54)="","",INDEX('Master Database'!$Y$1:$Y$600,$B54)))</f>
        <v>1402</v>
      </c>
      <c r="R54" s="19" t="str">
        <f>IF($B54="","",IF(INDEX('Master Database'!$Z$1:$Z$600,$B54)="","",INDEX('Master Database'!$Z$1:$Z$600,$B54)))</f>
        <v>EUR</v>
      </c>
      <c r="S54" s="47">
        <f>IF($B54="","",IF(INDEX('Master Database'!$AA$1:$AA$600,$B54)="","",INDEX('Master Database'!$AA$1:$AA$600,$B54)))</f>
        <v>17500</v>
      </c>
      <c r="T54" s="19" t="str">
        <f>IF($B54="","",IF(INDEX('Master Database'!$AE$1:$AE$600,$B54)="","",INDEX('Master Database'!$AE$1:$AE$600,$B54)))</f>
        <v>Consultant basic-design estimate – PEP Rev.1402/05, sheet P.ME «هزینه واحد بدون ضریب»; EUR figure (converted in the PEP at 420,000×1.085 IRR/EUR) | source label: AACE Class 2</v>
      </c>
      <c r="U54" s="47">
        <f>IF($B54="","",IF(INDEX('Master Database'!$AG$1:$AG$600,$B54)="","",INDEX('Master Database'!$AG$1:$AG$600,$B54)))</f>
        <v>18111.21080745654</v>
      </c>
      <c r="V54" s="47">
        <f>IF($B54="","",IF(INDEX('Master Database'!$AH$1:$AH$600,$B54)="","",INDEX('Master Database'!$AH$1:$AH$600,$B54)))</f>
        <v>19121.509955732959</v>
      </c>
      <c r="W54" s="47">
        <f>IF($B54="","",IF(INDEX('Master Database'!$AI$1:$AI$600,$B54)="","",INDEX('Master Database'!$AI$1:$AI$600,$B54)))</f>
        <v>12592145315.678694</v>
      </c>
      <c r="X54" s="19" t="str">
        <f>IF($B54="","",IF(INDEX('Master Database'!$BG$1:$BG$600,$B54)="","",INDEX('Master Database'!$BG$1:$BG$600,$B54)))</f>
        <v>Y</v>
      </c>
      <c r="BA54">
        <f>IF('Master Database'!$A54="",0,IF(AND(OR($B$5="",ISNUMBER(SEARCH($B$5,'Master Database'!$B54&amp;" "&amp;'Master Database'!$D54))),OR($B$6="(All)",'Master Database'!$C54=$B$6),OR($B$7="(All)",'Master Database'!$E54=$B$7),OR($B$8="(All)",'Master Database'!$T54=$B$8),OR($B$9="(All)",'Master Database'!$M54=$B$9),OR($B$10="(All)",'Master Database'!$V54=$B$10),OR($E$5="(All)",'Master Database'!$F54=$E$5),OR($E$6="(All)",'Master Database'!$G54=$E$6),OR($E$7="(All)",'Master Database'!$O54=$E$7),OR($E$8="(All)",'Master Database'!$P54=$E$8),OR($E$9="(All)",'Master Database'!$S54=$E$9),OR($E$10="(All)",'Master Database'!$Y54&amp;""=$E$10&amp;""),OR($H$5="(All)",'Master Database'!$BG54=$H$5),OR($H$6&lt;&gt;"Y",ISNUMBER('Master Database'!$AG54)),OR($H$7="",AND(ISNUMBER('Master Database'!$H54),N('Master Database'!$H54)&gt;=$H$7)),OR($I$7="",AND(ISNUMBER('Master Database'!$H54),N('Master Database'!$H54)&lt;=$I$7)),OR($H$8="",AND(ISNUMBER('Master Database'!$I54),N('Master Database'!$I54)&gt;=$H$8)),OR($I$8="",AND(ISNUMBER('Master Database'!$I54),N('Master Database'!$I54)&lt;=$I$8)),OR($H$9="",AND(ISNUMBER('Master Database'!$K54),N('Master Database'!$K54)&gt;=$H$9)),OR($I$9="",AND(ISNUMBER('Master Database'!$K54),N('Master Database'!$K54)&lt;=$I$9))),1,0))</f>
        <v>1</v>
      </c>
      <c r="BB54">
        <f>IF(BA54=1,COUNTIF($BA$5:BA54,1),"")</f>
        <v>50</v>
      </c>
    </row>
    <row r="55" spans="1:54">
      <c r="A55" s="20">
        <f>IF(40&lt;=SUM($BA$5:$BA$600),40,"")</f>
        <v>40</v>
      </c>
      <c r="B55" s="20">
        <f t="shared" si="1"/>
        <v>44</v>
      </c>
      <c r="C55" s="20">
        <f>IF($B55="","",IF(INDEX('Master Database'!$A$1:$A$600,$B55)="","",INDEX('Master Database'!$A$1:$A$600,$B55)))</f>
        <v>40</v>
      </c>
      <c r="D55" s="19" t="str">
        <f>IF($B55="","",IF(INDEX('Master Database'!$B$1:$B$600,$B55)="","",INDEX('Master Database'!$B$1:$B$600,$B55)))</f>
        <v>FIRE WATER LOADING PUMP</v>
      </c>
      <c r="E55" s="19" t="str">
        <f>IF($B55="","",IF(INDEX('Master Database'!$C$1:$C$600,$B55)="","",INDEX('Master Database'!$C$1:$C$600,$B55)))</f>
        <v>Gachsaran 4</v>
      </c>
      <c r="F55" s="19" t="str">
        <f>IF($B55="","",IF(INDEX('Master Database'!$D$1:$D$600,$B55)="","",INDEX('Master Database'!$D$1:$D$600,$B55)))</f>
        <v>P-904</v>
      </c>
      <c r="G55" s="19" t="str">
        <f>IF($B55="","",IF(INDEX('Master Database'!$E$1:$E$600,$B55)="","",INDEX('Master Database'!$E$1:$E$600,$B55)))</f>
        <v>ROT-FIR</v>
      </c>
      <c r="H55" s="19" t="str">
        <f>IF($B55="","",IF(INDEX('Master Database'!$F$1:$F$600,$B55)="","",INDEX('Master Database'!$F$1:$F$600,$B55)))</f>
        <v>Not stated</v>
      </c>
      <c r="I55" s="19" t="str">
        <f>IF($B55="","",IF(INDEX('Master Database'!$G$1:$G$600,$B55)="","",INDEX('Master Database'!$G$1:$G$600,$B55)))</f>
        <v>Not stated</v>
      </c>
      <c r="J55" s="46">
        <f>IF($B55="","",IF(INDEX('Master Database'!$H$1:$H$600,$B55)="","",INDEX('Master Database'!$H$1:$H$600,$B55)))</f>
        <v>30</v>
      </c>
      <c r="K55" s="46" t="str">
        <f>IF($B55="","",IF(INDEX('Master Database'!$I$1:$I$600,$B55)="","",INDEX('Master Database'!$I$1:$I$600,$B55)))</f>
        <v/>
      </c>
      <c r="L55" s="46">
        <f>IF($B55="","",IF(INDEX('Master Database'!$K$1:$K$600,$B55)="","",INDEX('Master Database'!$K$1:$K$600,$B55)))</f>
        <v>2.5</v>
      </c>
      <c r="M55" s="19" t="str">
        <f>IF($B55="","",IF(INDEX('Master Database'!$L$1:$L$600,$B55)="","",INDEX('Master Database'!$L$1:$L$600,$B55)))</f>
        <v>Not stated</v>
      </c>
      <c r="N55" s="19" t="str">
        <f>IF($B55="","",IF(INDEX('Master Database'!$P$1:$P$600,$B55)="","",INDEX('Master Database'!$P$1:$P$600,$B55)))</f>
        <v>Not stated</v>
      </c>
      <c r="O55" s="19" t="str">
        <f>IF($B55="","",IF(INDEX('Master Database'!$S$1:$S$600,$B55)="","",INDEX('Master Database'!$S$1:$S$600,$B55)))</f>
        <v>Electric Motor</v>
      </c>
      <c r="P55" s="19" t="str">
        <f>IF($B55="","",IF(INDEX('Master Database'!$T$1:$T$600,$B55)="","",INDEX('Master Database'!$T$1:$T$600,$B55)))</f>
        <v>Fire Water</v>
      </c>
      <c r="Q55" s="19">
        <f>IF($B55="","",IF(INDEX('Master Database'!$Y$1:$Y$600,$B55)="","",INDEX('Master Database'!$Y$1:$Y$600,$B55)))</f>
        <v>1402</v>
      </c>
      <c r="R55" s="19" t="str">
        <f>IF($B55="","",IF(INDEX('Master Database'!$Z$1:$Z$600,$B55)="","",INDEX('Master Database'!$Z$1:$Z$600,$B55)))</f>
        <v>EUR</v>
      </c>
      <c r="S55" s="47">
        <f>IF($B55="","",IF(INDEX('Master Database'!$AA$1:$AA$600,$B55)="","",INDEX('Master Database'!$AA$1:$AA$600,$B55)))</f>
        <v>19500</v>
      </c>
      <c r="T55" s="19" t="str">
        <f>IF($B55="","",IF(INDEX('Master Database'!$AE$1:$AE$600,$B55)="","",INDEX('Master Database'!$AE$1:$AE$600,$B55)))</f>
        <v>Consultant basic-design estimate – PEP Rev.1402/05, sheet P.ME «هزینه واحد بدون ضریب»; EUR figure (converted in the PEP at 420,000×1.085 IRR/EUR) | source label: AACE Class 2</v>
      </c>
      <c r="U55" s="47">
        <f>IF($B55="","",IF(INDEX('Master Database'!$AG$1:$AG$600,$B55)="","",INDEX('Master Database'!$AG$1:$AG$600,$B55)))</f>
        <v>20181.06347116586</v>
      </c>
      <c r="V55" s="47">
        <f>IF($B55="","",IF(INDEX('Master Database'!$AH$1:$AH$600,$B55)="","",INDEX('Master Database'!$AH$1:$AH$600,$B55)))</f>
        <v>21306.8253792453</v>
      </c>
      <c r="W55" s="47">
        <f>IF($B55="","",IF(INDEX('Master Database'!$AI$1:$AI$600,$B55)="","",INDEX('Master Database'!$AI$1:$AI$600,$B55)))</f>
        <v>14031247637.470545</v>
      </c>
      <c r="X55" s="19" t="str">
        <f>IF($B55="","",IF(INDEX('Master Database'!$BG$1:$BG$600,$B55)="","",INDEX('Master Database'!$BG$1:$BG$600,$B55)))</f>
        <v>Y</v>
      </c>
      <c r="BA55">
        <f>IF('Master Database'!$A55="",0,IF(AND(OR($B$5="",ISNUMBER(SEARCH($B$5,'Master Database'!$B55&amp;" "&amp;'Master Database'!$D55))),OR($B$6="(All)",'Master Database'!$C55=$B$6),OR($B$7="(All)",'Master Database'!$E55=$B$7),OR($B$8="(All)",'Master Database'!$T55=$B$8),OR($B$9="(All)",'Master Database'!$M55=$B$9),OR($B$10="(All)",'Master Database'!$V55=$B$10),OR($E$5="(All)",'Master Database'!$F55=$E$5),OR($E$6="(All)",'Master Database'!$G55=$E$6),OR($E$7="(All)",'Master Database'!$O55=$E$7),OR($E$8="(All)",'Master Database'!$P55=$E$8),OR($E$9="(All)",'Master Database'!$S55=$E$9),OR($E$10="(All)",'Master Database'!$Y55&amp;""=$E$10&amp;""),OR($H$5="(All)",'Master Database'!$BG55=$H$5),OR($H$6&lt;&gt;"Y",ISNUMBER('Master Database'!$AG55)),OR($H$7="",AND(ISNUMBER('Master Database'!$H55),N('Master Database'!$H55)&gt;=$H$7)),OR($I$7="",AND(ISNUMBER('Master Database'!$H55),N('Master Database'!$H55)&lt;=$I$7)),OR($H$8="",AND(ISNUMBER('Master Database'!$I55),N('Master Database'!$I55)&gt;=$H$8)),OR($I$8="",AND(ISNUMBER('Master Database'!$I55),N('Master Database'!$I55)&lt;=$I$8)),OR($H$9="",AND(ISNUMBER('Master Database'!$K55),N('Master Database'!$K55)&gt;=$H$9)),OR($I$9="",AND(ISNUMBER('Master Database'!$K55),N('Master Database'!$K55)&lt;=$I$9))),1,0))</f>
        <v>1</v>
      </c>
      <c r="BB55">
        <f>IF(BA55=1,COUNTIF($BA$5:BA55,1),"")</f>
        <v>51</v>
      </c>
    </row>
    <row r="56" spans="1:54">
      <c r="A56" s="20">
        <f>IF(41&lt;=SUM($BA$5:$BA$600),41,"")</f>
        <v>41</v>
      </c>
      <c r="B56" s="20">
        <f t="shared" si="1"/>
        <v>45</v>
      </c>
      <c r="C56" s="20">
        <f>IF($B56="","",IF(INDEX('Master Database'!$A$1:$A$600,$B56)="","",INDEX('Master Database'!$A$1:$A$600,$B56)))</f>
        <v>41</v>
      </c>
      <c r="D56" s="19" t="str">
        <f>IF($B56="","",IF(INDEX('Master Database'!$B$1:$B$600,$B56)="","",INDEX('Master Database'!$B$1:$B$600,$B56)))</f>
        <v>Salty Crude Transfer Pumps</v>
      </c>
      <c r="E56" s="19" t="str">
        <f>IF($B56="","",IF(INDEX('Master Database'!$C$1:$C$600,$B56)="","",INDEX('Master Database'!$C$1:$C$600,$B56)))</f>
        <v>Koopal Asmari</v>
      </c>
      <c r="F56" s="19" t="str">
        <f>IF($B56="","",IF(INDEX('Master Database'!$D$1:$D$600,$B56)="","",INDEX('Master Database'!$D$1:$D$600,$B56)))</f>
        <v>P-111 A/B/C</v>
      </c>
      <c r="G56" s="19" t="str">
        <f>IF($B56="","",IF(INDEX('Master Database'!$E$1:$E$600,$B56)="","",INDEX('Master Database'!$E$1:$E$600,$B56)))</f>
        <v>ROT-CRU</v>
      </c>
      <c r="H56" s="19" t="str">
        <f>IF($B56="","",IF(INDEX('Master Database'!$F$1:$F$600,$B56)="","",INDEX('Master Database'!$F$1:$F$600,$B56)))</f>
        <v>OH2</v>
      </c>
      <c r="I56" s="19" t="str">
        <f>IF($B56="","",IF(INDEX('Master Database'!$G$1:$G$600,$B56)="","",INDEX('Master Database'!$G$1:$G$600,$B56)))</f>
        <v>D-1</v>
      </c>
      <c r="J56" s="46">
        <f>IF($B56="","",IF(INDEX('Master Database'!$H$1:$H$600,$B56)="","",INDEX('Master Database'!$H$1:$H$600,$B56)))</f>
        <v>354</v>
      </c>
      <c r="K56" s="46">
        <f>IF($B56="","",IF(INDEX('Master Database'!$I$1:$I$600,$B56)="","",INDEX('Master Database'!$I$1:$I$600,$B56)))</f>
        <v>31.2</v>
      </c>
      <c r="L56" s="46">
        <f>IF($B56="","",IF(INDEX('Master Database'!$K$1:$K$600,$B56)="","",INDEX('Master Database'!$K$1:$K$600,$B56)))</f>
        <v>50.158038147138967</v>
      </c>
      <c r="M56" s="19" t="str">
        <f>IF($B56="","",IF(INDEX('Master Database'!$L$1:$L$600,$B56)="","",INDEX('Master Database'!$L$1:$L$600,$B56)))</f>
        <v>API 610 + IPS-G-PM-105</v>
      </c>
      <c r="N56" s="19" t="str">
        <f>IF($B56="","",IF(INDEX('Master Database'!$P$1:$P$600,$B56)="","",INDEX('Master Database'!$P$1:$P$600,$B56)))</f>
        <v>Not stated</v>
      </c>
      <c r="O56" s="19" t="str">
        <f>IF($B56="","",IF(INDEX('Master Database'!$S$1:$S$600,$B56)="","",INDEX('Master Database'!$S$1:$S$600,$B56)))</f>
        <v>Electric Motor</v>
      </c>
      <c r="P56" s="19" t="str">
        <f>IF($B56="","",IF(INDEX('Master Database'!$T$1:$T$600,$B56)="","",INDEX('Master Database'!$T$1:$T$600,$B56)))</f>
        <v>Crude Oil</v>
      </c>
      <c r="Q56" s="19">
        <f>IF($B56="","",IF(INDEX('Master Database'!$Y$1:$Y$600,$B56)="","",INDEX('Master Database'!$Y$1:$Y$600,$B56)))</f>
        <v>1393</v>
      </c>
      <c r="R56" s="19" t="str">
        <f>IF($B56="","",IF(INDEX('Master Database'!$Z$1:$Z$600,$B56)="","",INDEX('Master Database'!$Z$1:$Z$600,$B56)))</f>
        <v>EUR</v>
      </c>
      <c r="S56" s="47">
        <f>IF($B56="","",IF(INDEX('Master Database'!$AA$1:$AA$600,$B56)="","",INDEX('Master Database'!$AA$1:$AA$600,$B56)))</f>
        <v>55000</v>
      </c>
      <c r="T56" s="19" t="str">
        <f>IF($B56="","",IF(INDEX('Master Database'!$AE$1:$AE$600,$B56)="","",INDEX('Master Database'!$AE$1:$AE$600,$B56)))</f>
        <v>Consultant FEED MTO estimate – KPL-476 R03 (Jan 2016); vendor-level price in EUR, before project overhead | source label: AACE Class 3</v>
      </c>
      <c r="U56" s="47">
        <f>IF($B56="","",IF(INDEX('Master Database'!$AG$1:$AG$600,$B56)="","",INDEX('Master Database'!$AG$1:$AG$600,$B56)))</f>
        <v>74308.734824351108</v>
      </c>
      <c r="V56" s="47">
        <f>IF($B56="","",IF(INDEX('Master Database'!$AH$1:$AH$600,$B56)="","",INDEX('Master Database'!$AH$1:$AH$600,$B56)))</f>
        <v>78453.905034154624</v>
      </c>
      <c r="W56" s="47">
        <f>IF($B56="","",IF(INDEX('Master Database'!$AI$1:$AI$600,$B56)="","",INDEX('Master Database'!$AI$1:$AI$600,$B56)))</f>
        <v>51664485443.856949</v>
      </c>
      <c r="X56" s="19" t="str">
        <f>IF($B56="","",IF(INDEX('Master Database'!$BG$1:$BG$600,$B56)="","",INDEX('Master Database'!$BG$1:$BG$600,$B56)))</f>
        <v>Y</v>
      </c>
      <c r="BA56">
        <f>IF('Master Database'!$A56="",0,IF(AND(OR($B$5="",ISNUMBER(SEARCH($B$5,'Master Database'!$B56&amp;" "&amp;'Master Database'!$D56))),OR($B$6="(All)",'Master Database'!$C56=$B$6),OR($B$7="(All)",'Master Database'!$E56=$B$7),OR($B$8="(All)",'Master Database'!$T56=$B$8),OR($B$9="(All)",'Master Database'!$M56=$B$9),OR($B$10="(All)",'Master Database'!$V56=$B$10),OR($E$5="(All)",'Master Database'!$F56=$E$5),OR($E$6="(All)",'Master Database'!$G56=$E$6),OR($E$7="(All)",'Master Database'!$O56=$E$7),OR($E$8="(All)",'Master Database'!$P56=$E$8),OR($E$9="(All)",'Master Database'!$S56=$E$9),OR($E$10="(All)",'Master Database'!$Y56&amp;""=$E$10&amp;""),OR($H$5="(All)",'Master Database'!$BG56=$H$5),OR($H$6&lt;&gt;"Y",ISNUMBER('Master Database'!$AG56)),OR($H$7="",AND(ISNUMBER('Master Database'!$H56),N('Master Database'!$H56)&gt;=$H$7)),OR($I$7="",AND(ISNUMBER('Master Database'!$H56),N('Master Database'!$H56)&lt;=$I$7)),OR($H$8="",AND(ISNUMBER('Master Database'!$I56),N('Master Database'!$I56)&gt;=$H$8)),OR($I$8="",AND(ISNUMBER('Master Database'!$I56),N('Master Database'!$I56)&lt;=$I$8)),OR($H$9="",AND(ISNUMBER('Master Database'!$K56),N('Master Database'!$K56)&gt;=$H$9)),OR($I$9="",AND(ISNUMBER('Master Database'!$K56),N('Master Database'!$K56)&lt;=$I$9))),1,0))</f>
        <v>1</v>
      </c>
      <c r="BB56">
        <f>IF(BA56=1,COUNTIF($BA$5:BA56,1),"")</f>
        <v>52</v>
      </c>
    </row>
    <row r="57" spans="1:54">
      <c r="A57" s="20">
        <f>IF(42&lt;=SUM($BA$5:$BA$600),42,"")</f>
        <v>42</v>
      </c>
      <c r="B57" s="20">
        <f t="shared" si="1"/>
        <v>46</v>
      </c>
      <c r="C57" s="20">
        <f>IF($B57="","",IF(INDEX('Master Database'!$A$1:$A$600,$B57)="","",INDEX('Master Database'!$A$1:$A$600,$B57)))</f>
        <v>42</v>
      </c>
      <c r="D57" s="19" t="str">
        <f>IF($B57="","",IF(INDEX('Master Database'!$B$1:$B$600,$B57)="","",INDEX('Master Database'!$B$1:$B$600,$B57)))</f>
        <v>Salty Crude Booster Pumps</v>
      </c>
      <c r="E57" s="19" t="str">
        <f>IF($B57="","",IF(INDEX('Master Database'!$C$1:$C$600,$B57)="","",INDEX('Master Database'!$C$1:$C$600,$B57)))</f>
        <v>Koopal Asmari</v>
      </c>
      <c r="F57" s="19" t="str">
        <f>IF($B57="","",IF(INDEX('Master Database'!$D$1:$D$600,$B57)="","",INDEX('Master Database'!$D$1:$D$600,$B57)))</f>
        <v>P-114 A/B/C</v>
      </c>
      <c r="G57" s="19" t="str">
        <f>IF($B57="","",IF(INDEX('Master Database'!$E$1:$E$600,$B57)="","",INDEX('Master Database'!$E$1:$E$600,$B57)))</f>
        <v>ROT-CRU</v>
      </c>
      <c r="H57" s="19" t="str">
        <f>IF($B57="","",IF(INDEX('Master Database'!$F$1:$F$600,$B57)="","",INDEX('Master Database'!$F$1:$F$600,$B57)))</f>
        <v>OH2</v>
      </c>
      <c r="I57" s="19" t="str">
        <f>IF($B57="","",IF(INDEX('Master Database'!$G$1:$G$600,$B57)="","",INDEX('Master Database'!$G$1:$G$600,$B57)))</f>
        <v>D-1</v>
      </c>
      <c r="J57" s="46">
        <f>IF($B57="","",IF(INDEX('Master Database'!$H$1:$H$600,$B57)="","",INDEX('Master Database'!$H$1:$H$600,$B57)))</f>
        <v>255</v>
      </c>
      <c r="K57" s="46">
        <f>IF($B57="","",IF(INDEX('Master Database'!$I$1:$I$600,$B57)="","",INDEX('Master Database'!$I$1:$I$600,$B57)))</f>
        <v>170</v>
      </c>
      <c r="L57" s="46">
        <f>IF($B57="","",IF(INDEX('Master Database'!$K$1:$K$600,$B57)="","",INDEX('Master Database'!$K$1:$K$600,$B57)))</f>
        <v>196.86648501362399</v>
      </c>
      <c r="M57" s="19" t="str">
        <f>IF($B57="","",IF(INDEX('Master Database'!$L$1:$L$600,$B57)="","",INDEX('Master Database'!$L$1:$L$600,$B57)))</f>
        <v>API 610 + IPS-G-PM-105</v>
      </c>
      <c r="N57" s="19" t="str">
        <f>IF($B57="","",IF(INDEX('Master Database'!$P$1:$P$600,$B57)="","",INDEX('Master Database'!$P$1:$P$600,$B57)))</f>
        <v>Not stated</v>
      </c>
      <c r="O57" s="19" t="str">
        <f>IF($B57="","",IF(INDEX('Master Database'!$S$1:$S$600,$B57)="","",INDEX('Master Database'!$S$1:$S$600,$B57)))</f>
        <v>Electric Motor</v>
      </c>
      <c r="P57" s="19" t="str">
        <f>IF($B57="","",IF(INDEX('Master Database'!$T$1:$T$600,$B57)="","",INDEX('Master Database'!$T$1:$T$600,$B57)))</f>
        <v>Crude Oil</v>
      </c>
      <c r="Q57" s="19">
        <f>IF($B57="","",IF(INDEX('Master Database'!$Y$1:$Y$600,$B57)="","",INDEX('Master Database'!$Y$1:$Y$600,$B57)))</f>
        <v>1393</v>
      </c>
      <c r="R57" s="19" t="str">
        <f>IF($B57="","",IF(INDEX('Master Database'!$Z$1:$Z$600,$B57)="","",INDEX('Master Database'!$Z$1:$Z$600,$B57)))</f>
        <v>EUR</v>
      </c>
      <c r="S57" s="47">
        <f>IF($B57="","",IF(INDEX('Master Database'!$AA$1:$AA$600,$B57)="","",INDEX('Master Database'!$AA$1:$AA$600,$B57)))</f>
        <v>60000</v>
      </c>
      <c r="T57" s="19" t="str">
        <f>IF($B57="","",IF(INDEX('Master Database'!$AE$1:$AE$600,$B57)="","",INDEX('Master Database'!$AE$1:$AE$600,$B57)))</f>
        <v>Consultant FEED MTO estimate – KPL-476 R03 (Jan 2016); vendor-level price in EUR, before project overhead | source label: AACE Class 3</v>
      </c>
      <c r="U57" s="47">
        <f>IF($B57="","",IF(INDEX('Master Database'!$AG$1:$AG$600,$B57)="","",INDEX('Master Database'!$AG$1:$AG$600,$B57)))</f>
        <v>81064.074353837568</v>
      </c>
      <c r="V57" s="47">
        <f>IF($B57="","",IF(INDEX('Master Database'!$AH$1:$AH$600,$B57)="","",INDEX('Master Database'!$AH$1:$AH$600,$B57)))</f>
        <v>85586.078219077768</v>
      </c>
      <c r="W57" s="47">
        <f>IF($B57="","",IF(INDEX('Master Database'!$AI$1:$AI$600,$B57)="","",INDEX('Master Database'!$AI$1:$AI$600,$B57)))</f>
        <v>56361256847.843941</v>
      </c>
      <c r="X57" s="19" t="str">
        <f>IF($B57="","",IF(INDEX('Master Database'!$BG$1:$BG$600,$B57)="","",INDEX('Master Database'!$BG$1:$BG$600,$B57)))</f>
        <v>Y</v>
      </c>
      <c r="BA57">
        <f>IF('Master Database'!$A57="",0,IF(AND(OR($B$5="",ISNUMBER(SEARCH($B$5,'Master Database'!$B57&amp;" "&amp;'Master Database'!$D57))),OR($B$6="(All)",'Master Database'!$C57=$B$6),OR($B$7="(All)",'Master Database'!$E57=$B$7),OR($B$8="(All)",'Master Database'!$T57=$B$8),OR($B$9="(All)",'Master Database'!$M57=$B$9),OR($B$10="(All)",'Master Database'!$V57=$B$10),OR($E$5="(All)",'Master Database'!$F57=$E$5),OR($E$6="(All)",'Master Database'!$G57=$E$6),OR($E$7="(All)",'Master Database'!$O57=$E$7),OR($E$8="(All)",'Master Database'!$P57=$E$8),OR($E$9="(All)",'Master Database'!$S57=$E$9),OR($E$10="(All)",'Master Database'!$Y57&amp;""=$E$10&amp;""),OR($H$5="(All)",'Master Database'!$BG57=$H$5),OR($H$6&lt;&gt;"Y",ISNUMBER('Master Database'!$AG57)),OR($H$7="",AND(ISNUMBER('Master Database'!$H57),N('Master Database'!$H57)&gt;=$H$7)),OR($I$7="",AND(ISNUMBER('Master Database'!$H57),N('Master Database'!$H57)&lt;=$I$7)),OR($H$8="",AND(ISNUMBER('Master Database'!$I57),N('Master Database'!$I57)&gt;=$H$8)),OR($I$8="",AND(ISNUMBER('Master Database'!$I57),N('Master Database'!$I57)&lt;=$I$8)),OR($H$9="",AND(ISNUMBER('Master Database'!$K57),N('Master Database'!$K57)&gt;=$H$9)),OR($I$9="",AND(ISNUMBER('Master Database'!$K57),N('Master Database'!$K57)&lt;=$I$9))),1,0))</f>
        <v>1</v>
      </c>
      <c r="BB57">
        <f>IF(BA57=1,COUNTIF($BA$5:BA57,1),"")</f>
        <v>53</v>
      </c>
    </row>
    <row r="58" spans="1:54">
      <c r="A58" s="20">
        <f>IF(43&lt;=SUM($BA$5:$BA$600),43,"")</f>
        <v>43</v>
      </c>
      <c r="B58" s="20">
        <f t="shared" si="1"/>
        <v>47</v>
      </c>
      <c r="C58" s="20">
        <f>IF($B58="","",IF(INDEX('Master Database'!$A$1:$A$600,$B58)="","",INDEX('Master Database'!$A$1:$A$600,$B58)))</f>
        <v>43</v>
      </c>
      <c r="D58" s="19" t="str">
        <f>IF($B58="","",IF(INDEX('Master Database'!$B$1:$B$600,$B58)="","",INDEX('Master Database'!$B$1:$B$600,$B58)))</f>
        <v>Dirty Oil Pumps</v>
      </c>
      <c r="E58" s="19" t="str">
        <f>IF($B58="","",IF(INDEX('Master Database'!$C$1:$C$600,$B58)="","",INDEX('Master Database'!$C$1:$C$600,$B58)))</f>
        <v>Koopal Asmari</v>
      </c>
      <c r="F58" s="19" t="str">
        <f>IF($B58="","",IF(INDEX('Master Database'!$D$1:$D$600,$B58)="","",INDEX('Master Database'!$D$1:$D$600,$B58)))</f>
        <v>P-135 A/B</v>
      </c>
      <c r="G58" s="19" t="str">
        <f>IF($B58="","",IF(INDEX('Master Database'!$E$1:$E$600,$B58)="","",INDEX('Master Database'!$E$1:$E$600,$B58)))</f>
        <v>ROT-DRN</v>
      </c>
      <c r="H58" s="19" t="str">
        <f>IF($B58="","",IF(INDEX('Master Database'!$F$1:$F$600,$B58)="","",INDEX('Master Database'!$F$1:$F$600,$B58)))</f>
        <v>N/A (non-API 610)</v>
      </c>
      <c r="I58" s="19" t="str">
        <f>IF($B58="","",IF(INDEX('Master Database'!$G$1:$G$600,$B58)="","",INDEX('Master Database'!$G$1:$G$600,$B58)))</f>
        <v>D-1</v>
      </c>
      <c r="J58" s="46">
        <f>IF($B58="","",IF(INDEX('Master Database'!$H$1:$H$600,$B58)="","",INDEX('Master Database'!$H$1:$H$600,$B58)))</f>
        <v>5</v>
      </c>
      <c r="K58" s="46" t="str">
        <f>IF($B58="","",IF(INDEX('Master Database'!$I$1:$I$600,$B58)="","",INDEX('Master Database'!$I$1:$I$600,$B58)))</f>
        <v/>
      </c>
      <c r="L58" s="46" t="str">
        <f>IF($B58="","",IF(INDEX('Master Database'!$K$1:$K$600,$B58)="","",INDEX('Master Database'!$K$1:$K$600,$B58)))</f>
        <v/>
      </c>
      <c r="M58" s="19" t="str">
        <f>IF($B58="","",IF(INDEX('Master Database'!$L$1:$L$600,$B58)="","",INDEX('Master Database'!$L$1:$L$600,$B58)))</f>
        <v>API 676 + IPS-M-PM-140</v>
      </c>
      <c r="N58" s="19" t="str">
        <f>IF($B58="","",IF(INDEX('Master Database'!$P$1:$P$600,$B58)="","",INDEX('Master Database'!$P$1:$P$600,$B58)))</f>
        <v>Not stated</v>
      </c>
      <c r="O58" s="19" t="str">
        <f>IF($B58="","",IF(INDEX('Master Database'!$S$1:$S$600,$B58)="","",INDEX('Master Database'!$S$1:$S$600,$B58)))</f>
        <v>Electric Motor</v>
      </c>
      <c r="P58" s="19" t="str">
        <f>IF($B58="","",IF(INDEX('Master Database'!$T$1:$T$600,$B58)="","",INDEX('Master Database'!$T$1:$T$600,$B58)))</f>
        <v>Slop / Dirty Oil</v>
      </c>
      <c r="Q58" s="19">
        <f>IF($B58="","",IF(INDEX('Master Database'!$Y$1:$Y$600,$B58)="","",INDEX('Master Database'!$Y$1:$Y$600,$B58)))</f>
        <v>1393</v>
      </c>
      <c r="R58" s="19" t="str">
        <f>IF($B58="","",IF(INDEX('Master Database'!$Z$1:$Z$600,$B58)="","",INDEX('Master Database'!$Z$1:$Z$600,$B58)))</f>
        <v>EUR</v>
      </c>
      <c r="S58" s="47">
        <f>IF($B58="","",IF(INDEX('Master Database'!$AA$1:$AA$600,$B58)="","",INDEX('Master Database'!$AA$1:$AA$600,$B58)))</f>
        <v>10000</v>
      </c>
      <c r="T58" s="19" t="str">
        <f>IF($B58="","",IF(INDEX('Master Database'!$AE$1:$AE$600,$B58)="","",INDEX('Master Database'!$AE$1:$AE$600,$B58)))</f>
        <v>Consultant FEED MTO estimate – KPL-476 R03 (Jan 2016); vendor-level price in EUR, before project overhead | source label: AACE Class 3</v>
      </c>
      <c r="U58" s="47">
        <f>IF($B58="","",IF(INDEX('Master Database'!$AG$1:$AG$600,$B58)="","",INDEX('Master Database'!$AG$1:$AG$600,$B58)))</f>
        <v>13510.679058972928</v>
      </c>
      <c r="V58" s="47">
        <f>IF($B58="","",IF(INDEX('Master Database'!$AH$1:$AH$600,$B58)="","",INDEX('Master Database'!$AH$1:$AH$600,$B58)))</f>
        <v>14264.346369846295</v>
      </c>
      <c r="W58" s="47">
        <f>IF($B58="","",IF(INDEX('Master Database'!$AI$1:$AI$600,$B58)="","",INDEX('Master Database'!$AI$1:$AI$600,$B58)))</f>
        <v>9393542807.9739895</v>
      </c>
      <c r="X58" s="19" t="str">
        <f>IF($B58="","",IF(INDEX('Master Database'!$BG$1:$BG$600,$B58)="","",INDEX('Master Database'!$BG$1:$BG$600,$B58)))</f>
        <v>Y</v>
      </c>
      <c r="BA58">
        <f>IF('Master Database'!$A58="",0,IF(AND(OR($B$5="",ISNUMBER(SEARCH($B$5,'Master Database'!$B58&amp;" "&amp;'Master Database'!$D58))),OR($B$6="(All)",'Master Database'!$C58=$B$6),OR($B$7="(All)",'Master Database'!$E58=$B$7),OR($B$8="(All)",'Master Database'!$T58=$B$8),OR($B$9="(All)",'Master Database'!$M58=$B$9),OR($B$10="(All)",'Master Database'!$V58=$B$10),OR($E$5="(All)",'Master Database'!$F58=$E$5),OR($E$6="(All)",'Master Database'!$G58=$E$6),OR($E$7="(All)",'Master Database'!$O58=$E$7),OR($E$8="(All)",'Master Database'!$P58=$E$8),OR($E$9="(All)",'Master Database'!$S58=$E$9),OR($E$10="(All)",'Master Database'!$Y58&amp;""=$E$10&amp;""),OR($H$5="(All)",'Master Database'!$BG58=$H$5),OR($H$6&lt;&gt;"Y",ISNUMBER('Master Database'!$AG58)),OR($H$7="",AND(ISNUMBER('Master Database'!$H58),N('Master Database'!$H58)&gt;=$H$7)),OR($I$7="",AND(ISNUMBER('Master Database'!$H58),N('Master Database'!$H58)&lt;=$I$7)),OR($H$8="",AND(ISNUMBER('Master Database'!$I58),N('Master Database'!$I58)&gt;=$H$8)),OR($I$8="",AND(ISNUMBER('Master Database'!$I58),N('Master Database'!$I58)&lt;=$I$8)),OR($H$9="",AND(ISNUMBER('Master Database'!$K58),N('Master Database'!$K58)&gt;=$H$9)),OR($I$9="",AND(ISNUMBER('Master Database'!$K58),N('Master Database'!$K58)&lt;=$I$9))),1,0))</f>
        <v>1</v>
      </c>
      <c r="BB58">
        <f>IF(BA58=1,COUNTIF($BA$5:BA58,1),"")</f>
        <v>54</v>
      </c>
    </row>
    <row r="59" spans="1:54">
      <c r="A59" s="20">
        <f>IF(44&lt;=SUM($BA$5:$BA$600),44,"")</f>
        <v>44</v>
      </c>
      <c r="B59" s="20">
        <f t="shared" si="1"/>
        <v>48</v>
      </c>
      <c r="C59" s="20">
        <f>IF($B59="","",IF(INDEX('Master Database'!$A$1:$A$600,$B59)="","",INDEX('Master Database'!$A$1:$A$600,$B59)))</f>
        <v>44</v>
      </c>
      <c r="D59" s="19" t="str">
        <f>IF($B59="","",IF(INDEX('Master Database'!$B$1:$B$600,$B59)="","",INDEX('Master Database'!$B$1:$B$600,$B59)))</f>
        <v>Free Water Transfer Pumps</v>
      </c>
      <c r="E59" s="19" t="str">
        <f>IF($B59="","",IF(INDEX('Master Database'!$C$1:$C$600,$B59)="","",INDEX('Master Database'!$C$1:$C$600,$B59)))</f>
        <v>Koopal Asmari</v>
      </c>
      <c r="F59" s="19" t="str">
        <f>IF($B59="","",IF(INDEX('Master Database'!$D$1:$D$600,$B59)="","",INDEX('Master Database'!$D$1:$D$600,$B59)))</f>
        <v>P-136 A/B</v>
      </c>
      <c r="G59" s="19" t="str">
        <f>IF($B59="","",IF(INDEX('Master Database'!$E$1:$E$600,$B59)="","",INDEX('Master Database'!$E$1:$E$600,$B59)))</f>
        <v>ROT-WAT</v>
      </c>
      <c r="H59" s="19" t="str">
        <f>IF($B59="","",IF(INDEX('Master Database'!$F$1:$F$600,$B59)="","",INDEX('Master Database'!$F$1:$F$600,$B59)))</f>
        <v>OH2</v>
      </c>
      <c r="I59" s="19" t="str">
        <f>IF($B59="","",IF(INDEX('Master Database'!$G$1:$G$600,$B59)="","",INDEX('Master Database'!$G$1:$G$600,$B59)))</f>
        <v>D-2</v>
      </c>
      <c r="J59" s="46">
        <f>IF($B59="","",IF(INDEX('Master Database'!$H$1:$H$600,$B59)="","",INDEX('Master Database'!$H$1:$H$600,$B59)))</f>
        <v>21</v>
      </c>
      <c r="K59" s="46">
        <f>IF($B59="","",IF(INDEX('Master Database'!$I$1:$I$600,$B59)="","",INDEX('Master Database'!$I$1:$I$600,$B59)))</f>
        <v>27.6</v>
      </c>
      <c r="L59" s="46">
        <f>IF($B59="","",IF(INDEX('Master Database'!$K$1:$K$600,$B59)="","",INDEX('Master Database'!$K$1:$K$600,$B59)))</f>
        <v>2.6321525885558588</v>
      </c>
      <c r="M59" s="19" t="str">
        <f>IF($B59="","",IF(INDEX('Master Database'!$L$1:$L$600,$B59)="","",INDEX('Master Database'!$L$1:$L$600,$B59)))</f>
        <v>API 610 + IPS-G-PM-105</v>
      </c>
      <c r="N59" s="19" t="str">
        <f>IF($B59="","",IF(INDEX('Master Database'!$P$1:$P$600,$B59)="","",INDEX('Master Database'!$P$1:$P$600,$B59)))</f>
        <v>Not stated</v>
      </c>
      <c r="O59" s="19" t="str">
        <f>IF($B59="","",IF(INDEX('Master Database'!$S$1:$S$600,$B59)="","",INDEX('Master Database'!$S$1:$S$600,$B59)))</f>
        <v>Electric Motor</v>
      </c>
      <c r="P59" s="19" t="str">
        <f>IF($B59="","",IF(INDEX('Master Database'!$T$1:$T$600,$B59)="","",INDEX('Master Database'!$T$1:$T$600,$B59)))</f>
        <v>Process / Dilution Water</v>
      </c>
      <c r="Q59" s="19">
        <f>IF($B59="","",IF(INDEX('Master Database'!$Y$1:$Y$600,$B59)="","",INDEX('Master Database'!$Y$1:$Y$600,$B59)))</f>
        <v>1393</v>
      </c>
      <c r="R59" s="19" t="str">
        <f>IF($B59="","",IF(INDEX('Master Database'!$Z$1:$Z$600,$B59)="","",INDEX('Master Database'!$Z$1:$Z$600,$B59)))</f>
        <v>EUR</v>
      </c>
      <c r="S59" s="47">
        <f>IF($B59="","",IF(INDEX('Master Database'!$AA$1:$AA$600,$B59)="","",INDEX('Master Database'!$AA$1:$AA$600,$B59)))</f>
        <v>30000</v>
      </c>
      <c r="T59" s="19" t="str">
        <f>IF($B59="","",IF(INDEX('Master Database'!$AE$1:$AE$600,$B59)="","",INDEX('Master Database'!$AE$1:$AE$600,$B59)))</f>
        <v>Consultant FEED MTO estimate – KPL-476 R03 (Jan 2016); vendor-level price in EUR, before project overhead | source label: AACE Class 3</v>
      </c>
      <c r="U59" s="47">
        <f>IF($B59="","",IF(INDEX('Master Database'!$AG$1:$AG$600,$B59)="","",INDEX('Master Database'!$AG$1:$AG$600,$B59)))</f>
        <v>40532.037176918784</v>
      </c>
      <c r="V59" s="47">
        <f>IF($B59="","",IF(INDEX('Master Database'!$AH$1:$AH$600,$B59)="","",INDEX('Master Database'!$AH$1:$AH$600,$B59)))</f>
        <v>42793.039109538884</v>
      </c>
      <c r="W59" s="47">
        <f>IF($B59="","",IF(INDEX('Master Database'!$AI$1:$AI$600,$B59)="","",INDEX('Master Database'!$AI$1:$AI$600,$B59)))</f>
        <v>28180628423.92197</v>
      </c>
      <c r="X59" s="19" t="str">
        <f>IF($B59="","",IF(INDEX('Master Database'!$BG$1:$BG$600,$B59)="","",INDEX('Master Database'!$BG$1:$BG$600,$B59)))</f>
        <v>Y</v>
      </c>
      <c r="BA59">
        <f>IF('Master Database'!$A59="",0,IF(AND(OR($B$5="",ISNUMBER(SEARCH($B$5,'Master Database'!$B59&amp;" "&amp;'Master Database'!$D59))),OR($B$6="(All)",'Master Database'!$C59=$B$6),OR($B$7="(All)",'Master Database'!$E59=$B$7),OR($B$8="(All)",'Master Database'!$T59=$B$8),OR($B$9="(All)",'Master Database'!$M59=$B$9),OR($B$10="(All)",'Master Database'!$V59=$B$10),OR($E$5="(All)",'Master Database'!$F59=$E$5),OR($E$6="(All)",'Master Database'!$G59=$E$6),OR($E$7="(All)",'Master Database'!$O59=$E$7),OR($E$8="(All)",'Master Database'!$P59=$E$8),OR($E$9="(All)",'Master Database'!$S59=$E$9),OR($E$10="(All)",'Master Database'!$Y59&amp;""=$E$10&amp;""),OR($H$5="(All)",'Master Database'!$BG59=$H$5),OR($H$6&lt;&gt;"Y",ISNUMBER('Master Database'!$AG59)),OR($H$7="",AND(ISNUMBER('Master Database'!$H59),N('Master Database'!$H59)&gt;=$H$7)),OR($I$7="",AND(ISNUMBER('Master Database'!$H59),N('Master Database'!$H59)&lt;=$I$7)),OR($H$8="",AND(ISNUMBER('Master Database'!$I59),N('Master Database'!$I59)&gt;=$H$8)),OR($I$8="",AND(ISNUMBER('Master Database'!$I59),N('Master Database'!$I59)&lt;=$I$8)),OR($H$9="",AND(ISNUMBER('Master Database'!$K59),N('Master Database'!$K59)&gt;=$H$9)),OR($I$9="",AND(ISNUMBER('Master Database'!$K59),N('Master Database'!$K59)&lt;=$I$9))),1,0))</f>
        <v>1</v>
      </c>
      <c r="BB59">
        <f>IF(BA59=1,COUNTIF($BA$5:BA59,1),"")</f>
        <v>55</v>
      </c>
    </row>
    <row r="60" spans="1:54">
      <c r="A60" s="20">
        <f>IF(45&lt;=SUM($BA$5:$BA$600),45,"")</f>
        <v>45</v>
      </c>
      <c r="B60" s="20">
        <f t="shared" si="1"/>
        <v>49</v>
      </c>
      <c r="C60" s="20">
        <f>IF($B60="","",IF(INDEX('Master Database'!$A$1:$A$600,$B60)="","",INDEX('Master Database'!$A$1:$A$600,$B60)))</f>
        <v>45</v>
      </c>
      <c r="D60" s="19" t="str">
        <f>IF($B60="","",IF(INDEX('Master Database'!$B$1:$B$600,$B60)="","",INDEX('Master Database'!$B$1:$B$600,$B60)))</f>
        <v>Disposal Water Injection Main Pumps</v>
      </c>
      <c r="E60" s="19" t="str">
        <f>IF($B60="","",IF(INDEX('Master Database'!$C$1:$C$600,$B60)="","",INDEX('Master Database'!$C$1:$C$600,$B60)))</f>
        <v>Koopal Asmari</v>
      </c>
      <c r="F60" s="19" t="str">
        <f>IF($B60="","",IF(INDEX('Master Database'!$D$1:$D$600,$B60)="","",INDEX('Master Database'!$D$1:$D$600,$B60)))</f>
        <v>P-137 A/B</v>
      </c>
      <c r="G60" s="19" t="str">
        <f>IF($B60="","",IF(INDEX('Master Database'!$E$1:$E$600,$B60)="","",INDEX('Master Database'!$E$1:$E$600,$B60)))</f>
        <v>ROT-INJ</v>
      </c>
      <c r="H60" s="19" t="str">
        <f>IF($B60="","",IF(INDEX('Master Database'!$F$1:$F$600,$B60)="","",INDEX('Master Database'!$F$1:$F$600,$B60)))</f>
        <v>BB3</v>
      </c>
      <c r="I60" s="19" t="str">
        <f>IF($B60="","",IF(INDEX('Master Database'!$G$1:$G$600,$B60)="","",INDEX('Master Database'!$G$1:$G$600,$B60)))</f>
        <v>D-2</v>
      </c>
      <c r="J60" s="46">
        <f>IF($B60="","",IF(INDEX('Master Database'!$H$1:$H$600,$B60)="","",INDEX('Master Database'!$H$1:$H$600,$B60)))</f>
        <v>73</v>
      </c>
      <c r="K60" s="46">
        <f>IF($B60="","",IF(INDEX('Master Database'!$I$1:$I$600,$B60)="","",INDEX('Master Database'!$I$1:$I$600,$B60)))</f>
        <v>607.4</v>
      </c>
      <c r="L60" s="46">
        <f>IF($B60="","",IF(INDEX('Master Database'!$K$1:$K$600,$B60)="","",INDEX('Master Database'!$K$1:$K$600,$B60)))</f>
        <v>201.36330608537693</v>
      </c>
      <c r="M60" s="19" t="str">
        <f>IF($B60="","",IF(INDEX('Master Database'!$L$1:$L$600,$B60)="","",INDEX('Master Database'!$L$1:$L$600,$B60)))</f>
        <v>API 610 + IPS-G-PM-105</v>
      </c>
      <c r="N60" s="19" t="str">
        <f>IF($B60="","",IF(INDEX('Master Database'!$P$1:$P$600,$B60)="","",INDEX('Master Database'!$P$1:$P$600,$B60)))</f>
        <v>Not stated</v>
      </c>
      <c r="O60" s="19" t="str">
        <f>IF($B60="","",IF(INDEX('Master Database'!$S$1:$S$600,$B60)="","",INDEX('Master Database'!$S$1:$S$600,$B60)))</f>
        <v>Electric Motor</v>
      </c>
      <c r="P60" s="19" t="str">
        <f>IF($B60="","",IF(INDEX('Master Database'!$T$1:$T$600,$B60)="","",INDEX('Master Database'!$T$1:$T$600,$B60)))</f>
        <v>Produced / Disposal Water</v>
      </c>
      <c r="Q60" s="19">
        <f>IF($B60="","",IF(INDEX('Master Database'!$Y$1:$Y$600,$B60)="","",INDEX('Master Database'!$Y$1:$Y$600,$B60)))</f>
        <v>1393</v>
      </c>
      <c r="R60" s="19" t="str">
        <f>IF($B60="","",IF(INDEX('Master Database'!$Z$1:$Z$600,$B60)="","",INDEX('Master Database'!$Z$1:$Z$600,$B60)))</f>
        <v>EUR</v>
      </c>
      <c r="S60" s="47">
        <f>IF($B60="","",IF(INDEX('Master Database'!$AA$1:$AA$600,$B60)="","",INDEX('Master Database'!$AA$1:$AA$600,$B60)))</f>
        <v>210000</v>
      </c>
      <c r="T60" s="19" t="str">
        <f>IF($B60="","",IF(INDEX('Master Database'!$AE$1:$AE$600,$B60)="","",INDEX('Master Database'!$AE$1:$AE$600,$B60)))</f>
        <v>Consultant FEED MTO estimate – KPL-476 R03 (Jan 2016); vendor-level price in EUR, before project overhead | source label: AACE Class 3</v>
      </c>
      <c r="U60" s="47">
        <f>IF($B60="","",IF(INDEX('Master Database'!$AG$1:$AG$600,$B60)="","",INDEX('Master Database'!$AG$1:$AG$600,$B60)))</f>
        <v>283724.26023843151</v>
      </c>
      <c r="V60" s="47">
        <f>IF($B60="","",IF(INDEX('Master Database'!$AH$1:$AH$600,$B60)="","",INDEX('Master Database'!$AH$1:$AH$600,$B60)))</f>
        <v>299551.27376677218</v>
      </c>
      <c r="W60" s="47">
        <f>IF($B60="","",IF(INDEX('Master Database'!$AI$1:$AI$600,$B60)="","",INDEX('Master Database'!$AI$1:$AI$600,$B60)))</f>
        <v>197264398967.4538</v>
      </c>
      <c r="X60" s="19" t="str">
        <f>IF($B60="","",IF(INDEX('Master Database'!$BG$1:$BG$600,$B60)="","",INDEX('Master Database'!$BG$1:$BG$600,$B60)))</f>
        <v>Y</v>
      </c>
      <c r="BA60">
        <f>IF('Master Database'!$A60="",0,IF(AND(OR($B$5="",ISNUMBER(SEARCH($B$5,'Master Database'!$B60&amp;" "&amp;'Master Database'!$D60))),OR($B$6="(All)",'Master Database'!$C60=$B$6),OR($B$7="(All)",'Master Database'!$E60=$B$7),OR($B$8="(All)",'Master Database'!$T60=$B$8),OR($B$9="(All)",'Master Database'!$M60=$B$9),OR($B$10="(All)",'Master Database'!$V60=$B$10),OR($E$5="(All)",'Master Database'!$F60=$E$5),OR($E$6="(All)",'Master Database'!$G60=$E$6),OR($E$7="(All)",'Master Database'!$O60=$E$7),OR($E$8="(All)",'Master Database'!$P60=$E$8),OR($E$9="(All)",'Master Database'!$S60=$E$9),OR($E$10="(All)",'Master Database'!$Y60&amp;""=$E$10&amp;""),OR($H$5="(All)",'Master Database'!$BG60=$H$5),OR($H$6&lt;&gt;"Y",ISNUMBER('Master Database'!$AG60)),OR($H$7="",AND(ISNUMBER('Master Database'!$H60),N('Master Database'!$H60)&gt;=$H$7)),OR($I$7="",AND(ISNUMBER('Master Database'!$H60),N('Master Database'!$H60)&lt;=$I$7)),OR($H$8="",AND(ISNUMBER('Master Database'!$I60),N('Master Database'!$I60)&gt;=$H$8)),OR($I$8="",AND(ISNUMBER('Master Database'!$I60),N('Master Database'!$I60)&lt;=$I$8)),OR($H$9="",AND(ISNUMBER('Master Database'!$K60),N('Master Database'!$K60)&gt;=$H$9)),OR($I$9="",AND(ISNUMBER('Master Database'!$K60),N('Master Database'!$K60)&lt;=$I$9))),1,0))</f>
        <v>1</v>
      </c>
      <c r="BB60">
        <f>IF(BA60=1,COUNTIF($BA$5:BA60,1),"")</f>
        <v>56</v>
      </c>
    </row>
    <row r="61" spans="1:54">
      <c r="A61" s="20">
        <f>IF(46&lt;=SUM($BA$5:$BA$600),46,"")</f>
        <v>46</v>
      </c>
      <c r="B61" s="20">
        <f t="shared" si="1"/>
        <v>50</v>
      </c>
      <c r="C61" s="20">
        <f>IF($B61="","",IF(INDEX('Master Database'!$A$1:$A$600,$B61)="","",INDEX('Master Database'!$A$1:$A$600,$B61)))</f>
        <v>46</v>
      </c>
      <c r="D61" s="19" t="str">
        <f>IF($B61="","",IF(INDEX('Master Database'!$B$1:$B$600,$B61)="","",INDEX('Master Database'!$B$1:$B$600,$B61)))</f>
        <v>Disposal Water Injection Booster Pumps</v>
      </c>
      <c r="E61" s="19" t="str">
        <f>IF($B61="","",IF(INDEX('Master Database'!$C$1:$C$600,$B61)="","",INDEX('Master Database'!$C$1:$C$600,$B61)))</f>
        <v>Koopal Asmari</v>
      </c>
      <c r="F61" s="19" t="str">
        <f>IF($B61="","",IF(INDEX('Master Database'!$D$1:$D$600,$B61)="","",INDEX('Master Database'!$D$1:$D$600,$B61)))</f>
        <v>P-139 A/B</v>
      </c>
      <c r="G61" s="19" t="str">
        <f>IF($B61="","",IF(INDEX('Master Database'!$E$1:$E$600,$B61)="","",INDEX('Master Database'!$E$1:$E$600,$B61)))</f>
        <v>ROT-INJ</v>
      </c>
      <c r="H61" s="19" t="str">
        <f>IF($B61="","",IF(INDEX('Master Database'!$F$1:$F$600,$B61)="","",INDEX('Master Database'!$F$1:$F$600,$B61)))</f>
        <v>BB3</v>
      </c>
      <c r="I61" s="19" t="str">
        <f>IF($B61="","",IF(INDEX('Master Database'!$G$1:$G$600,$B61)="","",INDEX('Master Database'!$G$1:$G$600,$B61)))</f>
        <v>D-2</v>
      </c>
      <c r="J61" s="46">
        <f>IF($B61="","",IF(INDEX('Master Database'!$H$1:$H$600,$B61)="","",INDEX('Master Database'!$H$1:$H$600,$B61)))</f>
        <v>36</v>
      </c>
      <c r="K61" s="46">
        <f>IF($B61="","",IF(INDEX('Master Database'!$I$1:$I$600,$B61)="","",INDEX('Master Database'!$I$1:$I$600,$B61)))</f>
        <v>331</v>
      </c>
      <c r="L61" s="46">
        <f>IF($B61="","",IF(INDEX('Master Database'!$K$1:$K$600,$B61)="","",INDEX('Master Database'!$K$1:$K$600,$B61)))</f>
        <v>54.114441416893733</v>
      </c>
      <c r="M61" s="19" t="str">
        <f>IF($B61="","",IF(INDEX('Master Database'!$L$1:$L$600,$B61)="","",INDEX('Master Database'!$L$1:$L$600,$B61)))</f>
        <v>API 610 + IPS-G-PM-105</v>
      </c>
      <c r="N61" s="19" t="str">
        <f>IF($B61="","",IF(INDEX('Master Database'!$P$1:$P$600,$B61)="","",INDEX('Master Database'!$P$1:$P$600,$B61)))</f>
        <v>Not stated</v>
      </c>
      <c r="O61" s="19" t="str">
        <f>IF($B61="","",IF(INDEX('Master Database'!$S$1:$S$600,$B61)="","",INDEX('Master Database'!$S$1:$S$600,$B61)))</f>
        <v>Electric Motor</v>
      </c>
      <c r="P61" s="19" t="str">
        <f>IF($B61="","",IF(INDEX('Master Database'!$T$1:$T$600,$B61)="","",INDEX('Master Database'!$T$1:$T$600,$B61)))</f>
        <v>Produced / Disposal Water</v>
      </c>
      <c r="Q61" s="19">
        <f>IF($B61="","",IF(INDEX('Master Database'!$Y$1:$Y$600,$B61)="","",INDEX('Master Database'!$Y$1:$Y$600,$B61)))</f>
        <v>1393</v>
      </c>
      <c r="R61" s="19" t="str">
        <f>IF($B61="","",IF(INDEX('Master Database'!$Z$1:$Z$600,$B61)="","",INDEX('Master Database'!$Z$1:$Z$600,$B61)))</f>
        <v>EUR</v>
      </c>
      <c r="S61" s="47">
        <f>IF($B61="","",IF(INDEX('Master Database'!$AA$1:$AA$600,$B61)="","",INDEX('Master Database'!$AA$1:$AA$600,$B61)))</f>
        <v>150000</v>
      </c>
      <c r="T61" s="19" t="str">
        <f>IF($B61="","",IF(INDEX('Master Database'!$AE$1:$AE$600,$B61)="","",INDEX('Master Database'!$AE$1:$AE$600,$B61)))</f>
        <v>Consultant FEED MTO estimate – KPL-476 R03 (Jan 2016); vendor-level price in EUR, before project overhead | source label: AACE Class 3</v>
      </c>
      <c r="U61" s="47">
        <f>IF($B61="","",IF(INDEX('Master Database'!$AG$1:$AG$600,$B61)="","",INDEX('Master Database'!$AG$1:$AG$600,$B61)))</f>
        <v>202660.18588459393</v>
      </c>
      <c r="V61" s="47">
        <f>IF($B61="","",IF(INDEX('Master Database'!$AH$1:$AH$600,$B61)="","",INDEX('Master Database'!$AH$1:$AH$600,$B61)))</f>
        <v>213965.19554769443</v>
      </c>
      <c r="W61" s="47">
        <f>IF($B61="","",IF(INDEX('Master Database'!$AI$1:$AI$600,$B61)="","",INDEX('Master Database'!$AI$1:$AI$600,$B61)))</f>
        <v>140903142119.60986</v>
      </c>
      <c r="X61" s="19" t="str">
        <f>IF($B61="","",IF(INDEX('Master Database'!$BG$1:$BG$600,$B61)="","",INDEX('Master Database'!$BG$1:$BG$600,$B61)))</f>
        <v>Y</v>
      </c>
      <c r="BA61">
        <f>IF('Master Database'!$A61="",0,IF(AND(OR($B$5="",ISNUMBER(SEARCH($B$5,'Master Database'!$B61&amp;" "&amp;'Master Database'!$D61))),OR($B$6="(All)",'Master Database'!$C61=$B$6),OR($B$7="(All)",'Master Database'!$E61=$B$7),OR($B$8="(All)",'Master Database'!$T61=$B$8),OR($B$9="(All)",'Master Database'!$M61=$B$9),OR($B$10="(All)",'Master Database'!$V61=$B$10),OR($E$5="(All)",'Master Database'!$F61=$E$5),OR($E$6="(All)",'Master Database'!$G61=$E$6),OR($E$7="(All)",'Master Database'!$O61=$E$7),OR($E$8="(All)",'Master Database'!$P61=$E$8),OR($E$9="(All)",'Master Database'!$S61=$E$9),OR($E$10="(All)",'Master Database'!$Y61&amp;""=$E$10&amp;""),OR($H$5="(All)",'Master Database'!$BG61=$H$5),OR($H$6&lt;&gt;"Y",ISNUMBER('Master Database'!$AG61)),OR($H$7="",AND(ISNUMBER('Master Database'!$H61),N('Master Database'!$H61)&gt;=$H$7)),OR($I$7="",AND(ISNUMBER('Master Database'!$H61),N('Master Database'!$H61)&lt;=$I$7)),OR($H$8="",AND(ISNUMBER('Master Database'!$I61),N('Master Database'!$I61)&gt;=$H$8)),OR($I$8="",AND(ISNUMBER('Master Database'!$I61),N('Master Database'!$I61)&lt;=$I$8)),OR($H$9="",AND(ISNUMBER('Master Database'!$K61),N('Master Database'!$K61)&gt;=$H$9)),OR($I$9="",AND(ISNUMBER('Master Database'!$K61),N('Master Database'!$K61)&lt;=$I$9))),1,0))</f>
        <v>1</v>
      </c>
      <c r="BB61">
        <f>IF(BA61=1,COUNTIF($BA$5:BA61,1),"")</f>
        <v>57</v>
      </c>
    </row>
    <row r="62" spans="1:54">
      <c r="A62" s="20">
        <f>IF(47&lt;=SUM($BA$5:$BA$600),47,"")</f>
        <v>47</v>
      </c>
      <c r="B62" s="20">
        <f t="shared" si="1"/>
        <v>51</v>
      </c>
      <c r="C62" s="20">
        <f>IF($B62="","",IF(INDEX('Master Database'!$A$1:$A$600,$B62)="","",INDEX('Master Database'!$A$1:$A$600,$B62)))</f>
        <v>47</v>
      </c>
      <c r="D62" s="19" t="str">
        <f>IF($B62="","",IF(INDEX('Master Database'!$B$1:$B$600,$B62)="","",INDEX('Master Database'!$B$1:$B$600,$B62)))</f>
        <v>Dilution Water Pumps</v>
      </c>
      <c r="E62" s="19" t="str">
        <f>IF($B62="","",IF(INDEX('Master Database'!$C$1:$C$600,$B62)="","",INDEX('Master Database'!$C$1:$C$600,$B62)))</f>
        <v>Koopal Asmari</v>
      </c>
      <c r="F62" s="19" t="str">
        <f>IF($B62="","",IF(INDEX('Master Database'!$D$1:$D$600,$B62)="","",INDEX('Master Database'!$D$1:$D$600,$B62)))</f>
        <v>P-151 A/B</v>
      </c>
      <c r="G62" s="19" t="str">
        <f>IF($B62="","",IF(INDEX('Master Database'!$E$1:$E$600,$B62)="","",INDEX('Master Database'!$E$1:$E$600,$B62)))</f>
        <v>ROT-WAT</v>
      </c>
      <c r="H62" s="19" t="str">
        <f>IF($B62="","",IF(INDEX('Master Database'!$F$1:$F$600,$B62)="","",INDEX('Master Database'!$F$1:$F$600,$B62)))</f>
        <v>OH2</v>
      </c>
      <c r="I62" s="19" t="str">
        <f>IF($B62="","",IF(INDEX('Master Database'!$G$1:$G$600,$B62)="","",INDEX('Master Database'!$G$1:$G$600,$B62)))</f>
        <v>S-5</v>
      </c>
      <c r="J62" s="46">
        <f>IF($B62="","",IF(INDEX('Master Database'!$H$1:$H$600,$B62)="","",INDEX('Master Database'!$H$1:$H$600,$B62)))</f>
        <v>23</v>
      </c>
      <c r="K62" s="46">
        <f>IF($B62="","",IF(INDEX('Master Database'!$I$1:$I$600,$B62)="","",INDEX('Master Database'!$I$1:$I$600,$B62)))</f>
        <v>158</v>
      </c>
      <c r="L62" s="46">
        <f>IF($B62="","",IF(INDEX('Master Database'!$K$1:$K$600,$B62)="","",INDEX('Master Database'!$K$1:$K$600,$B62)))</f>
        <v>16.503178928247049</v>
      </c>
      <c r="M62" s="19" t="str">
        <f>IF($B62="","",IF(INDEX('Master Database'!$L$1:$L$600,$B62)="","",INDEX('Master Database'!$L$1:$L$600,$B62)))</f>
        <v>API 610 + IPS-G-PM-105</v>
      </c>
      <c r="N62" s="19" t="str">
        <f>IF($B62="","",IF(INDEX('Master Database'!$P$1:$P$600,$B62)="","",INDEX('Master Database'!$P$1:$P$600,$B62)))</f>
        <v>Not stated</v>
      </c>
      <c r="O62" s="19" t="str">
        <f>IF($B62="","",IF(INDEX('Master Database'!$S$1:$S$600,$B62)="","",INDEX('Master Database'!$S$1:$S$600,$B62)))</f>
        <v>Electric Motor</v>
      </c>
      <c r="P62" s="19" t="str">
        <f>IF($B62="","",IF(INDEX('Master Database'!$T$1:$T$600,$B62)="","",INDEX('Master Database'!$T$1:$T$600,$B62)))</f>
        <v>Process / Dilution Water</v>
      </c>
      <c r="Q62" s="19">
        <f>IF($B62="","",IF(INDEX('Master Database'!$Y$1:$Y$600,$B62)="","",INDEX('Master Database'!$Y$1:$Y$600,$B62)))</f>
        <v>1393</v>
      </c>
      <c r="R62" s="19" t="str">
        <f>IF($B62="","",IF(INDEX('Master Database'!$Z$1:$Z$600,$B62)="","",INDEX('Master Database'!$Z$1:$Z$600,$B62)))</f>
        <v>EUR</v>
      </c>
      <c r="S62" s="47">
        <f>IF($B62="","",IF(INDEX('Master Database'!$AA$1:$AA$600,$B62)="","",INDEX('Master Database'!$AA$1:$AA$600,$B62)))</f>
        <v>16500</v>
      </c>
      <c r="T62" s="19" t="str">
        <f>IF($B62="","",IF(INDEX('Master Database'!$AE$1:$AE$600,$B62)="","",INDEX('Master Database'!$AE$1:$AE$600,$B62)))</f>
        <v>Consultant FEED MTO estimate – KPL-476 R03 (Jan 2016); vendor-level price in EUR, before project overhead | source label: AACE Class 3</v>
      </c>
      <c r="U62" s="47">
        <f>IF($B62="","",IF(INDEX('Master Database'!$AG$1:$AG$600,$B62)="","",INDEX('Master Database'!$AG$1:$AG$600,$B62)))</f>
        <v>25000</v>
      </c>
      <c r="V62" s="47">
        <f>IF($B62="","",IF(INDEX('Master Database'!$AH$1:$AH$600,$B62)="","",INDEX('Master Database'!$AH$1:$AH$600,$B62)))</f>
        <v>26394.577037141647</v>
      </c>
      <c r="W62" s="47">
        <f>IF($B62="","",IF(INDEX('Master Database'!$AI$1:$AI$600,$B62)="","",INDEX('Master Database'!$AI$1:$AI$600,$B62)))</f>
        <v>17381700000</v>
      </c>
      <c r="X62" s="19" t="str">
        <f>IF($B62="","",IF(INDEX('Master Database'!$BG$1:$BG$600,$B62)="","",INDEX('Master Database'!$BG$1:$BG$600,$B62)))</f>
        <v>Y</v>
      </c>
      <c r="BA62">
        <f>IF('Master Database'!$A62="",0,IF(AND(OR($B$5="",ISNUMBER(SEARCH($B$5,'Master Database'!$B62&amp;" "&amp;'Master Database'!$D62))),OR($B$6="(All)",'Master Database'!$C62=$B$6),OR($B$7="(All)",'Master Database'!$E62=$B$7),OR($B$8="(All)",'Master Database'!$T62=$B$8),OR($B$9="(All)",'Master Database'!$M62=$B$9),OR($B$10="(All)",'Master Database'!$V62=$B$10),OR($E$5="(All)",'Master Database'!$F62=$E$5),OR($E$6="(All)",'Master Database'!$G62=$E$6),OR($E$7="(All)",'Master Database'!$O62=$E$7),OR($E$8="(All)",'Master Database'!$P62=$E$8),OR($E$9="(All)",'Master Database'!$S62=$E$9),OR($E$10="(All)",'Master Database'!$Y62&amp;""=$E$10&amp;""),OR($H$5="(All)",'Master Database'!$BG62=$H$5),OR($H$6&lt;&gt;"Y",ISNUMBER('Master Database'!$AG62)),OR($H$7="",AND(ISNUMBER('Master Database'!$H62),N('Master Database'!$H62)&gt;=$H$7)),OR($I$7="",AND(ISNUMBER('Master Database'!$H62),N('Master Database'!$H62)&lt;=$I$7)),OR($H$8="",AND(ISNUMBER('Master Database'!$I62),N('Master Database'!$I62)&gt;=$H$8)),OR($I$8="",AND(ISNUMBER('Master Database'!$I62),N('Master Database'!$I62)&lt;=$I$8)),OR($H$9="",AND(ISNUMBER('Master Database'!$K62),N('Master Database'!$K62)&gt;=$H$9)),OR($I$9="",AND(ISNUMBER('Master Database'!$K62),N('Master Database'!$K62)&lt;=$I$9))),1,0))</f>
        <v>1</v>
      </c>
      <c r="BB62">
        <f>IF(BA62=1,COUNTIF($BA$5:BA62,1),"")</f>
        <v>58</v>
      </c>
    </row>
    <row r="63" spans="1:54">
      <c r="A63" s="20">
        <f>IF(48&lt;=SUM($BA$5:$BA$600),48,"")</f>
        <v>48</v>
      </c>
      <c r="B63" s="20">
        <f t="shared" si="1"/>
        <v>52</v>
      </c>
      <c r="C63" s="20">
        <f>IF($B63="","",IF(INDEX('Master Database'!$A$1:$A$600,$B63)="","",INDEX('Master Database'!$A$1:$A$600,$B63)))</f>
        <v>48</v>
      </c>
      <c r="D63" s="19" t="str">
        <f>IF($B63="","",IF(INDEX('Master Database'!$B$1:$B$600,$B63)="","",INDEX('Master Database'!$B$1:$B$600,$B63)))</f>
        <v>Dilution Water Pump</v>
      </c>
      <c r="E63" s="19" t="str">
        <f>IF($B63="","",IF(INDEX('Master Database'!$C$1:$C$600,$B63)="","",INDEX('Master Database'!$C$1:$C$600,$B63)))</f>
        <v>Koopal Asmari</v>
      </c>
      <c r="F63" s="19" t="str">
        <f>IF($B63="","",IF(INDEX('Master Database'!$D$1:$D$600,$B63)="","",INDEX('Master Database'!$D$1:$D$600,$B63)))</f>
        <v>P-152</v>
      </c>
      <c r="G63" s="19" t="str">
        <f>IF($B63="","",IF(INDEX('Master Database'!$E$1:$E$600,$B63)="","",INDEX('Master Database'!$E$1:$E$600,$B63)))</f>
        <v>ROT-WAT</v>
      </c>
      <c r="H63" s="19" t="str">
        <f>IF($B63="","",IF(INDEX('Master Database'!$F$1:$F$600,$B63)="","",INDEX('Master Database'!$F$1:$F$600,$B63)))</f>
        <v>OH2</v>
      </c>
      <c r="I63" s="19" t="str">
        <f>IF($B63="","",IF(INDEX('Master Database'!$G$1:$G$600,$B63)="","",INDEX('Master Database'!$G$1:$G$600,$B63)))</f>
        <v>S-5</v>
      </c>
      <c r="J63" s="46">
        <f>IF($B63="","",IF(INDEX('Master Database'!$H$1:$H$600,$B63)="","",INDEX('Master Database'!$H$1:$H$600,$B63)))</f>
        <v>43</v>
      </c>
      <c r="K63" s="46">
        <f>IF($B63="","",IF(INDEX('Master Database'!$I$1:$I$600,$B63)="","",INDEX('Master Database'!$I$1:$I$600,$B63)))</f>
        <v>158</v>
      </c>
      <c r="L63" s="46">
        <f>IF($B63="","",IF(INDEX('Master Database'!$K$1:$K$600,$B63)="","",INDEX('Master Database'!$K$1:$K$600,$B63)))</f>
        <v>30.853769300635786</v>
      </c>
      <c r="M63" s="19" t="str">
        <f>IF($B63="","",IF(INDEX('Master Database'!$L$1:$L$600,$B63)="","",INDEX('Master Database'!$L$1:$L$600,$B63)))</f>
        <v>API 610 + IPS-G-PM-105</v>
      </c>
      <c r="N63" s="19" t="str">
        <f>IF($B63="","",IF(INDEX('Master Database'!$P$1:$P$600,$B63)="","",INDEX('Master Database'!$P$1:$P$600,$B63)))</f>
        <v>Not stated</v>
      </c>
      <c r="O63" s="19" t="str">
        <f>IF($B63="","",IF(INDEX('Master Database'!$S$1:$S$600,$B63)="","",INDEX('Master Database'!$S$1:$S$600,$B63)))</f>
        <v>Electric Motor</v>
      </c>
      <c r="P63" s="19" t="str">
        <f>IF($B63="","",IF(INDEX('Master Database'!$T$1:$T$600,$B63)="","",INDEX('Master Database'!$T$1:$T$600,$B63)))</f>
        <v>Process / Dilution Water</v>
      </c>
      <c r="Q63" s="19">
        <f>IF($B63="","",IF(INDEX('Master Database'!$Y$1:$Y$600,$B63)="","",INDEX('Master Database'!$Y$1:$Y$600,$B63)))</f>
        <v>1393</v>
      </c>
      <c r="R63" s="19" t="str">
        <f>IF($B63="","",IF(INDEX('Master Database'!$Z$1:$Z$600,$B63)="","",INDEX('Master Database'!$Z$1:$Z$600,$B63)))</f>
        <v>EUR</v>
      </c>
      <c r="S63" s="47">
        <f>IF($B63="","",IF(INDEX('Master Database'!$AA$1:$AA$600,$B63)="","",INDEX('Master Database'!$AA$1:$AA$600,$B63)))</f>
        <v>17500</v>
      </c>
      <c r="T63" s="19" t="str">
        <f>IF($B63="","",IF(INDEX('Master Database'!$AE$1:$AE$600,$B63)="","",INDEX('Master Database'!$AE$1:$AE$600,$B63)))</f>
        <v>Consultant FEED MTO estimate – KPL-476 R03 (Jan 2016); vendor-level price in EUR, before project overhead | source label: AACE Class 3</v>
      </c>
      <c r="U63" s="47">
        <f>IF($B63="","",IF(INDEX('Master Database'!$AG$1:$AG$600,$B63)="","",INDEX('Master Database'!$AG$1:$AG$600,$B63)))</f>
        <v>25000</v>
      </c>
      <c r="V63" s="47">
        <f>IF($B63="","",IF(INDEX('Master Database'!$AH$1:$AH$600,$B63)="","",INDEX('Master Database'!$AH$1:$AH$600,$B63)))</f>
        <v>26394.577037141647</v>
      </c>
      <c r="W63" s="47">
        <f>IF($B63="","",IF(INDEX('Master Database'!$AI$1:$AI$600,$B63)="","",INDEX('Master Database'!$AI$1:$AI$600,$B63)))</f>
        <v>17381700000</v>
      </c>
      <c r="X63" s="19" t="str">
        <f>IF($B63="","",IF(INDEX('Master Database'!$BG$1:$BG$600,$B63)="","",INDEX('Master Database'!$BG$1:$BG$600,$B63)))</f>
        <v>Y</v>
      </c>
      <c r="BA63">
        <f>IF('Master Database'!$A63="",0,IF(AND(OR($B$5="",ISNUMBER(SEARCH($B$5,'Master Database'!$B63&amp;" "&amp;'Master Database'!$D63))),OR($B$6="(All)",'Master Database'!$C63=$B$6),OR($B$7="(All)",'Master Database'!$E63=$B$7),OR($B$8="(All)",'Master Database'!$T63=$B$8),OR($B$9="(All)",'Master Database'!$M63=$B$9),OR($B$10="(All)",'Master Database'!$V63=$B$10),OR($E$5="(All)",'Master Database'!$F63=$E$5),OR($E$6="(All)",'Master Database'!$G63=$E$6),OR($E$7="(All)",'Master Database'!$O63=$E$7),OR($E$8="(All)",'Master Database'!$P63=$E$8),OR($E$9="(All)",'Master Database'!$S63=$E$9),OR($E$10="(All)",'Master Database'!$Y63&amp;""=$E$10&amp;""),OR($H$5="(All)",'Master Database'!$BG63=$H$5),OR($H$6&lt;&gt;"Y",ISNUMBER('Master Database'!$AG63)),OR($H$7="",AND(ISNUMBER('Master Database'!$H63),N('Master Database'!$H63)&gt;=$H$7)),OR($I$7="",AND(ISNUMBER('Master Database'!$H63),N('Master Database'!$H63)&lt;=$I$7)),OR($H$8="",AND(ISNUMBER('Master Database'!$I63),N('Master Database'!$I63)&gt;=$H$8)),OR($I$8="",AND(ISNUMBER('Master Database'!$I63),N('Master Database'!$I63)&lt;=$I$8)),OR($H$9="",AND(ISNUMBER('Master Database'!$K63),N('Master Database'!$K63)&gt;=$H$9)),OR($I$9="",AND(ISNUMBER('Master Database'!$K63),N('Master Database'!$K63)&lt;=$I$9))),1,0))</f>
        <v>1</v>
      </c>
      <c r="BB63">
        <f>IF(BA63=1,COUNTIF($BA$5:BA63,1),"")</f>
        <v>59</v>
      </c>
    </row>
    <row r="64" spans="1:54">
      <c r="A64" s="20">
        <f>IF(49&lt;=SUM($BA$5:$BA$600),49,"")</f>
        <v>49</v>
      </c>
      <c r="B64" s="20">
        <f t="shared" si="1"/>
        <v>53</v>
      </c>
      <c r="C64" s="20">
        <f>IF($B64="","",IF(INDEX('Master Database'!$A$1:$A$600,$B64)="","",INDEX('Master Database'!$A$1:$A$600,$B64)))</f>
        <v>49</v>
      </c>
      <c r="D64" s="19" t="str">
        <f>IF($B64="","",IF(INDEX('Master Database'!$B$1:$B$600,$B64)="","",INDEX('Master Database'!$B$1:$B$600,$B64)))</f>
        <v>Flare K.O. Drum Pumps</v>
      </c>
      <c r="E64" s="19" t="str">
        <f>IF($B64="","",IF(INDEX('Master Database'!$C$1:$C$600,$B64)="","",INDEX('Master Database'!$C$1:$C$600,$B64)))</f>
        <v>Koopal Asmari</v>
      </c>
      <c r="F64" s="19" t="str">
        <f>IF($B64="","",IF(INDEX('Master Database'!$D$1:$D$600,$B64)="","",INDEX('Master Database'!$D$1:$D$600,$B64)))</f>
        <v>P-171 A/B</v>
      </c>
      <c r="G64" s="19" t="str">
        <f>IF($B64="","",IF(INDEX('Master Database'!$E$1:$E$600,$B64)="","",INDEX('Master Database'!$E$1:$E$600,$B64)))</f>
        <v>ROT-DRN</v>
      </c>
      <c r="H64" s="19" t="str">
        <f>IF($B64="","",IF(INDEX('Master Database'!$F$1:$F$600,$B64)="","",INDEX('Master Database'!$F$1:$F$600,$B64)))</f>
        <v>OH2</v>
      </c>
      <c r="I64" s="19" t="str">
        <f>IF($B64="","",IF(INDEX('Master Database'!$G$1:$G$600,$B64)="","",INDEX('Master Database'!$G$1:$G$600,$B64)))</f>
        <v>S-6</v>
      </c>
      <c r="J64" s="46">
        <f>IF($B64="","",IF(INDEX('Master Database'!$H$1:$H$600,$B64)="","",INDEX('Master Database'!$H$1:$H$600,$B64)))</f>
        <v>15</v>
      </c>
      <c r="K64" s="46">
        <f>IF($B64="","",IF(INDEX('Master Database'!$I$1:$I$600,$B64)="","",INDEX('Master Database'!$I$1:$I$600,$B64)))</f>
        <v>50</v>
      </c>
      <c r="L64" s="46">
        <f>IF($B64="","",IF(INDEX('Master Database'!$K$1:$K$600,$B64)="","",INDEX('Master Database'!$K$1:$K$600,$B64)))</f>
        <v>3.4059945504087197</v>
      </c>
      <c r="M64" s="19" t="str">
        <f>IF($B64="","",IF(INDEX('Master Database'!$L$1:$L$600,$B64)="","",INDEX('Master Database'!$L$1:$L$600,$B64)))</f>
        <v>API 610 + IPS-G-PM-105</v>
      </c>
      <c r="N64" s="19" t="str">
        <f>IF($B64="","",IF(INDEX('Master Database'!$P$1:$P$600,$B64)="","",INDEX('Master Database'!$P$1:$P$600,$B64)))</f>
        <v>Not stated</v>
      </c>
      <c r="O64" s="19" t="str">
        <f>IF($B64="","",IF(INDEX('Master Database'!$S$1:$S$600,$B64)="","",INDEX('Master Database'!$S$1:$S$600,$B64)))</f>
        <v>Electric Motor</v>
      </c>
      <c r="P64" s="19" t="str">
        <f>IF($B64="","",IF(INDEX('Master Database'!$T$1:$T$600,$B64)="","",INDEX('Master Database'!$T$1:$T$600,$B64)))</f>
        <v>Oily Water / Drain</v>
      </c>
      <c r="Q64" s="19">
        <f>IF($B64="","",IF(INDEX('Master Database'!$Y$1:$Y$600,$B64)="","",INDEX('Master Database'!$Y$1:$Y$600,$B64)))</f>
        <v>1393</v>
      </c>
      <c r="R64" s="19" t="str">
        <f>IF($B64="","",IF(INDEX('Master Database'!$Z$1:$Z$600,$B64)="","",INDEX('Master Database'!$Z$1:$Z$600,$B64)))</f>
        <v>EUR</v>
      </c>
      <c r="S64" s="47">
        <f>IF($B64="","",IF(INDEX('Master Database'!$AA$1:$AA$600,$B64)="","",INDEX('Master Database'!$AA$1:$AA$600,$B64)))</f>
        <v>10000</v>
      </c>
      <c r="T64" s="19" t="str">
        <f>IF($B64="","",IF(INDEX('Master Database'!$AE$1:$AE$600,$B64)="","",INDEX('Master Database'!$AE$1:$AE$600,$B64)))</f>
        <v>Consultant FEED MTO estimate – KPL-476 R03 (Jan 2016); vendor-level price in EUR, before project overhead | source label: AACE Class 3</v>
      </c>
      <c r="U64" s="47">
        <f>IF($B64="","",IF(INDEX('Master Database'!$AG$1:$AG$600,$B64)="","",INDEX('Master Database'!$AG$1:$AG$600,$B64)))</f>
        <v>25000</v>
      </c>
      <c r="V64" s="47">
        <f>IF($B64="","",IF(INDEX('Master Database'!$AH$1:$AH$600,$B64)="","",INDEX('Master Database'!$AH$1:$AH$600,$B64)))</f>
        <v>26394.577037141647</v>
      </c>
      <c r="W64" s="47">
        <f>IF($B64="","",IF(INDEX('Master Database'!$AI$1:$AI$600,$B64)="","",INDEX('Master Database'!$AI$1:$AI$600,$B64)))</f>
        <v>17381700000</v>
      </c>
      <c r="X64" s="19" t="str">
        <f>IF($B64="","",IF(INDEX('Master Database'!$BG$1:$BG$600,$B64)="","",INDEX('Master Database'!$BG$1:$BG$600,$B64)))</f>
        <v>Y</v>
      </c>
      <c r="BA64">
        <f>IF('Master Database'!$A64="",0,IF(AND(OR($B$5="",ISNUMBER(SEARCH($B$5,'Master Database'!$B64&amp;" "&amp;'Master Database'!$D64))),OR($B$6="(All)",'Master Database'!$C64=$B$6),OR($B$7="(All)",'Master Database'!$E64=$B$7),OR($B$8="(All)",'Master Database'!$T64=$B$8),OR($B$9="(All)",'Master Database'!$M64=$B$9),OR($B$10="(All)",'Master Database'!$V64=$B$10),OR($E$5="(All)",'Master Database'!$F64=$E$5),OR($E$6="(All)",'Master Database'!$G64=$E$6),OR($E$7="(All)",'Master Database'!$O64=$E$7),OR($E$8="(All)",'Master Database'!$P64=$E$8),OR($E$9="(All)",'Master Database'!$S64=$E$9),OR($E$10="(All)",'Master Database'!$Y64&amp;""=$E$10&amp;""),OR($H$5="(All)",'Master Database'!$BG64=$H$5),OR($H$6&lt;&gt;"Y",ISNUMBER('Master Database'!$AG64)),OR($H$7="",AND(ISNUMBER('Master Database'!$H64),N('Master Database'!$H64)&gt;=$H$7)),OR($I$7="",AND(ISNUMBER('Master Database'!$H64),N('Master Database'!$H64)&lt;=$I$7)),OR($H$8="",AND(ISNUMBER('Master Database'!$I64),N('Master Database'!$I64)&gt;=$H$8)),OR($I$8="",AND(ISNUMBER('Master Database'!$I64),N('Master Database'!$I64)&lt;=$I$8)),OR($H$9="",AND(ISNUMBER('Master Database'!$K64),N('Master Database'!$K64)&gt;=$H$9)),OR($I$9="",AND(ISNUMBER('Master Database'!$K64),N('Master Database'!$K64)&lt;=$I$9))),1,0))</f>
        <v>1</v>
      </c>
      <c r="BB64">
        <f>IF(BA64=1,COUNTIF($BA$5:BA64,1),"")</f>
        <v>60</v>
      </c>
    </row>
    <row r="65" spans="1:54">
      <c r="A65" s="20">
        <f>IF(50&lt;=SUM($BA$5:$BA$600),50,"")</f>
        <v>50</v>
      </c>
      <c r="B65" s="20">
        <f t="shared" si="1"/>
        <v>54</v>
      </c>
      <c r="C65" s="20">
        <f>IF($B65="","",IF(INDEX('Master Database'!$A$1:$A$600,$B65)="","",INDEX('Master Database'!$A$1:$A$600,$B65)))</f>
        <v>50</v>
      </c>
      <c r="D65" s="19" t="str">
        <f>IF($B65="","",IF(INDEX('Master Database'!$B$1:$B$600,$B65)="","",INDEX('Master Database'!$B$1:$B$600,$B65)))</f>
        <v>O.W.S. Oil Pumps</v>
      </c>
      <c r="E65" s="19" t="str">
        <f>IF($B65="","",IF(INDEX('Master Database'!$C$1:$C$600,$B65)="","",INDEX('Master Database'!$C$1:$C$600,$B65)))</f>
        <v>Koopal Asmari</v>
      </c>
      <c r="F65" s="19" t="str">
        <f>IF($B65="","",IF(INDEX('Master Database'!$D$1:$D$600,$B65)="","",INDEX('Master Database'!$D$1:$D$600,$B65)))</f>
        <v>P-231 A/B</v>
      </c>
      <c r="G65" s="19" t="str">
        <f>IF($B65="","",IF(INDEX('Master Database'!$E$1:$E$600,$B65)="","",INDEX('Master Database'!$E$1:$E$600,$B65)))</f>
        <v>ROT-DRN</v>
      </c>
      <c r="H65" s="19" t="str">
        <f>IF($B65="","",IF(INDEX('Master Database'!$F$1:$F$600,$B65)="","",INDEX('Master Database'!$F$1:$F$600,$B65)))</f>
        <v>N/A (non-API 610)</v>
      </c>
      <c r="I65" s="19" t="str">
        <f>IF($B65="","",IF(INDEX('Master Database'!$G$1:$G$600,$B65)="","",INDEX('Master Database'!$G$1:$G$600,$B65)))</f>
        <v>D-1</v>
      </c>
      <c r="J65" s="46">
        <f>IF($B65="","",IF(INDEX('Master Database'!$H$1:$H$600,$B65)="","",INDEX('Master Database'!$H$1:$H$600,$B65)))</f>
        <v>6</v>
      </c>
      <c r="K65" s="46" t="str">
        <f>IF($B65="","",IF(INDEX('Master Database'!$I$1:$I$600,$B65)="","",INDEX('Master Database'!$I$1:$I$600,$B65)))</f>
        <v/>
      </c>
      <c r="L65" s="46" t="str">
        <f>IF($B65="","",IF(INDEX('Master Database'!$K$1:$K$600,$B65)="","",INDEX('Master Database'!$K$1:$K$600,$B65)))</f>
        <v/>
      </c>
      <c r="M65" s="19" t="str">
        <f>IF($B65="","",IF(INDEX('Master Database'!$L$1:$L$600,$B65)="","",INDEX('Master Database'!$L$1:$L$600,$B65)))</f>
        <v>API 676 + IPS-M-PM-140</v>
      </c>
      <c r="N65" s="19" t="str">
        <f>IF($B65="","",IF(INDEX('Master Database'!$P$1:$P$600,$B65)="","",INDEX('Master Database'!$P$1:$P$600,$B65)))</f>
        <v>Not stated</v>
      </c>
      <c r="O65" s="19" t="str">
        <f>IF($B65="","",IF(INDEX('Master Database'!$S$1:$S$600,$B65)="","",INDEX('Master Database'!$S$1:$S$600,$B65)))</f>
        <v>Electric Motor</v>
      </c>
      <c r="P65" s="19" t="str">
        <f>IF($B65="","",IF(INDEX('Master Database'!$T$1:$T$600,$B65)="","",INDEX('Master Database'!$T$1:$T$600,$B65)))</f>
        <v>Slop / Dirty Oil</v>
      </c>
      <c r="Q65" s="19">
        <f>IF($B65="","",IF(INDEX('Master Database'!$Y$1:$Y$600,$B65)="","",INDEX('Master Database'!$Y$1:$Y$600,$B65)))</f>
        <v>1393</v>
      </c>
      <c r="R65" s="19" t="str">
        <f>IF($B65="","",IF(INDEX('Master Database'!$Z$1:$Z$600,$B65)="","",INDEX('Master Database'!$Z$1:$Z$600,$B65)))</f>
        <v>EUR</v>
      </c>
      <c r="S65" s="47">
        <f>IF($B65="","",IF(INDEX('Master Database'!$AA$1:$AA$600,$B65)="","",INDEX('Master Database'!$AA$1:$AA$600,$B65)))</f>
        <v>25000</v>
      </c>
      <c r="T65" s="19" t="str">
        <f>IF($B65="","",IF(INDEX('Master Database'!$AE$1:$AE$600,$B65)="","",INDEX('Master Database'!$AE$1:$AE$600,$B65)))</f>
        <v>Consultant FEED MTO estimate – KPL-476 R03 (Jan 2016); vendor-level price in EUR, before project overhead | source label: AACE Class 3</v>
      </c>
      <c r="U65" s="47">
        <f>IF($B65="","",IF(INDEX('Master Database'!$AG$1:$AG$600,$B65)="","",INDEX('Master Database'!$AG$1:$AG$600,$B65)))</f>
        <v>33776.697647432324</v>
      </c>
      <c r="V65" s="47">
        <f>IF($B65="","",IF(INDEX('Master Database'!$AH$1:$AH$600,$B65)="","",INDEX('Master Database'!$AH$1:$AH$600,$B65)))</f>
        <v>35660.86592461574</v>
      </c>
      <c r="W65" s="47">
        <f>IF($B65="","",IF(INDEX('Master Database'!$AI$1:$AI$600,$B65)="","",INDEX('Master Database'!$AI$1:$AI$600,$B65)))</f>
        <v>23483857019.934978</v>
      </c>
      <c r="X65" s="19" t="str">
        <f>IF($B65="","",IF(INDEX('Master Database'!$BG$1:$BG$600,$B65)="","",INDEX('Master Database'!$BG$1:$BG$600,$B65)))</f>
        <v>Y</v>
      </c>
      <c r="BA65">
        <f>IF('Master Database'!$A65="",0,IF(AND(OR($B$5="",ISNUMBER(SEARCH($B$5,'Master Database'!$B65&amp;" "&amp;'Master Database'!$D65))),OR($B$6="(All)",'Master Database'!$C65=$B$6),OR($B$7="(All)",'Master Database'!$E65=$B$7),OR($B$8="(All)",'Master Database'!$T65=$B$8),OR($B$9="(All)",'Master Database'!$M65=$B$9),OR($B$10="(All)",'Master Database'!$V65=$B$10),OR($E$5="(All)",'Master Database'!$F65=$E$5),OR($E$6="(All)",'Master Database'!$G65=$E$6),OR($E$7="(All)",'Master Database'!$O65=$E$7),OR($E$8="(All)",'Master Database'!$P65=$E$8),OR($E$9="(All)",'Master Database'!$S65=$E$9),OR($E$10="(All)",'Master Database'!$Y65&amp;""=$E$10&amp;""),OR($H$5="(All)",'Master Database'!$BG65=$H$5),OR($H$6&lt;&gt;"Y",ISNUMBER('Master Database'!$AG65)),OR($H$7="",AND(ISNUMBER('Master Database'!$H65),N('Master Database'!$H65)&gt;=$H$7)),OR($I$7="",AND(ISNUMBER('Master Database'!$H65),N('Master Database'!$H65)&lt;=$I$7)),OR($H$8="",AND(ISNUMBER('Master Database'!$I65),N('Master Database'!$I65)&gt;=$H$8)),OR($I$8="",AND(ISNUMBER('Master Database'!$I65),N('Master Database'!$I65)&lt;=$I$8)),OR($H$9="",AND(ISNUMBER('Master Database'!$K65),N('Master Database'!$K65)&gt;=$H$9)),OR($I$9="",AND(ISNUMBER('Master Database'!$K65),N('Master Database'!$K65)&lt;=$I$9))),1,0))</f>
        <v>1</v>
      </c>
      <c r="BB65">
        <f>IF(BA65=1,COUNTIF($BA$5:BA65,1),"")</f>
        <v>61</v>
      </c>
    </row>
    <row r="66" spans="1:54">
      <c r="A66" s="20">
        <f>IF(51&lt;=SUM($BA$5:$BA$600),51,"")</f>
        <v>51</v>
      </c>
      <c r="B66" s="20">
        <f t="shared" si="1"/>
        <v>55</v>
      </c>
      <c r="C66" s="20">
        <f>IF($B66="","",IF(INDEX('Master Database'!$A$1:$A$600,$B66)="","",INDEX('Master Database'!$A$1:$A$600,$B66)))</f>
        <v>51</v>
      </c>
      <c r="D66" s="19" t="str">
        <f>IF($B66="","",IF(INDEX('Master Database'!$B$1:$B$600,$B66)="","",INDEX('Master Database'!$B$1:$B$600,$B66)))</f>
        <v>O.W.S. Water Pumps</v>
      </c>
      <c r="E66" s="19" t="str">
        <f>IF($B66="","",IF(INDEX('Master Database'!$C$1:$C$600,$B66)="","",INDEX('Master Database'!$C$1:$C$600,$B66)))</f>
        <v>Koopal Asmari</v>
      </c>
      <c r="F66" s="19" t="str">
        <f>IF($B66="","",IF(INDEX('Master Database'!$D$1:$D$600,$B66)="","",INDEX('Master Database'!$D$1:$D$600,$B66)))</f>
        <v>P-232 A/B</v>
      </c>
      <c r="G66" s="19" t="str">
        <f>IF($B66="","",IF(INDEX('Master Database'!$E$1:$E$600,$B66)="","",INDEX('Master Database'!$E$1:$E$600,$B66)))</f>
        <v>ROT-WAT</v>
      </c>
      <c r="H66" s="19" t="str">
        <f>IF($B66="","",IF(INDEX('Master Database'!$F$1:$F$600,$B66)="","",INDEX('Master Database'!$F$1:$F$600,$B66)))</f>
        <v>OH2</v>
      </c>
      <c r="I66" s="19" t="str">
        <f>IF($B66="","",IF(INDEX('Master Database'!$G$1:$G$600,$B66)="","",INDEX('Master Database'!$G$1:$G$600,$B66)))</f>
        <v>D-2</v>
      </c>
      <c r="J66" s="46">
        <f>IF($B66="","",IF(INDEX('Master Database'!$H$1:$H$600,$B66)="","",INDEX('Master Database'!$H$1:$H$600,$B66)))</f>
        <v>11</v>
      </c>
      <c r="K66" s="46">
        <f>IF($B66="","",IF(INDEX('Master Database'!$I$1:$I$600,$B66)="","",INDEX('Master Database'!$I$1:$I$600,$B66)))</f>
        <v>27.6</v>
      </c>
      <c r="L66" s="46">
        <f>IF($B66="","",IF(INDEX('Master Database'!$K$1:$K$600,$B66)="","",INDEX('Master Database'!$K$1:$K$600,$B66)))</f>
        <v>1.3787465940054497</v>
      </c>
      <c r="M66" s="19" t="str">
        <f>IF($B66="","",IF(INDEX('Master Database'!$L$1:$L$600,$B66)="","",INDEX('Master Database'!$L$1:$L$600,$B66)))</f>
        <v>API 610 + IPS-G-PM-105</v>
      </c>
      <c r="N66" s="19" t="str">
        <f>IF($B66="","",IF(INDEX('Master Database'!$P$1:$P$600,$B66)="","",INDEX('Master Database'!$P$1:$P$600,$B66)))</f>
        <v>Not stated</v>
      </c>
      <c r="O66" s="19" t="str">
        <f>IF($B66="","",IF(INDEX('Master Database'!$S$1:$S$600,$B66)="","",INDEX('Master Database'!$S$1:$S$600,$B66)))</f>
        <v>Electric Motor</v>
      </c>
      <c r="P66" s="19" t="str">
        <f>IF($B66="","",IF(INDEX('Master Database'!$T$1:$T$600,$B66)="","",INDEX('Master Database'!$T$1:$T$600,$B66)))</f>
        <v>Oily Water / Drain</v>
      </c>
      <c r="Q66" s="19">
        <f>IF($B66="","",IF(INDEX('Master Database'!$Y$1:$Y$600,$B66)="","",INDEX('Master Database'!$Y$1:$Y$600,$B66)))</f>
        <v>1393</v>
      </c>
      <c r="R66" s="19" t="str">
        <f>IF($B66="","",IF(INDEX('Master Database'!$Z$1:$Z$600,$B66)="","",INDEX('Master Database'!$Z$1:$Z$600,$B66)))</f>
        <v>EUR</v>
      </c>
      <c r="S66" s="47">
        <f>IF($B66="","",IF(INDEX('Master Database'!$AA$1:$AA$600,$B66)="","",INDEX('Master Database'!$AA$1:$AA$600,$B66)))</f>
        <v>20000</v>
      </c>
      <c r="T66" s="19" t="str">
        <f>IF($B66="","",IF(INDEX('Master Database'!$AE$1:$AE$600,$B66)="","",INDEX('Master Database'!$AE$1:$AE$600,$B66)))</f>
        <v>Consultant FEED MTO estimate – KPL-476 R03 (Jan 2016); vendor-level price in EUR, before project overhead | source label: AACE Class 3</v>
      </c>
      <c r="U66" s="47">
        <f>IF($B66="","",IF(INDEX('Master Database'!$AG$1:$AG$600,$B66)="","",INDEX('Master Database'!$AG$1:$AG$600,$B66)))</f>
        <v>27021.358117945856</v>
      </c>
      <c r="V66" s="47">
        <f>IF($B66="","",IF(INDEX('Master Database'!$AH$1:$AH$600,$B66)="","",INDEX('Master Database'!$AH$1:$AH$600,$B66)))</f>
        <v>28528.692739692589</v>
      </c>
      <c r="W66" s="47">
        <f>IF($B66="","",IF(INDEX('Master Database'!$AI$1:$AI$600,$B66)="","",INDEX('Master Database'!$AI$1:$AI$600,$B66)))</f>
        <v>18787085615.947979</v>
      </c>
      <c r="X66" s="19" t="str">
        <f>IF($B66="","",IF(INDEX('Master Database'!$BG$1:$BG$600,$B66)="","",INDEX('Master Database'!$BG$1:$BG$600,$B66)))</f>
        <v>Y</v>
      </c>
      <c r="BA66">
        <f>IF('Master Database'!$A66="",0,IF(AND(OR($B$5="",ISNUMBER(SEARCH($B$5,'Master Database'!$B66&amp;" "&amp;'Master Database'!$D66))),OR($B$6="(All)",'Master Database'!$C66=$B$6),OR($B$7="(All)",'Master Database'!$E66=$B$7),OR($B$8="(All)",'Master Database'!$T66=$B$8),OR($B$9="(All)",'Master Database'!$M66=$B$9),OR($B$10="(All)",'Master Database'!$V66=$B$10),OR($E$5="(All)",'Master Database'!$F66=$E$5),OR($E$6="(All)",'Master Database'!$G66=$E$6),OR($E$7="(All)",'Master Database'!$O66=$E$7),OR($E$8="(All)",'Master Database'!$P66=$E$8),OR($E$9="(All)",'Master Database'!$S66=$E$9),OR($E$10="(All)",'Master Database'!$Y66&amp;""=$E$10&amp;""),OR($H$5="(All)",'Master Database'!$BG66=$H$5),OR($H$6&lt;&gt;"Y",ISNUMBER('Master Database'!$AG66)),OR($H$7="",AND(ISNUMBER('Master Database'!$H66),N('Master Database'!$H66)&gt;=$H$7)),OR($I$7="",AND(ISNUMBER('Master Database'!$H66),N('Master Database'!$H66)&lt;=$I$7)),OR($H$8="",AND(ISNUMBER('Master Database'!$I66),N('Master Database'!$I66)&gt;=$H$8)),OR($I$8="",AND(ISNUMBER('Master Database'!$I66),N('Master Database'!$I66)&lt;=$I$8)),OR($H$9="",AND(ISNUMBER('Master Database'!$K66),N('Master Database'!$K66)&gt;=$H$9)),OR($I$9="",AND(ISNUMBER('Master Database'!$K66),N('Master Database'!$K66)&lt;=$I$9))),1,0))</f>
        <v>1</v>
      </c>
      <c r="BB66">
        <f>IF(BA66=1,COUNTIF($BA$5:BA66,1),"")</f>
        <v>62</v>
      </c>
    </row>
    <row r="67" spans="1:54">
      <c r="A67" s="20">
        <f>IF(52&lt;=SUM($BA$5:$BA$600),52,"")</f>
        <v>52</v>
      </c>
      <c r="B67" s="20">
        <f t="shared" si="1"/>
        <v>56</v>
      </c>
      <c r="C67" s="20">
        <f>IF($B67="","",IF(INDEX('Master Database'!$A$1:$A$600,$B67)="","",INDEX('Master Database'!$A$1:$A$600,$B67)))</f>
        <v>52</v>
      </c>
      <c r="D67" s="19" t="str">
        <f>IF($B67="","",IF(INDEX('Master Database'!$B$1:$B$600,$B67)="","",INDEX('Master Database'!$B$1:$B$600,$B67)))</f>
        <v>Closed Drain Drum Pumps</v>
      </c>
      <c r="E67" s="19" t="str">
        <f>IF($B67="","",IF(INDEX('Master Database'!$C$1:$C$600,$B67)="","",INDEX('Master Database'!$C$1:$C$600,$B67)))</f>
        <v>Koopal Asmari</v>
      </c>
      <c r="F67" s="19" t="str">
        <f>IF($B67="","",IF(INDEX('Master Database'!$D$1:$D$600,$B67)="","",INDEX('Master Database'!$D$1:$D$600,$B67)))</f>
        <v>P-234 A/B</v>
      </c>
      <c r="G67" s="19" t="str">
        <f>IF($B67="","",IF(INDEX('Master Database'!$E$1:$E$600,$B67)="","",INDEX('Master Database'!$E$1:$E$600,$B67)))</f>
        <v>ROT-DRN</v>
      </c>
      <c r="H67" s="19" t="str">
        <f>IF($B67="","",IF(INDEX('Master Database'!$F$1:$F$600,$B67)="","",INDEX('Master Database'!$F$1:$F$600,$B67)))</f>
        <v>OH2</v>
      </c>
      <c r="I67" s="19" t="str">
        <f>IF($B67="","",IF(INDEX('Master Database'!$G$1:$G$600,$B67)="","",INDEX('Master Database'!$G$1:$G$600,$B67)))</f>
        <v>D-2</v>
      </c>
      <c r="J67" s="46">
        <f>IF($B67="","",IF(INDEX('Master Database'!$H$1:$H$600,$B67)="","",INDEX('Master Database'!$H$1:$H$600,$B67)))</f>
        <v>15</v>
      </c>
      <c r="K67" s="46">
        <f>IF($B67="","",IF(INDEX('Master Database'!$I$1:$I$600,$B67)="","",INDEX('Master Database'!$I$1:$I$600,$B67)))</f>
        <v>46.81</v>
      </c>
      <c r="L67" s="46">
        <f>IF($B67="","",IF(INDEX('Master Database'!$K$1:$K$600,$B67)="","",INDEX('Master Database'!$K$1:$K$600,$B67)))</f>
        <v>3.1886920980926434</v>
      </c>
      <c r="M67" s="19" t="str">
        <f>IF($B67="","",IF(INDEX('Master Database'!$L$1:$L$600,$B67)="","",INDEX('Master Database'!$L$1:$L$600,$B67)))</f>
        <v>API 610 + IPS-G-PM-105</v>
      </c>
      <c r="N67" s="19" t="str">
        <f>IF($B67="","",IF(INDEX('Master Database'!$P$1:$P$600,$B67)="","",INDEX('Master Database'!$P$1:$P$600,$B67)))</f>
        <v>Not stated</v>
      </c>
      <c r="O67" s="19" t="str">
        <f>IF($B67="","",IF(INDEX('Master Database'!$S$1:$S$600,$B67)="","",INDEX('Master Database'!$S$1:$S$600,$B67)))</f>
        <v>Electric Motor</v>
      </c>
      <c r="P67" s="19" t="str">
        <f>IF($B67="","",IF(INDEX('Master Database'!$T$1:$T$600,$B67)="","",INDEX('Master Database'!$T$1:$T$600,$B67)))</f>
        <v>Oily Water / Drain</v>
      </c>
      <c r="Q67" s="19">
        <f>IF($B67="","",IF(INDEX('Master Database'!$Y$1:$Y$600,$B67)="","",INDEX('Master Database'!$Y$1:$Y$600,$B67)))</f>
        <v>1393</v>
      </c>
      <c r="R67" s="19" t="str">
        <f>IF($B67="","",IF(INDEX('Master Database'!$Z$1:$Z$600,$B67)="","",INDEX('Master Database'!$Z$1:$Z$600,$B67)))</f>
        <v>EUR</v>
      </c>
      <c r="S67" s="47">
        <f>IF($B67="","",IF(INDEX('Master Database'!$AA$1:$AA$600,$B67)="","",INDEX('Master Database'!$AA$1:$AA$600,$B67)))</f>
        <v>15000</v>
      </c>
      <c r="T67" s="19" t="str">
        <f>IF($B67="","",IF(INDEX('Master Database'!$AE$1:$AE$600,$B67)="","",INDEX('Master Database'!$AE$1:$AE$600,$B67)))</f>
        <v>Consultant FEED MTO estimate – KPL-476 R03 (Jan 2016); vendor-level price in EUR, before project overhead | source label: AACE Class 3</v>
      </c>
      <c r="U67" s="47">
        <f>IF($B67="","",IF(INDEX('Master Database'!$AG$1:$AG$600,$B67)="","",INDEX('Master Database'!$AG$1:$AG$600,$B67)))</f>
        <v>25000</v>
      </c>
      <c r="V67" s="47">
        <f>IF($B67="","",IF(INDEX('Master Database'!$AH$1:$AH$600,$B67)="","",INDEX('Master Database'!$AH$1:$AH$600,$B67)))</f>
        <v>26394.577037141647</v>
      </c>
      <c r="W67" s="47">
        <f>IF($B67="","",IF(INDEX('Master Database'!$AI$1:$AI$600,$B67)="","",INDEX('Master Database'!$AI$1:$AI$600,$B67)))</f>
        <v>17381700000</v>
      </c>
      <c r="X67" s="19" t="str">
        <f>IF($B67="","",IF(INDEX('Master Database'!$BG$1:$BG$600,$B67)="","",INDEX('Master Database'!$BG$1:$BG$600,$B67)))</f>
        <v>Y</v>
      </c>
      <c r="BA67">
        <f>IF('Master Database'!$A67="",0,IF(AND(OR($B$5="",ISNUMBER(SEARCH($B$5,'Master Database'!$B67&amp;" "&amp;'Master Database'!$D67))),OR($B$6="(All)",'Master Database'!$C67=$B$6),OR($B$7="(All)",'Master Database'!$E67=$B$7),OR($B$8="(All)",'Master Database'!$T67=$B$8),OR($B$9="(All)",'Master Database'!$M67=$B$9),OR($B$10="(All)",'Master Database'!$V67=$B$10),OR($E$5="(All)",'Master Database'!$F67=$E$5),OR($E$6="(All)",'Master Database'!$G67=$E$6),OR($E$7="(All)",'Master Database'!$O67=$E$7),OR($E$8="(All)",'Master Database'!$P67=$E$8),OR($E$9="(All)",'Master Database'!$S67=$E$9),OR($E$10="(All)",'Master Database'!$Y67&amp;""=$E$10&amp;""),OR($H$5="(All)",'Master Database'!$BG67=$H$5),OR($H$6&lt;&gt;"Y",ISNUMBER('Master Database'!$AG67)),OR($H$7="",AND(ISNUMBER('Master Database'!$H67),N('Master Database'!$H67)&gt;=$H$7)),OR($I$7="",AND(ISNUMBER('Master Database'!$H67),N('Master Database'!$H67)&lt;=$I$7)),OR($H$8="",AND(ISNUMBER('Master Database'!$I67),N('Master Database'!$I67)&gt;=$H$8)),OR($I$8="",AND(ISNUMBER('Master Database'!$I67),N('Master Database'!$I67)&lt;=$I$8)),OR($H$9="",AND(ISNUMBER('Master Database'!$K67),N('Master Database'!$K67)&gt;=$H$9)),OR($I$9="",AND(ISNUMBER('Master Database'!$K67),N('Master Database'!$K67)&lt;=$I$9))),1,0))</f>
        <v>1</v>
      </c>
      <c r="BB67">
        <f>IF(BA67=1,COUNTIF($BA$5:BA67,1),"")</f>
        <v>63</v>
      </c>
    </row>
    <row r="68" spans="1:54">
      <c r="A68" s="20">
        <f>IF(53&lt;=SUM($BA$5:$BA$600),53,"")</f>
        <v>53</v>
      </c>
      <c r="B68" s="20">
        <f t="shared" si="1"/>
        <v>57</v>
      </c>
      <c r="C68" s="20">
        <f>IF($B68="","",IF(INDEX('Master Database'!$A$1:$A$600,$B68)="","",INDEX('Master Database'!$A$1:$A$600,$B68)))</f>
        <v>53</v>
      </c>
      <c r="D68" s="19" t="str">
        <f>IF($B68="","",IF(INDEX('Master Database'!$B$1:$B$600,$B68)="","",INDEX('Master Database'!$B$1:$B$600,$B68)))</f>
        <v>Desalters Recycle Pumps</v>
      </c>
      <c r="E68" s="19" t="str">
        <f>IF($B68="","",IF(INDEX('Master Database'!$C$1:$C$600,$B68)="","",INDEX('Master Database'!$C$1:$C$600,$B68)))</f>
        <v>Koopal Asmari</v>
      </c>
      <c r="F68" s="19" t="str">
        <f>IF($B68="","",IF(INDEX('Master Database'!$D$1:$D$600,$B68)="","",INDEX('Master Database'!$D$1:$D$600,$B68)))</f>
        <v>P-113 A/B</v>
      </c>
      <c r="G68" s="19" t="str">
        <f>IF($B68="","",IF(INDEX('Master Database'!$E$1:$E$600,$B68)="","",INDEX('Master Database'!$E$1:$E$600,$B68)))</f>
        <v>ROT-WAT</v>
      </c>
      <c r="H68" s="19" t="str">
        <f>IF($B68="","",IF(INDEX('Master Database'!$F$1:$F$600,$B68)="","",INDEX('Master Database'!$F$1:$F$600,$B68)))</f>
        <v>OH2</v>
      </c>
      <c r="I68" s="19" t="str">
        <f>IF($B68="","",IF(INDEX('Master Database'!$G$1:$G$600,$B68)="","",INDEX('Master Database'!$G$1:$G$600,$B68)))</f>
        <v>D-2</v>
      </c>
      <c r="J68" s="46">
        <f>IF($B68="","",IF(INDEX('Master Database'!$H$1:$H$600,$B68)="","",INDEX('Master Database'!$H$1:$H$600,$B68)))</f>
        <v>21</v>
      </c>
      <c r="K68" s="46">
        <f>IF($B68="","",IF(INDEX('Master Database'!$I$1:$I$600,$B68)="","",INDEX('Master Database'!$I$1:$I$600,$B68)))</f>
        <v>44.9</v>
      </c>
      <c r="L68" s="46">
        <f>IF($B68="","",IF(INDEX('Master Database'!$K$1:$K$600,$B68)="","",INDEX('Master Database'!$K$1:$K$600,$B68)))</f>
        <v>4.2820163487738423</v>
      </c>
      <c r="M68" s="19" t="str">
        <f>IF($B68="","",IF(INDEX('Master Database'!$L$1:$L$600,$B68)="","",INDEX('Master Database'!$L$1:$L$600,$B68)))</f>
        <v>API 610 + IPS-G-PM-105</v>
      </c>
      <c r="N68" s="19" t="str">
        <f>IF($B68="","",IF(INDEX('Master Database'!$P$1:$P$600,$B68)="","",INDEX('Master Database'!$P$1:$P$600,$B68)))</f>
        <v>Not stated</v>
      </c>
      <c r="O68" s="19" t="str">
        <f>IF($B68="","",IF(INDEX('Master Database'!$S$1:$S$600,$B68)="","",INDEX('Master Database'!$S$1:$S$600,$B68)))</f>
        <v>Electric Motor</v>
      </c>
      <c r="P68" s="19" t="str">
        <f>IF($B68="","",IF(INDEX('Master Database'!$T$1:$T$600,$B68)="","",INDEX('Master Database'!$T$1:$T$600,$B68)))</f>
        <v>Process / Dilution Water</v>
      </c>
      <c r="Q68" s="19">
        <f>IF($B68="","",IF(INDEX('Master Database'!$Y$1:$Y$600,$B68)="","",INDEX('Master Database'!$Y$1:$Y$600,$B68)))</f>
        <v>1393</v>
      </c>
      <c r="R68" s="19" t="str">
        <f>IF($B68="","",IF(INDEX('Master Database'!$Z$1:$Z$600,$B68)="","",INDEX('Master Database'!$Z$1:$Z$600,$B68)))</f>
        <v>IRR</v>
      </c>
      <c r="S68" s="47" t="str">
        <f>IF($B68="","",IF(INDEX('Master Database'!$AA$1:$AA$600,$B68)="","",INDEX('Master Database'!$AA$1:$AA$600,$B68)))</f>
        <v>(Not stated)</v>
      </c>
      <c r="T68" s="19" t="str">
        <f>IF($B68="","",IF(INDEX('Master Database'!$AE$1:$AE$600,$B68)="","",INDEX('Master Database'!$AE$1:$AE$600,$B68)))</f>
        <v>Consultant FEED MTO estimate – KPL-476 R03 (Jan 2016); pump priced inside its package, no separate price | source label: AACE Class 3</v>
      </c>
      <c r="U68" s="47" t="str">
        <f>IF($B68="","",IF(INDEX('Master Database'!$AG$1:$AG$600,$B68)="","",INDEX('Master Database'!$AG$1:$AG$600,$B68)))</f>
        <v>(PPI/FX missing)</v>
      </c>
      <c r="V68" s="47" t="str">
        <f>IF($B68="","",IF(INDEX('Master Database'!$AH$1:$AH$600,$B68)="","",INDEX('Master Database'!$AH$1:$AH$600,$B68)))</f>
        <v/>
      </c>
      <c r="W68" s="47" t="str">
        <f>IF($B68="","",IF(INDEX('Master Database'!$AI$1:$AI$600,$B68)="","",INDEX('Master Database'!$AI$1:$AI$600,$B68)))</f>
        <v/>
      </c>
      <c r="X68" s="19" t="str">
        <f>IF($B68="","",IF(INDEX('Master Database'!$BG$1:$BG$600,$B68)="","",INDEX('Master Database'!$BG$1:$BG$600,$B68)))</f>
        <v>Y</v>
      </c>
      <c r="BA68">
        <f>IF('Master Database'!$A68="",0,IF(AND(OR($B$5="",ISNUMBER(SEARCH($B$5,'Master Database'!$B68&amp;" "&amp;'Master Database'!$D68))),OR($B$6="(All)",'Master Database'!$C68=$B$6),OR($B$7="(All)",'Master Database'!$E68=$B$7),OR($B$8="(All)",'Master Database'!$T68=$B$8),OR($B$9="(All)",'Master Database'!$M68=$B$9),OR($B$10="(All)",'Master Database'!$V68=$B$10),OR($E$5="(All)",'Master Database'!$F68=$E$5),OR($E$6="(All)",'Master Database'!$G68=$E$6),OR($E$7="(All)",'Master Database'!$O68=$E$7),OR($E$8="(All)",'Master Database'!$P68=$E$8),OR($E$9="(All)",'Master Database'!$S68=$E$9),OR($E$10="(All)",'Master Database'!$Y68&amp;""=$E$10&amp;""),OR($H$5="(All)",'Master Database'!$BG68=$H$5),OR($H$6&lt;&gt;"Y",ISNUMBER('Master Database'!$AG68)),OR($H$7="",AND(ISNUMBER('Master Database'!$H68),N('Master Database'!$H68)&gt;=$H$7)),OR($I$7="",AND(ISNUMBER('Master Database'!$H68),N('Master Database'!$H68)&lt;=$I$7)),OR($H$8="",AND(ISNUMBER('Master Database'!$I68),N('Master Database'!$I68)&gt;=$H$8)),OR($I$8="",AND(ISNUMBER('Master Database'!$I68),N('Master Database'!$I68)&lt;=$I$8)),OR($H$9="",AND(ISNUMBER('Master Database'!$K68),N('Master Database'!$K68)&gt;=$H$9)),OR($I$9="",AND(ISNUMBER('Master Database'!$K68),N('Master Database'!$K68)&lt;=$I$9))),1,0))</f>
        <v>1</v>
      </c>
      <c r="BB68">
        <f>IF(BA68=1,COUNTIF($BA$5:BA68,1),"")</f>
        <v>64</v>
      </c>
    </row>
    <row r="69" spans="1:54">
      <c r="A69" s="20">
        <f>IF(54&lt;=SUM($BA$5:$BA$600),54,"")</f>
        <v>54</v>
      </c>
      <c r="B69" s="20">
        <f t="shared" si="1"/>
        <v>58</v>
      </c>
      <c r="C69" s="20">
        <f>IF($B69="","",IF(INDEX('Master Database'!$A$1:$A$600,$B69)="","",INDEX('Master Database'!$A$1:$A$600,$B69)))</f>
        <v>54</v>
      </c>
      <c r="D69" s="19" t="str">
        <f>IF($B69="","",IF(INDEX('Master Database'!$B$1:$B$600,$B69)="","",INDEX('Master Database'!$B$1:$B$600,$B69)))</f>
        <v>IGF Water Recycle Pumps</v>
      </c>
      <c r="E69" s="19" t="str">
        <f>IF($B69="","",IF(INDEX('Master Database'!$C$1:$C$600,$B69)="","",INDEX('Master Database'!$C$1:$C$600,$B69)))</f>
        <v>Koopal Asmari</v>
      </c>
      <c r="F69" s="19" t="str">
        <f>IF($B69="","",IF(INDEX('Master Database'!$D$1:$D$600,$B69)="","",INDEX('Master Database'!$D$1:$D$600,$B69)))</f>
        <v>P-130 A/B</v>
      </c>
      <c r="G69" s="19" t="str">
        <f>IF($B69="","",IF(INDEX('Master Database'!$E$1:$E$600,$B69)="","",INDEX('Master Database'!$E$1:$E$600,$B69)))</f>
        <v>ROT-WAT</v>
      </c>
      <c r="H69" s="19" t="str">
        <f>IF($B69="","",IF(INDEX('Master Database'!$F$1:$F$600,$B69)="","",INDEX('Master Database'!$F$1:$F$600,$B69)))</f>
        <v>OH2</v>
      </c>
      <c r="I69" s="19" t="str">
        <f>IF($B69="","",IF(INDEX('Master Database'!$G$1:$G$600,$B69)="","",INDEX('Master Database'!$G$1:$G$600,$B69)))</f>
        <v>D-2</v>
      </c>
      <c r="J69" s="46" t="str">
        <f>IF($B69="","",IF(INDEX('Master Database'!$H$1:$H$600,$B69)="","",INDEX('Master Database'!$H$1:$H$600,$B69)))</f>
        <v/>
      </c>
      <c r="K69" s="46" t="str">
        <f>IF($B69="","",IF(INDEX('Master Database'!$I$1:$I$600,$B69)="","",INDEX('Master Database'!$I$1:$I$600,$B69)))</f>
        <v/>
      </c>
      <c r="L69" s="46" t="str">
        <f>IF($B69="","",IF(INDEX('Master Database'!$K$1:$K$600,$B69)="","",INDEX('Master Database'!$K$1:$K$600,$B69)))</f>
        <v/>
      </c>
      <c r="M69" s="19" t="str">
        <f>IF($B69="","",IF(INDEX('Master Database'!$L$1:$L$600,$B69)="","",INDEX('Master Database'!$L$1:$L$600,$B69)))</f>
        <v>API 610 + IPS-G-PM-105</v>
      </c>
      <c r="N69" s="19" t="str">
        <f>IF($B69="","",IF(INDEX('Master Database'!$P$1:$P$600,$B69)="","",INDEX('Master Database'!$P$1:$P$600,$B69)))</f>
        <v>Not stated</v>
      </c>
      <c r="O69" s="19" t="str">
        <f>IF($B69="","",IF(INDEX('Master Database'!$S$1:$S$600,$B69)="","",INDEX('Master Database'!$S$1:$S$600,$B69)))</f>
        <v>Electric Motor</v>
      </c>
      <c r="P69" s="19" t="str">
        <f>IF($B69="","",IF(INDEX('Master Database'!$T$1:$T$600,$B69)="","",INDEX('Master Database'!$T$1:$T$600,$B69)))</f>
        <v>Process / Dilution Water</v>
      </c>
      <c r="Q69" s="19">
        <f>IF($B69="","",IF(INDEX('Master Database'!$Y$1:$Y$600,$B69)="","",INDEX('Master Database'!$Y$1:$Y$600,$B69)))</f>
        <v>1393</v>
      </c>
      <c r="R69" s="19" t="str">
        <f>IF($B69="","",IF(INDEX('Master Database'!$Z$1:$Z$600,$B69)="","",INDEX('Master Database'!$Z$1:$Z$600,$B69)))</f>
        <v>IRR</v>
      </c>
      <c r="S69" s="47" t="str">
        <f>IF($B69="","",IF(INDEX('Master Database'!$AA$1:$AA$600,$B69)="","",INDEX('Master Database'!$AA$1:$AA$600,$B69)))</f>
        <v>(Not stated)</v>
      </c>
      <c r="T69" s="19" t="str">
        <f>IF($B69="","",IF(INDEX('Master Database'!$AE$1:$AE$600,$B69)="","",INDEX('Master Database'!$AE$1:$AE$600,$B69)))</f>
        <v>Consultant FEED MTO estimate – KPL-476 R03 (Jan 2016); pump priced inside its package, no separate price | source label: AACE Class 3</v>
      </c>
      <c r="U69" s="47" t="str">
        <f>IF($B69="","",IF(INDEX('Master Database'!$AG$1:$AG$600,$B69)="","",INDEX('Master Database'!$AG$1:$AG$600,$B69)))</f>
        <v>(PPI/FX missing)</v>
      </c>
      <c r="V69" s="47" t="str">
        <f>IF($B69="","",IF(INDEX('Master Database'!$AH$1:$AH$600,$B69)="","",INDEX('Master Database'!$AH$1:$AH$600,$B69)))</f>
        <v/>
      </c>
      <c r="W69" s="47" t="str">
        <f>IF($B69="","",IF(INDEX('Master Database'!$AI$1:$AI$600,$B69)="","",INDEX('Master Database'!$AI$1:$AI$600,$B69)))</f>
        <v/>
      </c>
      <c r="X69" s="19" t="str">
        <f>IF($B69="","",IF(INDEX('Master Database'!$BG$1:$BG$600,$B69)="","",INDEX('Master Database'!$BG$1:$BG$600,$B69)))</f>
        <v>Y</v>
      </c>
      <c r="BA69">
        <f>IF('Master Database'!$A69="",0,IF(AND(OR($B$5="",ISNUMBER(SEARCH($B$5,'Master Database'!$B69&amp;" "&amp;'Master Database'!$D69))),OR($B$6="(All)",'Master Database'!$C69=$B$6),OR($B$7="(All)",'Master Database'!$E69=$B$7),OR($B$8="(All)",'Master Database'!$T69=$B$8),OR($B$9="(All)",'Master Database'!$M69=$B$9),OR($B$10="(All)",'Master Database'!$V69=$B$10),OR($E$5="(All)",'Master Database'!$F69=$E$5),OR($E$6="(All)",'Master Database'!$G69=$E$6),OR($E$7="(All)",'Master Database'!$O69=$E$7),OR($E$8="(All)",'Master Database'!$P69=$E$8),OR($E$9="(All)",'Master Database'!$S69=$E$9),OR($E$10="(All)",'Master Database'!$Y69&amp;""=$E$10&amp;""),OR($H$5="(All)",'Master Database'!$BG69=$H$5),OR($H$6&lt;&gt;"Y",ISNUMBER('Master Database'!$AG69)),OR($H$7="",AND(ISNUMBER('Master Database'!$H69),N('Master Database'!$H69)&gt;=$H$7)),OR($I$7="",AND(ISNUMBER('Master Database'!$H69),N('Master Database'!$H69)&lt;=$I$7)),OR($H$8="",AND(ISNUMBER('Master Database'!$I69),N('Master Database'!$I69)&gt;=$H$8)),OR($I$8="",AND(ISNUMBER('Master Database'!$I69),N('Master Database'!$I69)&lt;=$I$8)),OR($H$9="",AND(ISNUMBER('Master Database'!$K69),N('Master Database'!$K69)&gt;=$H$9)),OR($I$9="",AND(ISNUMBER('Master Database'!$K69),N('Master Database'!$K69)&lt;=$I$9))),1,0))</f>
        <v>1</v>
      </c>
      <c r="BB69">
        <f>IF(BA69=1,COUNTIF($BA$5:BA69,1),"")</f>
        <v>65</v>
      </c>
    </row>
    <row r="70" spans="1:54">
      <c r="A70" s="20">
        <f>IF(55&lt;=SUM($BA$5:$BA$600),55,"")</f>
        <v>55</v>
      </c>
      <c r="B70" s="20">
        <f t="shared" si="1"/>
        <v>59</v>
      </c>
      <c r="C70" s="20">
        <f>IF($B70="","",IF(INDEX('Master Database'!$A$1:$A$600,$B70)="","",INDEX('Master Database'!$A$1:$A$600,$B70)))</f>
        <v>55</v>
      </c>
      <c r="D70" s="19" t="str">
        <f>IF($B70="","",IF(INDEX('Master Database'!$B$1:$B$600,$B70)="","",INDEX('Master Database'!$B$1:$B$600,$B70)))</f>
        <v>IGF De-oiled Waste Booster Pumps</v>
      </c>
      <c r="E70" s="19" t="str">
        <f>IF($B70="","",IF(INDEX('Master Database'!$C$1:$C$600,$B70)="","",INDEX('Master Database'!$C$1:$C$600,$B70)))</f>
        <v>Koopal Asmari</v>
      </c>
      <c r="F70" s="19" t="str">
        <f>IF($B70="","",IF(INDEX('Master Database'!$D$1:$D$600,$B70)="","",INDEX('Master Database'!$D$1:$D$600,$B70)))</f>
        <v>P-131 A/B</v>
      </c>
      <c r="G70" s="19" t="str">
        <f>IF($B70="","",IF(INDEX('Master Database'!$E$1:$E$600,$B70)="","",INDEX('Master Database'!$E$1:$E$600,$B70)))</f>
        <v>ROT-INJ</v>
      </c>
      <c r="H70" s="19" t="str">
        <f>IF($B70="","",IF(INDEX('Master Database'!$F$1:$F$600,$B70)="","",INDEX('Master Database'!$F$1:$F$600,$B70)))</f>
        <v>OH2</v>
      </c>
      <c r="I70" s="19" t="str">
        <f>IF($B70="","",IF(INDEX('Master Database'!$G$1:$G$600,$B70)="","",INDEX('Master Database'!$G$1:$G$600,$B70)))</f>
        <v>D-2</v>
      </c>
      <c r="J70" s="46" t="str">
        <f>IF($B70="","",IF(INDEX('Master Database'!$H$1:$H$600,$B70)="","",INDEX('Master Database'!$H$1:$H$600,$B70)))</f>
        <v/>
      </c>
      <c r="K70" s="46" t="str">
        <f>IF($B70="","",IF(INDEX('Master Database'!$I$1:$I$600,$B70)="","",INDEX('Master Database'!$I$1:$I$600,$B70)))</f>
        <v/>
      </c>
      <c r="L70" s="46" t="str">
        <f>IF($B70="","",IF(INDEX('Master Database'!$K$1:$K$600,$B70)="","",INDEX('Master Database'!$K$1:$K$600,$B70)))</f>
        <v/>
      </c>
      <c r="M70" s="19" t="str">
        <f>IF($B70="","",IF(INDEX('Master Database'!$L$1:$L$600,$B70)="","",INDEX('Master Database'!$L$1:$L$600,$B70)))</f>
        <v>API 610 + IPS-G-PM-105</v>
      </c>
      <c r="N70" s="19" t="str">
        <f>IF($B70="","",IF(INDEX('Master Database'!$P$1:$P$600,$B70)="","",INDEX('Master Database'!$P$1:$P$600,$B70)))</f>
        <v>Not stated</v>
      </c>
      <c r="O70" s="19" t="str">
        <f>IF($B70="","",IF(INDEX('Master Database'!$S$1:$S$600,$B70)="","",INDEX('Master Database'!$S$1:$S$600,$B70)))</f>
        <v>Electric Motor</v>
      </c>
      <c r="P70" s="19" t="str">
        <f>IF($B70="","",IF(INDEX('Master Database'!$T$1:$T$600,$B70)="","",INDEX('Master Database'!$T$1:$T$600,$B70)))</f>
        <v>Produced / Disposal Water</v>
      </c>
      <c r="Q70" s="19">
        <f>IF($B70="","",IF(INDEX('Master Database'!$Y$1:$Y$600,$B70)="","",INDEX('Master Database'!$Y$1:$Y$600,$B70)))</f>
        <v>1393</v>
      </c>
      <c r="R70" s="19" t="str">
        <f>IF($B70="","",IF(INDEX('Master Database'!$Z$1:$Z$600,$B70)="","",INDEX('Master Database'!$Z$1:$Z$600,$B70)))</f>
        <v>IRR</v>
      </c>
      <c r="S70" s="47" t="str">
        <f>IF($B70="","",IF(INDEX('Master Database'!$AA$1:$AA$600,$B70)="","",INDEX('Master Database'!$AA$1:$AA$600,$B70)))</f>
        <v>(Not stated)</v>
      </c>
      <c r="T70" s="19" t="str">
        <f>IF($B70="","",IF(INDEX('Master Database'!$AE$1:$AE$600,$B70)="","",INDEX('Master Database'!$AE$1:$AE$600,$B70)))</f>
        <v>Consultant FEED MTO estimate – KPL-476 R03 (Jan 2016); pump priced inside its package, no separate price | source label: AACE Class 3</v>
      </c>
      <c r="U70" s="47" t="str">
        <f>IF($B70="","",IF(INDEX('Master Database'!$AG$1:$AG$600,$B70)="","",INDEX('Master Database'!$AG$1:$AG$600,$B70)))</f>
        <v>(PPI/FX missing)</v>
      </c>
      <c r="V70" s="47" t="str">
        <f>IF($B70="","",IF(INDEX('Master Database'!$AH$1:$AH$600,$B70)="","",INDEX('Master Database'!$AH$1:$AH$600,$B70)))</f>
        <v/>
      </c>
      <c r="W70" s="47" t="str">
        <f>IF($B70="","",IF(INDEX('Master Database'!$AI$1:$AI$600,$B70)="","",INDEX('Master Database'!$AI$1:$AI$600,$B70)))</f>
        <v/>
      </c>
      <c r="X70" s="19" t="str">
        <f>IF($B70="","",IF(INDEX('Master Database'!$BG$1:$BG$600,$B70)="","",INDEX('Master Database'!$BG$1:$BG$600,$B70)))</f>
        <v>Y</v>
      </c>
      <c r="BA70">
        <f>IF('Master Database'!$A70="",0,IF(AND(OR($B$5="",ISNUMBER(SEARCH($B$5,'Master Database'!$B70&amp;" "&amp;'Master Database'!$D70))),OR($B$6="(All)",'Master Database'!$C70=$B$6),OR($B$7="(All)",'Master Database'!$E70=$B$7),OR($B$8="(All)",'Master Database'!$T70=$B$8),OR($B$9="(All)",'Master Database'!$M70=$B$9),OR($B$10="(All)",'Master Database'!$V70=$B$10),OR($E$5="(All)",'Master Database'!$F70=$E$5),OR($E$6="(All)",'Master Database'!$G70=$E$6),OR($E$7="(All)",'Master Database'!$O70=$E$7),OR($E$8="(All)",'Master Database'!$P70=$E$8),OR($E$9="(All)",'Master Database'!$S70=$E$9),OR($E$10="(All)",'Master Database'!$Y70&amp;""=$E$10&amp;""),OR($H$5="(All)",'Master Database'!$BG70=$H$5),OR($H$6&lt;&gt;"Y",ISNUMBER('Master Database'!$AG70)),OR($H$7="",AND(ISNUMBER('Master Database'!$H70),N('Master Database'!$H70)&gt;=$H$7)),OR($I$7="",AND(ISNUMBER('Master Database'!$H70),N('Master Database'!$H70)&lt;=$I$7)),OR($H$8="",AND(ISNUMBER('Master Database'!$I70),N('Master Database'!$I70)&gt;=$H$8)),OR($I$8="",AND(ISNUMBER('Master Database'!$I70),N('Master Database'!$I70)&lt;=$I$8)),OR($H$9="",AND(ISNUMBER('Master Database'!$K70),N('Master Database'!$K70)&gt;=$H$9)),OR($I$9="",AND(ISNUMBER('Master Database'!$K70),N('Master Database'!$K70)&lt;=$I$9))),1,0))</f>
        <v>1</v>
      </c>
      <c r="BB70">
        <f>IF(BA70=1,COUNTIF($BA$5:BA70,1),"")</f>
        <v>66</v>
      </c>
    </row>
    <row r="71" spans="1:54">
      <c r="A71" s="20">
        <f>IF(56&lt;=SUM($BA$5:$BA$600),56,"")</f>
        <v>56</v>
      </c>
      <c r="B71" s="20">
        <f t="shared" si="1"/>
        <v>60</v>
      </c>
      <c r="C71" s="20">
        <f>IF($B71="","",IF(INDEX('Master Database'!$A$1:$A$600,$B71)="","",INDEX('Master Database'!$A$1:$A$600,$B71)))</f>
        <v>56</v>
      </c>
      <c r="D71" s="19" t="str">
        <f>IF($B71="","",IF(INDEX('Master Database'!$B$1:$B$600,$B71)="","",INDEX('Master Database'!$B$1:$B$600,$B71)))</f>
        <v>IGF De-oiled Waste Booster Pumps</v>
      </c>
      <c r="E71" s="19" t="str">
        <f>IF($B71="","",IF(INDEX('Master Database'!$C$1:$C$600,$B71)="","",INDEX('Master Database'!$C$1:$C$600,$B71)))</f>
        <v>Koopal Asmari</v>
      </c>
      <c r="F71" s="19" t="str">
        <f>IF($B71="","",IF(INDEX('Master Database'!$D$1:$D$600,$B71)="","",INDEX('Master Database'!$D$1:$D$600,$B71)))</f>
        <v>P-132 A/B</v>
      </c>
      <c r="G71" s="19" t="str">
        <f>IF($B71="","",IF(INDEX('Master Database'!$E$1:$E$600,$B71)="","",INDEX('Master Database'!$E$1:$E$600,$B71)))</f>
        <v>ROT-INJ</v>
      </c>
      <c r="H71" s="19" t="str">
        <f>IF($B71="","",IF(INDEX('Master Database'!$F$1:$F$600,$B71)="","",INDEX('Master Database'!$F$1:$F$600,$B71)))</f>
        <v>OH2</v>
      </c>
      <c r="I71" s="19" t="str">
        <f>IF($B71="","",IF(INDEX('Master Database'!$G$1:$G$600,$B71)="","",INDEX('Master Database'!$G$1:$G$600,$B71)))</f>
        <v>D-2</v>
      </c>
      <c r="J71" s="46" t="str">
        <f>IF($B71="","",IF(INDEX('Master Database'!$H$1:$H$600,$B71)="","",INDEX('Master Database'!$H$1:$H$600,$B71)))</f>
        <v/>
      </c>
      <c r="K71" s="46" t="str">
        <f>IF($B71="","",IF(INDEX('Master Database'!$I$1:$I$600,$B71)="","",INDEX('Master Database'!$I$1:$I$600,$B71)))</f>
        <v/>
      </c>
      <c r="L71" s="46" t="str">
        <f>IF($B71="","",IF(INDEX('Master Database'!$K$1:$K$600,$B71)="","",INDEX('Master Database'!$K$1:$K$600,$B71)))</f>
        <v/>
      </c>
      <c r="M71" s="19" t="str">
        <f>IF($B71="","",IF(INDEX('Master Database'!$L$1:$L$600,$B71)="","",INDEX('Master Database'!$L$1:$L$600,$B71)))</f>
        <v>API 610 + IPS-G-PM-105</v>
      </c>
      <c r="N71" s="19" t="str">
        <f>IF($B71="","",IF(INDEX('Master Database'!$P$1:$P$600,$B71)="","",INDEX('Master Database'!$P$1:$P$600,$B71)))</f>
        <v>Not stated</v>
      </c>
      <c r="O71" s="19" t="str">
        <f>IF($B71="","",IF(INDEX('Master Database'!$S$1:$S$600,$B71)="","",INDEX('Master Database'!$S$1:$S$600,$B71)))</f>
        <v>Electric Motor</v>
      </c>
      <c r="P71" s="19" t="str">
        <f>IF($B71="","",IF(INDEX('Master Database'!$T$1:$T$600,$B71)="","",INDEX('Master Database'!$T$1:$T$600,$B71)))</f>
        <v>Produced / Disposal Water</v>
      </c>
      <c r="Q71" s="19">
        <f>IF($B71="","",IF(INDEX('Master Database'!$Y$1:$Y$600,$B71)="","",INDEX('Master Database'!$Y$1:$Y$600,$B71)))</f>
        <v>1393</v>
      </c>
      <c r="R71" s="19" t="str">
        <f>IF($B71="","",IF(INDEX('Master Database'!$Z$1:$Z$600,$B71)="","",INDEX('Master Database'!$Z$1:$Z$600,$B71)))</f>
        <v>IRR</v>
      </c>
      <c r="S71" s="47" t="str">
        <f>IF($B71="","",IF(INDEX('Master Database'!$AA$1:$AA$600,$B71)="","",INDEX('Master Database'!$AA$1:$AA$600,$B71)))</f>
        <v>(Not stated)</v>
      </c>
      <c r="T71" s="19" t="str">
        <f>IF($B71="","",IF(INDEX('Master Database'!$AE$1:$AE$600,$B71)="","",INDEX('Master Database'!$AE$1:$AE$600,$B71)))</f>
        <v>Consultant FEED MTO estimate – KPL-476 R03 (Jan 2016); pump priced inside its package, no separate price | source label: AACE Class 3</v>
      </c>
      <c r="U71" s="47" t="str">
        <f>IF($B71="","",IF(INDEX('Master Database'!$AG$1:$AG$600,$B71)="","",INDEX('Master Database'!$AG$1:$AG$600,$B71)))</f>
        <v>(PPI/FX missing)</v>
      </c>
      <c r="V71" s="47" t="str">
        <f>IF($B71="","",IF(INDEX('Master Database'!$AH$1:$AH$600,$B71)="","",INDEX('Master Database'!$AH$1:$AH$600,$B71)))</f>
        <v/>
      </c>
      <c r="W71" s="47" t="str">
        <f>IF($B71="","",IF(INDEX('Master Database'!$AI$1:$AI$600,$B71)="","",INDEX('Master Database'!$AI$1:$AI$600,$B71)))</f>
        <v/>
      </c>
      <c r="X71" s="19" t="str">
        <f>IF($B71="","",IF(INDEX('Master Database'!$BG$1:$BG$600,$B71)="","",INDEX('Master Database'!$BG$1:$BG$600,$B71)))</f>
        <v>Y</v>
      </c>
      <c r="BA71">
        <f>IF('Master Database'!$A71="",0,IF(AND(OR($B$5="",ISNUMBER(SEARCH($B$5,'Master Database'!$B71&amp;" "&amp;'Master Database'!$D71))),OR($B$6="(All)",'Master Database'!$C71=$B$6),OR($B$7="(All)",'Master Database'!$E71=$B$7),OR($B$8="(All)",'Master Database'!$T71=$B$8),OR($B$9="(All)",'Master Database'!$M71=$B$9),OR($B$10="(All)",'Master Database'!$V71=$B$10),OR($E$5="(All)",'Master Database'!$F71=$E$5),OR($E$6="(All)",'Master Database'!$G71=$E$6),OR($E$7="(All)",'Master Database'!$O71=$E$7),OR($E$8="(All)",'Master Database'!$P71=$E$8),OR($E$9="(All)",'Master Database'!$S71=$E$9),OR($E$10="(All)",'Master Database'!$Y71&amp;""=$E$10&amp;""),OR($H$5="(All)",'Master Database'!$BG71=$H$5),OR($H$6&lt;&gt;"Y",ISNUMBER('Master Database'!$AG71)),OR($H$7="",AND(ISNUMBER('Master Database'!$H71),N('Master Database'!$H71)&gt;=$H$7)),OR($I$7="",AND(ISNUMBER('Master Database'!$H71),N('Master Database'!$H71)&lt;=$I$7)),OR($H$8="",AND(ISNUMBER('Master Database'!$I71),N('Master Database'!$I71)&gt;=$H$8)),OR($I$8="",AND(ISNUMBER('Master Database'!$I71),N('Master Database'!$I71)&lt;=$I$8)),OR($H$9="",AND(ISNUMBER('Master Database'!$K71),N('Master Database'!$K71)&gt;=$H$9)),OR($I$9="",AND(ISNUMBER('Master Database'!$K71),N('Master Database'!$K71)&lt;=$I$9))),1,0))</f>
        <v>1</v>
      </c>
      <c r="BB71">
        <f>IF(BA71=1,COUNTIF($BA$5:BA71,1),"")</f>
        <v>67</v>
      </c>
    </row>
    <row r="72" spans="1:54">
      <c r="A72" s="20">
        <f>IF(57&lt;=SUM($BA$5:$BA$600),57,"")</f>
        <v>57</v>
      </c>
      <c r="B72" s="20">
        <f t="shared" si="1"/>
        <v>61</v>
      </c>
      <c r="C72" s="20">
        <f>IF($B72="","",IF(INDEX('Master Database'!$A$1:$A$600,$B72)="","",INDEX('Master Database'!$A$1:$A$600,$B72)))</f>
        <v>57</v>
      </c>
      <c r="D72" s="19" t="str">
        <f>IF($B72="","",IF(INDEX('Master Database'!$B$1:$B$600,$B72)="","",INDEX('Master Database'!$B$1:$B$600,$B72)))</f>
        <v>IGF Recovered Waste Oil Pumps</v>
      </c>
      <c r="E72" s="19" t="str">
        <f>IF($B72="","",IF(INDEX('Master Database'!$C$1:$C$600,$B72)="","",INDEX('Master Database'!$C$1:$C$600,$B72)))</f>
        <v>Koopal Asmari</v>
      </c>
      <c r="F72" s="19" t="str">
        <f>IF($B72="","",IF(INDEX('Master Database'!$D$1:$D$600,$B72)="","",INDEX('Master Database'!$D$1:$D$600,$B72)))</f>
        <v>P-133 A/B</v>
      </c>
      <c r="G72" s="19" t="str">
        <f>IF($B72="","",IF(INDEX('Master Database'!$E$1:$E$600,$B72)="","",INDEX('Master Database'!$E$1:$E$600,$B72)))</f>
        <v>ROT-DRN</v>
      </c>
      <c r="H72" s="19" t="str">
        <f>IF($B72="","",IF(INDEX('Master Database'!$F$1:$F$600,$B72)="","",INDEX('Master Database'!$F$1:$F$600,$B72)))</f>
        <v>N/A (non-API 610)</v>
      </c>
      <c r="I72" s="19" t="str">
        <f>IF($B72="","",IF(INDEX('Master Database'!$G$1:$G$600,$B72)="","",INDEX('Master Database'!$G$1:$G$600,$B72)))</f>
        <v>D-1</v>
      </c>
      <c r="J72" s="46" t="str">
        <f>IF($B72="","",IF(INDEX('Master Database'!$H$1:$H$600,$B72)="","",INDEX('Master Database'!$H$1:$H$600,$B72)))</f>
        <v/>
      </c>
      <c r="K72" s="46" t="str">
        <f>IF($B72="","",IF(INDEX('Master Database'!$I$1:$I$600,$B72)="","",INDEX('Master Database'!$I$1:$I$600,$B72)))</f>
        <v/>
      </c>
      <c r="L72" s="46" t="str">
        <f>IF($B72="","",IF(INDEX('Master Database'!$K$1:$K$600,$B72)="","",INDEX('Master Database'!$K$1:$K$600,$B72)))</f>
        <v/>
      </c>
      <c r="M72" s="19" t="str">
        <f>IF($B72="","",IF(INDEX('Master Database'!$L$1:$L$600,$B72)="","",INDEX('Master Database'!$L$1:$L$600,$B72)))</f>
        <v>API 676 + IPS-M-PM-140</v>
      </c>
      <c r="N72" s="19" t="str">
        <f>IF($B72="","",IF(INDEX('Master Database'!$P$1:$P$600,$B72)="","",INDEX('Master Database'!$P$1:$P$600,$B72)))</f>
        <v>Not stated</v>
      </c>
      <c r="O72" s="19" t="str">
        <f>IF($B72="","",IF(INDEX('Master Database'!$S$1:$S$600,$B72)="","",INDEX('Master Database'!$S$1:$S$600,$B72)))</f>
        <v>Electric Motor</v>
      </c>
      <c r="P72" s="19" t="str">
        <f>IF($B72="","",IF(INDEX('Master Database'!$T$1:$T$600,$B72)="","",INDEX('Master Database'!$T$1:$T$600,$B72)))</f>
        <v>Slop / Dirty Oil</v>
      </c>
      <c r="Q72" s="19">
        <f>IF($B72="","",IF(INDEX('Master Database'!$Y$1:$Y$600,$B72)="","",INDEX('Master Database'!$Y$1:$Y$600,$B72)))</f>
        <v>1393</v>
      </c>
      <c r="R72" s="19" t="str">
        <f>IF($B72="","",IF(INDEX('Master Database'!$Z$1:$Z$600,$B72)="","",INDEX('Master Database'!$Z$1:$Z$600,$B72)))</f>
        <v>IRR</v>
      </c>
      <c r="S72" s="47" t="str">
        <f>IF($B72="","",IF(INDEX('Master Database'!$AA$1:$AA$600,$B72)="","",INDEX('Master Database'!$AA$1:$AA$600,$B72)))</f>
        <v>(Not stated)</v>
      </c>
      <c r="T72" s="19" t="str">
        <f>IF($B72="","",IF(INDEX('Master Database'!$AE$1:$AE$600,$B72)="","",INDEX('Master Database'!$AE$1:$AE$600,$B72)))</f>
        <v>Consultant FEED MTO estimate – KPL-476 R03 (Jan 2016); pump priced inside its package, no separate price | source label: AACE Class 3</v>
      </c>
      <c r="U72" s="47" t="str">
        <f>IF($B72="","",IF(INDEX('Master Database'!$AG$1:$AG$600,$B72)="","",INDEX('Master Database'!$AG$1:$AG$600,$B72)))</f>
        <v>(PPI/FX missing)</v>
      </c>
      <c r="V72" s="47" t="str">
        <f>IF($B72="","",IF(INDEX('Master Database'!$AH$1:$AH$600,$B72)="","",INDEX('Master Database'!$AH$1:$AH$600,$B72)))</f>
        <v/>
      </c>
      <c r="W72" s="47" t="str">
        <f>IF($B72="","",IF(INDEX('Master Database'!$AI$1:$AI$600,$B72)="","",INDEX('Master Database'!$AI$1:$AI$600,$B72)))</f>
        <v/>
      </c>
      <c r="X72" s="19" t="str">
        <f>IF($B72="","",IF(INDEX('Master Database'!$BG$1:$BG$600,$B72)="","",INDEX('Master Database'!$BG$1:$BG$600,$B72)))</f>
        <v>Y</v>
      </c>
      <c r="BA72">
        <f>IF('Master Database'!$A72="",0,IF(AND(OR($B$5="",ISNUMBER(SEARCH($B$5,'Master Database'!$B72&amp;" "&amp;'Master Database'!$D72))),OR($B$6="(All)",'Master Database'!$C72=$B$6),OR($B$7="(All)",'Master Database'!$E72=$B$7),OR($B$8="(All)",'Master Database'!$T72=$B$8),OR($B$9="(All)",'Master Database'!$M72=$B$9),OR($B$10="(All)",'Master Database'!$V72=$B$10),OR($E$5="(All)",'Master Database'!$F72=$E$5),OR($E$6="(All)",'Master Database'!$G72=$E$6),OR($E$7="(All)",'Master Database'!$O72=$E$7),OR($E$8="(All)",'Master Database'!$P72=$E$8),OR($E$9="(All)",'Master Database'!$S72=$E$9),OR($E$10="(All)",'Master Database'!$Y72&amp;""=$E$10&amp;""),OR($H$5="(All)",'Master Database'!$BG72=$H$5),OR($H$6&lt;&gt;"Y",ISNUMBER('Master Database'!$AG72)),OR($H$7="",AND(ISNUMBER('Master Database'!$H72),N('Master Database'!$H72)&gt;=$H$7)),OR($I$7="",AND(ISNUMBER('Master Database'!$H72),N('Master Database'!$H72)&lt;=$I$7)),OR($H$8="",AND(ISNUMBER('Master Database'!$I72),N('Master Database'!$I72)&gt;=$H$8)),OR($I$8="",AND(ISNUMBER('Master Database'!$I72),N('Master Database'!$I72)&lt;=$I$8)),OR($H$9="",AND(ISNUMBER('Master Database'!$K72),N('Master Database'!$K72)&gt;=$H$9)),OR($I$9="",AND(ISNUMBER('Master Database'!$K72),N('Master Database'!$K72)&lt;=$I$9))),1,0))</f>
        <v>1</v>
      </c>
      <c r="BB72">
        <f>IF(BA72=1,COUNTIF($BA$5:BA72,1),"")</f>
        <v>68</v>
      </c>
    </row>
    <row r="73" spans="1:54">
      <c r="A73" s="20">
        <f>IF(58&lt;=SUM($BA$5:$BA$600),58,"")</f>
        <v>58</v>
      </c>
      <c r="B73" s="20">
        <f t="shared" si="1"/>
        <v>62</v>
      </c>
      <c r="C73" s="20">
        <f>IF($B73="","",IF(INDEX('Master Database'!$A$1:$A$600,$B73)="","",INDEX('Master Database'!$A$1:$A$600,$B73)))</f>
        <v>58</v>
      </c>
      <c r="D73" s="19" t="str">
        <f>IF($B73="","",IF(INDEX('Master Database'!$B$1:$B$600,$B73)="","",INDEX('Master Database'!$B$1:$B$600,$B73)))</f>
        <v>IGF Oily Sludge Pumps</v>
      </c>
      <c r="E73" s="19" t="str">
        <f>IF($B73="","",IF(INDEX('Master Database'!$C$1:$C$600,$B73)="","",INDEX('Master Database'!$C$1:$C$600,$B73)))</f>
        <v>Koopal Asmari</v>
      </c>
      <c r="F73" s="19" t="str">
        <f>IF($B73="","",IF(INDEX('Master Database'!$D$1:$D$600,$B73)="","",INDEX('Master Database'!$D$1:$D$600,$B73)))</f>
        <v>P-134 A/B</v>
      </c>
      <c r="G73" s="19" t="str">
        <f>IF($B73="","",IF(INDEX('Master Database'!$E$1:$E$600,$B73)="","",INDEX('Master Database'!$E$1:$E$600,$B73)))</f>
        <v>ROT-DRN</v>
      </c>
      <c r="H73" s="19" t="str">
        <f>IF($B73="","",IF(INDEX('Master Database'!$F$1:$F$600,$B73)="","",INDEX('Master Database'!$F$1:$F$600,$B73)))</f>
        <v>N/A (non-API 610)</v>
      </c>
      <c r="I73" s="19" t="str">
        <f>IF($B73="","",IF(INDEX('Master Database'!$G$1:$G$600,$B73)="","",INDEX('Master Database'!$G$1:$G$600,$B73)))</f>
        <v>D-2</v>
      </c>
      <c r="J73" s="46" t="str">
        <f>IF($B73="","",IF(INDEX('Master Database'!$H$1:$H$600,$B73)="","",INDEX('Master Database'!$H$1:$H$600,$B73)))</f>
        <v/>
      </c>
      <c r="K73" s="46" t="str">
        <f>IF($B73="","",IF(INDEX('Master Database'!$I$1:$I$600,$B73)="","",INDEX('Master Database'!$I$1:$I$600,$B73)))</f>
        <v/>
      </c>
      <c r="L73" s="46" t="str">
        <f>IF($B73="","",IF(INDEX('Master Database'!$K$1:$K$600,$B73)="","",INDEX('Master Database'!$K$1:$K$600,$B73)))</f>
        <v/>
      </c>
      <c r="M73" s="19" t="str">
        <f>IF($B73="","",IF(INDEX('Master Database'!$L$1:$L$600,$B73)="","",INDEX('Master Database'!$L$1:$L$600,$B73)))</f>
        <v>API 610 + IPS-G-PM-105</v>
      </c>
      <c r="N73" s="19" t="str">
        <f>IF($B73="","",IF(INDEX('Master Database'!$P$1:$P$600,$B73)="","",INDEX('Master Database'!$P$1:$P$600,$B73)))</f>
        <v>Not stated</v>
      </c>
      <c r="O73" s="19" t="str">
        <f>IF($B73="","",IF(INDEX('Master Database'!$S$1:$S$600,$B73)="","",INDEX('Master Database'!$S$1:$S$600,$B73)))</f>
        <v>Electric Motor</v>
      </c>
      <c r="P73" s="19" t="str">
        <f>IF($B73="","",IF(INDEX('Master Database'!$T$1:$T$600,$B73)="","",INDEX('Master Database'!$T$1:$T$600,$B73)))</f>
        <v>Sludge</v>
      </c>
      <c r="Q73" s="19">
        <f>IF($B73="","",IF(INDEX('Master Database'!$Y$1:$Y$600,$B73)="","",INDEX('Master Database'!$Y$1:$Y$600,$B73)))</f>
        <v>1393</v>
      </c>
      <c r="R73" s="19" t="str">
        <f>IF($B73="","",IF(INDEX('Master Database'!$Z$1:$Z$600,$B73)="","",INDEX('Master Database'!$Z$1:$Z$600,$B73)))</f>
        <v>IRR</v>
      </c>
      <c r="S73" s="47" t="str">
        <f>IF($B73="","",IF(INDEX('Master Database'!$AA$1:$AA$600,$B73)="","",INDEX('Master Database'!$AA$1:$AA$600,$B73)))</f>
        <v>(Not stated)</v>
      </c>
      <c r="T73" s="19" t="str">
        <f>IF($B73="","",IF(INDEX('Master Database'!$AE$1:$AE$600,$B73)="","",INDEX('Master Database'!$AE$1:$AE$600,$B73)))</f>
        <v>Consultant FEED MTO estimate – KPL-476 R03 (Jan 2016); pump priced inside its package, no separate price | source label: AACE Class 3</v>
      </c>
      <c r="U73" s="47" t="str">
        <f>IF($B73="","",IF(INDEX('Master Database'!$AG$1:$AG$600,$B73)="","",INDEX('Master Database'!$AG$1:$AG$600,$B73)))</f>
        <v>(PPI/FX missing)</v>
      </c>
      <c r="V73" s="47" t="str">
        <f>IF($B73="","",IF(INDEX('Master Database'!$AH$1:$AH$600,$B73)="","",INDEX('Master Database'!$AH$1:$AH$600,$B73)))</f>
        <v/>
      </c>
      <c r="W73" s="47" t="str">
        <f>IF($B73="","",IF(INDEX('Master Database'!$AI$1:$AI$600,$B73)="","",INDEX('Master Database'!$AI$1:$AI$600,$B73)))</f>
        <v/>
      </c>
      <c r="X73" s="19" t="str">
        <f>IF($B73="","",IF(INDEX('Master Database'!$BG$1:$BG$600,$B73)="","",INDEX('Master Database'!$BG$1:$BG$600,$B73)))</f>
        <v>Y</v>
      </c>
      <c r="BA73">
        <f>IF('Master Database'!$A73="",0,IF(AND(OR($B$5="",ISNUMBER(SEARCH($B$5,'Master Database'!$B73&amp;" "&amp;'Master Database'!$D73))),OR($B$6="(All)",'Master Database'!$C73=$B$6),OR($B$7="(All)",'Master Database'!$E73=$B$7),OR($B$8="(All)",'Master Database'!$T73=$B$8),OR($B$9="(All)",'Master Database'!$M73=$B$9),OR($B$10="(All)",'Master Database'!$V73=$B$10),OR($E$5="(All)",'Master Database'!$F73=$E$5),OR($E$6="(All)",'Master Database'!$G73=$E$6),OR($E$7="(All)",'Master Database'!$O73=$E$7),OR($E$8="(All)",'Master Database'!$P73=$E$8),OR($E$9="(All)",'Master Database'!$S73=$E$9),OR($E$10="(All)",'Master Database'!$Y73&amp;""=$E$10&amp;""),OR($H$5="(All)",'Master Database'!$BG73=$H$5),OR($H$6&lt;&gt;"Y",ISNUMBER('Master Database'!$AG73)),OR($H$7="",AND(ISNUMBER('Master Database'!$H73),N('Master Database'!$H73)&gt;=$H$7)),OR($I$7="",AND(ISNUMBER('Master Database'!$H73),N('Master Database'!$H73)&lt;=$I$7)),OR($H$8="",AND(ISNUMBER('Master Database'!$I73),N('Master Database'!$I73)&gt;=$H$8)),OR($I$8="",AND(ISNUMBER('Master Database'!$I73),N('Master Database'!$I73)&lt;=$I$8)),OR($H$9="",AND(ISNUMBER('Master Database'!$K73),N('Master Database'!$K73)&gt;=$H$9)),OR($I$9="",AND(ISNUMBER('Master Database'!$K73),N('Master Database'!$K73)&lt;=$I$9))),1,0))</f>
        <v>1</v>
      </c>
      <c r="BB73">
        <f>IF(BA73=1,COUNTIF($BA$5:BA73,1),"")</f>
        <v>69</v>
      </c>
    </row>
    <row r="74" spans="1:54">
      <c r="A74" s="20">
        <f>IF(59&lt;=SUM($BA$5:$BA$600),59,"")</f>
        <v>59</v>
      </c>
      <c r="B74" s="20">
        <f t="shared" si="1"/>
        <v>63</v>
      </c>
      <c r="C74" s="20">
        <f>IF($B74="","",IF(INDEX('Master Database'!$A$1:$A$600,$B74)="","",INDEX('Master Database'!$A$1:$A$600,$B74)))</f>
        <v>59</v>
      </c>
      <c r="D74" s="19" t="str">
        <f>IF($B74="","",IF(INDEX('Master Database'!$B$1:$B$600,$B74)="","",INDEX('Master Database'!$B$1:$B$600,$B74)))</f>
        <v>Salty Crude Transfer Pumps</v>
      </c>
      <c r="E74" s="19" t="str">
        <f>IF($B74="","",IF(INDEX('Master Database'!$C$1:$C$600,$B74)="","",INDEX('Master Database'!$C$1:$C$600,$B74)))</f>
        <v>Koopal Bangestan</v>
      </c>
      <c r="F74" s="19" t="str">
        <f>IF($B74="","",IF(INDEX('Master Database'!$D$1:$D$600,$B74)="","",INDEX('Master Database'!$D$1:$D$600,$B74)))</f>
        <v>P-121 A/B/C</v>
      </c>
      <c r="G74" s="19" t="str">
        <f>IF($B74="","",IF(INDEX('Master Database'!$E$1:$E$600,$B74)="","",INDEX('Master Database'!$E$1:$E$600,$B74)))</f>
        <v>ROT-CRU</v>
      </c>
      <c r="H74" s="19" t="str">
        <f>IF($B74="","",IF(INDEX('Master Database'!$F$1:$F$600,$B74)="","",INDEX('Master Database'!$F$1:$F$600,$B74)))</f>
        <v>OH2</v>
      </c>
      <c r="I74" s="19" t="str">
        <f>IF($B74="","",IF(INDEX('Master Database'!$G$1:$G$600,$B74)="","",INDEX('Master Database'!$G$1:$G$600,$B74)))</f>
        <v>D-1</v>
      </c>
      <c r="J74" s="46">
        <f>IF($B74="","",IF(INDEX('Master Database'!$H$1:$H$600,$B74)="","",INDEX('Master Database'!$H$1:$H$600,$B74)))</f>
        <v>186</v>
      </c>
      <c r="K74" s="46">
        <f>IF($B74="","",IF(INDEX('Master Database'!$I$1:$I$600,$B74)="","",INDEX('Master Database'!$I$1:$I$600,$B74)))</f>
        <v>33.4</v>
      </c>
      <c r="L74" s="46">
        <f>IF($B74="","",IF(INDEX('Master Database'!$K$1:$K$600,$B74)="","",INDEX('Master Database'!$K$1:$K$600,$B74)))</f>
        <v>28.212534059945504</v>
      </c>
      <c r="M74" s="19" t="str">
        <f>IF($B74="","",IF(INDEX('Master Database'!$L$1:$L$600,$B74)="","",INDEX('Master Database'!$L$1:$L$600,$B74)))</f>
        <v>API 610 + IPS-G-PM-105 + NACE MR0175</v>
      </c>
      <c r="N74" s="19" t="str">
        <f>IF($B74="","",IF(INDEX('Master Database'!$P$1:$P$600,$B74)="","",INDEX('Master Database'!$P$1:$P$600,$B74)))</f>
        <v>Not stated</v>
      </c>
      <c r="O74" s="19" t="str">
        <f>IF($B74="","",IF(INDEX('Master Database'!$S$1:$S$600,$B74)="","",INDEX('Master Database'!$S$1:$S$600,$B74)))</f>
        <v>Electric Motor</v>
      </c>
      <c r="P74" s="19" t="str">
        <f>IF($B74="","",IF(INDEX('Master Database'!$T$1:$T$600,$B74)="","",INDEX('Master Database'!$T$1:$T$600,$B74)))</f>
        <v>Crude Oil</v>
      </c>
      <c r="Q74" s="19">
        <f>IF($B74="","",IF(INDEX('Master Database'!$Y$1:$Y$600,$B74)="","",INDEX('Master Database'!$Y$1:$Y$600,$B74)))</f>
        <v>1393</v>
      </c>
      <c r="R74" s="19" t="str">
        <f>IF($B74="","",IF(INDEX('Master Database'!$Z$1:$Z$600,$B74)="","",INDEX('Master Database'!$Z$1:$Z$600,$B74)))</f>
        <v>EUR</v>
      </c>
      <c r="S74" s="47">
        <f>IF($B74="","",IF(INDEX('Master Database'!$AA$1:$AA$600,$B74)="","",INDEX('Master Database'!$AA$1:$AA$600,$B74)))</f>
        <v>55000</v>
      </c>
      <c r="T74" s="19" t="str">
        <f>IF($B74="","",IF(INDEX('Master Database'!$AE$1:$AE$600,$B74)="","",INDEX('Master Database'!$AE$1:$AE$600,$B74)))</f>
        <v>Consultant FEED MTO estimate – KPL-476 R03 (Jan 2016); vendor-level price in EUR, before project overhead | source label: AACE Class 3</v>
      </c>
      <c r="U74" s="47">
        <f>IF($B74="","",IF(INDEX('Master Database'!$AG$1:$AG$600,$B74)="","",INDEX('Master Database'!$AG$1:$AG$600,$B74)))</f>
        <v>74308.734824351108</v>
      </c>
      <c r="V74" s="47">
        <f>IF($B74="","",IF(INDEX('Master Database'!$AH$1:$AH$600,$B74)="","",INDEX('Master Database'!$AH$1:$AH$600,$B74)))</f>
        <v>78453.905034154624</v>
      </c>
      <c r="W74" s="47">
        <f>IF($B74="","",IF(INDEX('Master Database'!$AI$1:$AI$600,$B74)="","",INDEX('Master Database'!$AI$1:$AI$600,$B74)))</f>
        <v>51664485443.856949</v>
      </c>
      <c r="X74" s="19" t="str">
        <f>IF($B74="","",IF(INDEX('Master Database'!$BG$1:$BG$600,$B74)="","",INDEX('Master Database'!$BG$1:$BG$600,$B74)))</f>
        <v>Y</v>
      </c>
      <c r="BA74">
        <f>IF('Master Database'!$A74="",0,IF(AND(OR($B$5="",ISNUMBER(SEARCH($B$5,'Master Database'!$B74&amp;" "&amp;'Master Database'!$D74))),OR($B$6="(All)",'Master Database'!$C74=$B$6),OR($B$7="(All)",'Master Database'!$E74=$B$7),OR($B$8="(All)",'Master Database'!$T74=$B$8),OR($B$9="(All)",'Master Database'!$M74=$B$9),OR($B$10="(All)",'Master Database'!$V74=$B$10),OR($E$5="(All)",'Master Database'!$F74=$E$5),OR($E$6="(All)",'Master Database'!$G74=$E$6),OR($E$7="(All)",'Master Database'!$O74=$E$7),OR($E$8="(All)",'Master Database'!$P74=$E$8),OR($E$9="(All)",'Master Database'!$S74=$E$9),OR($E$10="(All)",'Master Database'!$Y74&amp;""=$E$10&amp;""),OR($H$5="(All)",'Master Database'!$BG74=$H$5),OR($H$6&lt;&gt;"Y",ISNUMBER('Master Database'!$AG74)),OR($H$7="",AND(ISNUMBER('Master Database'!$H74),N('Master Database'!$H74)&gt;=$H$7)),OR($I$7="",AND(ISNUMBER('Master Database'!$H74),N('Master Database'!$H74)&lt;=$I$7)),OR($H$8="",AND(ISNUMBER('Master Database'!$I74),N('Master Database'!$I74)&gt;=$H$8)),OR($I$8="",AND(ISNUMBER('Master Database'!$I74),N('Master Database'!$I74)&lt;=$I$8)),OR($H$9="",AND(ISNUMBER('Master Database'!$K74),N('Master Database'!$K74)&gt;=$H$9)),OR($I$9="",AND(ISNUMBER('Master Database'!$K74),N('Master Database'!$K74)&lt;=$I$9))),1,0))</f>
        <v>1</v>
      </c>
      <c r="BB74">
        <f>IF(BA74=1,COUNTIF($BA$5:BA74,1),"")</f>
        <v>70</v>
      </c>
    </row>
    <row r="75" spans="1:54">
      <c r="A75" s="20">
        <f>IF(60&lt;=SUM($BA$5:$BA$600),60,"")</f>
        <v>60</v>
      </c>
      <c r="B75" s="20">
        <f t="shared" si="1"/>
        <v>64</v>
      </c>
      <c r="C75" s="20">
        <f>IF($B75="","",IF(INDEX('Master Database'!$A$1:$A$600,$B75)="","",INDEX('Master Database'!$A$1:$A$600,$B75)))</f>
        <v>60</v>
      </c>
      <c r="D75" s="19" t="str">
        <f>IF($B75="","",IF(INDEX('Master Database'!$B$1:$B$600,$B75)="","",INDEX('Master Database'!$B$1:$B$600,$B75)))</f>
        <v>Off-Spec. Crude Pumps</v>
      </c>
      <c r="E75" s="19" t="str">
        <f>IF($B75="","",IF(INDEX('Master Database'!$C$1:$C$600,$B75)="","",INDEX('Master Database'!$C$1:$C$600,$B75)))</f>
        <v>Koopal Bangestan</v>
      </c>
      <c r="F75" s="19" t="str">
        <f>IF($B75="","",IF(INDEX('Master Database'!$D$1:$D$600,$B75)="","",INDEX('Master Database'!$D$1:$D$600,$B75)))</f>
        <v>P-122 A/B</v>
      </c>
      <c r="G75" s="19" t="str">
        <f>IF($B75="","",IF(INDEX('Master Database'!$E$1:$E$600,$B75)="","",INDEX('Master Database'!$E$1:$E$600,$B75)))</f>
        <v>ROT-CRU</v>
      </c>
      <c r="H75" s="19" t="str">
        <f>IF($B75="","",IF(INDEX('Master Database'!$F$1:$F$600,$B75)="","",INDEX('Master Database'!$F$1:$F$600,$B75)))</f>
        <v>OH2</v>
      </c>
      <c r="I75" s="19" t="str">
        <f>IF($B75="","",IF(INDEX('Master Database'!$G$1:$G$600,$B75)="","",INDEX('Master Database'!$G$1:$G$600,$B75)))</f>
        <v>D-1</v>
      </c>
      <c r="J75" s="46">
        <f>IF($B75="","",IF(INDEX('Master Database'!$H$1:$H$600,$B75)="","",INDEX('Master Database'!$H$1:$H$600,$B75)))</f>
        <v>37</v>
      </c>
      <c r="K75" s="46">
        <f>IF($B75="","",IF(INDEX('Master Database'!$I$1:$I$600,$B75)="","",INDEX('Master Database'!$I$1:$I$600,$B75)))</f>
        <v>39</v>
      </c>
      <c r="L75" s="46">
        <f>IF($B75="","",IF(INDEX('Master Database'!$K$1:$K$600,$B75)="","",INDEX('Master Database'!$K$1:$K$600,$B75)))</f>
        <v>6.5531335149863761</v>
      </c>
      <c r="M75" s="19" t="str">
        <f>IF($B75="","",IF(INDEX('Master Database'!$L$1:$L$600,$B75)="","",INDEX('Master Database'!$L$1:$L$600,$B75)))</f>
        <v>API 610 + IPS-G-PM-105 + NACE MR0175</v>
      </c>
      <c r="N75" s="19" t="str">
        <f>IF($B75="","",IF(INDEX('Master Database'!$P$1:$P$600,$B75)="","",INDEX('Master Database'!$P$1:$P$600,$B75)))</f>
        <v>Not stated</v>
      </c>
      <c r="O75" s="19" t="str">
        <f>IF($B75="","",IF(INDEX('Master Database'!$S$1:$S$600,$B75)="","",INDEX('Master Database'!$S$1:$S$600,$B75)))</f>
        <v>Electric Motor</v>
      </c>
      <c r="P75" s="19" t="str">
        <f>IF($B75="","",IF(INDEX('Master Database'!$T$1:$T$600,$B75)="","",INDEX('Master Database'!$T$1:$T$600,$B75)))</f>
        <v>Crude Oil</v>
      </c>
      <c r="Q75" s="19">
        <f>IF($B75="","",IF(INDEX('Master Database'!$Y$1:$Y$600,$B75)="","",INDEX('Master Database'!$Y$1:$Y$600,$B75)))</f>
        <v>1393</v>
      </c>
      <c r="R75" s="19" t="str">
        <f>IF($B75="","",IF(INDEX('Master Database'!$Z$1:$Z$600,$B75)="","",INDEX('Master Database'!$Z$1:$Z$600,$B75)))</f>
        <v>EUR</v>
      </c>
      <c r="S75" s="47">
        <f>IF($B75="","",IF(INDEX('Master Database'!$AA$1:$AA$600,$B75)="","",INDEX('Master Database'!$AA$1:$AA$600,$B75)))</f>
        <v>15000</v>
      </c>
      <c r="T75" s="19" t="str">
        <f>IF($B75="","",IF(INDEX('Master Database'!$AE$1:$AE$600,$B75)="","",INDEX('Master Database'!$AE$1:$AE$600,$B75)))</f>
        <v>Consultant FEED MTO estimate – KPL-476 R03 (Jan 2016); vendor-level price in EUR, before project overhead | source label: AACE Class 3</v>
      </c>
      <c r="U75" s="47">
        <f>IF($B75="","",IF(INDEX('Master Database'!$AG$1:$AG$600,$B75)="","",INDEX('Master Database'!$AG$1:$AG$600,$B75)))</f>
        <v>25000</v>
      </c>
      <c r="V75" s="47">
        <f>IF($B75="","",IF(INDEX('Master Database'!$AH$1:$AH$600,$B75)="","",INDEX('Master Database'!$AH$1:$AH$600,$B75)))</f>
        <v>26394.577037141647</v>
      </c>
      <c r="W75" s="47">
        <f>IF($B75="","",IF(INDEX('Master Database'!$AI$1:$AI$600,$B75)="","",INDEX('Master Database'!$AI$1:$AI$600,$B75)))</f>
        <v>17381700000</v>
      </c>
      <c r="X75" s="19" t="str">
        <f>IF($B75="","",IF(INDEX('Master Database'!$BG$1:$BG$600,$B75)="","",INDEX('Master Database'!$BG$1:$BG$600,$B75)))</f>
        <v>Y</v>
      </c>
      <c r="BA75">
        <f>IF('Master Database'!$A75="",0,IF(AND(OR($B$5="",ISNUMBER(SEARCH($B$5,'Master Database'!$B75&amp;" "&amp;'Master Database'!$D75))),OR($B$6="(All)",'Master Database'!$C75=$B$6),OR($B$7="(All)",'Master Database'!$E75=$B$7),OR($B$8="(All)",'Master Database'!$T75=$B$8),OR($B$9="(All)",'Master Database'!$M75=$B$9),OR($B$10="(All)",'Master Database'!$V75=$B$10),OR($E$5="(All)",'Master Database'!$F75=$E$5),OR($E$6="(All)",'Master Database'!$G75=$E$6),OR($E$7="(All)",'Master Database'!$O75=$E$7),OR($E$8="(All)",'Master Database'!$P75=$E$8),OR($E$9="(All)",'Master Database'!$S75=$E$9),OR($E$10="(All)",'Master Database'!$Y75&amp;""=$E$10&amp;""),OR($H$5="(All)",'Master Database'!$BG75=$H$5),OR($H$6&lt;&gt;"Y",ISNUMBER('Master Database'!$AG75)),OR($H$7="",AND(ISNUMBER('Master Database'!$H75),N('Master Database'!$H75)&gt;=$H$7)),OR($I$7="",AND(ISNUMBER('Master Database'!$H75),N('Master Database'!$H75)&lt;=$I$7)),OR($H$8="",AND(ISNUMBER('Master Database'!$I75),N('Master Database'!$I75)&gt;=$H$8)),OR($I$8="",AND(ISNUMBER('Master Database'!$I75),N('Master Database'!$I75)&lt;=$I$8)),OR($H$9="",AND(ISNUMBER('Master Database'!$K75),N('Master Database'!$K75)&gt;=$H$9)),OR($I$9="",AND(ISNUMBER('Master Database'!$K75),N('Master Database'!$K75)&lt;=$I$9))),1,0))</f>
        <v>1</v>
      </c>
      <c r="BB75">
        <f>IF(BA75=1,COUNTIF($BA$5:BA75,1),"")</f>
        <v>71</v>
      </c>
    </row>
    <row r="76" spans="1:54">
      <c r="A76" s="20">
        <f>IF(61&lt;=SUM($BA$5:$BA$600),61,"")</f>
        <v>61</v>
      </c>
      <c r="B76" s="20">
        <f t="shared" si="1"/>
        <v>65</v>
      </c>
      <c r="C76" s="20">
        <f>IF($B76="","",IF(INDEX('Master Database'!$A$1:$A$600,$B76)="","",INDEX('Master Database'!$A$1:$A$600,$B76)))</f>
        <v>61</v>
      </c>
      <c r="D76" s="19" t="str">
        <f>IF($B76="","",IF(INDEX('Master Database'!$B$1:$B$600,$B76)="","",INDEX('Master Database'!$B$1:$B$600,$B76)))</f>
        <v>Salty Crude Booster Pumps</v>
      </c>
      <c r="E76" s="19" t="str">
        <f>IF($B76="","",IF(INDEX('Master Database'!$C$1:$C$600,$B76)="","",INDEX('Master Database'!$C$1:$C$600,$B76)))</f>
        <v>Koopal Bangestan</v>
      </c>
      <c r="F76" s="19" t="str">
        <f>IF($B76="","",IF(INDEX('Master Database'!$D$1:$D$600,$B76)="","",INDEX('Master Database'!$D$1:$D$600,$B76)))</f>
        <v>P-124 A/B/C</v>
      </c>
      <c r="G76" s="19" t="str">
        <f>IF($B76="","",IF(INDEX('Master Database'!$E$1:$E$600,$B76)="","",INDEX('Master Database'!$E$1:$E$600,$B76)))</f>
        <v>ROT-CRU</v>
      </c>
      <c r="H76" s="19" t="str">
        <f>IF($B76="","",IF(INDEX('Master Database'!$F$1:$F$600,$B76)="","",INDEX('Master Database'!$F$1:$F$600,$B76)))</f>
        <v>OH2</v>
      </c>
      <c r="I76" s="19" t="str">
        <f>IF($B76="","",IF(INDEX('Master Database'!$G$1:$G$600,$B76)="","",INDEX('Master Database'!$G$1:$G$600,$B76)))</f>
        <v>D-1</v>
      </c>
      <c r="J76" s="46">
        <f>IF($B76="","",IF(INDEX('Master Database'!$H$1:$H$600,$B76)="","",INDEX('Master Database'!$H$1:$H$600,$B76)))</f>
        <v>173</v>
      </c>
      <c r="K76" s="46">
        <f>IF($B76="","",IF(INDEX('Master Database'!$I$1:$I$600,$B76)="","",INDEX('Master Database'!$I$1:$I$600,$B76)))</f>
        <v>186.3</v>
      </c>
      <c r="L76" s="46">
        <f>IF($B76="","",IF(INDEX('Master Database'!$K$1:$K$600,$B76)="","",INDEX('Master Database'!$K$1:$K$600,$B76)))</f>
        <v>146.36648501362399</v>
      </c>
      <c r="M76" s="19" t="str">
        <f>IF($B76="","",IF(INDEX('Master Database'!$L$1:$L$600,$B76)="","",INDEX('Master Database'!$L$1:$L$600,$B76)))</f>
        <v>API 610 + IPS-G-PM-105 + NACE MR0175</v>
      </c>
      <c r="N76" s="19" t="str">
        <f>IF($B76="","",IF(INDEX('Master Database'!$P$1:$P$600,$B76)="","",INDEX('Master Database'!$P$1:$P$600,$B76)))</f>
        <v>Not stated</v>
      </c>
      <c r="O76" s="19" t="str">
        <f>IF($B76="","",IF(INDEX('Master Database'!$S$1:$S$600,$B76)="","",INDEX('Master Database'!$S$1:$S$600,$B76)))</f>
        <v>Electric Motor</v>
      </c>
      <c r="P76" s="19" t="str">
        <f>IF($B76="","",IF(INDEX('Master Database'!$T$1:$T$600,$B76)="","",INDEX('Master Database'!$T$1:$T$600,$B76)))</f>
        <v>Crude Oil</v>
      </c>
      <c r="Q76" s="19">
        <f>IF($B76="","",IF(INDEX('Master Database'!$Y$1:$Y$600,$B76)="","",INDEX('Master Database'!$Y$1:$Y$600,$B76)))</f>
        <v>1393</v>
      </c>
      <c r="R76" s="19" t="str">
        <f>IF($B76="","",IF(INDEX('Master Database'!$Z$1:$Z$600,$B76)="","",INDEX('Master Database'!$Z$1:$Z$600,$B76)))</f>
        <v>EUR</v>
      </c>
      <c r="S76" s="47">
        <f>IF($B76="","",IF(INDEX('Master Database'!$AA$1:$AA$600,$B76)="","",INDEX('Master Database'!$AA$1:$AA$600,$B76)))</f>
        <v>60000</v>
      </c>
      <c r="T76" s="19" t="str">
        <f>IF($B76="","",IF(INDEX('Master Database'!$AE$1:$AE$600,$B76)="","",INDEX('Master Database'!$AE$1:$AE$600,$B76)))</f>
        <v>Consultant FEED MTO estimate – KPL-476 R03 (Jan 2016); vendor-level price in EUR, before project overhead | source label: AACE Class 3</v>
      </c>
      <c r="U76" s="47">
        <f>IF($B76="","",IF(INDEX('Master Database'!$AG$1:$AG$600,$B76)="","",INDEX('Master Database'!$AG$1:$AG$600,$B76)))</f>
        <v>81064.074353837568</v>
      </c>
      <c r="V76" s="47">
        <f>IF($B76="","",IF(INDEX('Master Database'!$AH$1:$AH$600,$B76)="","",INDEX('Master Database'!$AH$1:$AH$600,$B76)))</f>
        <v>85586.078219077768</v>
      </c>
      <c r="W76" s="47">
        <f>IF($B76="","",IF(INDEX('Master Database'!$AI$1:$AI$600,$B76)="","",INDEX('Master Database'!$AI$1:$AI$600,$B76)))</f>
        <v>56361256847.843941</v>
      </c>
      <c r="X76" s="19" t="str">
        <f>IF($B76="","",IF(INDEX('Master Database'!$BG$1:$BG$600,$B76)="","",INDEX('Master Database'!$BG$1:$BG$600,$B76)))</f>
        <v>Y</v>
      </c>
      <c r="BA76">
        <f>IF('Master Database'!$A76="",0,IF(AND(OR($B$5="",ISNUMBER(SEARCH($B$5,'Master Database'!$B76&amp;" "&amp;'Master Database'!$D76))),OR($B$6="(All)",'Master Database'!$C76=$B$6),OR($B$7="(All)",'Master Database'!$E76=$B$7),OR($B$8="(All)",'Master Database'!$T76=$B$8),OR($B$9="(All)",'Master Database'!$M76=$B$9),OR($B$10="(All)",'Master Database'!$V76=$B$10),OR($E$5="(All)",'Master Database'!$F76=$E$5),OR($E$6="(All)",'Master Database'!$G76=$E$6),OR($E$7="(All)",'Master Database'!$O76=$E$7),OR($E$8="(All)",'Master Database'!$P76=$E$8),OR($E$9="(All)",'Master Database'!$S76=$E$9),OR($E$10="(All)",'Master Database'!$Y76&amp;""=$E$10&amp;""),OR($H$5="(All)",'Master Database'!$BG76=$H$5),OR($H$6&lt;&gt;"Y",ISNUMBER('Master Database'!$AG76)),OR($H$7="",AND(ISNUMBER('Master Database'!$H76),N('Master Database'!$H76)&gt;=$H$7)),OR($I$7="",AND(ISNUMBER('Master Database'!$H76),N('Master Database'!$H76)&lt;=$I$7)),OR($H$8="",AND(ISNUMBER('Master Database'!$I76),N('Master Database'!$I76)&gt;=$H$8)),OR($I$8="",AND(ISNUMBER('Master Database'!$I76),N('Master Database'!$I76)&lt;=$I$8)),OR($H$9="",AND(ISNUMBER('Master Database'!$K76),N('Master Database'!$K76)&gt;=$H$9)),OR($I$9="",AND(ISNUMBER('Master Database'!$K76),N('Master Database'!$K76)&lt;=$I$9))),1,0))</f>
        <v>1</v>
      </c>
      <c r="BB76">
        <f>IF(BA76=1,COUNTIF($BA$5:BA76,1),"")</f>
        <v>72</v>
      </c>
    </row>
    <row r="77" spans="1:54">
      <c r="A77" s="20">
        <f>IF(62&lt;=SUM($BA$5:$BA$600),62,"")</f>
        <v>62</v>
      </c>
      <c r="B77" s="20">
        <f t="shared" si="1"/>
        <v>66</v>
      </c>
      <c r="C77" s="20">
        <f>IF($B77="","",IF(INDEX('Master Database'!$A$1:$A$600,$B77)="","",INDEX('Master Database'!$A$1:$A$600,$B77)))</f>
        <v>62</v>
      </c>
      <c r="D77" s="19" t="str">
        <f>IF($B77="","",IF(INDEX('Master Database'!$B$1:$B$600,$B77)="","",INDEX('Master Database'!$B$1:$B$600,$B77)))</f>
        <v>Dirty Oil Pumps</v>
      </c>
      <c r="E77" s="19" t="str">
        <f>IF($B77="","",IF(INDEX('Master Database'!$C$1:$C$600,$B77)="","",INDEX('Master Database'!$C$1:$C$600,$B77)))</f>
        <v>Koopal Bangestan</v>
      </c>
      <c r="F77" s="19" t="str">
        <f>IF($B77="","",IF(INDEX('Master Database'!$D$1:$D$600,$B77)="","",INDEX('Master Database'!$D$1:$D$600,$B77)))</f>
        <v>P-145 A/B</v>
      </c>
      <c r="G77" s="19" t="str">
        <f>IF($B77="","",IF(INDEX('Master Database'!$E$1:$E$600,$B77)="","",INDEX('Master Database'!$E$1:$E$600,$B77)))</f>
        <v>ROT-DRN</v>
      </c>
      <c r="H77" s="19" t="str">
        <f>IF($B77="","",IF(INDEX('Master Database'!$F$1:$F$600,$B77)="","",INDEX('Master Database'!$F$1:$F$600,$B77)))</f>
        <v>N/A (non-API 610)</v>
      </c>
      <c r="I77" s="19" t="str">
        <f>IF($B77="","",IF(INDEX('Master Database'!$G$1:$G$600,$B77)="","",INDEX('Master Database'!$G$1:$G$600,$B77)))</f>
        <v>D-1</v>
      </c>
      <c r="J77" s="46">
        <f>IF($B77="","",IF(INDEX('Master Database'!$H$1:$H$600,$B77)="","",INDEX('Master Database'!$H$1:$H$600,$B77)))</f>
        <v>5</v>
      </c>
      <c r="K77" s="46" t="str">
        <f>IF($B77="","",IF(INDEX('Master Database'!$I$1:$I$600,$B77)="","",INDEX('Master Database'!$I$1:$I$600,$B77)))</f>
        <v/>
      </c>
      <c r="L77" s="46" t="str">
        <f>IF($B77="","",IF(INDEX('Master Database'!$K$1:$K$600,$B77)="","",INDEX('Master Database'!$K$1:$K$600,$B77)))</f>
        <v/>
      </c>
      <c r="M77" s="19" t="str">
        <f>IF($B77="","",IF(INDEX('Master Database'!$L$1:$L$600,$B77)="","",INDEX('Master Database'!$L$1:$L$600,$B77)))</f>
        <v>API 676 + IPS-M-PM-140 + NACE MR0175</v>
      </c>
      <c r="N77" s="19" t="str">
        <f>IF($B77="","",IF(INDEX('Master Database'!$P$1:$P$600,$B77)="","",INDEX('Master Database'!$P$1:$P$600,$B77)))</f>
        <v>Not stated</v>
      </c>
      <c r="O77" s="19" t="str">
        <f>IF($B77="","",IF(INDEX('Master Database'!$S$1:$S$600,$B77)="","",INDEX('Master Database'!$S$1:$S$600,$B77)))</f>
        <v>Electric Motor</v>
      </c>
      <c r="P77" s="19" t="str">
        <f>IF($B77="","",IF(INDEX('Master Database'!$T$1:$T$600,$B77)="","",INDEX('Master Database'!$T$1:$T$600,$B77)))</f>
        <v>Slop / Dirty Oil</v>
      </c>
      <c r="Q77" s="19">
        <f>IF($B77="","",IF(INDEX('Master Database'!$Y$1:$Y$600,$B77)="","",INDEX('Master Database'!$Y$1:$Y$600,$B77)))</f>
        <v>1393</v>
      </c>
      <c r="R77" s="19" t="str">
        <f>IF($B77="","",IF(INDEX('Master Database'!$Z$1:$Z$600,$B77)="","",INDEX('Master Database'!$Z$1:$Z$600,$B77)))</f>
        <v>EUR</v>
      </c>
      <c r="S77" s="47">
        <f>IF($B77="","",IF(INDEX('Master Database'!$AA$1:$AA$600,$B77)="","",INDEX('Master Database'!$AA$1:$AA$600,$B77)))</f>
        <v>10000</v>
      </c>
      <c r="T77" s="19" t="str">
        <f>IF($B77="","",IF(INDEX('Master Database'!$AE$1:$AE$600,$B77)="","",INDEX('Master Database'!$AE$1:$AE$600,$B77)))</f>
        <v>Consultant FEED MTO estimate – KPL-476 R03 (Jan 2016); vendor-level price in EUR, before project overhead | source label: AACE Class 3</v>
      </c>
      <c r="U77" s="47">
        <f>IF($B77="","",IF(INDEX('Master Database'!$AG$1:$AG$600,$B77)="","",INDEX('Master Database'!$AG$1:$AG$600,$B77)))</f>
        <v>13510.679058972928</v>
      </c>
      <c r="V77" s="47">
        <f>IF($B77="","",IF(INDEX('Master Database'!$AH$1:$AH$600,$B77)="","",INDEX('Master Database'!$AH$1:$AH$600,$B77)))</f>
        <v>14264.346369846295</v>
      </c>
      <c r="W77" s="47">
        <f>IF($B77="","",IF(INDEX('Master Database'!$AI$1:$AI$600,$B77)="","",INDEX('Master Database'!$AI$1:$AI$600,$B77)))</f>
        <v>9393542807.9739895</v>
      </c>
      <c r="X77" s="19" t="str">
        <f>IF($B77="","",IF(INDEX('Master Database'!$BG$1:$BG$600,$B77)="","",INDEX('Master Database'!$BG$1:$BG$600,$B77)))</f>
        <v>Y</v>
      </c>
      <c r="BA77">
        <f>IF('Master Database'!$A77="",0,IF(AND(OR($B$5="",ISNUMBER(SEARCH($B$5,'Master Database'!$B77&amp;" "&amp;'Master Database'!$D77))),OR($B$6="(All)",'Master Database'!$C77=$B$6),OR($B$7="(All)",'Master Database'!$E77=$B$7),OR($B$8="(All)",'Master Database'!$T77=$B$8),OR($B$9="(All)",'Master Database'!$M77=$B$9),OR($B$10="(All)",'Master Database'!$V77=$B$10),OR($E$5="(All)",'Master Database'!$F77=$E$5),OR($E$6="(All)",'Master Database'!$G77=$E$6),OR($E$7="(All)",'Master Database'!$O77=$E$7),OR($E$8="(All)",'Master Database'!$P77=$E$8),OR($E$9="(All)",'Master Database'!$S77=$E$9),OR($E$10="(All)",'Master Database'!$Y77&amp;""=$E$10&amp;""),OR($H$5="(All)",'Master Database'!$BG77=$H$5),OR($H$6&lt;&gt;"Y",ISNUMBER('Master Database'!$AG77)),OR($H$7="",AND(ISNUMBER('Master Database'!$H77),N('Master Database'!$H77)&gt;=$H$7)),OR($I$7="",AND(ISNUMBER('Master Database'!$H77),N('Master Database'!$H77)&lt;=$I$7)),OR($H$8="",AND(ISNUMBER('Master Database'!$I77),N('Master Database'!$I77)&gt;=$H$8)),OR($I$8="",AND(ISNUMBER('Master Database'!$I77),N('Master Database'!$I77)&lt;=$I$8)),OR($H$9="",AND(ISNUMBER('Master Database'!$K77),N('Master Database'!$K77)&gt;=$H$9)),OR($I$9="",AND(ISNUMBER('Master Database'!$K77),N('Master Database'!$K77)&lt;=$I$9))),1,0))</f>
        <v>1</v>
      </c>
      <c r="BB77">
        <f>IF(BA77=1,COUNTIF($BA$5:BA77,1),"")</f>
        <v>73</v>
      </c>
    </row>
    <row r="78" spans="1:54">
      <c r="A78" s="20">
        <f>IF(63&lt;=SUM($BA$5:$BA$600),63,"")</f>
        <v>63</v>
      </c>
      <c r="B78" s="20">
        <f t="shared" si="1"/>
        <v>67</v>
      </c>
      <c r="C78" s="20">
        <f>IF($B78="","",IF(INDEX('Master Database'!$A$1:$A$600,$B78)="","",INDEX('Master Database'!$A$1:$A$600,$B78)))</f>
        <v>63</v>
      </c>
      <c r="D78" s="19" t="str">
        <f>IF($B78="","",IF(INDEX('Master Database'!$B$1:$B$600,$B78)="","",INDEX('Master Database'!$B$1:$B$600,$B78)))</f>
        <v>Free Water Transfer Pumps</v>
      </c>
      <c r="E78" s="19" t="str">
        <f>IF($B78="","",IF(INDEX('Master Database'!$C$1:$C$600,$B78)="","",INDEX('Master Database'!$C$1:$C$600,$B78)))</f>
        <v>Koopal Bangestan</v>
      </c>
      <c r="F78" s="19" t="str">
        <f>IF($B78="","",IF(INDEX('Master Database'!$D$1:$D$600,$B78)="","",INDEX('Master Database'!$D$1:$D$600,$B78)))</f>
        <v>P-146 A/B</v>
      </c>
      <c r="G78" s="19" t="str">
        <f>IF($B78="","",IF(INDEX('Master Database'!$E$1:$E$600,$B78)="","",INDEX('Master Database'!$E$1:$E$600,$B78)))</f>
        <v>ROT-WAT</v>
      </c>
      <c r="H78" s="19" t="str">
        <f>IF($B78="","",IF(INDEX('Master Database'!$F$1:$F$600,$B78)="","",INDEX('Master Database'!$F$1:$F$600,$B78)))</f>
        <v>OH2</v>
      </c>
      <c r="I78" s="19" t="str">
        <f>IF($B78="","",IF(INDEX('Master Database'!$G$1:$G$600,$B78)="","",INDEX('Master Database'!$G$1:$G$600,$B78)))</f>
        <v>D-2</v>
      </c>
      <c r="J78" s="46">
        <f>IF($B78="","",IF(INDEX('Master Database'!$H$1:$H$600,$B78)="","",INDEX('Master Database'!$H$1:$H$600,$B78)))</f>
        <v>14.5</v>
      </c>
      <c r="K78" s="46">
        <f>IF($B78="","",IF(INDEX('Master Database'!$I$1:$I$600,$B78)="","",INDEX('Master Database'!$I$1:$I$600,$B78)))</f>
        <v>27.6</v>
      </c>
      <c r="L78" s="46">
        <f>IF($B78="","",IF(INDEX('Master Database'!$K$1:$K$600,$B78)="","",INDEX('Master Database'!$K$1:$K$600,$B78)))</f>
        <v>1.8174386920980929</v>
      </c>
      <c r="M78" s="19" t="str">
        <f>IF($B78="","",IF(INDEX('Master Database'!$L$1:$L$600,$B78)="","",INDEX('Master Database'!$L$1:$L$600,$B78)))</f>
        <v>API 610 + IPS-G-PM-105 + NACE MR0175</v>
      </c>
      <c r="N78" s="19" t="str">
        <f>IF($B78="","",IF(INDEX('Master Database'!$P$1:$P$600,$B78)="","",INDEX('Master Database'!$P$1:$P$600,$B78)))</f>
        <v>Not stated</v>
      </c>
      <c r="O78" s="19" t="str">
        <f>IF($B78="","",IF(INDEX('Master Database'!$S$1:$S$600,$B78)="","",INDEX('Master Database'!$S$1:$S$600,$B78)))</f>
        <v>Electric Motor</v>
      </c>
      <c r="P78" s="19" t="str">
        <f>IF($B78="","",IF(INDEX('Master Database'!$T$1:$T$600,$B78)="","",INDEX('Master Database'!$T$1:$T$600,$B78)))</f>
        <v>Process / Dilution Water</v>
      </c>
      <c r="Q78" s="19">
        <f>IF($B78="","",IF(INDEX('Master Database'!$Y$1:$Y$600,$B78)="","",INDEX('Master Database'!$Y$1:$Y$600,$B78)))</f>
        <v>1393</v>
      </c>
      <c r="R78" s="19" t="str">
        <f>IF($B78="","",IF(INDEX('Master Database'!$Z$1:$Z$600,$B78)="","",INDEX('Master Database'!$Z$1:$Z$600,$B78)))</f>
        <v>EUR</v>
      </c>
      <c r="S78" s="47">
        <f>IF($B78="","",IF(INDEX('Master Database'!$AA$1:$AA$600,$B78)="","",INDEX('Master Database'!$AA$1:$AA$600,$B78)))</f>
        <v>35000</v>
      </c>
      <c r="T78" s="19" t="str">
        <f>IF($B78="","",IF(INDEX('Master Database'!$AE$1:$AE$600,$B78)="","",INDEX('Master Database'!$AE$1:$AE$600,$B78)))</f>
        <v>Consultant FEED MTO estimate – KPL-476 R03 (Jan 2016); vendor-level price in EUR, before project overhead | source label: AACE Class 3</v>
      </c>
      <c r="U78" s="47">
        <f>IF($B78="","",IF(INDEX('Master Database'!$AG$1:$AG$600,$B78)="","",INDEX('Master Database'!$AG$1:$AG$600,$B78)))</f>
        <v>47287.376706405252</v>
      </c>
      <c r="V78" s="47">
        <f>IF($B78="","",IF(INDEX('Master Database'!$AH$1:$AH$600,$B78)="","",INDEX('Master Database'!$AH$1:$AH$600,$B78)))</f>
        <v>49925.212294462035</v>
      </c>
      <c r="W78" s="47">
        <f>IF($B78="","",IF(INDEX('Master Database'!$AI$1:$AI$600,$B78)="","",INDEX('Master Database'!$AI$1:$AI$600,$B78)))</f>
        <v>32877399827.908966</v>
      </c>
      <c r="X78" s="19" t="str">
        <f>IF($B78="","",IF(INDEX('Master Database'!$BG$1:$BG$600,$B78)="","",INDEX('Master Database'!$BG$1:$BG$600,$B78)))</f>
        <v>Y</v>
      </c>
      <c r="BA78">
        <f>IF('Master Database'!$A78="",0,IF(AND(OR($B$5="",ISNUMBER(SEARCH($B$5,'Master Database'!$B78&amp;" "&amp;'Master Database'!$D78))),OR($B$6="(All)",'Master Database'!$C78=$B$6),OR($B$7="(All)",'Master Database'!$E78=$B$7),OR($B$8="(All)",'Master Database'!$T78=$B$8),OR($B$9="(All)",'Master Database'!$M78=$B$9),OR($B$10="(All)",'Master Database'!$V78=$B$10),OR($E$5="(All)",'Master Database'!$F78=$E$5),OR($E$6="(All)",'Master Database'!$G78=$E$6),OR($E$7="(All)",'Master Database'!$O78=$E$7),OR($E$8="(All)",'Master Database'!$P78=$E$8),OR($E$9="(All)",'Master Database'!$S78=$E$9),OR($E$10="(All)",'Master Database'!$Y78&amp;""=$E$10&amp;""),OR($H$5="(All)",'Master Database'!$BG78=$H$5),OR($H$6&lt;&gt;"Y",ISNUMBER('Master Database'!$AG78)),OR($H$7="",AND(ISNUMBER('Master Database'!$H78),N('Master Database'!$H78)&gt;=$H$7)),OR($I$7="",AND(ISNUMBER('Master Database'!$H78),N('Master Database'!$H78)&lt;=$I$7)),OR($H$8="",AND(ISNUMBER('Master Database'!$I78),N('Master Database'!$I78)&gt;=$H$8)),OR($I$8="",AND(ISNUMBER('Master Database'!$I78),N('Master Database'!$I78)&lt;=$I$8)),OR($H$9="",AND(ISNUMBER('Master Database'!$K78),N('Master Database'!$K78)&gt;=$H$9)),OR($I$9="",AND(ISNUMBER('Master Database'!$K78),N('Master Database'!$K78)&lt;=$I$9))),1,0))</f>
        <v>1</v>
      </c>
      <c r="BB78">
        <f>IF(BA78=1,COUNTIF($BA$5:BA78,1),"")</f>
        <v>74</v>
      </c>
    </row>
    <row r="79" spans="1:54">
      <c r="A79" s="20">
        <f>IF(64&lt;=SUM($BA$5:$BA$600),64,"")</f>
        <v>64</v>
      </c>
      <c r="B79" s="20">
        <f t="shared" si="1"/>
        <v>68</v>
      </c>
      <c r="C79" s="20">
        <f>IF($B79="","",IF(INDEX('Master Database'!$A$1:$A$600,$B79)="","",INDEX('Master Database'!$A$1:$A$600,$B79)))</f>
        <v>64</v>
      </c>
      <c r="D79" s="19" t="str">
        <f>IF($B79="","",IF(INDEX('Master Database'!$B$1:$B$600,$B79)="","",INDEX('Master Database'!$B$1:$B$600,$B79)))</f>
        <v>Disposal Water Injection Main Pumps</v>
      </c>
      <c r="E79" s="19" t="str">
        <f>IF($B79="","",IF(INDEX('Master Database'!$C$1:$C$600,$B79)="","",INDEX('Master Database'!$C$1:$C$600,$B79)))</f>
        <v>Koopal Bangestan</v>
      </c>
      <c r="F79" s="19" t="str">
        <f>IF($B79="","",IF(INDEX('Master Database'!$D$1:$D$600,$B79)="","",INDEX('Master Database'!$D$1:$D$600,$B79)))</f>
        <v>P-147 A/B</v>
      </c>
      <c r="G79" s="19" t="str">
        <f>IF($B79="","",IF(INDEX('Master Database'!$E$1:$E$600,$B79)="","",INDEX('Master Database'!$E$1:$E$600,$B79)))</f>
        <v>ROT-INJ</v>
      </c>
      <c r="H79" s="19" t="str">
        <f>IF($B79="","",IF(INDEX('Master Database'!$F$1:$F$600,$B79)="","",INDEX('Master Database'!$F$1:$F$600,$B79)))</f>
        <v>BB3</v>
      </c>
      <c r="I79" s="19" t="str">
        <f>IF($B79="","",IF(INDEX('Master Database'!$G$1:$G$600,$B79)="","",INDEX('Master Database'!$G$1:$G$600,$B79)))</f>
        <v>D-2</v>
      </c>
      <c r="J79" s="46">
        <f>IF($B79="","",IF(INDEX('Master Database'!$H$1:$H$600,$B79)="","",INDEX('Master Database'!$H$1:$H$600,$B79)))</f>
        <v>44</v>
      </c>
      <c r="K79" s="46">
        <f>IF($B79="","",IF(INDEX('Master Database'!$I$1:$I$600,$B79)="","",INDEX('Master Database'!$I$1:$I$600,$B79)))</f>
        <v>670</v>
      </c>
      <c r="L79" s="46">
        <f>IF($B79="","",IF(INDEX('Master Database'!$K$1:$K$600,$B79)="","",INDEX('Master Database'!$K$1:$K$600,$B79)))</f>
        <v>133.87829246139873</v>
      </c>
      <c r="M79" s="19" t="str">
        <f>IF($B79="","",IF(INDEX('Master Database'!$L$1:$L$600,$B79)="","",INDEX('Master Database'!$L$1:$L$600,$B79)))</f>
        <v>API 610 + IPS-G-PM-105 + NACE MR0175</v>
      </c>
      <c r="N79" s="19" t="str">
        <f>IF($B79="","",IF(INDEX('Master Database'!$P$1:$P$600,$B79)="","",INDEX('Master Database'!$P$1:$P$600,$B79)))</f>
        <v>Not stated</v>
      </c>
      <c r="O79" s="19" t="str">
        <f>IF($B79="","",IF(INDEX('Master Database'!$S$1:$S$600,$B79)="","",INDEX('Master Database'!$S$1:$S$600,$B79)))</f>
        <v>Electric Motor</v>
      </c>
      <c r="P79" s="19" t="str">
        <f>IF($B79="","",IF(INDEX('Master Database'!$T$1:$T$600,$B79)="","",INDEX('Master Database'!$T$1:$T$600,$B79)))</f>
        <v>Produced / Disposal Water</v>
      </c>
      <c r="Q79" s="19">
        <f>IF($B79="","",IF(INDEX('Master Database'!$Y$1:$Y$600,$B79)="","",INDEX('Master Database'!$Y$1:$Y$600,$B79)))</f>
        <v>1393</v>
      </c>
      <c r="R79" s="19" t="str">
        <f>IF($B79="","",IF(INDEX('Master Database'!$Z$1:$Z$600,$B79)="","",INDEX('Master Database'!$Z$1:$Z$600,$B79)))</f>
        <v>EUR</v>
      </c>
      <c r="S79" s="47">
        <f>IF($B79="","",IF(INDEX('Master Database'!$AA$1:$AA$600,$B79)="","",INDEX('Master Database'!$AA$1:$AA$600,$B79)))</f>
        <v>230000</v>
      </c>
      <c r="T79" s="19" t="str">
        <f>IF($B79="","",IF(INDEX('Master Database'!$AE$1:$AE$600,$B79)="","",INDEX('Master Database'!$AE$1:$AE$600,$B79)))</f>
        <v>Consultant FEED MTO estimate – KPL-476 R03 (Jan 2016); vendor-level price in EUR, before project overhead | source label: AACE Class 3</v>
      </c>
      <c r="U79" s="47">
        <f>IF($B79="","",IF(INDEX('Master Database'!$AG$1:$AG$600,$B79)="","",INDEX('Master Database'!$AG$1:$AG$600,$B79)))</f>
        <v>310745.61835637735</v>
      </c>
      <c r="V79" s="47">
        <f>IF($B79="","",IF(INDEX('Master Database'!$AH$1:$AH$600,$B79)="","",INDEX('Master Database'!$AH$1:$AH$600,$B79)))</f>
        <v>328079.96650646476</v>
      </c>
      <c r="W79" s="47">
        <f>IF($B79="","",IF(INDEX('Master Database'!$AI$1:$AI$600,$B79)="","",INDEX('Master Database'!$AI$1:$AI$600,$B79)))</f>
        <v>216051484583.40176</v>
      </c>
      <c r="X79" s="19" t="str">
        <f>IF($B79="","",IF(INDEX('Master Database'!$BG$1:$BG$600,$B79)="","",INDEX('Master Database'!$BG$1:$BG$600,$B79)))</f>
        <v>Y</v>
      </c>
      <c r="BA79">
        <f>IF('Master Database'!$A79="",0,IF(AND(OR($B$5="",ISNUMBER(SEARCH($B$5,'Master Database'!$B79&amp;" "&amp;'Master Database'!$D79))),OR($B$6="(All)",'Master Database'!$C79=$B$6),OR($B$7="(All)",'Master Database'!$E79=$B$7),OR($B$8="(All)",'Master Database'!$T79=$B$8),OR($B$9="(All)",'Master Database'!$M79=$B$9),OR($B$10="(All)",'Master Database'!$V79=$B$10),OR($E$5="(All)",'Master Database'!$F79=$E$5),OR($E$6="(All)",'Master Database'!$G79=$E$6),OR($E$7="(All)",'Master Database'!$O79=$E$7),OR($E$8="(All)",'Master Database'!$P79=$E$8),OR($E$9="(All)",'Master Database'!$S79=$E$9),OR($E$10="(All)",'Master Database'!$Y79&amp;""=$E$10&amp;""),OR($H$5="(All)",'Master Database'!$BG79=$H$5),OR($H$6&lt;&gt;"Y",ISNUMBER('Master Database'!$AG79)),OR($H$7="",AND(ISNUMBER('Master Database'!$H79),N('Master Database'!$H79)&gt;=$H$7)),OR($I$7="",AND(ISNUMBER('Master Database'!$H79),N('Master Database'!$H79)&lt;=$I$7)),OR($H$8="",AND(ISNUMBER('Master Database'!$I79),N('Master Database'!$I79)&gt;=$H$8)),OR($I$8="",AND(ISNUMBER('Master Database'!$I79),N('Master Database'!$I79)&lt;=$I$8)),OR($H$9="",AND(ISNUMBER('Master Database'!$K79),N('Master Database'!$K79)&gt;=$H$9)),OR($I$9="",AND(ISNUMBER('Master Database'!$K79),N('Master Database'!$K79)&lt;=$I$9))),1,0))</f>
        <v>1</v>
      </c>
      <c r="BB79">
        <f>IF(BA79=1,COUNTIF($BA$5:BA79,1),"")</f>
        <v>75</v>
      </c>
    </row>
    <row r="80" spans="1:54">
      <c r="A80" s="20">
        <f>IF(65&lt;=SUM($BA$5:$BA$600),65,"")</f>
        <v>65</v>
      </c>
      <c r="B80" s="20">
        <f t="shared" ref="B80:B111" si="2">IF(A80="","",MATCH(A80,$BB$5:$BB$600,0)+4)</f>
        <v>69</v>
      </c>
      <c r="C80" s="20">
        <f>IF($B80="","",IF(INDEX('Master Database'!$A$1:$A$600,$B80)="","",INDEX('Master Database'!$A$1:$A$600,$B80)))</f>
        <v>65</v>
      </c>
      <c r="D80" s="19" t="str">
        <f>IF($B80="","",IF(INDEX('Master Database'!$B$1:$B$600,$B80)="","",INDEX('Master Database'!$B$1:$B$600,$B80)))</f>
        <v>Disposal Water Injection Booster Pumps</v>
      </c>
      <c r="E80" s="19" t="str">
        <f>IF($B80="","",IF(INDEX('Master Database'!$C$1:$C$600,$B80)="","",INDEX('Master Database'!$C$1:$C$600,$B80)))</f>
        <v>Koopal Bangestan</v>
      </c>
      <c r="F80" s="19" t="str">
        <f>IF($B80="","",IF(INDEX('Master Database'!$D$1:$D$600,$B80)="","",INDEX('Master Database'!$D$1:$D$600,$B80)))</f>
        <v>P-149 A/B</v>
      </c>
      <c r="G80" s="19" t="str">
        <f>IF($B80="","",IF(INDEX('Master Database'!$E$1:$E$600,$B80)="","",INDEX('Master Database'!$E$1:$E$600,$B80)))</f>
        <v>ROT-INJ</v>
      </c>
      <c r="H80" s="19" t="str">
        <f>IF($B80="","",IF(INDEX('Master Database'!$F$1:$F$600,$B80)="","",INDEX('Master Database'!$F$1:$F$600,$B80)))</f>
        <v>BB3</v>
      </c>
      <c r="I80" s="19" t="str">
        <f>IF($B80="","",IF(INDEX('Master Database'!$G$1:$G$600,$B80)="","",INDEX('Master Database'!$G$1:$G$600,$B80)))</f>
        <v>D-2</v>
      </c>
      <c r="J80" s="46">
        <f>IF($B80="","",IF(INDEX('Master Database'!$H$1:$H$600,$B80)="","",INDEX('Master Database'!$H$1:$H$600,$B80)))</f>
        <v>22</v>
      </c>
      <c r="K80" s="46">
        <f>IF($B80="","",IF(INDEX('Master Database'!$I$1:$I$600,$B80)="","",INDEX('Master Database'!$I$1:$I$600,$B80)))</f>
        <v>331</v>
      </c>
      <c r="L80" s="46">
        <f>IF($B80="","",IF(INDEX('Master Database'!$K$1:$K$600,$B80)="","",INDEX('Master Database'!$K$1:$K$600,$B80)))</f>
        <v>33.06993642143506</v>
      </c>
      <c r="M80" s="19" t="str">
        <f>IF($B80="","",IF(INDEX('Master Database'!$L$1:$L$600,$B80)="","",INDEX('Master Database'!$L$1:$L$600,$B80)))</f>
        <v>API 610 + IPS-G-PM-105 + NACE MR0175</v>
      </c>
      <c r="N80" s="19" t="str">
        <f>IF($B80="","",IF(INDEX('Master Database'!$P$1:$P$600,$B80)="","",INDEX('Master Database'!$P$1:$P$600,$B80)))</f>
        <v>Not stated</v>
      </c>
      <c r="O80" s="19" t="str">
        <f>IF($B80="","",IF(INDEX('Master Database'!$S$1:$S$600,$B80)="","",INDEX('Master Database'!$S$1:$S$600,$B80)))</f>
        <v>Electric Motor</v>
      </c>
      <c r="P80" s="19" t="str">
        <f>IF($B80="","",IF(INDEX('Master Database'!$T$1:$T$600,$B80)="","",INDEX('Master Database'!$T$1:$T$600,$B80)))</f>
        <v>Produced / Disposal Water</v>
      </c>
      <c r="Q80" s="19">
        <f>IF($B80="","",IF(INDEX('Master Database'!$Y$1:$Y$600,$B80)="","",INDEX('Master Database'!$Y$1:$Y$600,$B80)))</f>
        <v>1393</v>
      </c>
      <c r="R80" s="19" t="str">
        <f>IF($B80="","",IF(INDEX('Master Database'!$Z$1:$Z$600,$B80)="","",INDEX('Master Database'!$Z$1:$Z$600,$B80)))</f>
        <v>EUR</v>
      </c>
      <c r="S80" s="47">
        <f>IF($B80="","",IF(INDEX('Master Database'!$AA$1:$AA$600,$B80)="","",INDEX('Master Database'!$AA$1:$AA$600,$B80)))</f>
        <v>160000</v>
      </c>
      <c r="T80" s="19" t="str">
        <f>IF($B80="","",IF(INDEX('Master Database'!$AE$1:$AE$600,$B80)="","",INDEX('Master Database'!$AE$1:$AE$600,$B80)))</f>
        <v>Consultant FEED MTO estimate – KPL-476 R03 (Jan 2016); vendor-level price in EUR, before project overhead | source label: AACE Class 3</v>
      </c>
      <c r="U80" s="47">
        <f>IF($B80="","",IF(INDEX('Master Database'!$AG$1:$AG$600,$B80)="","",INDEX('Master Database'!$AG$1:$AG$600,$B80)))</f>
        <v>216170.86494356685</v>
      </c>
      <c r="V80" s="47">
        <f>IF($B80="","",IF(INDEX('Master Database'!$AH$1:$AH$600,$B80)="","",INDEX('Master Database'!$AH$1:$AH$600,$B80)))</f>
        <v>228229.54191754072</v>
      </c>
      <c r="W80" s="47">
        <f>IF($B80="","",IF(INDEX('Master Database'!$AI$1:$AI$600,$B80)="","",INDEX('Master Database'!$AI$1:$AI$600,$B80)))</f>
        <v>150296684927.58383</v>
      </c>
      <c r="X80" s="19" t="str">
        <f>IF($B80="","",IF(INDEX('Master Database'!$BG$1:$BG$600,$B80)="","",INDEX('Master Database'!$BG$1:$BG$600,$B80)))</f>
        <v>Y</v>
      </c>
      <c r="BA80">
        <f>IF('Master Database'!$A80="",0,IF(AND(OR($B$5="",ISNUMBER(SEARCH($B$5,'Master Database'!$B80&amp;" "&amp;'Master Database'!$D80))),OR($B$6="(All)",'Master Database'!$C80=$B$6),OR($B$7="(All)",'Master Database'!$E80=$B$7),OR($B$8="(All)",'Master Database'!$T80=$B$8),OR($B$9="(All)",'Master Database'!$M80=$B$9),OR($B$10="(All)",'Master Database'!$V80=$B$10),OR($E$5="(All)",'Master Database'!$F80=$E$5),OR($E$6="(All)",'Master Database'!$G80=$E$6),OR($E$7="(All)",'Master Database'!$O80=$E$7),OR($E$8="(All)",'Master Database'!$P80=$E$8),OR($E$9="(All)",'Master Database'!$S80=$E$9),OR($E$10="(All)",'Master Database'!$Y80&amp;""=$E$10&amp;""),OR($H$5="(All)",'Master Database'!$BG80=$H$5),OR($H$6&lt;&gt;"Y",ISNUMBER('Master Database'!$AG80)),OR($H$7="",AND(ISNUMBER('Master Database'!$H80),N('Master Database'!$H80)&gt;=$H$7)),OR($I$7="",AND(ISNUMBER('Master Database'!$H80),N('Master Database'!$H80)&lt;=$I$7)),OR($H$8="",AND(ISNUMBER('Master Database'!$I80),N('Master Database'!$I80)&gt;=$H$8)),OR($I$8="",AND(ISNUMBER('Master Database'!$I80),N('Master Database'!$I80)&lt;=$I$8)),OR($H$9="",AND(ISNUMBER('Master Database'!$K80),N('Master Database'!$K80)&gt;=$H$9)),OR($I$9="",AND(ISNUMBER('Master Database'!$K80),N('Master Database'!$K80)&lt;=$I$9))),1,0))</f>
        <v>1</v>
      </c>
      <c r="BB80">
        <f>IF(BA80=1,COUNTIF($BA$5:BA80,1),"")</f>
        <v>76</v>
      </c>
    </row>
    <row r="81" spans="1:54">
      <c r="A81" s="20">
        <f>IF(66&lt;=SUM($BA$5:$BA$600),66,"")</f>
        <v>66</v>
      </c>
      <c r="B81" s="20">
        <f t="shared" si="2"/>
        <v>70</v>
      </c>
      <c r="C81" s="20">
        <f>IF($B81="","",IF(INDEX('Master Database'!$A$1:$A$600,$B81)="","",INDEX('Master Database'!$A$1:$A$600,$B81)))</f>
        <v>66</v>
      </c>
      <c r="D81" s="19" t="str">
        <f>IF($B81="","",IF(INDEX('Master Database'!$B$1:$B$600,$B81)="","",INDEX('Master Database'!$B$1:$B$600,$B81)))</f>
        <v>Dilution Water Pumps</v>
      </c>
      <c r="E81" s="19" t="str">
        <f>IF($B81="","",IF(INDEX('Master Database'!$C$1:$C$600,$B81)="","",INDEX('Master Database'!$C$1:$C$600,$B81)))</f>
        <v>Koopal Bangestan</v>
      </c>
      <c r="F81" s="19" t="str">
        <f>IF($B81="","",IF(INDEX('Master Database'!$D$1:$D$600,$B81)="","",INDEX('Master Database'!$D$1:$D$600,$B81)))</f>
        <v>P-161 A/B</v>
      </c>
      <c r="G81" s="19" t="str">
        <f>IF($B81="","",IF(INDEX('Master Database'!$E$1:$E$600,$B81)="","",INDEX('Master Database'!$E$1:$E$600,$B81)))</f>
        <v>ROT-WAT</v>
      </c>
      <c r="H81" s="19" t="str">
        <f>IF($B81="","",IF(INDEX('Master Database'!$F$1:$F$600,$B81)="","",INDEX('Master Database'!$F$1:$F$600,$B81)))</f>
        <v>OH2</v>
      </c>
      <c r="I81" s="19" t="str">
        <f>IF($B81="","",IF(INDEX('Master Database'!$G$1:$G$600,$B81)="","",INDEX('Master Database'!$G$1:$G$600,$B81)))</f>
        <v>S-5</v>
      </c>
      <c r="J81" s="46">
        <f>IF($B81="","",IF(INDEX('Master Database'!$H$1:$H$600,$B81)="","",INDEX('Master Database'!$H$1:$H$600,$B81)))</f>
        <v>19</v>
      </c>
      <c r="K81" s="46">
        <f>IF($B81="","",IF(INDEX('Master Database'!$I$1:$I$600,$B81)="","",INDEX('Master Database'!$I$1:$I$600,$B81)))</f>
        <v>168</v>
      </c>
      <c r="L81" s="46">
        <f>IF($B81="","",IF(INDEX('Master Database'!$K$1:$K$600,$B81)="","",INDEX('Master Database'!$K$1:$K$600,$B81)))</f>
        <v>14.49591280653951</v>
      </c>
      <c r="M81" s="19" t="str">
        <f>IF($B81="","",IF(INDEX('Master Database'!$L$1:$L$600,$B81)="","",INDEX('Master Database'!$L$1:$L$600,$B81)))</f>
        <v>API 610 + IPS-G-PM-105</v>
      </c>
      <c r="N81" s="19" t="str">
        <f>IF($B81="","",IF(INDEX('Master Database'!$P$1:$P$600,$B81)="","",INDEX('Master Database'!$P$1:$P$600,$B81)))</f>
        <v>Not stated</v>
      </c>
      <c r="O81" s="19" t="str">
        <f>IF($B81="","",IF(INDEX('Master Database'!$S$1:$S$600,$B81)="","",INDEX('Master Database'!$S$1:$S$600,$B81)))</f>
        <v>Electric Motor</v>
      </c>
      <c r="P81" s="19" t="str">
        <f>IF($B81="","",IF(INDEX('Master Database'!$T$1:$T$600,$B81)="","",INDEX('Master Database'!$T$1:$T$600,$B81)))</f>
        <v>Process / Dilution Water</v>
      </c>
      <c r="Q81" s="19">
        <f>IF($B81="","",IF(INDEX('Master Database'!$Y$1:$Y$600,$B81)="","",INDEX('Master Database'!$Y$1:$Y$600,$B81)))</f>
        <v>1393</v>
      </c>
      <c r="R81" s="19" t="str">
        <f>IF($B81="","",IF(INDEX('Master Database'!$Z$1:$Z$600,$B81)="","",INDEX('Master Database'!$Z$1:$Z$600,$B81)))</f>
        <v>EUR</v>
      </c>
      <c r="S81" s="47">
        <f>IF($B81="","",IF(INDEX('Master Database'!$AA$1:$AA$600,$B81)="","",INDEX('Master Database'!$AA$1:$AA$600,$B81)))</f>
        <v>16500</v>
      </c>
      <c r="T81" s="19" t="str">
        <f>IF($B81="","",IF(INDEX('Master Database'!$AE$1:$AE$600,$B81)="","",INDEX('Master Database'!$AE$1:$AE$600,$B81)))</f>
        <v>Consultant FEED MTO estimate – KPL-476 R03 (Jan 2016); vendor-level price in EUR, before project overhead | source label: AACE Class 3</v>
      </c>
      <c r="U81" s="47">
        <f>IF($B81="","",IF(INDEX('Master Database'!$AG$1:$AG$600,$B81)="","",INDEX('Master Database'!$AG$1:$AG$600,$B81)))</f>
        <v>25000</v>
      </c>
      <c r="V81" s="47">
        <f>IF($B81="","",IF(INDEX('Master Database'!$AH$1:$AH$600,$B81)="","",INDEX('Master Database'!$AH$1:$AH$600,$B81)))</f>
        <v>26394.577037141647</v>
      </c>
      <c r="W81" s="47">
        <f>IF($B81="","",IF(INDEX('Master Database'!$AI$1:$AI$600,$B81)="","",INDEX('Master Database'!$AI$1:$AI$600,$B81)))</f>
        <v>17381700000</v>
      </c>
      <c r="X81" s="19" t="str">
        <f>IF($B81="","",IF(INDEX('Master Database'!$BG$1:$BG$600,$B81)="","",INDEX('Master Database'!$BG$1:$BG$600,$B81)))</f>
        <v>Y</v>
      </c>
      <c r="BA81">
        <f>IF('Master Database'!$A81="",0,IF(AND(OR($B$5="",ISNUMBER(SEARCH($B$5,'Master Database'!$B81&amp;" "&amp;'Master Database'!$D81))),OR($B$6="(All)",'Master Database'!$C81=$B$6),OR($B$7="(All)",'Master Database'!$E81=$B$7),OR($B$8="(All)",'Master Database'!$T81=$B$8),OR($B$9="(All)",'Master Database'!$M81=$B$9),OR($B$10="(All)",'Master Database'!$V81=$B$10),OR($E$5="(All)",'Master Database'!$F81=$E$5),OR($E$6="(All)",'Master Database'!$G81=$E$6),OR($E$7="(All)",'Master Database'!$O81=$E$7),OR($E$8="(All)",'Master Database'!$P81=$E$8),OR($E$9="(All)",'Master Database'!$S81=$E$9),OR($E$10="(All)",'Master Database'!$Y81&amp;""=$E$10&amp;""),OR($H$5="(All)",'Master Database'!$BG81=$H$5),OR($H$6&lt;&gt;"Y",ISNUMBER('Master Database'!$AG81)),OR($H$7="",AND(ISNUMBER('Master Database'!$H81),N('Master Database'!$H81)&gt;=$H$7)),OR($I$7="",AND(ISNUMBER('Master Database'!$H81),N('Master Database'!$H81)&lt;=$I$7)),OR($H$8="",AND(ISNUMBER('Master Database'!$I81),N('Master Database'!$I81)&gt;=$H$8)),OR($I$8="",AND(ISNUMBER('Master Database'!$I81),N('Master Database'!$I81)&lt;=$I$8)),OR($H$9="",AND(ISNUMBER('Master Database'!$K81),N('Master Database'!$K81)&gt;=$H$9)),OR($I$9="",AND(ISNUMBER('Master Database'!$K81),N('Master Database'!$K81)&lt;=$I$9))),1,0))</f>
        <v>1</v>
      </c>
      <c r="BB81">
        <f>IF(BA81=1,COUNTIF($BA$5:BA81,1),"")</f>
        <v>77</v>
      </c>
    </row>
    <row r="82" spans="1:54">
      <c r="A82" s="20">
        <f>IF(67&lt;=SUM($BA$5:$BA$600),67,"")</f>
        <v>67</v>
      </c>
      <c r="B82" s="20">
        <f t="shared" si="2"/>
        <v>71</v>
      </c>
      <c r="C82" s="20">
        <f>IF($B82="","",IF(INDEX('Master Database'!$A$1:$A$600,$B82)="","",INDEX('Master Database'!$A$1:$A$600,$B82)))</f>
        <v>67</v>
      </c>
      <c r="D82" s="19" t="str">
        <f>IF($B82="","",IF(INDEX('Master Database'!$B$1:$B$600,$B82)="","",INDEX('Master Database'!$B$1:$B$600,$B82)))</f>
        <v>Dilution Water Pump</v>
      </c>
      <c r="E82" s="19" t="str">
        <f>IF($B82="","",IF(INDEX('Master Database'!$C$1:$C$600,$B82)="","",INDEX('Master Database'!$C$1:$C$600,$B82)))</f>
        <v>Koopal Bangestan</v>
      </c>
      <c r="F82" s="19" t="str">
        <f>IF($B82="","",IF(INDEX('Master Database'!$D$1:$D$600,$B82)="","",INDEX('Master Database'!$D$1:$D$600,$B82)))</f>
        <v>P-162</v>
      </c>
      <c r="G82" s="19" t="str">
        <f>IF($B82="","",IF(INDEX('Master Database'!$E$1:$E$600,$B82)="","",INDEX('Master Database'!$E$1:$E$600,$B82)))</f>
        <v>ROT-WAT</v>
      </c>
      <c r="H82" s="19" t="str">
        <f>IF($B82="","",IF(INDEX('Master Database'!$F$1:$F$600,$B82)="","",INDEX('Master Database'!$F$1:$F$600,$B82)))</f>
        <v>OH2</v>
      </c>
      <c r="I82" s="19" t="str">
        <f>IF($B82="","",IF(INDEX('Master Database'!$G$1:$G$600,$B82)="","",INDEX('Master Database'!$G$1:$G$600,$B82)))</f>
        <v>S-5</v>
      </c>
      <c r="J82" s="46">
        <f>IF($B82="","",IF(INDEX('Master Database'!$H$1:$H$600,$B82)="","",INDEX('Master Database'!$H$1:$H$600,$B82)))</f>
        <v>33</v>
      </c>
      <c r="K82" s="46">
        <f>IF($B82="","",IF(INDEX('Master Database'!$I$1:$I$600,$B82)="","",INDEX('Master Database'!$I$1:$I$600,$B82)))</f>
        <v>168</v>
      </c>
      <c r="L82" s="46">
        <f>IF($B82="","",IF(INDEX('Master Database'!$K$1:$K$600,$B82)="","",INDEX('Master Database'!$K$1:$K$600,$B82)))</f>
        <v>25.177111716621255</v>
      </c>
      <c r="M82" s="19" t="str">
        <f>IF($B82="","",IF(INDEX('Master Database'!$L$1:$L$600,$B82)="","",INDEX('Master Database'!$L$1:$L$600,$B82)))</f>
        <v>API 610 + IPS-G-PM-105</v>
      </c>
      <c r="N82" s="19" t="str">
        <f>IF($B82="","",IF(INDEX('Master Database'!$P$1:$P$600,$B82)="","",INDEX('Master Database'!$P$1:$P$600,$B82)))</f>
        <v>Not stated</v>
      </c>
      <c r="O82" s="19" t="str">
        <f>IF($B82="","",IF(INDEX('Master Database'!$S$1:$S$600,$B82)="","",INDEX('Master Database'!$S$1:$S$600,$B82)))</f>
        <v>Electric Motor</v>
      </c>
      <c r="P82" s="19" t="str">
        <f>IF($B82="","",IF(INDEX('Master Database'!$T$1:$T$600,$B82)="","",INDEX('Master Database'!$T$1:$T$600,$B82)))</f>
        <v>Process / Dilution Water</v>
      </c>
      <c r="Q82" s="19">
        <f>IF($B82="","",IF(INDEX('Master Database'!$Y$1:$Y$600,$B82)="","",INDEX('Master Database'!$Y$1:$Y$600,$B82)))</f>
        <v>1393</v>
      </c>
      <c r="R82" s="19" t="str">
        <f>IF($B82="","",IF(INDEX('Master Database'!$Z$1:$Z$600,$B82)="","",INDEX('Master Database'!$Z$1:$Z$600,$B82)))</f>
        <v>EUR</v>
      </c>
      <c r="S82" s="47">
        <f>IF($B82="","",IF(INDEX('Master Database'!$AA$1:$AA$600,$B82)="","",INDEX('Master Database'!$AA$1:$AA$600,$B82)))</f>
        <v>17500</v>
      </c>
      <c r="T82" s="19" t="str">
        <f>IF($B82="","",IF(INDEX('Master Database'!$AE$1:$AE$600,$B82)="","",INDEX('Master Database'!$AE$1:$AE$600,$B82)))</f>
        <v>Consultant FEED MTO estimate – KPL-476 R03 (Jan 2016); vendor-level price in EUR, before project overhead | source label: AACE Class 3</v>
      </c>
      <c r="U82" s="47">
        <f>IF($B82="","",IF(INDEX('Master Database'!$AG$1:$AG$600,$B82)="","",INDEX('Master Database'!$AG$1:$AG$600,$B82)))</f>
        <v>25000</v>
      </c>
      <c r="V82" s="47">
        <f>IF($B82="","",IF(INDEX('Master Database'!$AH$1:$AH$600,$B82)="","",INDEX('Master Database'!$AH$1:$AH$600,$B82)))</f>
        <v>26394.577037141647</v>
      </c>
      <c r="W82" s="47">
        <f>IF($B82="","",IF(INDEX('Master Database'!$AI$1:$AI$600,$B82)="","",INDEX('Master Database'!$AI$1:$AI$600,$B82)))</f>
        <v>17381700000</v>
      </c>
      <c r="X82" s="19" t="str">
        <f>IF($B82="","",IF(INDEX('Master Database'!$BG$1:$BG$600,$B82)="","",INDEX('Master Database'!$BG$1:$BG$600,$B82)))</f>
        <v>Y</v>
      </c>
      <c r="BA82">
        <f>IF('Master Database'!$A82="",0,IF(AND(OR($B$5="",ISNUMBER(SEARCH($B$5,'Master Database'!$B82&amp;" "&amp;'Master Database'!$D82))),OR($B$6="(All)",'Master Database'!$C82=$B$6),OR($B$7="(All)",'Master Database'!$E82=$B$7),OR($B$8="(All)",'Master Database'!$T82=$B$8),OR($B$9="(All)",'Master Database'!$M82=$B$9),OR($B$10="(All)",'Master Database'!$V82=$B$10),OR($E$5="(All)",'Master Database'!$F82=$E$5),OR($E$6="(All)",'Master Database'!$G82=$E$6),OR($E$7="(All)",'Master Database'!$O82=$E$7),OR($E$8="(All)",'Master Database'!$P82=$E$8),OR($E$9="(All)",'Master Database'!$S82=$E$9),OR($E$10="(All)",'Master Database'!$Y82&amp;""=$E$10&amp;""),OR($H$5="(All)",'Master Database'!$BG82=$H$5),OR($H$6&lt;&gt;"Y",ISNUMBER('Master Database'!$AG82)),OR($H$7="",AND(ISNUMBER('Master Database'!$H82),N('Master Database'!$H82)&gt;=$H$7)),OR($I$7="",AND(ISNUMBER('Master Database'!$H82),N('Master Database'!$H82)&lt;=$I$7)),OR($H$8="",AND(ISNUMBER('Master Database'!$I82),N('Master Database'!$I82)&gt;=$H$8)),OR($I$8="",AND(ISNUMBER('Master Database'!$I82),N('Master Database'!$I82)&lt;=$I$8)),OR($H$9="",AND(ISNUMBER('Master Database'!$K82),N('Master Database'!$K82)&gt;=$H$9)),OR($I$9="",AND(ISNUMBER('Master Database'!$K82),N('Master Database'!$K82)&lt;=$I$9))),1,0))</f>
        <v>1</v>
      </c>
      <c r="BB82">
        <f>IF(BA82=1,COUNTIF($BA$5:BA82,1),"")</f>
        <v>78</v>
      </c>
    </row>
    <row r="83" spans="1:54">
      <c r="A83" s="20">
        <f>IF(68&lt;=SUM($BA$5:$BA$600),68,"")</f>
        <v>68</v>
      </c>
      <c r="B83" s="20">
        <f t="shared" si="2"/>
        <v>72</v>
      </c>
      <c r="C83" s="20">
        <f>IF($B83="","",IF(INDEX('Master Database'!$A$1:$A$600,$B83)="","",INDEX('Master Database'!$A$1:$A$600,$B83)))</f>
        <v>68</v>
      </c>
      <c r="D83" s="19" t="str">
        <f>IF($B83="","",IF(INDEX('Master Database'!$B$1:$B$600,$B83)="","",INDEX('Master Database'!$B$1:$B$600,$B83)))</f>
        <v>Flare K.O. Drum Pumps</v>
      </c>
      <c r="E83" s="19" t="str">
        <f>IF($B83="","",IF(INDEX('Master Database'!$C$1:$C$600,$B83)="","",INDEX('Master Database'!$C$1:$C$600,$B83)))</f>
        <v>Koopal Bangestan</v>
      </c>
      <c r="F83" s="19" t="str">
        <f>IF($B83="","",IF(INDEX('Master Database'!$D$1:$D$600,$B83)="","",INDEX('Master Database'!$D$1:$D$600,$B83)))</f>
        <v>P-181 A/B</v>
      </c>
      <c r="G83" s="19" t="str">
        <f>IF($B83="","",IF(INDEX('Master Database'!$E$1:$E$600,$B83)="","",INDEX('Master Database'!$E$1:$E$600,$B83)))</f>
        <v>ROT-DRN</v>
      </c>
      <c r="H83" s="19" t="str">
        <f>IF($B83="","",IF(INDEX('Master Database'!$F$1:$F$600,$B83)="","",INDEX('Master Database'!$F$1:$F$600,$B83)))</f>
        <v>OH2</v>
      </c>
      <c r="I83" s="19" t="str">
        <f>IF($B83="","",IF(INDEX('Master Database'!$G$1:$G$600,$B83)="","",INDEX('Master Database'!$G$1:$G$600,$B83)))</f>
        <v>S-6</v>
      </c>
      <c r="J83" s="46">
        <f>IF($B83="","",IF(INDEX('Master Database'!$H$1:$H$600,$B83)="","",INDEX('Master Database'!$H$1:$H$600,$B83)))</f>
        <v>15</v>
      </c>
      <c r="K83" s="46">
        <f>IF($B83="","",IF(INDEX('Master Database'!$I$1:$I$600,$B83)="","",INDEX('Master Database'!$I$1:$I$600,$B83)))</f>
        <v>52</v>
      </c>
      <c r="L83" s="46">
        <f>IF($B83="","",IF(INDEX('Master Database'!$K$1:$K$600,$B83)="","",INDEX('Master Database'!$K$1:$K$600,$B83)))</f>
        <v>3.5422343324250685</v>
      </c>
      <c r="M83" s="19" t="str">
        <f>IF($B83="","",IF(INDEX('Master Database'!$L$1:$L$600,$B83)="","",INDEX('Master Database'!$L$1:$L$600,$B83)))</f>
        <v>API 610 + IPS-G-PM-105</v>
      </c>
      <c r="N83" s="19" t="str">
        <f>IF($B83="","",IF(INDEX('Master Database'!$P$1:$P$600,$B83)="","",INDEX('Master Database'!$P$1:$P$600,$B83)))</f>
        <v>Not stated</v>
      </c>
      <c r="O83" s="19" t="str">
        <f>IF($B83="","",IF(INDEX('Master Database'!$S$1:$S$600,$B83)="","",INDEX('Master Database'!$S$1:$S$600,$B83)))</f>
        <v>Electric Motor</v>
      </c>
      <c r="P83" s="19" t="str">
        <f>IF($B83="","",IF(INDEX('Master Database'!$T$1:$T$600,$B83)="","",INDEX('Master Database'!$T$1:$T$600,$B83)))</f>
        <v>Oily Water / Drain</v>
      </c>
      <c r="Q83" s="19">
        <f>IF($B83="","",IF(INDEX('Master Database'!$Y$1:$Y$600,$B83)="","",INDEX('Master Database'!$Y$1:$Y$600,$B83)))</f>
        <v>1393</v>
      </c>
      <c r="R83" s="19" t="str">
        <f>IF($B83="","",IF(INDEX('Master Database'!$Z$1:$Z$600,$B83)="","",INDEX('Master Database'!$Z$1:$Z$600,$B83)))</f>
        <v>EUR</v>
      </c>
      <c r="S83" s="47">
        <f>IF($B83="","",IF(INDEX('Master Database'!$AA$1:$AA$600,$B83)="","",INDEX('Master Database'!$AA$1:$AA$600,$B83)))</f>
        <v>10000</v>
      </c>
      <c r="T83" s="19" t="str">
        <f>IF($B83="","",IF(INDEX('Master Database'!$AE$1:$AE$600,$B83)="","",INDEX('Master Database'!$AE$1:$AE$600,$B83)))</f>
        <v>Consultant FEED MTO estimate – KPL-476 R03 (Jan 2016); vendor-level price in EUR, before project overhead | source label: AACE Class 3</v>
      </c>
      <c r="U83" s="47">
        <f>IF($B83="","",IF(INDEX('Master Database'!$AG$1:$AG$600,$B83)="","",INDEX('Master Database'!$AG$1:$AG$600,$B83)))</f>
        <v>25000</v>
      </c>
      <c r="V83" s="47">
        <f>IF($B83="","",IF(INDEX('Master Database'!$AH$1:$AH$600,$B83)="","",INDEX('Master Database'!$AH$1:$AH$600,$B83)))</f>
        <v>26394.577037141647</v>
      </c>
      <c r="W83" s="47">
        <f>IF($B83="","",IF(INDEX('Master Database'!$AI$1:$AI$600,$B83)="","",INDEX('Master Database'!$AI$1:$AI$600,$B83)))</f>
        <v>17381700000</v>
      </c>
      <c r="X83" s="19" t="str">
        <f>IF($B83="","",IF(INDEX('Master Database'!$BG$1:$BG$600,$B83)="","",INDEX('Master Database'!$BG$1:$BG$600,$B83)))</f>
        <v>Y</v>
      </c>
      <c r="BA83">
        <f>IF('Master Database'!$A83="",0,IF(AND(OR($B$5="",ISNUMBER(SEARCH($B$5,'Master Database'!$B83&amp;" "&amp;'Master Database'!$D83))),OR($B$6="(All)",'Master Database'!$C83=$B$6),OR($B$7="(All)",'Master Database'!$E83=$B$7),OR($B$8="(All)",'Master Database'!$T83=$B$8),OR($B$9="(All)",'Master Database'!$M83=$B$9),OR($B$10="(All)",'Master Database'!$V83=$B$10),OR($E$5="(All)",'Master Database'!$F83=$E$5),OR($E$6="(All)",'Master Database'!$G83=$E$6),OR($E$7="(All)",'Master Database'!$O83=$E$7),OR($E$8="(All)",'Master Database'!$P83=$E$8),OR($E$9="(All)",'Master Database'!$S83=$E$9),OR($E$10="(All)",'Master Database'!$Y83&amp;""=$E$10&amp;""),OR($H$5="(All)",'Master Database'!$BG83=$H$5),OR($H$6&lt;&gt;"Y",ISNUMBER('Master Database'!$AG83)),OR($H$7="",AND(ISNUMBER('Master Database'!$H83),N('Master Database'!$H83)&gt;=$H$7)),OR($I$7="",AND(ISNUMBER('Master Database'!$H83),N('Master Database'!$H83)&lt;=$I$7)),OR($H$8="",AND(ISNUMBER('Master Database'!$I83),N('Master Database'!$I83)&gt;=$H$8)),OR($I$8="",AND(ISNUMBER('Master Database'!$I83),N('Master Database'!$I83)&lt;=$I$8)),OR($H$9="",AND(ISNUMBER('Master Database'!$K83),N('Master Database'!$K83)&gt;=$H$9)),OR($I$9="",AND(ISNUMBER('Master Database'!$K83),N('Master Database'!$K83)&lt;=$I$9))),1,0))</f>
        <v>1</v>
      </c>
      <c r="BB83">
        <f>IF(BA83=1,COUNTIF($BA$5:BA83,1),"")</f>
        <v>79</v>
      </c>
    </row>
    <row r="84" spans="1:54">
      <c r="A84" s="20">
        <f>IF(69&lt;=SUM($BA$5:$BA$600),69,"")</f>
        <v>69</v>
      </c>
      <c r="B84" s="20">
        <f t="shared" si="2"/>
        <v>73</v>
      </c>
      <c r="C84" s="20">
        <f>IF($B84="","",IF(INDEX('Master Database'!$A$1:$A$600,$B84)="","",INDEX('Master Database'!$A$1:$A$600,$B84)))</f>
        <v>69</v>
      </c>
      <c r="D84" s="19" t="str">
        <f>IF($B84="","",IF(INDEX('Master Database'!$B$1:$B$600,$B84)="","",INDEX('Master Database'!$B$1:$B$600,$B84)))</f>
        <v>O.W.S. Oil Pumps</v>
      </c>
      <c r="E84" s="19" t="str">
        <f>IF($B84="","",IF(INDEX('Master Database'!$C$1:$C$600,$B84)="","",INDEX('Master Database'!$C$1:$C$600,$B84)))</f>
        <v>Koopal Bangestan</v>
      </c>
      <c r="F84" s="19" t="str">
        <f>IF($B84="","",IF(INDEX('Master Database'!$D$1:$D$600,$B84)="","",INDEX('Master Database'!$D$1:$D$600,$B84)))</f>
        <v>P-241 A/B</v>
      </c>
      <c r="G84" s="19" t="str">
        <f>IF($B84="","",IF(INDEX('Master Database'!$E$1:$E$600,$B84)="","",INDEX('Master Database'!$E$1:$E$600,$B84)))</f>
        <v>ROT-DRN</v>
      </c>
      <c r="H84" s="19" t="str">
        <f>IF($B84="","",IF(INDEX('Master Database'!$F$1:$F$600,$B84)="","",INDEX('Master Database'!$F$1:$F$600,$B84)))</f>
        <v>N/A (non-API 610)</v>
      </c>
      <c r="I84" s="19" t="str">
        <f>IF($B84="","",IF(INDEX('Master Database'!$G$1:$G$600,$B84)="","",INDEX('Master Database'!$G$1:$G$600,$B84)))</f>
        <v>D-1</v>
      </c>
      <c r="J84" s="46">
        <f>IF($B84="","",IF(INDEX('Master Database'!$H$1:$H$600,$B84)="","",INDEX('Master Database'!$H$1:$H$600,$B84)))</f>
        <v>5.5</v>
      </c>
      <c r="K84" s="46" t="str">
        <f>IF($B84="","",IF(INDEX('Master Database'!$I$1:$I$600,$B84)="","",INDEX('Master Database'!$I$1:$I$600,$B84)))</f>
        <v/>
      </c>
      <c r="L84" s="46" t="str">
        <f>IF($B84="","",IF(INDEX('Master Database'!$K$1:$K$600,$B84)="","",INDEX('Master Database'!$K$1:$K$600,$B84)))</f>
        <v/>
      </c>
      <c r="M84" s="19" t="str">
        <f>IF($B84="","",IF(INDEX('Master Database'!$L$1:$L$600,$B84)="","",INDEX('Master Database'!$L$1:$L$600,$B84)))</f>
        <v>API 676 + IPS-M-PM-140 + NACE MR0175</v>
      </c>
      <c r="N84" s="19" t="str">
        <f>IF($B84="","",IF(INDEX('Master Database'!$P$1:$P$600,$B84)="","",INDEX('Master Database'!$P$1:$P$600,$B84)))</f>
        <v>Not stated</v>
      </c>
      <c r="O84" s="19" t="str">
        <f>IF($B84="","",IF(INDEX('Master Database'!$S$1:$S$600,$B84)="","",INDEX('Master Database'!$S$1:$S$600,$B84)))</f>
        <v>Electric Motor</v>
      </c>
      <c r="P84" s="19" t="str">
        <f>IF($B84="","",IF(INDEX('Master Database'!$T$1:$T$600,$B84)="","",INDEX('Master Database'!$T$1:$T$600,$B84)))</f>
        <v>Slop / Dirty Oil</v>
      </c>
      <c r="Q84" s="19">
        <f>IF($B84="","",IF(INDEX('Master Database'!$Y$1:$Y$600,$B84)="","",INDEX('Master Database'!$Y$1:$Y$600,$B84)))</f>
        <v>1393</v>
      </c>
      <c r="R84" s="19" t="str">
        <f>IF($B84="","",IF(INDEX('Master Database'!$Z$1:$Z$600,$B84)="","",INDEX('Master Database'!$Z$1:$Z$600,$B84)))</f>
        <v>EUR</v>
      </c>
      <c r="S84" s="47">
        <f>IF($B84="","",IF(INDEX('Master Database'!$AA$1:$AA$600,$B84)="","",INDEX('Master Database'!$AA$1:$AA$600,$B84)))</f>
        <v>25000</v>
      </c>
      <c r="T84" s="19" t="str">
        <f>IF($B84="","",IF(INDEX('Master Database'!$AE$1:$AE$600,$B84)="","",INDEX('Master Database'!$AE$1:$AE$600,$B84)))</f>
        <v>Consultant FEED MTO estimate – KPL-476 R03 (Jan 2016); vendor-level price in EUR, before project overhead | source label: AACE Class 3</v>
      </c>
      <c r="U84" s="47">
        <f>IF($B84="","",IF(INDEX('Master Database'!$AG$1:$AG$600,$B84)="","",INDEX('Master Database'!$AG$1:$AG$600,$B84)))</f>
        <v>33776.697647432324</v>
      </c>
      <c r="V84" s="47">
        <f>IF($B84="","",IF(INDEX('Master Database'!$AH$1:$AH$600,$B84)="","",INDEX('Master Database'!$AH$1:$AH$600,$B84)))</f>
        <v>35660.86592461574</v>
      </c>
      <c r="W84" s="47">
        <f>IF($B84="","",IF(INDEX('Master Database'!$AI$1:$AI$600,$B84)="","",INDEX('Master Database'!$AI$1:$AI$600,$B84)))</f>
        <v>23483857019.934978</v>
      </c>
      <c r="X84" s="19" t="str">
        <f>IF($B84="","",IF(INDEX('Master Database'!$BG$1:$BG$600,$B84)="","",INDEX('Master Database'!$BG$1:$BG$600,$B84)))</f>
        <v>Y</v>
      </c>
      <c r="BA84">
        <f>IF('Master Database'!$A84="",0,IF(AND(OR($B$5="",ISNUMBER(SEARCH($B$5,'Master Database'!$B84&amp;" "&amp;'Master Database'!$D84))),OR($B$6="(All)",'Master Database'!$C84=$B$6),OR($B$7="(All)",'Master Database'!$E84=$B$7),OR($B$8="(All)",'Master Database'!$T84=$B$8),OR($B$9="(All)",'Master Database'!$M84=$B$9),OR($B$10="(All)",'Master Database'!$V84=$B$10),OR($E$5="(All)",'Master Database'!$F84=$E$5),OR($E$6="(All)",'Master Database'!$G84=$E$6),OR($E$7="(All)",'Master Database'!$O84=$E$7),OR($E$8="(All)",'Master Database'!$P84=$E$8),OR($E$9="(All)",'Master Database'!$S84=$E$9),OR($E$10="(All)",'Master Database'!$Y84&amp;""=$E$10&amp;""),OR($H$5="(All)",'Master Database'!$BG84=$H$5),OR($H$6&lt;&gt;"Y",ISNUMBER('Master Database'!$AG84)),OR($H$7="",AND(ISNUMBER('Master Database'!$H84),N('Master Database'!$H84)&gt;=$H$7)),OR($I$7="",AND(ISNUMBER('Master Database'!$H84),N('Master Database'!$H84)&lt;=$I$7)),OR($H$8="",AND(ISNUMBER('Master Database'!$I84),N('Master Database'!$I84)&gt;=$H$8)),OR($I$8="",AND(ISNUMBER('Master Database'!$I84),N('Master Database'!$I84)&lt;=$I$8)),OR($H$9="",AND(ISNUMBER('Master Database'!$K84),N('Master Database'!$K84)&gt;=$H$9)),OR($I$9="",AND(ISNUMBER('Master Database'!$K84),N('Master Database'!$K84)&lt;=$I$9))),1,0))</f>
        <v>1</v>
      </c>
      <c r="BB84">
        <f>IF(BA84=1,COUNTIF($BA$5:BA84,1),"")</f>
        <v>80</v>
      </c>
    </row>
    <row r="85" spans="1:54">
      <c r="A85" s="20">
        <f>IF(70&lt;=SUM($BA$5:$BA$600),70,"")</f>
        <v>70</v>
      </c>
      <c r="B85" s="20">
        <f t="shared" si="2"/>
        <v>74</v>
      </c>
      <c r="C85" s="20">
        <f>IF($B85="","",IF(INDEX('Master Database'!$A$1:$A$600,$B85)="","",INDEX('Master Database'!$A$1:$A$600,$B85)))</f>
        <v>70</v>
      </c>
      <c r="D85" s="19" t="str">
        <f>IF($B85="","",IF(INDEX('Master Database'!$B$1:$B$600,$B85)="","",INDEX('Master Database'!$B$1:$B$600,$B85)))</f>
        <v>O.W.S. Water Pumps</v>
      </c>
      <c r="E85" s="19" t="str">
        <f>IF($B85="","",IF(INDEX('Master Database'!$C$1:$C$600,$B85)="","",INDEX('Master Database'!$C$1:$C$600,$B85)))</f>
        <v>Koopal Bangestan</v>
      </c>
      <c r="F85" s="19" t="str">
        <f>IF($B85="","",IF(INDEX('Master Database'!$D$1:$D$600,$B85)="","",INDEX('Master Database'!$D$1:$D$600,$B85)))</f>
        <v>P-242 A/B</v>
      </c>
      <c r="G85" s="19" t="str">
        <f>IF($B85="","",IF(INDEX('Master Database'!$E$1:$E$600,$B85)="","",INDEX('Master Database'!$E$1:$E$600,$B85)))</f>
        <v>ROT-WAT</v>
      </c>
      <c r="H85" s="19" t="str">
        <f>IF($B85="","",IF(INDEX('Master Database'!$F$1:$F$600,$B85)="","",INDEX('Master Database'!$F$1:$F$600,$B85)))</f>
        <v>OH2</v>
      </c>
      <c r="I85" s="19" t="str">
        <f>IF($B85="","",IF(INDEX('Master Database'!$G$1:$G$600,$B85)="","",INDEX('Master Database'!$G$1:$G$600,$B85)))</f>
        <v>D-2</v>
      </c>
      <c r="J85" s="46">
        <f>IF($B85="","",IF(INDEX('Master Database'!$H$1:$H$600,$B85)="","",INDEX('Master Database'!$H$1:$H$600,$B85)))</f>
        <v>11</v>
      </c>
      <c r="K85" s="46">
        <f>IF($B85="","",IF(INDEX('Master Database'!$I$1:$I$600,$B85)="","",INDEX('Master Database'!$I$1:$I$600,$B85)))</f>
        <v>28</v>
      </c>
      <c r="L85" s="46">
        <f>IF($B85="","",IF(INDEX('Master Database'!$K$1:$K$600,$B85)="","",INDEX('Master Database'!$K$1:$K$600,$B85)))</f>
        <v>1.3987284287011807</v>
      </c>
      <c r="M85" s="19" t="str">
        <f>IF($B85="","",IF(INDEX('Master Database'!$L$1:$L$600,$B85)="","",INDEX('Master Database'!$L$1:$L$600,$B85)))</f>
        <v>API 610 + IPS-G-PM-105 + NACE MR0175</v>
      </c>
      <c r="N85" s="19" t="str">
        <f>IF($B85="","",IF(INDEX('Master Database'!$P$1:$P$600,$B85)="","",INDEX('Master Database'!$P$1:$P$600,$B85)))</f>
        <v>Not stated</v>
      </c>
      <c r="O85" s="19" t="str">
        <f>IF($B85="","",IF(INDEX('Master Database'!$S$1:$S$600,$B85)="","",INDEX('Master Database'!$S$1:$S$600,$B85)))</f>
        <v>Electric Motor</v>
      </c>
      <c r="P85" s="19" t="str">
        <f>IF($B85="","",IF(INDEX('Master Database'!$T$1:$T$600,$B85)="","",INDEX('Master Database'!$T$1:$T$600,$B85)))</f>
        <v>Oily Water / Drain</v>
      </c>
      <c r="Q85" s="19">
        <f>IF($B85="","",IF(INDEX('Master Database'!$Y$1:$Y$600,$B85)="","",INDEX('Master Database'!$Y$1:$Y$600,$B85)))</f>
        <v>1393</v>
      </c>
      <c r="R85" s="19" t="str">
        <f>IF($B85="","",IF(INDEX('Master Database'!$Z$1:$Z$600,$B85)="","",INDEX('Master Database'!$Z$1:$Z$600,$B85)))</f>
        <v>EUR</v>
      </c>
      <c r="S85" s="47">
        <f>IF($B85="","",IF(INDEX('Master Database'!$AA$1:$AA$600,$B85)="","",INDEX('Master Database'!$AA$1:$AA$600,$B85)))</f>
        <v>20000</v>
      </c>
      <c r="T85" s="19" t="str">
        <f>IF($B85="","",IF(INDEX('Master Database'!$AE$1:$AE$600,$B85)="","",INDEX('Master Database'!$AE$1:$AE$600,$B85)))</f>
        <v>Consultant FEED MTO estimate – KPL-476 R03 (Jan 2016); vendor-level price in EUR, before project overhead | source label: AACE Class 3</v>
      </c>
      <c r="U85" s="47">
        <f>IF($B85="","",IF(INDEX('Master Database'!$AG$1:$AG$600,$B85)="","",INDEX('Master Database'!$AG$1:$AG$600,$B85)))</f>
        <v>27021.358117945856</v>
      </c>
      <c r="V85" s="47">
        <f>IF($B85="","",IF(INDEX('Master Database'!$AH$1:$AH$600,$B85)="","",INDEX('Master Database'!$AH$1:$AH$600,$B85)))</f>
        <v>28528.692739692589</v>
      </c>
      <c r="W85" s="47">
        <f>IF($B85="","",IF(INDEX('Master Database'!$AI$1:$AI$600,$B85)="","",INDEX('Master Database'!$AI$1:$AI$600,$B85)))</f>
        <v>18787085615.947979</v>
      </c>
      <c r="X85" s="19" t="str">
        <f>IF($B85="","",IF(INDEX('Master Database'!$BG$1:$BG$600,$B85)="","",INDEX('Master Database'!$BG$1:$BG$600,$B85)))</f>
        <v>Y</v>
      </c>
      <c r="BA85">
        <f>IF('Master Database'!$A85="",0,IF(AND(OR($B$5="",ISNUMBER(SEARCH($B$5,'Master Database'!$B85&amp;" "&amp;'Master Database'!$D85))),OR($B$6="(All)",'Master Database'!$C85=$B$6),OR($B$7="(All)",'Master Database'!$E85=$B$7),OR($B$8="(All)",'Master Database'!$T85=$B$8),OR($B$9="(All)",'Master Database'!$M85=$B$9),OR($B$10="(All)",'Master Database'!$V85=$B$10),OR($E$5="(All)",'Master Database'!$F85=$E$5),OR($E$6="(All)",'Master Database'!$G85=$E$6),OR($E$7="(All)",'Master Database'!$O85=$E$7),OR($E$8="(All)",'Master Database'!$P85=$E$8),OR($E$9="(All)",'Master Database'!$S85=$E$9),OR($E$10="(All)",'Master Database'!$Y85&amp;""=$E$10&amp;""),OR($H$5="(All)",'Master Database'!$BG85=$H$5),OR($H$6&lt;&gt;"Y",ISNUMBER('Master Database'!$AG85)),OR($H$7="",AND(ISNUMBER('Master Database'!$H85),N('Master Database'!$H85)&gt;=$H$7)),OR($I$7="",AND(ISNUMBER('Master Database'!$H85),N('Master Database'!$H85)&lt;=$I$7)),OR($H$8="",AND(ISNUMBER('Master Database'!$I85),N('Master Database'!$I85)&gt;=$H$8)),OR($I$8="",AND(ISNUMBER('Master Database'!$I85),N('Master Database'!$I85)&lt;=$I$8)),OR($H$9="",AND(ISNUMBER('Master Database'!$K85),N('Master Database'!$K85)&gt;=$H$9)),OR($I$9="",AND(ISNUMBER('Master Database'!$K85),N('Master Database'!$K85)&lt;=$I$9))),1,0))</f>
        <v>1</v>
      </c>
      <c r="BB85">
        <f>IF(BA85=1,COUNTIF($BA$5:BA85,1),"")</f>
        <v>81</v>
      </c>
    </row>
    <row r="86" spans="1:54">
      <c r="A86" s="20">
        <f>IF(71&lt;=SUM($BA$5:$BA$600),71,"")</f>
        <v>71</v>
      </c>
      <c r="B86" s="20">
        <f t="shared" si="2"/>
        <v>75</v>
      </c>
      <c r="C86" s="20">
        <f>IF($B86="","",IF(INDEX('Master Database'!$A$1:$A$600,$B86)="","",INDEX('Master Database'!$A$1:$A$600,$B86)))</f>
        <v>71</v>
      </c>
      <c r="D86" s="19" t="str">
        <f>IF($B86="","",IF(INDEX('Master Database'!$B$1:$B$600,$B86)="","",INDEX('Master Database'!$B$1:$B$600,$B86)))</f>
        <v>Closed Drain Drum Pumps</v>
      </c>
      <c r="E86" s="19" t="str">
        <f>IF($B86="","",IF(INDEX('Master Database'!$C$1:$C$600,$B86)="","",INDEX('Master Database'!$C$1:$C$600,$B86)))</f>
        <v>Koopal Bangestan</v>
      </c>
      <c r="F86" s="19" t="str">
        <f>IF($B86="","",IF(INDEX('Master Database'!$D$1:$D$600,$B86)="","",INDEX('Master Database'!$D$1:$D$600,$B86)))</f>
        <v>P-244 A/B</v>
      </c>
      <c r="G86" s="19" t="str">
        <f>IF($B86="","",IF(INDEX('Master Database'!$E$1:$E$600,$B86)="","",INDEX('Master Database'!$E$1:$E$600,$B86)))</f>
        <v>ROT-DRN</v>
      </c>
      <c r="H86" s="19" t="str">
        <f>IF($B86="","",IF(INDEX('Master Database'!$F$1:$F$600,$B86)="","",INDEX('Master Database'!$F$1:$F$600,$B86)))</f>
        <v>OH2</v>
      </c>
      <c r="I86" s="19" t="str">
        <f>IF($B86="","",IF(INDEX('Master Database'!$G$1:$G$600,$B86)="","",INDEX('Master Database'!$G$1:$G$600,$B86)))</f>
        <v>D-2</v>
      </c>
      <c r="J86" s="46">
        <f>IF($B86="","",IF(INDEX('Master Database'!$H$1:$H$600,$B86)="","",INDEX('Master Database'!$H$1:$H$600,$B86)))</f>
        <v>15</v>
      </c>
      <c r="K86" s="46">
        <f>IF($B86="","",IF(INDEX('Master Database'!$I$1:$I$600,$B86)="","",INDEX('Master Database'!$I$1:$I$600,$B86)))</f>
        <v>61</v>
      </c>
      <c r="L86" s="46">
        <f>IF($B86="","",IF(INDEX('Master Database'!$K$1:$K$600,$B86)="","",INDEX('Master Database'!$K$1:$K$600,$B86)))</f>
        <v>4.1553133514986378</v>
      </c>
      <c r="M86" s="19" t="str">
        <f>IF($B86="","",IF(INDEX('Master Database'!$L$1:$L$600,$B86)="","",INDEX('Master Database'!$L$1:$L$600,$B86)))</f>
        <v>API 610 + IPS-G-PM-105 + NACE MR0175</v>
      </c>
      <c r="N86" s="19" t="str">
        <f>IF($B86="","",IF(INDEX('Master Database'!$P$1:$P$600,$B86)="","",INDEX('Master Database'!$P$1:$P$600,$B86)))</f>
        <v>Not stated</v>
      </c>
      <c r="O86" s="19" t="str">
        <f>IF($B86="","",IF(INDEX('Master Database'!$S$1:$S$600,$B86)="","",INDEX('Master Database'!$S$1:$S$600,$B86)))</f>
        <v>Electric Motor</v>
      </c>
      <c r="P86" s="19" t="str">
        <f>IF($B86="","",IF(INDEX('Master Database'!$T$1:$T$600,$B86)="","",INDEX('Master Database'!$T$1:$T$600,$B86)))</f>
        <v>Oily Water / Drain</v>
      </c>
      <c r="Q86" s="19">
        <f>IF($B86="","",IF(INDEX('Master Database'!$Y$1:$Y$600,$B86)="","",INDEX('Master Database'!$Y$1:$Y$600,$B86)))</f>
        <v>1393</v>
      </c>
      <c r="R86" s="19" t="str">
        <f>IF($B86="","",IF(INDEX('Master Database'!$Z$1:$Z$600,$B86)="","",INDEX('Master Database'!$Z$1:$Z$600,$B86)))</f>
        <v>EUR</v>
      </c>
      <c r="S86" s="47">
        <f>IF($B86="","",IF(INDEX('Master Database'!$AA$1:$AA$600,$B86)="","",INDEX('Master Database'!$AA$1:$AA$600,$B86)))</f>
        <v>17500</v>
      </c>
      <c r="T86" s="19" t="str">
        <f>IF($B86="","",IF(INDEX('Master Database'!$AE$1:$AE$600,$B86)="","",INDEX('Master Database'!$AE$1:$AE$600,$B86)))</f>
        <v>Consultant FEED MTO estimate – KPL-476 R03 (Jan 2016); vendor-level price in EUR, before project overhead | source label: AACE Class 3</v>
      </c>
      <c r="U86" s="47">
        <f>IF($B86="","",IF(INDEX('Master Database'!$AG$1:$AG$600,$B86)="","",INDEX('Master Database'!$AG$1:$AG$600,$B86)))</f>
        <v>25000</v>
      </c>
      <c r="V86" s="47">
        <f>IF($B86="","",IF(INDEX('Master Database'!$AH$1:$AH$600,$B86)="","",INDEX('Master Database'!$AH$1:$AH$600,$B86)))</f>
        <v>26394.577037141647</v>
      </c>
      <c r="W86" s="47">
        <f>IF($B86="","",IF(INDEX('Master Database'!$AI$1:$AI$600,$B86)="","",INDEX('Master Database'!$AI$1:$AI$600,$B86)))</f>
        <v>17381700000</v>
      </c>
      <c r="X86" s="19" t="str">
        <f>IF($B86="","",IF(INDEX('Master Database'!$BG$1:$BG$600,$B86)="","",INDEX('Master Database'!$BG$1:$BG$600,$B86)))</f>
        <v>Y</v>
      </c>
      <c r="BA86">
        <f>IF('Master Database'!$A86="",0,IF(AND(OR($B$5="",ISNUMBER(SEARCH($B$5,'Master Database'!$B86&amp;" "&amp;'Master Database'!$D86))),OR($B$6="(All)",'Master Database'!$C86=$B$6),OR($B$7="(All)",'Master Database'!$E86=$B$7),OR($B$8="(All)",'Master Database'!$T86=$B$8),OR($B$9="(All)",'Master Database'!$M86=$B$9),OR($B$10="(All)",'Master Database'!$V86=$B$10),OR($E$5="(All)",'Master Database'!$F86=$E$5),OR($E$6="(All)",'Master Database'!$G86=$E$6),OR($E$7="(All)",'Master Database'!$O86=$E$7),OR($E$8="(All)",'Master Database'!$P86=$E$8),OR($E$9="(All)",'Master Database'!$S86=$E$9),OR($E$10="(All)",'Master Database'!$Y86&amp;""=$E$10&amp;""),OR($H$5="(All)",'Master Database'!$BG86=$H$5),OR($H$6&lt;&gt;"Y",ISNUMBER('Master Database'!$AG86)),OR($H$7="",AND(ISNUMBER('Master Database'!$H86),N('Master Database'!$H86)&gt;=$H$7)),OR($I$7="",AND(ISNUMBER('Master Database'!$H86),N('Master Database'!$H86)&lt;=$I$7)),OR($H$8="",AND(ISNUMBER('Master Database'!$I86),N('Master Database'!$I86)&gt;=$H$8)),OR($I$8="",AND(ISNUMBER('Master Database'!$I86),N('Master Database'!$I86)&lt;=$I$8)),OR($H$9="",AND(ISNUMBER('Master Database'!$K86),N('Master Database'!$K86)&gt;=$H$9)),OR($I$9="",AND(ISNUMBER('Master Database'!$K86),N('Master Database'!$K86)&lt;=$I$9))),1,0))</f>
        <v>1</v>
      </c>
      <c r="BB86">
        <f>IF(BA86=1,COUNTIF($BA$5:BA86,1),"")</f>
        <v>82</v>
      </c>
    </row>
    <row r="87" spans="1:54">
      <c r="A87" s="20">
        <f>IF(72&lt;=SUM($BA$5:$BA$600),72,"")</f>
        <v>72</v>
      </c>
      <c r="B87" s="20">
        <f t="shared" si="2"/>
        <v>76</v>
      </c>
      <c r="C87" s="20">
        <f>IF($B87="","",IF(INDEX('Master Database'!$A$1:$A$600,$B87)="","",INDEX('Master Database'!$A$1:$A$600,$B87)))</f>
        <v>72</v>
      </c>
      <c r="D87" s="19" t="str">
        <f>IF($B87="","",IF(INDEX('Master Database'!$B$1:$B$600,$B87)="","",INDEX('Master Database'!$B$1:$B$600,$B87)))</f>
        <v>Desalters Recycle Pumps</v>
      </c>
      <c r="E87" s="19" t="str">
        <f>IF($B87="","",IF(INDEX('Master Database'!$C$1:$C$600,$B87)="","",INDEX('Master Database'!$C$1:$C$600,$B87)))</f>
        <v>Koopal Bangestan</v>
      </c>
      <c r="F87" s="19" t="str">
        <f>IF($B87="","",IF(INDEX('Master Database'!$D$1:$D$600,$B87)="","",INDEX('Master Database'!$D$1:$D$600,$B87)))</f>
        <v>P-123 A/B</v>
      </c>
      <c r="G87" s="19" t="str">
        <f>IF($B87="","",IF(INDEX('Master Database'!$E$1:$E$600,$B87)="","",INDEX('Master Database'!$E$1:$E$600,$B87)))</f>
        <v>ROT-WAT</v>
      </c>
      <c r="H87" s="19" t="str">
        <f>IF($B87="","",IF(INDEX('Master Database'!$F$1:$F$600,$B87)="","",INDEX('Master Database'!$F$1:$F$600,$B87)))</f>
        <v>OH2</v>
      </c>
      <c r="I87" s="19" t="str">
        <f>IF($B87="","",IF(INDEX('Master Database'!$G$1:$G$600,$B87)="","",INDEX('Master Database'!$G$1:$G$600,$B87)))</f>
        <v>D-2</v>
      </c>
      <c r="J87" s="46">
        <f>IF($B87="","",IF(INDEX('Master Database'!$H$1:$H$600,$B87)="","",INDEX('Master Database'!$H$1:$H$600,$B87)))</f>
        <v>15</v>
      </c>
      <c r="K87" s="46">
        <f>IF($B87="","",IF(INDEX('Master Database'!$I$1:$I$600,$B87)="","",INDEX('Master Database'!$I$1:$I$600,$B87)))</f>
        <v>44.9</v>
      </c>
      <c r="L87" s="46">
        <f>IF($B87="","",IF(INDEX('Master Database'!$K$1:$K$600,$B87)="","",INDEX('Master Database'!$K$1:$K$600,$B87)))</f>
        <v>3.0585831062670303</v>
      </c>
      <c r="M87" s="19" t="str">
        <f>IF($B87="","",IF(INDEX('Master Database'!$L$1:$L$600,$B87)="","",INDEX('Master Database'!$L$1:$L$600,$B87)))</f>
        <v>API 610 + IPS-G-PM-105 + NACE MR0175</v>
      </c>
      <c r="N87" s="19" t="str">
        <f>IF($B87="","",IF(INDEX('Master Database'!$P$1:$P$600,$B87)="","",INDEX('Master Database'!$P$1:$P$600,$B87)))</f>
        <v>Not stated</v>
      </c>
      <c r="O87" s="19" t="str">
        <f>IF($B87="","",IF(INDEX('Master Database'!$S$1:$S$600,$B87)="","",INDEX('Master Database'!$S$1:$S$600,$B87)))</f>
        <v>Electric Motor</v>
      </c>
      <c r="P87" s="19" t="str">
        <f>IF($B87="","",IF(INDEX('Master Database'!$T$1:$T$600,$B87)="","",INDEX('Master Database'!$T$1:$T$600,$B87)))</f>
        <v>Process / Dilution Water</v>
      </c>
      <c r="Q87" s="19">
        <f>IF($B87="","",IF(INDEX('Master Database'!$Y$1:$Y$600,$B87)="","",INDEX('Master Database'!$Y$1:$Y$600,$B87)))</f>
        <v>1393</v>
      </c>
      <c r="R87" s="19" t="str">
        <f>IF($B87="","",IF(INDEX('Master Database'!$Z$1:$Z$600,$B87)="","",INDEX('Master Database'!$Z$1:$Z$600,$B87)))</f>
        <v>IRR</v>
      </c>
      <c r="S87" s="47" t="str">
        <f>IF($B87="","",IF(INDEX('Master Database'!$AA$1:$AA$600,$B87)="","",INDEX('Master Database'!$AA$1:$AA$600,$B87)))</f>
        <v>(Not stated)</v>
      </c>
      <c r="T87" s="19" t="str">
        <f>IF($B87="","",IF(INDEX('Master Database'!$AE$1:$AE$600,$B87)="","",INDEX('Master Database'!$AE$1:$AE$600,$B87)))</f>
        <v>Consultant FEED MTO estimate – KPL-476 R03 (Jan 2016); pump priced inside its package, no separate price | source label: AACE Class 3</v>
      </c>
      <c r="U87" s="47" t="str">
        <f>IF($B87="","",IF(INDEX('Master Database'!$AG$1:$AG$600,$B87)="","",INDEX('Master Database'!$AG$1:$AG$600,$B87)))</f>
        <v>(PPI/FX missing)</v>
      </c>
      <c r="V87" s="47" t="str">
        <f>IF($B87="","",IF(INDEX('Master Database'!$AH$1:$AH$600,$B87)="","",INDEX('Master Database'!$AH$1:$AH$600,$B87)))</f>
        <v/>
      </c>
      <c r="W87" s="47" t="str">
        <f>IF($B87="","",IF(INDEX('Master Database'!$AI$1:$AI$600,$B87)="","",INDEX('Master Database'!$AI$1:$AI$600,$B87)))</f>
        <v/>
      </c>
      <c r="X87" s="19" t="str">
        <f>IF($B87="","",IF(INDEX('Master Database'!$BG$1:$BG$600,$B87)="","",INDEX('Master Database'!$BG$1:$BG$600,$B87)))</f>
        <v>Y</v>
      </c>
      <c r="BA87">
        <f>IF('Master Database'!$A87="",0,IF(AND(OR($B$5="",ISNUMBER(SEARCH($B$5,'Master Database'!$B87&amp;" "&amp;'Master Database'!$D87))),OR($B$6="(All)",'Master Database'!$C87=$B$6),OR($B$7="(All)",'Master Database'!$E87=$B$7),OR($B$8="(All)",'Master Database'!$T87=$B$8),OR($B$9="(All)",'Master Database'!$M87=$B$9),OR($B$10="(All)",'Master Database'!$V87=$B$10),OR($E$5="(All)",'Master Database'!$F87=$E$5),OR($E$6="(All)",'Master Database'!$G87=$E$6),OR($E$7="(All)",'Master Database'!$O87=$E$7),OR($E$8="(All)",'Master Database'!$P87=$E$8),OR($E$9="(All)",'Master Database'!$S87=$E$9),OR($E$10="(All)",'Master Database'!$Y87&amp;""=$E$10&amp;""),OR($H$5="(All)",'Master Database'!$BG87=$H$5),OR($H$6&lt;&gt;"Y",ISNUMBER('Master Database'!$AG87)),OR($H$7="",AND(ISNUMBER('Master Database'!$H87),N('Master Database'!$H87)&gt;=$H$7)),OR($I$7="",AND(ISNUMBER('Master Database'!$H87),N('Master Database'!$H87)&lt;=$I$7)),OR($H$8="",AND(ISNUMBER('Master Database'!$I87),N('Master Database'!$I87)&gt;=$H$8)),OR($I$8="",AND(ISNUMBER('Master Database'!$I87),N('Master Database'!$I87)&lt;=$I$8)),OR($H$9="",AND(ISNUMBER('Master Database'!$K87),N('Master Database'!$K87)&gt;=$H$9)),OR($I$9="",AND(ISNUMBER('Master Database'!$K87),N('Master Database'!$K87)&lt;=$I$9))),1,0))</f>
        <v>1</v>
      </c>
      <c r="BB87">
        <f>IF(BA87=1,COUNTIF($BA$5:BA87,1),"")</f>
        <v>83</v>
      </c>
    </row>
    <row r="88" spans="1:54">
      <c r="A88" s="20">
        <f>IF(73&lt;=SUM($BA$5:$BA$600),73,"")</f>
        <v>73</v>
      </c>
      <c r="B88" s="20">
        <f t="shared" si="2"/>
        <v>77</v>
      </c>
      <c r="C88" s="20">
        <f>IF($B88="","",IF(INDEX('Master Database'!$A$1:$A$600,$B88)="","",INDEX('Master Database'!$A$1:$A$600,$B88)))</f>
        <v>73</v>
      </c>
      <c r="D88" s="19" t="str">
        <f>IF($B88="","",IF(INDEX('Master Database'!$B$1:$B$600,$B88)="","",INDEX('Master Database'!$B$1:$B$600,$B88)))</f>
        <v>IGF Water Recycle Pumps</v>
      </c>
      <c r="E88" s="19" t="str">
        <f>IF($B88="","",IF(INDEX('Master Database'!$C$1:$C$600,$B88)="","",INDEX('Master Database'!$C$1:$C$600,$B88)))</f>
        <v>Koopal Bangestan</v>
      </c>
      <c r="F88" s="19" t="str">
        <f>IF($B88="","",IF(INDEX('Master Database'!$D$1:$D$600,$B88)="","",INDEX('Master Database'!$D$1:$D$600,$B88)))</f>
        <v>P-140 A/B</v>
      </c>
      <c r="G88" s="19" t="str">
        <f>IF($B88="","",IF(INDEX('Master Database'!$E$1:$E$600,$B88)="","",INDEX('Master Database'!$E$1:$E$600,$B88)))</f>
        <v>ROT-WAT</v>
      </c>
      <c r="H88" s="19" t="str">
        <f>IF($B88="","",IF(INDEX('Master Database'!$F$1:$F$600,$B88)="","",INDEX('Master Database'!$F$1:$F$600,$B88)))</f>
        <v>OH2</v>
      </c>
      <c r="I88" s="19" t="str">
        <f>IF($B88="","",IF(INDEX('Master Database'!$G$1:$G$600,$B88)="","",INDEX('Master Database'!$G$1:$G$600,$B88)))</f>
        <v>D-2</v>
      </c>
      <c r="J88" s="46" t="str">
        <f>IF($B88="","",IF(INDEX('Master Database'!$H$1:$H$600,$B88)="","",INDEX('Master Database'!$H$1:$H$600,$B88)))</f>
        <v/>
      </c>
      <c r="K88" s="46" t="str">
        <f>IF($B88="","",IF(INDEX('Master Database'!$I$1:$I$600,$B88)="","",INDEX('Master Database'!$I$1:$I$600,$B88)))</f>
        <v/>
      </c>
      <c r="L88" s="46" t="str">
        <f>IF($B88="","",IF(INDEX('Master Database'!$K$1:$K$600,$B88)="","",INDEX('Master Database'!$K$1:$K$600,$B88)))</f>
        <v/>
      </c>
      <c r="M88" s="19" t="str">
        <f>IF($B88="","",IF(INDEX('Master Database'!$L$1:$L$600,$B88)="","",INDEX('Master Database'!$L$1:$L$600,$B88)))</f>
        <v>API 610 + IPS-G-PM-105</v>
      </c>
      <c r="N88" s="19" t="str">
        <f>IF($B88="","",IF(INDEX('Master Database'!$P$1:$P$600,$B88)="","",INDEX('Master Database'!$P$1:$P$600,$B88)))</f>
        <v>Not stated</v>
      </c>
      <c r="O88" s="19" t="str">
        <f>IF($B88="","",IF(INDEX('Master Database'!$S$1:$S$600,$B88)="","",INDEX('Master Database'!$S$1:$S$600,$B88)))</f>
        <v>Electric Motor</v>
      </c>
      <c r="P88" s="19" t="str">
        <f>IF($B88="","",IF(INDEX('Master Database'!$T$1:$T$600,$B88)="","",INDEX('Master Database'!$T$1:$T$600,$B88)))</f>
        <v>Process / Dilution Water</v>
      </c>
      <c r="Q88" s="19">
        <f>IF($B88="","",IF(INDEX('Master Database'!$Y$1:$Y$600,$B88)="","",INDEX('Master Database'!$Y$1:$Y$600,$B88)))</f>
        <v>1393</v>
      </c>
      <c r="R88" s="19" t="str">
        <f>IF($B88="","",IF(INDEX('Master Database'!$Z$1:$Z$600,$B88)="","",INDEX('Master Database'!$Z$1:$Z$600,$B88)))</f>
        <v>IRR</v>
      </c>
      <c r="S88" s="47" t="str">
        <f>IF($B88="","",IF(INDEX('Master Database'!$AA$1:$AA$600,$B88)="","",INDEX('Master Database'!$AA$1:$AA$600,$B88)))</f>
        <v>(Not stated)</v>
      </c>
      <c r="T88" s="19" t="str">
        <f>IF($B88="","",IF(INDEX('Master Database'!$AE$1:$AE$600,$B88)="","",INDEX('Master Database'!$AE$1:$AE$600,$B88)))</f>
        <v>Consultant FEED MTO estimate – KPL-476 R03 (Jan 2016); pump priced inside its package, no separate price | source label: AACE Class 3</v>
      </c>
      <c r="U88" s="47" t="str">
        <f>IF($B88="","",IF(INDEX('Master Database'!$AG$1:$AG$600,$B88)="","",INDEX('Master Database'!$AG$1:$AG$600,$B88)))</f>
        <v>(PPI/FX missing)</v>
      </c>
      <c r="V88" s="47" t="str">
        <f>IF($B88="","",IF(INDEX('Master Database'!$AH$1:$AH$600,$B88)="","",INDEX('Master Database'!$AH$1:$AH$600,$B88)))</f>
        <v/>
      </c>
      <c r="W88" s="47" t="str">
        <f>IF($B88="","",IF(INDEX('Master Database'!$AI$1:$AI$600,$B88)="","",INDEX('Master Database'!$AI$1:$AI$600,$B88)))</f>
        <v/>
      </c>
      <c r="X88" s="19" t="str">
        <f>IF($B88="","",IF(INDEX('Master Database'!$BG$1:$BG$600,$B88)="","",INDEX('Master Database'!$BG$1:$BG$600,$B88)))</f>
        <v>Y</v>
      </c>
      <c r="BA88">
        <f>IF('Master Database'!$A88="",0,IF(AND(OR($B$5="",ISNUMBER(SEARCH($B$5,'Master Database'!$B88&amp;" "&amp;'Master Database'!$D88))),OR($B$6="(All)",'Master Database'!$C88=$B$6),OR($B$7="(All)",'Master Database'!$E88=$B$7),OR($B$8="(All)",'Master Database'!$T88=$B$8),OR($B$9="(All)",'Master Database'!$M88=$B$9),OR($B$10="(All)",'Master Database'!$V88=$B$10),OR($E$5="(All)",'Master Database'!$F88=$E$5),OR($E$6="(All)",'Master Database'!$G88=$E$6),OR($E$7="(All)",'Master Database'!$O88=$E$7),OR($E$8="(All)",'Master Database'!$P88=$E$8),OR($E$9="(All)",'Master Database'!$S88=$E$9),OR($E$10="(All)",'Master Database'!$Y88&amp;""=$E$10&amp;""),OR($H$5="(All)",'Master Database'!$BG88=$H$5),OR($H$6&lt;&gt;"Y",ISNUMBER('Master Database'!$AG88)),OR($H$7="",AND(ISNUMBER('Master Database'!$H88),N('Master Database'!$H88)&gt;=$H$7)),OR($I$7="",AND(ISNUMBER('Master Database'!$H88),N('Master Database'!$H88)&lt;=$I$7)),OR($H$8="",AND(ISNUMBER('Master Database'!$I88),N('Master Database'!$I88)&gt;=$H$8)),OR($I$8="",AND(ISNUMBER('Master Database'!$I88),N('Master Database'!$I88)&lt;=$I$8)),OR($H$9="",AND(ISNUMBER('Master Database'!$K88),N('Master Database'!$K88)&gt;=$H$9)),OR($I$9="",AND(ISNUMBER('Master Database'!$K88),N('Master Database'!$K88)&lt;=$I$9))),1,0))</f>
        <v>1</v>
      </c>
      <c r="BB88">
        <f>IF(BA88=1,COUNTIF($BA$5:BA88,1),"")</f>
        <v>84</v>
      </c>
    </row>
    <row r="89" spans="1:54">
      <c r="A89" s="20">
        <f>IF(74&lt;=SUM($BA$5:$BA$600),74,"")</f>
        <v>74</v>
      </c>
      <c r="B89" s="20">
        <f t="shared" si="2"/>
        <v>78</v>
      </c>
      <c r="C89" s="20">
        <f>IF($B89="","",IF(INDEX('Master Database'!$A$1:$A$600,$B89)="","",INDEX('Master Database'!$A$1:$A$600,$B89)))</f>
        <v>74</v>
      </c>
      <c r="D89" s="19" t="str">
        <f>IF($B89="","",IF(INDEX('Master Database'!$B$1:$B$600,$B89)="","",INDEX('Master Database'!$B$1:$B$600,$B89)))</f>
        <v>IGF De-oiled Waste Booster Pumps</v>
      </c>
      <c r="E89" s="19" t="str">
        <f>IF($B89="","",IF(INDEX('Master Database'!$C$1:$C$600,$B89)="","",INDEX('Master Database'!$C$1:$C$600,$B89)))</f>
        <v>Koopal Bangestan</v>
      </c>
      <c r="F89" s="19" t="str">
        <f>IF($B89="","",IF(INDEX('Master Database'!$D$1:$D$600,$B89)="","",INDEX('Master Database'!$D$1:$D$600,$B89)))</f>
        <v>P-141 A/B</v>
      </c>
      <c r="G89" s="19" t="str">
        <f>IF($B89="","",IF(INDEX('Master Database'!$E$1:$E$600,$B89)="","",INDEX('Master Database'!$E$1:$E$600,$B89)))</f>
        <v>ROT-INJ</v>
      </c>
      <c r="H89" s="19" t="str">
        <f>IF($B89="","",IF(INDEX('Master Database'!$F$1:$F$600,$B89)="","",INDEX('Master Database'!$F$1:$F$600,$B89)))</f>
        <v>OH2</v>
      </c>
      <c r="I89" s="19" t="str">
        <f>IF($B89="","",IF(INDEX('Master Database'!$G$1:$G$600,$B89)="","",INDEX('Master Database'!$G$1:$G$600,$B89)))</f>
        <v>D-2</v>
      </c>
      <c r="J89" s="46" t="str">
        <f>IF($B89="","",IF(INDEX('Master Database'!$H$1:$H$600,$B89)="","",INDEX('Master Database'!$H$1:$H$600,$B89)))</f>
        <v/>
      </c>
      <c r="K89" s="46" t="str">
        <f>IF($B89="","",IF(INDEX('Master Database'!$I$1:$I$600,$B89)="","",INDEX('Master Database'!$I$1:$I$600,$B89)))</f>
        <v/>
      </c>
      <c r="L89" s="46" t="str">
        <f>IF($B89="","",IF(INDEX('Master Database'!$K$1:$K$600,$B89)="","",INDEX('Master Database'!$K$1:$K$600,$B89)))</f>
        <v/>
      </c>
      <c r="M89" s="19" t="str">
        <f>IF($B89="","",IF(INDEX('Master Database'!$L$1:$L$600,$B89)="","",INDEX('Master Database'!$L$1:$L$600,$B89)))</f>
        <v>API 610 + IPS-G-PM-105 + NACE MR0175</v>
      </c>
      <c r="N89" s="19" t="str">
        <f>IF($B89="","",IF(INDEX('Master Database'!$P$1:$P$600,$B89)="","",INDEX('Master Database'!$P$1:$P$600,$B89)))</f>
        <v>Not stated</v>
      </c>
      <c r="O89" s="19" t="str">
        <f>IF($B89="","",IF(INDEX('Master Database'!$S$1:$S$600,$B89)="","",INDEX('Master Database'!$S$1:$S$600,$B89)))</f>
        <v>Electric Motor</v>
      </c>
      <c r="P89" s="19" t="str">
        <f>IF($B89="","",IF(INDEX('Master Database'!$T$1:$T$600,$B89)="","",INDEX('Master Database'!$T$1:$T$600,$B89)))</f>
        <v>Produced / Disposal Water</v>
      </c>
      <c r="Q89" s="19">
        <f>IF($B89="","",IF(INDEX('Master Database'!$Y$1:$Y$600,$B89)="","",INDEX('Master Database'!$Y$1:$Y$600,$B89)))</f>
        <v>1393</v>
      </c>
      <c r="R89" s="19" t="str">
        <f>IF($B89="","",IF(INDEX('Master Database'!$Z$1:$Z$600,$B89)="","",INDEX('Master Database'!$Z$1:$Z$600,$B89)))</f>
        <v>IRR</v>
      </c>
      <c r="S89" s="47" t="str">
        <f>IF($B89="","",IF(INDEX('Master Database'!$AA$1:$AA$600,$B89)="","",INDEX('Master Database'!$AA$1:$AA$600,$B89)))</f>
        <v>(Not stated)</v>
      </c>
      <c r="T89" s="19" t="str">
        <f>IF($B89="","",IF(INDEX('Master Database'!$AE$1:$AE$600,$B89)="","",INDEX('Master Database'!$AE$1:$AE$600,$B89)))</f>
        <v>Consultant FEED MTO estimate – KPL-476 R03 (Jan 2016); pump priced inside its package, no separate price | source label: AACE Class 3</v>
      </c>
      <c r="U89" s="47" t="str">
        <f>IF($B89="","",IF(INDEX('Master Database'!$AG$1:$AG$600,$B89)="","",INDEX('Master Database'!$AG$1:$AG$600,$B89)))</f>
        <v>(PPI/FX missing)</v>
      </c>
      <c r="V89" s="47" t="str">
        <f>IF($B89="","",IF(INDEX('Master Database'!$AH$1:$AH$600,$B89)="","",INDEX('Master Database'!$AH$1:$AH$600,$B89)))</f>
        <v/>
      </c>
      <c r="W89" s="47" t="str">
        <f>IF($B89="","",IF(INDEX('Master Database'!$AI$1:$AI$600,$B89)="","",INDEX('Master Database'!$AI$1:$AI$600,$B89)))</f>
        <v/>
      </c>
      <c r="X89" s="19" t="str">
        <f>IF($B89="","",IF(INDEX('Master Database'!$BG$1:$BG$600,$B89)="","",INDEX('Master Database'!$BG$1:$BG$600,$B89)))</f>
        <v>Y</v>
      </c>
      <c r="BA89">
        <f>IF('Master Database'!$A89="",0,IF(AND(OR($B$5="",ISNUMBER(SEARCH($B$5,'Master Database'!$B89&amp;" "&amp;'Master Database'!$D89))),OR($B$6="(All)",'Master Database'!$C89=$B$6),OR($B$7="(All)",'Master Database'!$E89=$B$7),OR($B$8="(All)",'Master Database'!$T89=$B$8),OR($B$9="(All)",'Master Database'!$M89=$B$9),OR($B$10="(All)",'Master Database'!$V89=$B$10),OR($E$5="(All)",'Master Database'!$F89=$E$5),OR($E$6="(All)",'Master Database'!$G89=$E$6),OR($E$7="(All)",'Master Database'!$O89=$E$7),OR($E$8="(All)",'Master Database'!$P89=$E$8),OR($E$9="(All)",'Master Database'!$S89=$E$9),OR($E$10="(All)",'Master Database'!$Y89&amp;""=$E$10&amp;""),OR($H$5="(All)",'Master Database'!$BG89=$H$5),OR($H$6&lt;&gt;"Y",ISNUMBER('Master Database'!$AG89)),OR($H$7="",AND(ISNUMBER('Master Database'!$H89),N('Master Database'!$H89)&gt;=$H$7)),OR($I$7="",AND(ISNUMBER('Master Database'!$H89),N('Master Database'!$H89)&lt;=$I$7)),OR($H$8="",AND(ISNUMBER('Master Database'!$I89),N('Master Database'!$I89)&gt;=$H$8)),OR($I$8="",AND(ISNUMBER('Master Database'!$I89),N('Master Database'!$I89)&lt;=$I$8)),OR($H$9="",AND(ISNUMBER('Master Database'!$K89),N('Master Database'!$K89)&gt;=$H$9)),OR($I$9="",AND(ISNUMBER('Master Database'!$K89),N('Master Database'!$K89)&lt;=$I$9))),1,0))</f>
        <v>1</v>
      </c>
      <c r="BB89">
        <f>IF(BA89=1,COUNTIF($BA$5:BA89,1),"")</f>
        <v>85</v>
      </c>
    </row>
    <row r="90" spans="1:54">
      <c r="A90" s="20">
        <f>IF(75&lt;=SUM($BA$5:$BA$600),75,"")</f>
        <v>75</v>
      </c>
      <c r="B90" s="20">
        <f t="shared" si="2"/>
        <v>79</v>
      </c>
      <c r="C90" s="20">
        <f>IF($B90="","",IF(INDEX('Master Database'!$A$1:$A$600,$B90)="","",INDEX('Master Database'!$A$1:$A$600,$B90)))</f>
        <v>75</v>
      </c>
      <c r="D90" s="19" t="str">
        <f>IF($B90="","",IF(INDEX('Master Database'!$B$1:$B$600,$B90)="","",INDEX('Master Database'!$B$1:$B$600,$B90)))</f>
        <v>IGF De-oiled Waste Booster Pumps</v>
      </c>
      <c r="E90" s="19" t="str">
        <f>IF($B90="","",IF(INDEX('Master Database'!$C$1:$C$600,$B90)="","",INDEX('Master Database'!$C$1:$C$600,$B90)))</f>
        <v>Koopal Bangestan</v>
      </c>
      <c r="F90" s="19" t="str">
        <f>IF($B90="","",IF(INDEX('Master Database'!$D$1:$D$600,$B90)="","",INDEX('Master Database'!$D$1:$D$600,$B90)))</f>
        <v>P-142 A/B</v>
      </c>
      <c r="G90" s="19" t="str">
        <f>IF($B90="","",IF(INDEX('Master Database'!$E$1:$E$600,$B90)="","",INDEX('Master Database'!$E$1:$E$600,$B90)))</f>
        <v>ROT-INJ</v>
      </c>
      <c r="H90" s="19" t="str">
        <f>IF($B90="","",IF(INDEX('Master Database'!$F$1:$F$600,$B90)="","",INDEX('Master Database'!$F$1:$F$600,$B90)))</f>
        <v>OH2</v>
      </c>
      <c r="I90" s="19" t="str">
        <f>IF($B90="","",IF(INDEX('Master Database'!$G$1:$G$600,$B90)="","",INDEX('Master Database'!$G$1:$G$600,$B90)))</f>
        <v>D-2</v>
      </c>
      <c r="J90" s="46" t="str">
        <f>IF($B90="","",IF(INDEX('Master Database'!$H$1:$H$600,$B90)="","",INDEX('Master Database'!$H$1:$H$600,$B90)))</f>
        <v/>
      </c>
      <c r="K90" s="46" t="str">
        <f>IF($B90="","",IF(INDEX('Master Database'!$I$1:$I$600,$B90)="","",INDEX('Master Database'!$I$1:$I$600,$B90)))</f>
        <v/>
      </c>
      <c r="L90" s="46" t="str">
        <f>IF($B90="","",IF(INDEX('Master Database'!$K$1:$K$600,$B90)="","",INDEX('Master Database'!$K$1:$K$600,$B90)))</f>
        <v/>
      </c>
      <c r="M90" s="19" t="str">
        <f>IF($B90="","",IF(INDEX('Master Database'!$L$1:$L$600,$B90)="","",INDEX('Master Database'!$L$1:$L$600,$B90)))</f>
        <v>API 610 + IPS-G-PM-105 + NACE MR0175</v>
      </c>
      <c r="N90" s="19" t="str">
        <f>IF($B90="","",IF(INDEX('Master Database'!$P$1:$P$600,$B90)="","",INDEX('Master Database'!$P$1:$P$600,$B90)))</f>
        <v>Not stated</v>
      </c>
      <c r="O90" s="19" t="str">
        <f>IF($B90="","",IF(INDEX('Master Database'!$S$1:$S$600,$B90)="","",INDEX('Master Database'!$S$1:$S$600,$B90)))</f>
        <v>Electric Motor</v>
      </c>
      <c r="P90" s="19" t="str">
        <f>IF($B90="","",IF(INDEX('Master Database'!$T$1:$T$600,$B90)="","",INDEX('Master Database'!$T$1:$T$600,$B90)))</f>
        <v>Produced / Disposal Water</v>
      </c>
      <c r="Q90" s="19">
        <f>IF($B90="","",IF(INDEX('Master Database'!$Y$1:$Y$600,$B90)="","",INDEX('Master Database'!$Y$1:$Y$600,$B90)))</f>
        <v>1393</v>
      </c>
      <c r="R90" s="19" t="str">
        <f>IF($B90="","",IF(INDEX('Master Database'!$Z$1:$Z$600,$B90)="","",INDEX('Master Database'!$Z$1:$Z$600,$B90)))</f>
        <v>IRR</v>
      </c>
      <c r="S90" s="47" t="str">
        <f>IF($B90="","",IF(INDEX('Master Database'!$AA$1:$AA$600,$B90)="","",INDEX('Master Database'!$AA$1:$AA$600,$B90)))</f>
        <v>(Not stated)</v>
      </c>
      <c r="T90" s="19" t="str">
        <f>IF($B90="","",IF(INDEX('Master Database'!$AE$1:$AE$600,$B90)="","",INDEX('Master Database'!$AE$1:$AE$600,$B90)))</f>
        <v>Consultant FEED MTO estimate – KPL-476 R03 (Jan 2016); pump priced inside its package, no separate price | source label: AACE Class 3</v>
      </c>
      <c r="U90" s="47" t="str">
        <f>IF($B90="","",IF(INDEX('Master Database'!$AG$1:$AG$600,$B90)="","",INDEX('Master Database'!$AG$1:$AG$600,$B90)))</f>
        <v>(PPI/FX missing)</v>
      </c>
      <c r="V90" s="47" t="str">
        <f>IF($B90="","",IF(INDEX('Master Database'!$AH$1:$AH$600,$B90)="","",INDEX('Master Database'!$AH$1:$AH$600,$B90)))</f>
        <v/>
      </c>
      <c r="W90" s="47" t="str">
        <f>IF($B90="","",IF(INDEX('Master Database'!$AI$1:$AI$600,$B90)="","",INDEX('Master Database'!$AI$1:$AI$600,$B90)))</f>
        <v/>
      </c>
      <c r="X90" s="19" t="str">
        <f>IF($B90="","",IF(INDEX('Master Database'!$BG$1:$BG$600,$B90)="","",INDEX('Master Database'!$BG$1:$BG$600,$B90)))</f>
        <v>Y</v>
      </c>
      <c r="BA90">
        <f>IF('Master Database'!$A90="",0,IF(AND(OR($B$5="",ISNUMBER(SEARCH($B$5,'Master Database'!$B90&amp;" "&amp;'Master Database'!$D90))),OR($B$6="(All)",'Master Database'!$C90=$B$6),OR($B$7="(All)",'Master Database'!$E90=$B$7),OR($B$8="(All)",'Master Database'!$T90=$B$8),OR($B$9="(All)",'Master Database'!$M90=$B$9),OR($B$10="(All)",'Master Database'!$V90=$B$10),OR($E$5="(All)",'Master Database'!$F90=$E$5),OR($E$6="(All)",'Master Database'!$G90=$E$6),OR($E$7="(All)",'Master Database'!$O90=$E$7),OR($E$8="(All)",'Master Database'!$P90=$E$8),OR($E$9="(All)",'Master Database'!$S90=$E$9),OR($E$10="(All)",'Master Database'!$Y90&amp;""=$E$10&amp;""),OR($H$5="(All)",'Master Database'!$BG90=$H$5),OR($H$6&lt;&gt;"Y",ISNUMBER('Master Database'!$AG90)),OR($H$7="",AND(ISNUMBER('Master Database'!$H90),N('Master Database'!$H90)&gt;=$H$7)),OR($I$7="",AND(ISNUMBER('Master Database'!$H90),N('Master Database'!$H90)&lt;=$I$7)),OR($H$8="",AND(ISNUMBER('Master Database'!$I90),N('Master Database'!$I90)&gt;=$H$8)),OR($I$8="",AND(ISNUMBER('Master Database'!$I90),N('Master Database'!$I90)&lt;=$I$8)),OR($H$9="",AND(ISNUMBER('Master Database'!$K90),N('Master Database'!$K90)&gt;=$H$9)),OR($I$9="",AND(ISNUMBER('Master Database'!$K90),N('Master Database'!$K90)&lt;=$I$9))),1,0))</f>
        <v>1</v>
      </c>
      <c r="BB90">
        <f>IF(BA90=1,COUNTIF($BA$5:BA90,1),"")</f>
        <v>86</v>
      </c>
    </row>
    <row r="91" spans="1:54">
      <c r="A91" s="20">
        <f>IF(76&lt;=SUM($BA$5:$BA$600),76,"")</f>
        <v>76</v>
      </c>
      <c r="B91" s="20">
        <f t="shared" si="2"/>
        <v>80</v>
      </c>
      <c r="C91" s="20">
        <f>IF($B91="","",IF(INDEX('Master Database'!$A$1:$A$600,$B91)="","",INDEX('Master Database'!$A$1:$A$600,$B91)))</f>
        <v>76</v>
      </c>
      <c r="D91" s="19" t="str">
        <f>IF($B91="","",IF(INDEX('Master Database'!$B$1:$B$600,$B91)="","",INDEX('Master Database'!$B$1:$B$600,$B91)))</f>
        <v>IGF Recovered Waste Oil Pumps</v>
      </c>
      <c r="E91" s="19" t="str">
        <f>IF($B91="","",IF(INDEX('Master Database'!$C$1:$C$600,$B91)="","",INDEX('Master Database'!$C$1:$C$600,$B91)))</f>
        <v>Koopal Bangestan</v>
      </c>
      <c r="F91" s="19" t="str">
        <f>IF($B91="","",IF(INDEX('Master Database'!$D$1:$D$600,$B91)="","",INDEX('Master Database'!$D$1:$D$600,$B91)))</f>
        <v>P-143 A/B</v>
      </c>
      <c r="G91" s="19" t="str">
        <f>IF($B91="","",IF(INDEX('Master Database'!$E$1:$E$600,$B91)="","",INDEX('Master Database'!$E$1:$E$600,$B91)))</f>
        <v>ROT-DRN</v>
      </c>
      <c r="H91" s="19" t="str">
        <f>IF($B91="","",IF(INDEX('Master Database'!$F$1:$F$600,$B91)="","",INDEX('Master Database'!$F$1:$F$600,$B91)))</f>
        <v>N/A (non-API 610)</v>
      </c>
      <c r="I91" s="19" t="str">
        <f>IF($B91="","",IF(INDEX('Master Database'!$G$1:$G$600,$B91)="","",INDEX('Master Database'!$G$1:$G$600,$B91)))</f>
        <v>D-1</v>
      </c>
      <c r="J91" s="46" t="str">
        <f>IF($B91="","",IF(INDEX('Master Database'!$H$1:$H$600,$B91)="","",INDEX('Master Database'!$H$1:$H$600,$B91)))</f>
        <v/>
      </c>
      <c r="K91" s="46" t="str">
        <f>IF($B91="","",IF(INDEX('Master Database'!$I$1:$I$600,$B91)="","",INDEX('Master Database'!$I$1:$I$600,$B91)))</f>
        <v/>
      </c>
      <c r="L91" s="46" t="str">
        <f>IF($B91="","",IF(INDEX('Master Database'!$K$1:$K$600,$B91)="","",INDEX('Master Database'!$K$1:$K$600,$B91)))</f>
        <v/>
      </c>
      <c r="M91" s="19" t="str">
        <f>IF($B91="","",IF(INDEX('Master Database'!$L$1:$L$600,$B91)="","",INDEX('Master Database'!$L$1:$L$600,$B91)))</f>
        <v>API 676 + IPS-M-PM-140</v>
      </c>
      <c r="N91" s="19" t="str">
        <f>IF($B91="","",IF(INDEX('Master Database'!$P$1:$P$600,$B91)="","",INDEX('Master Database'!$P$1:$P$600,$B91)))</f>
        <v>Not stated</v>
      </c>
      <c r="O91" s="19" t="str">
        <f>IF($B91="","",IF(INDEX('Master Database'!$S$1:$S$600,$B91)="","",INDEX('Master Database'!$S$1:$S$600,$B91)))</f>
        <v>Electric Motor</v>
      </c>
      <c r="P91" s="19" t="str">
        <f>IF($B91="","",IF(INDEX('Master Database'!$T$1:$T$600,$B91)="","",INDEX('Master Database'!$T$1:$T$600,$B91)))</f>
        <v>Slop / Dirty Oil</v>
      </c>
      <c r="Q91" s="19">
        <f>IF($B91="","",IF(INDEX('Master Database'!$Y$1:$Y$600,$B91)="","",INDEX('Master Database'!$Y$1:$Y$600,$B91)))</f>
        <v>1393</v>
      </c>
      <c r="R91" s="19" t="str">
        <f>IF($B91="","",IF(INDEX('Master Database'!$Z$1:$Z$600,$B91)="","",INDEX('Master Database'!$Z$1:$Z$600,$B91)))</f>
        <v>IRR</v>
      </c>
      <c r="S91" s="47" t="str">
        <f>IF($B91="","",IF(INDEX('Master Database'!$AA$1:$AA$600,$B91)="","",INDEX('Master Database'!$AA$1:$AA$600,$B91)))</f>
        <v>(Not stated)</v>
      </c>
      <c r="T91" s="19" t="str">
        <f>IF($B91="","",IF(INDEX('Master Database'!$AE$1:$AE$600,$B91)="","",INDEX('Master Database'!$AE$1:$AE$600,$B91)))</f>
        <v>Consultant FEED MTO estimate – KPL-476 R03 (Jan 2016); pump priced inside its package, no separate price | source label: AACE Class 3</v>
      </c>
      <c r="U91" s="47" t="str">
        <f>IF($B91="","",IF(INDEX('Master Database'!$AG$1:$AG$600,$B91)="","",INDEX('Master Database'!$AG$1:$AG$600,$B91)))</f>
        <v>(PPI/FX missing)</v>
      </c>
      <c r="V91" s="47" t="str">
        <f>IF($B91="","",IF(INDEX('Master Database'!$AH$1:$AH$600,$B91)="","",INDEX('Master Database'!$AH$1:$AH$600,$B91)))</f>
        <v/>
      </c>
      <c r="W91" s="47" t="str">
        <f>IF($B91="","",IF(INDEX('Master Database'!$AI$1:$AI$600,$B91)="","",INDEX('Master Database'!$AI$1:$AI$600,$B91)))</f>
        <v/>
      </c>
      <c r="X91" s="19" t="str">
        <f>IF($B91="","",IF(INDEX('Master Database'!$BG$1:$BG$600,$B91)="","",INDEX('Master Database'!$BG$1:$BG$600,$B91)))</f>
        <v>Y</v>
      </c>
      <c r="BA91">
        <f>IF('Master Database'!$A91="",0,IF(AND(OR($B$5="",ISNUMBER(SEARCH($B$5,'Master Database'!$B91&amp;" "&amp;'Master Database'!$D91))),OR($B$6="(All)",'Master Database'!$C91=$B$6),OR($B$7="(All)",'Master Database'!$E91=$B$7),OR($B$8="(All)",'Master Database'!$T91=$B$8),OR($B$9="(All)",'Master Database'!$M91=$B$9),OR($B$10="(All)",'Master Database'!$V91=$B$10),OR($E$5="(All)",'Master Database'!$F91=$E$5),OR($E$6="(All)",'Master Database'!$G91=$E$6),OR($E$7="(All)",'Master Database'!$O91=$E$7),OR($E$8="(All)",'Master Database'!$P91=$E$8),OR($E$9="(All)",'Master Database'!$S91=$E$9),OR($E$10="(All)",'Master Database'!$Y91&amp;""=$E$10&amp;""),OR($H$5="(All)",'Master Database'!$BG91=$H$5),OR($H$6&lt;&gt;"Y",ISNUMBER('Master Database'!$AG91)),OR($H$7="",AND(ISNUMBER('Master Database'!$H91),N('Master Database'!$H91)&gt;=$H$7)),OR($I$7="",AND(ISNUMBER('Master Database'!$H91),N('Master Database'!$H91)&lt;=$I$7)),OR($H$8="",AND(ISNUMBER('Master Database'!$I91),N('Master Database'!$I91)&gt;=$H$8)),OR($I$8="",AND(ISNUMBER('Master Database'!$I91),N('Master Database'!$I91)&lt;=$I$8)),OR($H$9="",AND(ISNUMBER('Master Database'!$K91),N('Master Database'!$K91)&gt;=$H$9)),OR($I$9="",AND(ISNUMBER('Master Database'!$K91),N('Master Database'!$K91)&lt;=$I$9))),1,0))</f>
        <v>1</v>
      </c>
      <c r="BB91">
        <f>IF(BA91=1,COUNTIF($BA$5:BA91,1),"")</f>
        <v>87</v>
      </c>
    </row>
    <row r="92" spans="1:54">
      <c r="A92" s="20">
        <f>IF(77&lt;=SUM($BA$5:$BA$600),77,"")</f>
        <v>77</v>
      </c>
      <c r="B92" s="20">
        <f t="shared" si="2"/>
        <v>81</v>
      </c>
      <c r="C92" s="20">
        <f>IF($B92="","",IF(INDEX('Master Database'!$A$1:$A$600,$B92)="","",INDEX('Master Database'!$A$1:$A$600,$B92)))</f>
        <v>77</v>
      </c>
      <c r="D92" s="19" t="str">
        <f>IF($B92="","",IF(INDEX('Master Database'!$B$1:$B$600,$B92)="","",INDEX('Master Database'!$B$1:$B$600,$B92)))</f>
        <v>IGF Oily Sludge Pumps</v>
      </c>
      <c r="E92" s="19" t="str">
        <f>IF($B92="","",IF(INDEX('Master Database'!$C$1:$C$600,$B92)="","",INDEX('Master Database'!$C$1:$C$600,$B92)))</f>
        <v>Koopal Bangestan</v>
      </c>
      <c r="F92" s="19" t="str">
        <f>IF($B92="","",IF(INDEX('Master Database'!$D$1:$D$600,$B92)="","",INDEX('Master Database'!$D$1:$D$600,$B92)))</f>
        <v>P-144 A/B</v>
      </c>
      <c r="G92" s="19" t="str">
        <f>IF($B92="","",IF(INDEX('Master Database'!$E$1:$E$600,$B92)="","",INDEX('Master Database'!$E$1:$E$600,$B92)))</f>
        <v>ROT-DRN</v>
      </c>
      <c r="H92" s="19" t="str">
        <f>IF($B92="","",IF(INDEX('Master Database'!$F$1:$F$600,$B92)="","",INDEX('Master Database'!$F$1:$F$600,$B92)))</f>
        <v>N/A (non-API 610)</v>
      </c>
      <c r="I92" s="19" t="str">
        <f>IF($B92="","",IF(INDEX('Master Database'!$G$1:$G$600,$B92)="","",INDEX('Master Database'!$G$1:$G$600,$B92)))</f>
        <v>D-2</v>
      </c>
      <c r="J92" s="46" t="str">
        <f>IF($B92="","",IF(INDEX('Master Database'!$H$1:$H$600,$B92)="","",INDEX('Master Database'!$H$1:$H$600,$B92)))</f>
        <v/>
      </c>
      <c r="K92" s="46" t="str">
        <f>IF($B92="","",IF(INDEX('Master Database'!$I$1:$I$600,$B92)="","",INDEX('Master Database'!$I$1:$I$600,$B92)))</f>
        <v/>
      </c>
      <c r="L92" s="46" t="str">
        <f>IF($B92="","",IF(INDEX('Master Database'!$K$1:$K$600,$B92)="","",INDEX('Master Database'!$K$1:$K$600,$B92)))</f>
        <v/>
      </c>
      <c r="M92" s="19" t="str">
        <f>IF($B92="","",IF(INDEX('Master Database'!$L$1:$L$600,$B92)="","",INDEX('Master Database'!$L$1:$L$600,$B92)))</f>
        <v>API 610 + IPS-G-PM-105 + NACE MR0175</v>
      </c>
      <c r="N92" s="19" t="str">
        <f>IF($B92="","",IF(INDEX('Master Database'!$P$1:$P$600,$B92)="","",INDEX('Master Database'!$P$1:$P$600,$B92)))</f>
        <v>Not stated</v>
      </c>
      <c r="O92" s="19" t="str">
        <f>IF($B92="","",IF(INDEX('Master Database'!$S$1:$S$600,$B92)="","",INDEX('Master Database'!$S$1:$S$600,$B92)))</f>
        <v>Electric Motor</v>
      </c>
      <c r="P92" s="19" t="str">
        <f>IF($B92="","",IF(INDEX('Master Database'!$T$1:$T$600,$B92)="","",INDEX('Master Database'!$T$1:$T$600,$B92)))</f>
        <v>Sludge</v>
      </c>
      <c r="Q92" s="19">
        <f>IF($B92="","",IF(INDEX('Master Database'!$Y$1:$Y$600,$B92)="","",INDEX('Master Database'!$Y$1:$Y$600,$B92)))</f>
        <v>1393</v>
      </c>
      <c r="R92" s="19" t="str">
        <f>IF($B92="","",IF(INDEX('Master Database'!$Z$1:$Z$600,$B92)="","",INDEX('Master Database'!$Z$1:$Z$600,$B92)))</f>
        <v>IRR</v>
      </c>
      <c r="S92" s="47" t="str">
        <f>IF($B92="","",IF(INDEX('Master Database'!$AA$1:$AA$600,$B92)="","",INDEX('Master Database'!$AA$1:$AA$600,$B92)))</f>
        <v>(Not stated)</v>
      </c>
      <c r="T92" s="19" t="str">
        <f>IF($B92="","",IF(INDEX('Master Database'!$AE$1:$AE$600,$B92)="","",INDEX('Master Database'!$AE$1:$AE$600,$B92)))</f>
        <v>Consultant FEED MTO estimate – KPL-476 R03 (Jan 2016); pump priced inside its package, no separate price | source label: AACE Class 3</v>
      </c>
      <c r="U92" s="47" t="str">
        <f>IF($B92="","",IF(INDEX('Master Database'!$AG$1:$AG$600,$B92)="","",INDEX('Master Database'!$AG$1:$AG$600,$B92)))</f>
        <v>(PPI/FX missing)</v>
      </c>
      <c r="V92" s="47" t="str">
        <f>IF($B92="","",IF(INDEX('Master Database'!$AH$1:$AH$600,$B92)="","",INDEX('Master Database'!$AH$1:$AH$600,$B92)))</f>
        <v/>
      </c>
      <c r="W92" s="47" t="str">
        <f>IF($B92="","",IF(INDEX('Master Database'!$AI$1:$AI$600,$B92)="","",INDEX('Master Database'!$AI$1:$AI$600,$B92)))</f>
        <v/>
      </c>
      <c r="X92" s="19" t="str">
        <f>IF($B92="","",IF(INDEX('Master Database'!$BG$1:$BG$600,$B92)="","",INDEX('Master Database'!$BG$1:$BG$600,$B92)))</f>
        <v>Y</v>
      </c>
      <c r="BA92">
        <f>IF('Master Database'!$A92="",0,IF(AND(OR($B$5="",ISNUMBER(SEARCH($B$5,'Master Database'!$B92&amp;" "&amp;'Master Database'!$D92))),OR($B$6="(All)",'Master Database'!$C92=$B$6),OR($B$7="(All)",'Master Database'!$E92=$B$7),OR($B$8="(All)",'Master Database'!$T92=$B$8),OR($B$9="(All)",'Master Database'!$M92=$B$9),OR($B$10="(All)",'Master Database'!$V92=$B$10),OR($E$5="(All)",'Master Database'!$F92=$E$5),OR($E$6="(All)",'Master Database'!$G92=$E$6),OR($E$7="(All)",'Master Database'!$O92=$E$7),OR($E$8="(All)",'Master Database'!$P92=$E$8),OR($E$9="(All)",'Master Database'!$S92=$E$9),OR($E$10="(All)",'Master Database'!$Y92&amp;""=$E$10&amp;""),OR($H$5="(All)",'Master Database'!$BG92=$H$5),OR($H$6&lt;&gt;"Y",ISNUMBER('Master Database'!$AG92)),OR($H$7="",AND(ISNUMBER('Master Database'!$H92),N('Master Database'!$H92)&gt;=$H$7)),OR($I$7="",AND(ISNUMBER('Master Database'!$H92),N('Master Database'!$H92)&lt;=$I$7)),OR($H$8="",AND(ISNUMBER('Master Database'!$I92),N('Master Database'!$I92)&gt;=$H$8)),OR($I$8="",AND(ISNUMBER('Master Database'!$I92),N('Master Database'!$I92)&lt;=$I$8)),OR($H$9="",AND(ISNUMBER('Master Database'!$K92),N('Master Database'!$K92)&gt;=$H$9)),OR($I$9="",AND(ISNUMBER('Master Database'!$K92),N('Master Database'!$K92)&lt;=$I$9))),1,0))</f>
        <v>1</v>
      </c>
      <c r="BB92">
        <f>IF(BA92=1,COUNTIF($BA$5:BA92,1),"")</f>
        <v>88</v>
      </c>
    </row>
    <row r="93" spans="1:54">
      <c r="A93" s="20">
        <f>IF(78&lt;=SUM($BA$5:$BA$600),78,"")</f>
        <v>78</v>
      </c>
      <c r="B93" s="20">
        <f t="shared" si="2"/>
        <v>82</v>
      </c>
      <c r="C93" s="20">
        <f>IF($B93="","",IF(INDEX('Master Database'!$A$1:$A$600,$B93)="","",INDEX('Master Database'!$A$1:$A$600,$B93)))</f>
        <v>78</v>
      </c>
      <c r="D93" s="19" t="str">
        <f>IF($B93="","",IF(INDEX('Master Database'!$B$1:$B$600,$B93)="","",INDEX('Master Database'!$B$1:$B$600,$B93)))</f>
        <v>Stripped Waste Water Pumps</v>
      </c>
      <c r="E93" s="19" t="str">
        <f>IF($B93="","",IF(INDEX('Master Database'!$C$1:$C$600,$B93)="","",INDEX('Master Database'!$C$1:$C$600,$B93)))</f>
        <v>Koopal Bangestan</v>
      </c>
      <c r="F93" s="19" t="str">
        <f>IF($B93="","",IF(INDEX('Master Database'!$D$1:$D$600,$B93)="","",INDEX('Master Database'!$D$1:$D$600,$B93)))</f>
        <v>P-148 A/B/C</v>
      </c>
      <c r="G93" s="19" t="str">
        <f>IF($B93="","",IF(INDEX('Master Database'!$E$1:$E$600,$B93)="","",INDEX('Master Database'!$E$1:$E$600,$B93)))</f>
        <v>ROT-INJ</v>
      </c>
      <c r="H93" s="19" t="str">
        <f>IF($B93="","",IF(INDEX('Master Database'!$F$1:$F$600,$B93)="","",INDEX('Master Database'!$F$1:$F$600,$B93)))</f>
        <v>OH2</v>
      </c>
      <c r="I93" s="19" t="str">
        <f>IF($B93="","",IF(INDEX('Master Database'!$G$1:$G$600,$B93)="","",INDEX('Master Database'!$G$1:$G$600,$B93)))</f>
        <v>D-2</v>
      </c>
      <c r="J93" s="46">
        <f>IF($B93="","",IF(INDEX('Master Database'!$H$1:$H$600,$B93)="","",INDEX('Master Database'!$H$1:$H$600,$B93)))</f>
        <v>50</v>
      </c>
      <c r="K93" s="46">
        <f>IF($B93="","",IF(INDEX('Master Database'!$I$1:$I$600,$B93)="","",INDEX('Master Database'!$I$1:$I$600,$B93)))</f>
        <v>30.6</v>
      </c>
      <c r="L93" s="46">
        <f>IF($B93="","",IF(INDEX('Master Database'!$K$1:$K$600,$B93)="","",INDEX('Master Database'!$K$1:$K$600,$B93)))</f>
        <v>6.9482288828337877</v>
      </c>
      <c r="M93" s="19" t="str">
        <f>IF($B93="","",IF(INDEX('Master Database'!$L$1:$L$600,$B93)="","",INDEX('Master Database'!$L$1:$L$600,$B93)))</f>
        <v>API 610 + IPS-G-PM-105</v>
      </c>
      <c r="N93" s="19" t="str">
        <f>IF($B93="","",IF(INDEX('Master Database'!$P$1:$P$600,$B93)="","",INDEX('Master Database'!$P$1:$P$600,$B93)))</f>
        <v>Not stated</v>
      </c>
      <c r="O93" s="19" t="str">
        <f>IF($B93="","",IF(INDEX('Master Database'!$S$1:$S$600,$B93)="","",INDEX('Master Database'!$S$1:$S$600,$B93)))</f>
        <v>Electric Motor</v>
      </c>
      <c r="P93" s="19" t="str">
        <f>IF($B93="","",IF(INDEX('Master Database'!$T$1:$T$600,$B93)="","",INDEX('Master Database'!$T$1:$T$600,$B93)))</f>
        <v>Produced / Disposal Water</v>
      </c>
      <c r="Q93" s="19">
        <f>IF($B93="","",IF(INDEX('Master Database'!$Y$1:$Y$600,$B93)="","",INDEX('Master Database'!$Y$1:$Y$600,$B93)))</f>
        <v>1393</v>
      </c>
      <c r="R93" s="19" t="str">
        <f>IF($B93="","",IF(INDEX('Master Database'!$Z$1:$Z$600,$B93)="","",INDEX('Master Database'!$Z$1:$Z$600,$B93)))</f>
        <v>IRR</v>
      </c>
      <c r="S93" s="47" t="str">
        <f>IF($B93="","",IF(INDEX('Master Database'!$AA$1:$AA$600,$B93)="","",INDEX('Master Database'!$AA$1:$AA$600,$B93)))</f>
        <v>(Not stated)</v>
      </c>
      <c r="T93" s="19" t="str">
        <f>IF($B93="","",IF(INDEX('Master Database'!$AE$1:$AE$600,$B93)="","",INDEX('Master Database'!$AE$1:$AE$600,$B93)))</f>
        <v>Consultant FEED MTO estimate – KPL-476 R03 (Jan 2016); pump priced inside its package, no separate price | source label: AACE Class 3</v>
      </c>
      <c r="U93" s="47" t="str">
        <f>IF($B93="","",IF(INDEX('Master Database'!$AG$1:$AG$600,$B93)="","",INDEX('Master Database'!$AG$1:$AG$600,$B93)))</f>
        <v>(PPI/FX missing)</v>
      </c>
      <c r="V93" s="47" t="str">
        <f>IF($B93="","",IF(INDEX('Master Database'!$AH$1:$AH$600,$B93)="","",INDEX('Master Database'!$AH$1:$AH$600,$B93)))</f>
        <v/>
      </c>
      <c r="W93" s="47" t="str">
        <f>IF($B93="","",IF(INDEX('Master Database'!$AI$1:$AI$600,$B93)="","",INDEX('Master Database'!$AI$1:$AI$600,$B93)))</f>
        <v/>
      </c>
      <c r="X93" s="19" t="str">
        <f>IF($B93="","",IF(INDEX('Master Database'!$BG$1:$BG$600,$B93)="","",INDEX('Master Database'!$BG$1:$BG$600,$B93)))</f>
        <v>Y</v>
      </c>
      <c r="BA93">
        <f>IF('Master Database'!$A93="",0,IF(AND(OR($B$5="",ISNUMBER(SEARCH($B$5,'Master Database'!$B93&amp;" "&amp;'Master Database'!$D93))),OR($B$6="(All)",'Master Database'!$C93=$B$6),OR($B$7="(All)",'Master Database'!$E93=$B$7),OR($B$8="(All)",'Master Database'!$T93=$B$8),OR($B$9="(All)",'Master Database'!$M93=$B$9),OR($B$10="(All)",'Master Database'!$V93=$B$10),OR($E$5="(All)",'Master Database'!$F93=$E$5),OR($E$6="(All)",'Master Database'!$G93=$E$6),OR($E$7="(All)",'Master Database'!$O93=$E$7),OR($E$8="(All)",'Master Database'!$P93=$E$8),OR($E$9="(All)",'Master Database'!$S93=$E$9),OR($E$10="(All)",'Master Database'!$Y93&amp;""=$E$10&amp;""),OR($H$5="(All)",'Master Database'!$BG93=$H$5),OR($H$6&lt;&gt;"Y",ISNUMBER('Master Database'!$AG93)),OR($H$7="",AND(ISNUMBER('Master Database'!$H93),N('Master Database'!$H93)&gt;=$H$7)),OR($I$7="",AND(ISNUMBER('Master Database'!$H93),N('Master Database'!$H93)&lt;=$I$7)),OR($H$8="",AND(ISNUMBER('Master Database'!$I93),N('Master Database'!$I93)&gt;=$H$8)),OR($I$8="",AND(ISNUMBER('Master Database'!$I93),N('Master Database'!$I93)&lt;=$I$8)),OR($H$9="",AND(ISNUMBER('Master Database'!$K93),N('Master Database'!$K93)&gt;=$H$9)),OR($I$9="",AND(ISNUMBER('Master Database'!$K93),N('Master Database'!$K93)&lt;=$I$9))),1,0))</f>
        <v>1</v>
      </c>
      <c r="BB93">
        <f>IF(BA93=1,COUNTIF($BA$5:BA93,1),"")</f>
        <v>89</v>
      </c>
    </row>
    <row r="94" spans="1:54">
      <c r="A94" s="20">
        <f>IF(79&lt;=SUM($BA$5:$BA$600),79,"")</f>
        <v>79</v>
      </c>
      <c r="B94" s="20">
        <f t="shared" si="2"/>
        <v>83</v>
      </c>
      <c r="C94" s="20">
        <f>IF($B94="","",IF(INDEX('Master Database'!$A$1:$A$600,$B94)="","",INDEX('Master Database'!$A$1:$A$600,$B94)))</f>
        <v>79</v>
      </c>
      <c r="D94" s="19" t="str">
        <f>IF($B94="","",IF(INDEX('Master Database'!$B$1:$B$600,$B94)="","",INDEX('Master Database'!$B$1:$B$600,$B94)))</f>
        <v>Deaerated Water Pumps</v>
      </c>
      <c r="E94" s="19" t="str">
        <f>IF($B94="","",IF(INDEX('Master Database'!$C$1:$C$600,$B94)="","",INDEX('Master Database'!$C$1:$C$600,$B94)))</f>
        <v>Koopal Asmari</v>
      </c>
      <c r="F94" s="19" t="str">
        <f>IF($B94="","",IF(INDEX('Master Database'!$D$1:$D$600,$B94)="","",INDEX('Master Database'!$D$1:$D$600,$B94)))</f>
        <v>P-153 A/B</v>
      </c>
      <c r="G94" s="19" t="str">
        <f>IF($B94="","",IF(INDEX('Master Database'!$E$1:$E$600,$B94)="","",INDEX('Master Database'!$E$1:$E$600,$B94)))</f>
        <v>ROT-WAT</v>
      </c>
      <c r="H94" s="19" t="str">
        <f>IF($B94="","",IF(INDEX('Master Database'!$F$1:$F$600,$B94)="","",INDEX('Master Database'!$F$1:$F$600,$B94)))</f>
        <v>N/A (non-API 610)</v>
      </c>
      <c r="I94" s="19" t="str">
        <f>IF($B94="","",IF(INDEX('Master Database'!$G$1:$G$600,$B94)="","",INDEX('Master Database'!$G$1:$G$600,$B94)))</f>
        <v>I-2</v>
      </c>
      <c r="J94" s="46">
        <f>IF($B94="","",IF(INDEX('Master Database'!$H$1:$H$600,$B94)="","",INDEX('Master Database'!$H$1:$H$600,$B94)))</f>
        <v>48</v>
      </c>
      <c r="K94" s="46">
        <f>IF($B94="","",IF(INDEX('Master Database'!$I$1:$I$600,$B94)="","",INDEX('Master Database'!$I$1:$I$600,$B94)))</f>
        <v>36</v>
      </c>
      <c r="L94" s="46">
        <f>IF($B94="","",IF(INDEX('Master Database'!$K$1:$K$600,$B94)="","",INDEX('Master Database'!$K$1:$K$600,$B94)))</f>
        <v>7.8474114441416898</v>
      </c>
      <c r="M94" s="19" t="str">
        <f>IF($B94="","",IF(INDEX('Master Database'!$L$1:$L$600,$B94)="","",INDEX('Master Database'!$L$1:$L$600,$B94)))</f>
        <v>ISO 5199 + IPS-M-PM-115</v>
      </c>
      <c r="N94" s="19" t="str">
        <f>IF($B94="","",IF(INDEX('Master Database'!$P$1:$P$600,$B94)="","",INDEX('Master Database'!$P$1:$P$600,$B94)))</f>
        <v>Not stated</v>
      </c>
      <c r="O94" s="19" t="str">
        <f>IF($B94="","",IF(INDEX('Master Database'!$S$1:$S$600,$B94)="","",INDEX('Master Database'!$S$1:$S$600,$B94)))</f>
        <v>Electric Motor</v>
      </c>
      <c r="P94" s="19" t="str">
        <f>IF($B94="","",IF(INDEX('Master Database'!$T$1:$T$600,$B94)="","",INDEX('Master Database'!$T$1:$T$600,$B94)))</f>
        <v>Deaerated Water</v>
      </c>
      <c r="Q94" s="19">
        <f>IF($B94="","",IF(INDEX('Master Database'!$Y$1:$Y$600,$B94)="","",INDEX('Master Database'!$Y$1:$Y$600,$B94)))</f>
        <v>1393</v>
      </c>
      <c r="R94" s="19" t="str">
        <f>IF($B94="","",IF(INDEX('Master Database'!$Z$1:$Z$600,$B94)="","",INDEX('Master Database'!$Z$1:$Z$600,$B94)))</f>
        <v>EUR</v>
      </c>
      <c r="S94" s="47">
        <f>IF($B94="","",IF(INDEX('Master Database'!$AA$1:$AA$600,$B94)="","",INDEX('Master Database'!$AA$1:$AA$600,$B94)))</f>
        <v>6500</v>
      </c>
      <c r="T94" s="19" t="str">
        <f>IF($B94="","",IF(INDEX('Master Database'!$AE$1:$AE$600,$B94)="","",INDEX('Master Database'!$AE$1:$AE$600,$B94)))</f>
        <v>Consultant FEED MTO estimate – KPL-476 R03 (Jan 2016); vendor-level price in EUR, before project overhead | source label: AACE Class 3</v>
      </c>
      <c r="U94" s="47">
        <f>IF($B94="","",IF(INDEX('Master Database'!$AG$1:$AG$600,$B94)="","",INDEX('Master Database'!$AG$1:$AG$600,$B94)))</f>
        <v>8781.9413883324032</v>
      </c>
      <c r="V94" s="47">
        <f>IF($B94="","",IF(INDEX('Master Database'!$AH$1:$AH$600,$B94)="","",INDEX('Master Database'!$AH$1:$AH$600,$B94)))</f>
        <v>9271.8251404000912</v>
      </c>
      <c r="W94" s="47">
        <f>IF($B94="","",IF(INDEX('Master Database'!$AI$1:$AI$600,$B94)="","",INDEX('Master Database'!$AI$1:$AI$600,$B94)))</f>
        <v>6105802825.1830931</v>
      </c>
      <c r="X94" s="19" t="str">
        <f>IF($B94="","",IF(INDEX('Master Database'!$BG$1:$BG$600,$B94)="","",INDEX('Master Database'!$BG$1:$BG$600,$B94)))</f>
        <v>Y</v>
      </c>
      <c r="BA94">
        <f>IF('Master Database'!$A94="",0,IF(AND(OR($B$5="",ISNUMBER(SEARCH($B$5,'Master Database'!$B94&amp;" "&amp;'Master Database'!$D94))),OR($B$6="(All)",'Master Database'!$C94=$B$6),OR($B$7="(All)",'Master Database'!$E94=$B$7),OR($B$8="(All)",'Master Database'!$T94=$B$8),OR($B$9="(All)",'Master Database'!$M94=$B$9),OR($B$10="(All)",'Master Database'!$V94=$B$10),OR($E$5="(All)",'Master Database'!$F94=$E$5),OR($E$6="(All)",'Master Database'!$G94=$E$6),OR($E$7="(All)",'Master Database'!$O94=$E$7),OR($E$8="(All)",'Master Database'!$P94=$E$8),OR($E$9="(All)",'Master Database'!$S94=$E$9),OR($E$10="(All)",'Master Database'!$Y94&amp;""=$E$10&amp;""),OR($H$5="(All)",'Master Database'!$BG94=$H$5),OR($H$6&lt;&gt;"Y",ISNUMBER('Master Database'!$AG94)),OR($H$7="",AND(ISNUMBER('Master Database'!$H94),N('Master Database'!$H94)&gt;=$H$7)),OR($I$7="",AND(ISNUMBER('Master Database'!$H94),N('Master Database'!$H94)&lt;=$I$7)),OR($H$8="",AND(ISNUMBER('Master Database'!$I94),N('Master Database'!$I94)&gt;=$H$8)),OR($I$8="",AND(ISNUMBER('Master Database'!$I94),N('Master Database'!$I94)&lt;=$I$8)),OR($H$9="",AND(ISNUMBER('Master Database'!$K94),N('Master Database'!$K94)&gt;=$H$9)),OR($I$9="",AND(ISNUMBER('Master Database'!$K94),N('Master Database'!$K94)&lt;=$I$9))),1,0))</f>
        <v>1</v>
      </c>
      <c r="BB94">
        <f>IF(BA94=1,COUNTIF($BA$5:BA94,1),"")</f>
        <v>90</v>
      </c>
    </row>
    <row r="95" spans="1:54">
      <c r="A95" s="20">
        <f>IF(80&lt;=SUM($BA$5:$BA$600),80,"")</f>
        <v>80</v>
      </c>
      <c r="B95" s="20">
        <f t="shared" si="2"/>
        <v>84</v>
      </c>
      <c r="C95" s="20">
        <f>IF($B95="","",IF(INDEX('Master Database'!$A$1:$A$600,$B95)="","",INDEX('Master Database'!$A$1:$A$600,$B95)))</f>
        <v>80</v>
      </c>
      <c r="D95" s="19" t="str">
        <f>IF($B95="","",IF(INDEX('Master Database'!$B$1:$B$600,$B95)="","",INDEX('Master Database'!$B$1:$B$600,$B95)))</f>
        <v>Potable Water Loading Pumps</v>
      </c>
      <c r="E95" s="19" t="str">
        <f>IF($B95="","",IF(INDEX('Master Database'!$C$1:$C$600,$B95)="","",INDEX('Master Database'!$C$1:$C$600,$B95)))</f>
        <v>Koopal Asmari</v>
      </c>
      <c r="F95" s="19" t="str">
        <f>IF($B95="","",IF(INDEX('Master Database'!$D$1:$D$600,$B95)="","",INDEX('Master Database'!$D$1:$D$600,$B95)))</f>
        <v>P-158</v>
      </c>
      <c r="G95" s="19" t="str">
        <f>IF($B95="","",IF(INDEX('Master Database'!$E$1:$E$600,$B95)="","",INDEX('Master Database'!$E$1:$E$600,$B95)))</f>
        <v>ROT-WAT</v>
      </c>
      <c r="H95" s="19" t="str">
        <f>IF($B95="","",IF(INDEX('Master Database'!$F$1:$F$600,$B95)="","",INDEX('Master Database'!$F$1:$F$600,$B95)))</f>
        <v>N/A (non-API 610)</v>
      </c>
      <c r="I95" s="19" t="str">
        <f>IF($B95="","",IF(INDEX('Master Database'!$G$1:$G$600,$B95)="","",INDEX('Master Database'!$G$1:$G$600,$B95)))</f>
        <v>I-2</v>
      </c>
      <c r="J95" s="46">
        <f>IF($B95="","",IF(INDEX('Master Database'!$H$1:$H$600,$B95)="","",INDEX('Master Database'!$H$1:$H$600,$B95)))</f>
        <v>33</v>
      </c>
      <c r="K95" s="46">
        <f>IF($B95="","",IF(INDEX('Master Database'!$I$1:$I$600,$B95)="","",INDEX('Master Database'!$I$1:$I$600,$B95)))</f>
        <v>31</v>
      </c>
      <c r="L95" s="46">
        <f>IF($B95="","",IF(INDEX('Master Database'!$K$1:$K$600,$B95)="","",INDEX('Master Database'!$K$1:$K$600,$B95)))</f>
        <v>4.6457765667574931</v>
      </c>
      <c r="M95" s="19" t="str">
        <f>IF($B95="","",IF(INDEX('Master Database'!$L$1:$L$600,$B95)="","",INDEX('Master Database'!$L$1:$L$600,$B95)))</f>
        <v>ISO 5199 + IPS-M-PM-115</v>
      </c>
      <c r="N95" s="19" t="str">
        <f>IF($B95="","",IF(INDEX('Master Database'!$P$1:$P$600,$B95)="","",INDEX('Master Database'!$P$1:$P$600,$B95)))</f>
        <v>Not stated</v>
      </c>
      <c r="O95" s="19" t="str">
        <f>IF($B95="","",IF(INDEX('Master Database'!$S$1:$S$600,$B95)="","",INDEX('Master Database'!$S$1:$S$600,$B95)))</f>
        <v>Electric Motor</v>
      </c>
      <c r="P95" s="19" t="str">
        <f>IF($B95="","",IF(INDEX('Master Database'!$T$1:$T$600,$B95)="","",INDEX('Master Database'!$T$1:$T$600,$B95)))</f>
        <v>Fresh / Potable Water</v>
      </c>
      <c r="Q95" s="19">
        <f>IF($B95="","",IF(INDEX('Master Database'!$Y$1:$Y$600,$B95)="","",INDEX('Master Database'!$Y$1:$Y$600,$B95)))</f>
        <v>1393</v>
      </c>
      <c r="R95" s="19" t="str">
        <f>IF($B95="","",IF(INDEX('Master Database'!$Z$1:$Z$600,$B95)="","",INDEX('Master Database'!$Z$1:$Z$600,$B95)))</f>
        <v>EUR</v>
      </c>
      <c r="S95" s="47">
        <f>IF($B95="","",IF(INDEX('Master Database'!$AA$1:$AA$600,$B95)="","",INDEX('Master Database'!$AA$1:$AA$600,$B95)))</f>
        <v>6500</v>
      </c>
      <c r="T95" s="19" t="str">
        <f>IF($B95="","",IF(INDEX('Master Database'!$AE$1:$AE$600,$B95)="","",INDEX('Master Database'!$AE$1:$AE$600,$B95)))</f>
        <v>Consultant FEED MTO estimate – KPL-476 R03 (Jan 2016); vendor-level price in EUR, before project overhead | source label: AACE Class 3</v>
      </c>
      <c r="U95" s="47">
        <f>IF($B95="","",IF(INDEX('Master Database'!$AG$1:$AG$600,$B95)="","",INDEX('Master Database'!$AG$1:$AG$600,$B95)))</f>
        <v>8781.9413883324032</v>
      </c>
      <c r="V95" s="47">
        <f>IF($B95="","",IF(INDEX('Master Database'!$AH$1:$AH$600,$B95)="","",INDEX('Master Database'!$AH$1:$AH$600,$B95)))</f>
        <v>9271.8251404000912</v>
      </c>
      <c r="W95" s="47">
        <f>IF($B95="","",IF(INDEX('Master Database'!$AI$1:$AI$600,$B95)="","",INDEX('Master Database'!$AI$1:$AI$600,$B95)))</f>
        <v>6105802825.1830931</v>
      </c>
      <c r="X95" s="19" t="str">
        <f>IF($B95="","",IF(INDEX('Master Database'!$BG$1:$BG$600,$B95)="","",INDEX('Master Database'!$BG$1:$BG$600,$B95)))</f>
        <v>Y</v>
      </c>
      <c r="BA95">
        <f>IF('Master Database'!$A95="",0,IF(AND(OR($B$5="",ISNUMBER(SEARCH($B$5,'Master Database'!$B95&amp;" "&amp;'Master Database'!$D95))),OR($B$6="(All)",'Master Database'!$C95=$B$6),OR($B$7="(All)",'Master Database'!$E95=$B$7),OR($B$8="(All)",'Master Database'!$T95=$B$8),OR($B$9="(All)",'Master Database'!$M95=$B$9),OR($B$10="(All)",'Master Database'!$V95=$B$10),OR($E$5="(All)",'Master Database'!$F95=$E$5),OR($E$6="(All)",'Master Database'!$G95=$E$6),OR($E$7="(All)",'Master Database'!$O95=$E$7),OR($E$8="(All)",'Master Database'!$P95=$E$8),OR($E$9="(All)",'Master Database'!$S95=$E$9),OR($E$10="(All)",'Master Database'!$Y95&amp;""=$E$10&amp;""),OR($H$5="(All)",'Master Database'!$BG95=$H$5),OR($H$6&lt;&gt;"Y",ISNUMBER('Master Database'!$AG95)),OR($H$7="",AND(ISNUMBER('Master Database'!$H95),N('Master Database'!$H95)&gt;=$H$7)),OR($I$7="",AND(ISNUMBER('Master Database'!$H95),N('Master Database'!$H95)&lt;=$I$7)),OR($H$8="",AND(ISNUMBER('Master Database'!$I95),N('Master Database'!$I95)&gt;=$H$8)),OR($I$8="",AND(ISNUMBER('Master Database'!$I95),N('Master Database'!$I95)&lt;=$I$8)),OR($H$9="",AND(ISNUMBER('Master Database'!$K95),N('Master Database'!$K95)&gt;=$H$9)),OR($I$9="",AND(ISNUMBER('Master Database'!$K95),N('Master Database'!$K95)&lt;=$I$9))),1,0))</f>
        <v>1</v>
      </c>
      <c r="BB95">
        <f>IF(BA95=1,COUNTIF($BA$5:BA95,1),"")</f>
        <v>91</v>
      </c>
    </row>
    <row r="96" spans="1:54">
      <c r="A96" s="20">
        <f>IF(81&lt;=SUM($BA$5:$BA$600),81,"")</f>
        <v>81</v>
      </c>
      <c r="B96" s="20">
        <f t="shared" si="2"/>
        <v>85</v>
      </c>
      <c r="C96" s="20">
        <f>IF($B96="","",IF(INDEX('Master Database'!$A$1:$A$600,$B96)="","",INDEX('Master Database'!$A$1:$A$600,$B96)))</f>
        <v>81</v>
      </c>
      <c r="D96" s="19" t="str">
        <f>IF($B96="","",IF(INDEX('Master Database'!$B$1:$B$600,$B96)="","",INDEX('Master Database'!$B$1:$B$600,$B96)))</f>
        <v>Flare K.O. Drums Sump Pump</v>
      </c>
      <c r="E96" s="19" t="str">
        <f>IF($B96="","",IF(INDEX('Master Database'!$C$1:$C$600,$B96)="","",INDEX('Master Database'!$C$1:$C$600,$B96)))</f>
        <v>Koopal Asmari</v>
      </c>
      <c r="F96" s="19" t="str">
        <f>IF($B96="","",IF(INDEX('Master Database'!$D$1:$D$600,$B96)="","",INDEX('Master Database'!$D$1:$D$600,$B96)))</f>
        <v>P-172</v>
      </c>
      <c r="G96" s="19" t="str">
        <f>IF($B96="","",IF(INDEX('Master Database'!$E$1:$E$600,$B96)="","",INDEX('Master Database'!$E$1:$E$600,$B96)))</f>
        <v>ROT-DRN</v>
      </c>
      <c r="H96" s="19" t="str">
        <f>IF($B96="","",IF(INDEX('Master Database'!$F$1:$F$600,$B96)="","",INDEX('Master Database'!$F$1:$F$600,$B96)))</f>
        <v>VS4</v>
      </c>
      <c r="I96" s="19" t="str">
        <f>IF($B96="","",IF(INDEX('Master Database'!$G$1:$G$600,$B96)="","",INDEX('Master Database'!$G$1:$G$600,$B96)))</f>
        <v>S-6</v>
      </c>
      <c r="J96" s="46">
        <f>IF($B96="","",IF(INDEX('Master Database'!$H$1:$H$600,$B96)="","",INDEX('Master Database'!$H$1:$H$600,$B96)))</f>
        <v>5.5</v>
      </c>
      <c r="K96" s="46">
        <f>IF($B96="","",IF(INDEX('Master Database'!$I$1:$I$600,$B96)="","",INDEX('Master Database'!$I$1:$I$600,$B96)))</f>
        <v>43</v>
      </c>
      <c r="L96" s="46">
        <f>IF($B96="","",IF(INDEX('Master Database'!$K$1:$K$600,$B96)="","",INDEX('Master Database'!$K$1:$K$600,$B96)))</f>
        <v>1.0740236148955495</v>
      </c>
      <c r="M96" s="19" t="str">
        <f>IF($B96="","",IF(INDEX('Master Database'!$L$1:$L$600,$B96)="","",INDEX('Master Database'!$L$1:$L$600,$B96)))</f>
        <v>API 610 + IPS-G-PM-105</v>
      </c>
      <c r="N96" s="19" t="str">
        <f>IF($B96="","",IF(INDEX('Master Database'!$P$1:$P$600,$B96)="","",INDEX('Master Database'!$P$1:$P$600,$B96)))</f>
        <v>Not stated</v>
      </c>
      <c r="O96" s="19" t="str">
        <f>IF($B96="","",IF(INDEX('Master Database'!$S$1:$S$600,$B96)="","",INDEX('Master Database'!$S$1:$S$600,$B96)))</f>
        <v>Electric Motor</v>
      </c>
      <c r="P96" s="19" t="str">
        <f>IF($B96="","",IF(INDEX('Master Database'!$T$1:$T$600,$B96)="","",INDEX('Master Database'!$T$1:$T$600,$B96)))</f>
        <v>Oily Water / Drain</v>
      </c>
      <c r="Q96" s="19">
        <f>IF($B96="","",IF(INDEX('Master Database'!$Y$1:$Y$600,$B96)="","",INDEX('Master Database'!$Y$1:$Y$600,$B96)))</f>
        <v>1393</v>
      </c>
      <c r="R96" s="19" t="str">
        <f>IF($B96="","",IF(INDEX('Master Database'!$Z$1:$Z$600,$B96)="","",INDEX('Master Database'!$Z$1:$Z$600,$B96)))</f>
        <v>EUR</v>
      </c>
      <c r="S96" s="47">
        <f>IF($B96="","",IF(INDEX('Master Database'!$AA$1:$AA$600,$B96)="","",INDEX('Master Database'!$AA$1:$AA$600,$B96)))</f>
        <v>10000</v>
      </c>
      <c r="T96" s="19" t="str">
        <f>IF($B96="","",IF(INDEX('Master Database'!$AE$1:$AE$600,$B96)="","",INDEX('Master Database'!$AE$1:$AE$600,$B96)))</f>
        <v>Consultant FEED MTO estimate – KPL-476 R03 (Jan 2016); vendor-level price in EUR, before project overhead | source label: AACE Class 3</v>
      </c>
      <c r="U96" s="47">
        <f>IF($B96="","",IF(INDEX('Master Database'!$AG$1:$AG$600,$B96)="","",INDEX('Master Database'!$AG$1:$AG$600,$B96)))</f>
        <v>25000</v>
      </c>
      <c r="V96" s="47">
        <f>IF($B96="","",IF(INDEX('Master Database'!$AH$1:$AH$600,$B96)="","",INDEX('Master Database'!$AH$1:$AH$600,$B96)))</f>
        <v>26394.577037141647</v>
      </c>
      <c r="W96" s="47">
        <f>IF($B96="","",IF(INDEX('Master Database'!$AI$1:$AI$600,$B96)="","",INDEX('Master Database'!$AI$1:$AI$600,$B96)))</f>
        <v>17381700000</v>
      </c>
      <c r="X96" s="19" t="str">
        <f>IF($B96="","",IF(INDEX('Master Database'!$BG$1:$BG$600,$B96)="","",INDEX('Master Database'!$BG$1:$BG$600,$B96)))</f>
        <v>Y</v>
      </c>
      <c r="BA96">
        <f>IF('Master Database'!$A96="",0,IF(AND(OR($B$5="",ISNUMBER(SEARCH($B$5,'Master Database'!$B96&amp;" "&amp;'Master Database'!$D96))),OR($B$6="(All)",'Master Database'!$C96=$B$6),OR($B$7="(All)",'Master Database'!$E96=$B$7),OR($B$8="(All)",'Master Database'!$T96=$B$8),OR($B$9="(All)",'Master Database'!$M96=$B$9),OR($B$10="(All)",'Master Database'!$V96=$B$10),OR($E$5="(All)",'Master Database'!$F96=$E$5),OR($E$6="(All)",'Master Database'!$G96=$E$6),OR($E$7="(All)",'Master Database'!$O96=$E$7),OR($E$8="(All)",'Master Database'!$P96=$E$8),OR($E$9="(All)",'Master Database'!$S96=$E$9),OR($E$10="(All)",'Master Database'!$Y96&amp;""=$E$10&amp;""),OR($H$5="(All)",'Master Database'!$BG96=$H$5),OR($H$6&lt;&gt;"Y",ISNUMBER('Master Database'!$AG96)),OR($H$7="",AND(ISNUMBER('Master Database'!$H96),N('Master Database'!$H96)&gt;=$H$7)),OR($I$7="",AND(ISNUMBER('Master Database'!$H96),N('Master Database'!$H96)&lt;=$I$7)),OR($H$8="",AND(ISNUMBER('Master Database'!$I96),N('Master Database'!$I96)&gt;=$H$8)),OR($I$8="",AND(ISNUMBER('Master Database'!$I96),N('Master Database'!$I96)&lt;=$I$8)),OR($H$9="",AND(ISNUMBER('Master Database'!$K96),N('Master Database'!$K96)&gt;=$H$9)),OR($I$9="",AND(ISNUMBER('Master Database'!$K96),N('Master Database'!$K96)&lt;=$I$9))),1,0))</f>
        <v>1</v>
      </c>
      <c r="BB96">
        <f>IF(BA96=1,COUNTIF($BA$5:BA96,1),"")</f>
        <v>92</v>
      </c>
    </row>
    <row r="97" spans="1:54">
      <c r="A97" s="20">
        <f>IF(82&lt;=SUM($BA$5:$BA$600),82,"")</f>
        <v>82</v>
      </c>
      <c r="B97" s="20">
        <f t="shared" si="2"/>
        <v>86</v>
      </c>
      <c r="C97" s="20">
        <f>IF($B97="","",IF(INDEX('Master Database'!$A$1:$A$600,$B97)="","",INDEX('Master Database'!$A$1:$A$600,$B97)))</f>
        <v>82</v>
      </c>
      <c r="D97" s="19" t="str">
        <f>IF($B97="","",IF(INDEX('Master Database'!$B$1:$B$600,$B97)="","",INDEX('Master Database'!$B$1:$B$600,$B97)))</f>
        <v>Fuel Oil Pump</v>
      </c>
      <c r="E97" s="19" t="str">
        <f>IF($B97="","",IF(INDEX('Master Database'!$C$1:$C$600,$B97)="","",INDEX('Master Database'!$C$1:$C$600,$B97)))</f>
        <v>Koopal Asmari</v>
      </c>
      <c r="F97" s="19" t="str">
        <f>IF($B97="","",IF(INDEX('Master Database'!$D$1:$D$600,$B97)="","",INDEX('Master Database'!$D$1:$D$600,$B97)))</f>
        <v>P-201</v>
      </c>
      <c r="G97" s="19" t="str">
        <f>IF($B97="","",IF(INDEX('Master Database'!$E$1:$E$600,$B97)="","",INDEX('Master Database'!$E$1:$E$600,$B97)))</f>
        <v>ROT-AUX</v>
      </c>
      <c r="H97" s="19" t="str">
        <f>IF($B97="","",IF(INDEX('Master Database'!$F$1:$F$600,$B97)="","",INDEX('Master Database'!$F$1:$F$600,$B97)))</f>
        <v>N/A (non-API 610)</v>
      </c>
      <c r="I97" s="19" t="str">
        <f>IF($B97="","",IF(INDEX('Master Database'!$G$1:$G$600,$B97)="","",INDEX('Master Database'!$G$1:$G$600,$B97)))</f>
        <v>S-1</v>
      </c>
      <c r="J97" s="46">
        <f>IF($B97="","",IF(INDEX('Master Database'!$H$1:$H$600,$B97)="","",INDEX('Master Database'!$H$1:$H$600,$B97)))</f>
        <v>10</v>
      </c>
      <c r="K97" s="46">
        <f>IF($B97="","",IF(INDEX('Master Database'!$I$1:$I$600,$B97)="","",INDEX('Master Database'!$I$1:$I$600,$B97)))</f>
        <v>41</v>
      </c>
      <c r="L97" s="46">
        <f>IF($B97="","",IF(INDEX('Master Database'!$K$1:$K$600,$B97)="","",INDEX('Master Database'!$K$1:$K$600,$B97)))</f>
        <v>1.8619436875567668</v>
      </c>
      <c r="M97" s="19" t="str">
        <f>IF($B97="","",IF(INDEX('Master Database'!$L$1:$L$600,$B97)="","",INDEX('Master Database'!$L$1:$L$600,$B97)))</f>
        <v>ISO 5199 + IPS-M-PM-115</v>
      </c>
      <c r="N97" s="19" t="str">
        <f>IF($B97="","",IF(INDEX('Master Database'!$P$1:$P$600,$B97)="","",INDEX('Master Database'!$P$1:$P$600,$B97)))</f>
        <v>Not stated</v>
      </c>
      <c r="O97" s="19" t="str">
        <f>IF($B97="","",IF(INDEX('Master Database'!$S$1:$S$600,$B97)="","",INDEX('Master Database'!$S$1:$S$600,$B97)))</f>
        <v>Electric Motor</v>
      </c>
      <c r="P97" s="19" t="str">
        <f>IF($B97="","",IF(INDEX('Master Database'!$T$1:$T$600,$B97)="","",INDEX('Master Database'!$T$1:$T$600,$B97)))</f>
        <v>Diesel / Fuel Oil</v>
      </c>
      <c r="Q97" s="19">
        <f>IF($B97="","",IF(INDEX('Master Database'!$Y$1:$Y$600,$B97)="","",INDEX('Master Database'!$Y$1:$Y$600,$B97)))</f>
        <v>1393</v>
      </c>
      <c r="R97" s="19" t="str">
        <f>IF($B97="","",IF(INDEX('Master Database'!$Z$1:$Z$600,$B97)="","",INDEX('Master Database'!$Z$1:$Z$600,$B97)))</f>
        <v>EUR</v>
      </c>
      <c r="S97" s="47">
        <f>IF($B97="","",IF(INDEX('Master Database'!$AA$1:$AA$600,$B97)="","",INDEX('Master Database'!$AA$1:$AA$600,$B97)))</f>
        <v>7000</v>
      </c>
      <c r="T97" s="19" t="str">
        <f>IF($B97="","",IF(INDEX('Master Database'!$AE$1:$AE$600,$B97)="","",INDEX('Master Database'!$AE$1:$AE$600,$B97)))</f>
        <v>Consultant FEED MTO estimate – KPL-476 R03 (Jan 2016); vendor-level price in EUR, before project overhead | source label: AACE Class 3</v>
      </c>
      <c r="U97" s="47">
        <f>IF($B97="","",IF(INDEX('Master Database'!$AG$1:$AG$600,$B97)="","",INDEX('Master Database'!$AG$1:$AG$600,$B97)))</f>
        <v>9457.4753412810496</v>
      </c>
      <c r="V97" s="47">
        <f>IF($B97="","",IF(INDEX('Master Database'!$AH$1:$AH$600,$B97)="","",INDEX('Master Database'!$AH$1:$AH$600,$B97)))</f>
        <v>9985.0424588924052</v>
      </c>
      <c r="W97" s="47">
        <f>IF($B97="","",IF(INDEX('Master Database'!$AI$1:$AI$600,$B97)="","",INDEX('Master Database'!$AI$1:$AI$600,$B97)))</f>
        <v>6575479965.5817928</v>
      </c>
      <c r="X97" s="19" t="str">
        <f>IF($B97="","",IF(INDEX('Master Database'!$BG$1:$BG$600,$B97)="","",INDEX('Master Database'!$BG$1:$BG$600,$B97)))</f>
        <v>Y</v>
      </c>
      <c r="BA97">
        <f>IF('Master Database'!$A97="",0,IF(AND(OR($B$5="",ISNUMBER(SEARCH($B$5,'Master Database'!$B97&amp;" "&amp;'Master Database'!$D97))),OR($B$6="(All)",'Master Database'!$C97=$B$6),OR($B$7="(All)",'Master Database'!$E97=$B$7),OR($B$8="(All)",'Master Database'!$T97=$B$8),OR($B$9="(All)",'Master Database'!$M97=$B$9),OR($B$10="(All)",'Master Database'!$V97=$B$10),OR($E$5="(All)",'Master Database'!$F97=$E$5),OR($E$6="(All)",'Master Database'!$G97=$E$6),OR($E$7="(All)",'Master Database'!$O97=$E$7),OR($E$8="(All)",'Master Database'!$P97=$E$8),OR($E$9="(All)",'Master Database'!$S97=$E$9),OR($E$10="(All)",'Master Database'!$Y97&amp;""=$E$10&amp;""),OR($H$5="(All)",'Master Database'!$BG97=$H$5),OR($H$6&lt;&gt;"Y",ISNUMBER('Master Database'!$AG97)),OR($H$7="",AND(ISNUMBER('Master Database'!$H97),N('Master Database'!$H97)&gt;=$H$7)),OR($I$7="",AND(ISNUMBER('Master Database'!$H97),N('Master Database'!$H97)&lt;=$I$7)),OR($H$8="",AND(ISNUMBER('Master Database'!$I97),N('Master Database'!$I97)&gt;=$H$8)),OR($I$8="",AND(ISNUMBER('Master Database'!$I97),N('Master Database'!$I97)&lt;=$I$8)),OR($H$9="",AND(ISNUMBER('Master Database'!$K97),N('Master Database'!$K97)&gt;=$H$9)),OR($I$9="",AND(ISNUMBER('Master Database'!$K97),N('Master Database'!$K97)&lt;=$I$9))),1,0))</f>
        <v>1</v>
      </c>
      <c r="BB97">
        <f>IF(BA97=1,COUNTIF($BA$5:BA97,1),"")</f>
        <v>93</v>
      </c>
    </row>
    <row r="98" spans="1:54">
      <c r="A98" s="20">
        <f>IF(83&lt;=SUM($BA$5:$BA$600),83,"")</f>
        <v>83</v>
      </c>
      <c r="B98" s="20">
        <f t="shared" si="2"/>
        <v>87</v>
      </c>
      <c r="C98" s="20">
        <f>IF($B98="","",IF(INDEX('Master Database'!$A$1:$A$600,$B98)="","",INDEX('Master Database'!$A$1:$A$600,$B98)))</f>
        <v>83</v>
      </c>
      <c r="D98" s="19" t="str">
        <f>IF($B98="","",IF(INDEX('Master Database'!$B$1:$B$600,$B98)="","",INDEX('Master Database'!$B$1:$B$600,$B98)))</f>
        <v>Closed Drain Drums Sump Pump</v>
      </c>
      <c r="E98" s="19" t="str">
        <f>IF($B98="","",IF(INDEX('Master Database'!$C$1:$C$600,$B98)="","",INDEX('Master Database'!$C$1:$C$600,$B98)))</f>
        <v>Koopal Asmari</v>
      </c>
      <c r="F98" s="19" t="str">
        <f>IF($B98="","",IF(INDEX('Master Database'!$D$1:$D$600,$B98)="","",INDEX('Master Database'!$D$1:$D$600,$B98)))</f>
        <v>P-235</v>
      </c>
      <c r="G98" s="19" t="str">
        <f>IF($B98="","",IF(INDEX('Master Database'!$E$1:$E$600,$B98)="","",INDEX('Master Database'!$E$1:$E$600,$B98)))</f>
        <v>ROT-DRN</v>
      </c>
      <c r="H98" s="19" t="str">
        <f>IF($B98="","",IF(INDEX('Master Database'!$F$1:$F$600,$B98)="","",INDEX('Master Database'!$F$1:$F$600,$B98)))</f>
        <v>VS4</v>
      </c>
      <c r="I98" s="19" t="str">
        <f>IF($B98="","",IF(INDEX('Master Database'!$G$1:$G$600,$B98)="","",INDEX('Master Database'!$G$1:$G$600,$B98)))</f>
        <v>S-6</v>
      </c>
      <c r="J98" s="46">
        <f>IF($B98="","",IF(INDEX('Master Database'!$H$1:$H$600,$B98)="","",INDEX('Master Database'!$H$1:$H$600,$B98)))</f>
        <v>5.5</v>
      </c>
      <c r="K98" s="46">
        <f>IF($B98="","",IF(INDEX('Master Database'!$I$1:$I$600,$B98)="","",INDEX('Master Database'!$I$1:$I$600,$B98)))</f>
        <v>31</v>
      </c>
      <c r="L98" s="46">
        <f>IF($B98="","",IF(INDEX('Master Database'!$K$1:$K$600,$B98)="","",INDEX('Master Database'!$K$1:$K$600,$B98)))</f>
        <v>0.77429609445958225</v>
      </c>
      <c r="M98" s="19" t="str">
        <f>IF($B98="","",IF(INDEX('Master Database'!$L$1:$L$600,$B98)="","",INDEX('Master Database'!$L$1:$L$600,$B98)))</f>
        <v>API 610 + IPS-G-PM-105</v>
      </c>
      <c r="N98" s="19" t="str">
        <f>IF($B98="","",IF(INDEX('Master Database'!$P$1:$P$600,$B98)="","",INDEX('Master Database'!$P$1:$P$600,$B98)))</f>
        <v>Not stated</v>
      </c>
      <c r="O98" s="19" t="str">
        <f>IF($B98="","",IF(INDEX('Master Database'!$S$1:$S$600,$B98)="","",INDEX('Master Database'!$S$1:$S$600,$B98)))</f>
        <v>Electric Motor</v>
      </c>
      <c r="P98" s="19" t="str">
        <f>IF($B98="","",IF(INDEX('Master Database'!$T$1:$T$600,$B98)="","",INDEX('Master Database'!$T$1:$T$600,$B98)))</f>
        <v>Oily Water / Drain</v>
      </c>
      <c r="Q98" s="19">
        <f>IF($B98="","",IF(INDEX('Master Database'!$Y$1:$Y$600,$B98)="","",INDEX('Master Database'!$Y$1:$Y$600,$B98)))</f>
        <v>1393</v>
      </c>
      <c r="R98" s="19" t="str">
        <f>IF($B98="","",IF(INDEX('Master Database'!$Z$1:$Z$600,$B98)="","",INDEX('Master Database'!$Z$1:$Z$600,$B98)))</f>
        <v>EUR</v>
      </c>
      <c r="S98" s="47">
        <f>IF($B98="","",IF(INDEX('Master Database'!$AA$1:$AA$600,$B98)="","",INDEX('Master Database'!$AA$1:$AA$600,$B98)))</f>
        <v>10000</v>
      </c>
      <c r="T98" s="19" t="str">
        <f>IF($B98="","",IF(INDEX('Master Database'!$AE$1:$AE$600,$B98)="","",INDEX('Master Database'!$AE$1:$AE$600,$B98)))</f>
        <v>Consultant FEED MTO estimate – KPL-476 R03 (Jan 2016); vendor-level price in EUR, before project overhead | source label: AACE Class 3</v>
      </c>
      <c r="U98" s="47">
        <f>IF($B98="","",IF(INDEX('Master Database'!$AG$1:$AG$600,$B98)="","",INDEX('Master Database'!$AG$1:$AG$600,$B98)))</f>
        <v>25000</v>
      </c>
      <c r="V98" s="47">
        <f>IF($B98="","",IF(INDEX('Master Database'!$AH$1:$AH$600,$B98)="","",INDEX('Master Database'!$AH$1:$AH$600,$B98)))</f>
        <v>26394.577037141647</v>
      </c>
      <c r="W98" s="47">
        <f>IF($B98="","",IF(INDEX('Master Database'!$AI$1:$AI$600,$B98)="","",INDEX('Master Database'!$AI$1:$AI$600,$B98)))</f>
        <v>17381700000</v>
      </c>
      <c r="X98" s="19" t="str">
        <f>IF($B98="","",IF(INDEX('Master Database'!$BG$1:$BG$600,$B98)="","",INDEX('Master Database'!$BG$1:$BG$600,$B98)))</f>
        <v>Y</v>
      </c>
      <c r="BA98">
        <f>IF('Master Database'!$A98="",0,IF(AND(OR($B$5="",ISNUMBER(SEARCH($B$5,'Master Database'!$B98&amp;" "&amp;'Master Database'!$D98))),OR($B$6="(All)",'Master Database'!$C98=$B$6),OR($B$7="(All)",'Master Database'!$E98=$B$7),OR($B$8="(All)",'Master Database'!$T98=$B$8),OR($B$9="(All)",'Master Database'!$M98=$B$9),OR($B$10="(All)",'Master Database'!$V98=$B$10),OR($E$5="(All)",'Master Database'!$F98=$E$5),OR($E$6="(All)",'Master Database'!$G98=$E$6),OR($E$7="(All)",'Master Database'!$O98=$E$7),OR($E$8="(All)",'Master Database'!$P98=$E$8),OR($E$9="(All)",'Master Database'!$S98=$E$9),OR($E$10="(All)",'Master Database'!$Y98&amp;""=$E$10&amp;""),OR($H$5="(All)",'Master Database'!$BG98=$H$5),OR($H$6&lt;&gt;"Y",ISNUMBER('Master Database'!$AG98)),OR($H$7="",AND(ISNUMBER('Master Database'!$H98),N('Master Database'!$H98)&gt;=$H$7)),OR($I$7="",AND(ISNUMBER('Master Database'!$H98),N('Master Database'!$H98)&lt;=$I$7)),OR($H$8="",AND(ISNUMBER('Master Database'!$I98),N('Master Database'!$I98)&gt;=$H$8)),OR($I$8="",AND(ISNUMBER('Master Database'!$I98),N('Master Database'!$I98)&lt;=$I$8)),OR($H$9="",AND(ISNUMBER('Master Database'!$K98),N('Master Database'!$K98)&gt;=$H$9)),OR($I$9="",AND(ISNUMBER('Master Database'!$K98),N('Master Database'!$K98)&lt;=$I$9))),1,0))</f>
        <v>1</v>
      </c>
      <c r="BB98">
        <f>IF(BA98=1,COUNTIF($BA$5:BA98,1),"")</f>
        <v>94</v>
      </c>
    </row>
    <row r="99" spans="1:54">
      <c r="A99" s="20">
        <f>IF(84&lt;=SUM($BA$5:$BA$600),84,"")</f>
        <v>84</v>
      </c>
      <c r="B99" s="20">
        <f t="shared" si="2"/>
        <v>88</v>
      </c>
      <c r="C99" s="20">
        <f>IF($B99="","",IF(INDEX('Master Database'!$A$1:$A$600,$B99)="","",INDEX('Master Database'!$A$1:$A$600,$B99)))</f>
        <v>84</v>
      </c>
      <c r="D99" s="19" t="str">
        <f>IF($B99="","",IF(INDEX('Master Database'!$B$1:$B$600,$B99)="","",INDEX('Master Database'!$B$1:$B$600,$B99)))</f>
        <v>Fire Water Pump-Elect. Motor Driven</v>
      </c>
      <c r="E99" s="19" t="str">
        <f>IF($B99="","",IF(INDEX('Master Database'!$C$1:$C$600,$B99)="","",INDEX('Master Database'!$C$1:$C$600,$B99)))</f>
        <v>Koopal Asmari</v>
      </c>
      <c r="F99" s="19" t="str">
        <f>IF($B99="","",IF(INDEX('Master Database'!$D$1:$D$600,$B99)="","",INDEX('Master Database'!$D$1:$D$600,$B99)))</f>
        <v>P-270</v>
      </c>
      <c r="G99" s="19" t="str">
        <f>IF($B99="","",IF(INDEX('Master Database'!$E$1:$E$600,$B99)="","",INDEX('Master Database'!$E$1:$E$600,$B99)))</f>
        <v>ROT-FIR</v>
      </c>
      <c r="H99" s="19" t="str">
        <f>IF($B99="","",IF(INDEX('Master Database'!$F$1:$F$600,$B99)="","",INDEX('Master Database'!$F$1:$F$600,$B99)))</f>
        <v>BB (unspecified)</v>
      </c>
      <c r="I99" s="19" t="str">
        <f>IF($B99="","",IF(INDEX('Master Database'!$G$1:$G$600,$B99)="","",INDEX('Master Database'!$G$1:$G$600,$B99)))</f>
        <v>I-2</v>
      </c>
      <c r="J99" s="46">
        <f>IF($B99="","",IF(INDEX('Master Database'!$H$1:$H$600,$B99)="","",INDEX('Master Database'!$H$1:$H$600,$B99)))</f>
        <v>770</v>
      </c>
      <c r="K99" s="46">
        <f>IF($B99="","",IF(INDEX('Master Database'!$I$1:$I$600,$B99)="","",INDEX('Master Database'!$I$1:$I$600,$B99)))</f>
        <v>107</v>
      </c>
      <c r="L99" s="46">
        <f>IF($B99="","",IF(INDEX('Master Database'!$K$1:$K$600,$B99)="","",INDEX('Master Database'!$K$1:$K$600,$B99)))</f>
        <v>374.15985467756587</v>
      </c>
      <c r="M99" s="19" t="str">
        <f>IF($B99="","",IF(INDEX('Master Database'!$L$1:$L$600,$B99)="","",INDEX('Master Database'!$L$1:$L$600,$B99)))</f>
        <v>NFPA 20 + IPS-M-PM-125</v>
      </c>
      <c r="N99" s="19" t="str">
        <f>IF($B99="","",IF(INDEX('Master Database'!$P$1:$P$600,$B99)="","",INDEX('Master Database'!$P$1:$P$600,$B99)))</f>
        <v>Not stated</v>
      </c>
      <c r="O99" s="19" t="str">
        <f>IF($B99="","",IF(INDEX('Master Database'!$S$1:$S$600,$B99)="","",INDEX('Master Database'!$S$1:$S$600,$B99)))</f>
        <v>Electric Motor</v>
      </c>
      <c r="P99" s="19" t="str">
        <f>IF($B99="","",IF(INDEX('Master Database'!$T$1:$T$600,$B99)="","",INDEX('Master Database'!$T$1:$T$600,$B99)))</f>
        <v>Fire Water</v>
      </c>
      <c r="Q99" s="19">
        <f>IF($B99="","",IF(INDEX('Master Database'!$Y$1:$Y$600,$B99)="","",INDEX('Master Database'!$Y$1:$Y$600,$B99)))</f>
        <v>1393</v>
      </c>
      <c r="R99" s="19" t="str">
        <f>IF($B99="","",IF(INDEX('Master Database'!$Z$1:$Z$600,$B99)="","",INDEX('Master Database'!$Z$1:$Z$600,$B99)))</f>
        <v>EUR</v>
      </c>
      <c r="S99" s="47">
        <f>IF($B99="","",IF(INDEX('Master Database'!$AA$1:$AA$600,$B99)="","",INDEX('Master Database'!$AA$1:$AA$600,$B99)))</f>
        <v>70000</v>
      </c>
      <c r="T99" s="19" t="str">
        <f>IF($B99="","",IF(INDEX('Master Database'!$AE$1:$AE$600,$B99)="","",INDEX('Master Database'!$AE$1:$AE$600,$B99)))</f>
        <v>Consultant FEED MTO estimate – KPL-476 R03 (Jan 2016); vendor-level price in EUR, before project overhead | source label: AACE Class 3</v>
      </c>
      <c r="U99" s="47">
        <f>IF($B99="","",IF(INDEX('Master Database'!$AG$1:$AG$600,$B99)="","",INDEX('Master Database'!$AG$1:$AG$600,$B99)))</f>
        <v>94574.753412810504</v>
      </c>
      <c r="V99" s="47">
        <f>IF($B99="","",IF(INDEX('Master Database'!$AH$1:$AH$600,$B99)="","",INDEX('Master Database'!$AH$1:$AH$600,$B99)))</f>
        <v>99850.42458892407</v>
      </c>
      <c r="W99" s="47">
        <f>IF($B99="","",IF(INDEX('Master Database'!$AI$1:$AI$600,$B99)="","",INDEX('Master Database'!$AI$1:$AI$600,$B99)))</f>
        <v>65754799655.817932</v>
      </c>
      <c r="X99" s="19" t="str">
        <f>IF($B99="","",IF(INDEX('Master Database'!$BG$1:$BG$600,$B99)="","",INDEX('Master Database'!$BG$1:$BG$600,$B99)))</f>
        <v>Y</v>
      </c>
      <c r="BA99">
        <f>IF('Master Database'!$A99="",0,IF(AND(OR($B$5="",ISNUMBER(SEARCH($B$5,'Master Database'!$B99&amp;" "&amp;'Master Database'!$D99))),OR($B$6="(All)",'Master Database'!$C99=$B$6),OR($B$7="(All)",'Master Database'!$E99=$B$7),OR($B$8="(All)",'Master Database'!$T99=$B$8),OR($B$9="(All)",'Master Database'!$M99=$B$9),OR($B$10="(All)",'Master Database'!$V99=$B$10),OR($E$5="(All)",'Master Database'!$F99=$E$5),OR($E$6="(All)",'Master Database'!$G99=$E$6),OR($E$7="(All)",'Master Database'!$O99=$E$7),OR($E$8="(All)",'Master Database'!$P99=$E$8),OR($E$9="(All)",'Master Database'!$S99=$E$9),OR($E$10="(All)",'Master Database'!$Y99&amp;""=$E$10&amp;""),OR($H$5="(All)",'Master Database'!$BG99=$H$5),OR($H$6&lt;&gt;"Y",ISNUMBER('Master Database'!$AG99)),OR($H$7="",AND(ISNUMBER('Master Database'!$H99),N('Master Database'!$H99)&gt;=$H$7)),OR($I$7="",AND(ISNUMBER('Master Database'!$H99),N('Master Database'!$H99)&lt;=$I$7)),OR($H$8="",AND(ISNUMBER('Master Database'!$I99),N('Master Database'!$I99)&gt;=$H$8)),OR($I$8="",AND(ISNUMBER('Master Database'!$I99),N('Master Database'!$I99)&lt;=$I$8)),OR($H$9="",AND(ISNUMBER('Master Database'!$K99),N('Master Database'!$K99)&gt;=$H$9)),OR($I$9="",AND(ISNUMBER('Master Database'!$K99),N('Master Database'!$K99)&lt;=$I$9))),1,0))</f>
        <v>1</v>
      </c>
      <c r="BB99">
        <f>IF(BA99=1,COUNTIF($BA$5:BA99,1),"")</f>
        <v>95</v>
      </c>
    </row>
    <row r="100" spans="1:54">
      <c r="A100" s="20">
        <f>IF(85&lt;=SUM($BA$5:$BA$600),85,"")</f>
        <v>85</v>
      </c>
      <c r="B100" s="20">
        <f t="shared" si="2"/>
        <v>89</v>
      </c>
      <c r="C100" s="20">
        <f>IF($B100="","",IF(INDEX('Master Database'!$A$1:$A$600,$B100)="","",INDEX('Master Database'!$A$1:$A$600,$B100)))</f>
        <v>85</v>
      </c>
      <c r="D100" s="19" t="str">
        <f>IF($B100="","",IF(INDEX('Master Database'!$B$1:$B$600,$B100)="","",INDEX('Master Database'!$B$1:$B$600,$B100)))</f>
        <v>Fire Water Pump-Diesel Engine Driven</v>
      </c>
      <c r="E100" s="19" t="str">
        <f>IF($B100="","",IF(INDEX('Master Database'!$C$1:$C$600,$B100)="","",INDEX('Master Database'!$C$1:$C$600,$B100)))</f>
        <v>Koopal Asmari</v>
      </c>
      <c r="F100" s="19" t="str">
        <f>IF($B100="","",IF(INDEX('Master Database'!$D$1:$D$600,$B100)="","",INDEX('Master Database'!$D$1:$D$600,$B100)))</f>
        <v>P-271</v>
      </c>
      <c r="G100" s="19" t="str">
        <f>IF($B100="","",IF(INDEX('Master Database'!$E$1:$E$600,$B100)="","",INDEX('Master Database'!$E$1:$E$600,$B100)))</f>
        <v>ROT-FIR</v>
      </c>
      <c r="H100" s="19" t="str">
        <f>IF($B100="","",IF(INDEX('Master Database'!$F$1:$F$600,$B100)="","",INDEX('Master Database'!$F$1:$F$600,$B100)))</f>
        <v>BB (unspecified)</v>
      </c>
      <c r="I100" s="19" t="str">
        <f>IF($B100="","",IF(INDEX('Master Database'!$G$1:$G$600,$B100)="","",INDEX('Master Database'!$G$1:$G$600,$B100)))</f>
        <v>I-2</v>
      </c>
      <c r="J100" s="46">
        <f>IF($B100="","",IF(INDEX('Master Database'!$H$1:$H$600,$B100)="","",INDEX('Master Database'!$H$1:$H$600,$B100)))</f>
        <v>770</v>
      </c>
      <c r="K100" s="46">
        <f>IF($B100="","",IF(INDEX('Master Database'!$I$1:$I$600,$B100)="","",INDEX('Master Database'!$I$1:$I$600,$B100)))</f>
        <v>88.7</v>
      </c>
      <c r="L100" s="46">
        <f>IF($B100="","",IF(INDEX('Master Database'!$K$1:$K$600,$B100)="","",INDEX('Master Database'!$K$1:$K$600,$B100)))</f>
        <v>310.16802906448686</v>
      </c>
      <c r="M100" s="19" t="str">
        <f>IF($B100="","",IF(INDEX('Master Database'!$L$1:$L$600,$B100)="","",INDEX('Master Database'!$L$1:$L$600,$B100)))</f>
        <v>NFPA 20 + IPS-M-PM-125</v>
      </c>
      <c r="N100" s="19" t="str">
        <f>IF($B100="","",IF(INDEX('Master Database'!$P$1:$P$600,$B100)="","",INDEX('Master Database'!$P$1:$P$600,$B100)))</f>
        <v>Not stated</v>
      </c>
      <c r="O100" s="19" t="str">
        <f>IF($B100="","",IF(INDEX('Master Database'!$S$1:$S$600,$B100)="","",INDEX('Master Database'!$S$1:$S$600,$B100)))</f>
        <v>Diesel Engine</v>
      </c>
      <c r="P100" s="19" t="str">
        <f>IF($B100="","",IF(INDEX('Master Database'!$T$1:$T$600,$B100)="","",INDEX('Master Database'!$T$1:$T$600,$B100)))</f>
        <v>Fire Water</v>
      </c>
      <c r="Q100" s="19">
        <f>IF($B100="","",IF(INDEX('Master Database'!$Y$1:$Y$600,$B100)="","",INDEX('Master Database'!$Y$1:$Y$600,$B100)))</f>
        <v>1393</v>
      </c>
      <c r="R100" s="19" t="str">
        <f>IF($B100="","",IF(INDEX('Master Database'!$Z$1:$Z$600,$B100)="","",INDEX('Master Database'!$Z$1:$Z$600,$B100)))</f>
        <v>EUR</v>
      </c>
      <c r="S100" s="47">
        <f>IF($B100="","",IF(INDEX('Master Database'!$AA$1:$AA$600,$B100)="","",INDEX('Master Database'!$AA$1:$AA$600,$B100)))</f>
        <v>90000</v>
      </c>
      <c r="T100" s="19" t="str">
        <f>IF($B100="","",IF(INDEX('Master Database'!$AE$1:$AE$600,$B100)="","",INDEX('Master Database'!$AE$1:$AE$600,$B100)))</f>
        <v>Consultant FEED MTO estimate – KPL-476 R03 (Jan 2016); vendor-level price in EUR, before project overhead | source label: AACE Class 3</v>
      </c>
      <c r="U100" s="47">
        <f>IF($B100="","",IF(INDEX('Master Database'!$AG$1:$AG$600,$B100)="","",INDEX('Master Database'!$AG$1:$AG$600,$B100)))</f>
        <v>121596.11153075636</v>
      </c>
      <c r="V100" s="47">
        <f>IF($B100="","",IF(INDEX('Master Database'!$AH$1:$AH$600,$B100)="","",INDEX('Master Database'!$AH$1:$AH$600,$B100)))</f>
        <v>128379.11732861666</v>
      </c>
      <c r="W100" s="47">
        <f>IF($B100="","",IF(INDEX('Master Database'!$AI$1:$AI$600,$B100)="","",INDEX('Master Database'!$AI$1:$AI$600,$B100)))</f>
        <v>84541885271.765915</v>
      </c>
      <c r="X100" s="19" t="str">
        <f>IF($B100="","",IF(INDEX('Master Database'!$BG$1:$BG$600,$B100)="","",INDEX('Master Database'!$BG$1:$BG$600,$B100)))</f>
        <v>Y</v>
      </c>
      <c r="BA100">
        <f>IF('Master Database'!$A100="",0,IF(AND(OR($B$5="",ISNUMBER(SEARCH($B$5,'Master Database'!$B100&amp;" "&amp;'Master Database'!$D100))),OR($B$6="(All)",'Master Database'!$C100=$B$6),OR($B$7="(All)",'Master Database'!$E100=$B$7),OR($B$8="(All)",'Master Database'!$T100=$B$8),OR($B$9="(All)",'Master Database'!$M100=$B$9),OR($B$10="(All)",'Master Database'!$V100=$B$10),OR($E$5="(All)",'Master Database'!$F100=$E$5),OR($E$6="(All)",'Master Database'!$G100=$E$6),OR($E$7="(All)",'Master Database'!$O100=$E$7),OR($E$8="(All)",'Master Database'!$P100=$E$8),OR($E$9="(All)",'Master Database'!$S100=$E$9),OR($E$10="(All)",'Master Database'!$Y100&amp;""=$E$10&amp;""),OR($H$5="(All)",'Master Database'!$BG100=$H$5),OR($H$6&lt;&gt;"Y",ISNUMBER('Master Database'!$AG100)),OR($H$7="",AND(ISNUMBER('Master Database'!$H100),N('Master Database'!$H100)&gt;=$H$7)),OR($I$7="",AND(ISNUMBER('Master Database'!$H100),N('Master Database'!$H100)&lt;=$I$7)),OR($H$8="",AND(ISNUMBER('Master Database'!$I100),N('Master Database'!$I100)&gt;=$H$8)),OR($I$8="",AND(ISNUMBER('Master Database'!$I100),N('Master Database'!$I100)&lt;=$I$8)),OR($H$9="",AND(ISNUMBER('Master Database'!$K100),N('Master Database'!$K100)&gt;=$H$9)),OR($I$9="",AND(ISNUMBER('Master Database'!$K100),N('Master Database'!$K100)&lt;=$I$9))),1,0))</f>
        <v>1</v>
      </c>
      <c r="BB100">
        <f>IF(BA100=1,COUNTIF($BA$5:BA100,1),"")</f>
        <v>96</v>
      </c>
    </row>
    <row r="101" spans="1:54">
      <c r="A101" s="20">
        <f>IF(86&lt;=SUM($BA$5:$BA$600),86,"")</f>
        <v>86</v>
      </c>
      <c r="B101" s="20">
        <f t="shared" si="2"/>
        <v>90</v>
      </c>
      <c r="C101" s="20">
        <f>IF($B101="","",IF(INDEX('Master Database'!$A$1:$A$600,$B101)="","",INDEX('Master Database'!$A$1:$A$600,$B101)))</f>
        <v>86</v>
      </c>
      <c r="D101" s="19" t="str">
        <f>IF($B101="","",IF(INDEX('Master Database'!$B$1:$B$600,$B101)="","",INDEX('Master Database'!$B$1:$B$600,$B101)))</f>
        <v>Fire Water Jockey Pumps</v>
      </c>
      <c r="E101" s="19" t="str">
        <f>IF($B101="","",IF(INDEX('Master Database'!$C$1:$C$600,$B101)="","",INDEX('Master Database'!$C$1:$C$600,$B101)))</f>
        <v>Koopal Asmari</v>
      </c>
      <c r="F101" s="19" t="str">
        <f>IF($B101="","",IF(INDEX('Master Database'!$D$1:$D$600,$B101)="","",INDEX('Master Database'!$D$1:$D$600,$B101)))</f>
        <v>P-272 A/B</v>
      </c>
      <c r="G101" s="19" t="str">
        <f>IF($B101="","",IF(INDEX('Master Database'!$E$1:$E$600,$B101)="","",INDEX('Master Database'!$E$1:$E$600,$B101)))</f>
        <v>ROT-FIR</v>
      </c>
      <c r="H101" s="19" t="str">
        <f>IF($B101="","",IF(INDEX('Master Database'!$F$1:$F$600,$B101)="","",INDEX('Master Database'!$F$1:$F$600,$B101)))</f>
        <v>OH (unspecified)</v>
      </c>
      <c r="I101" s="19" t="str">
        <f>IF($B101="","",IF(INDEX('Master Database'!$G$1:$G$600,$B101)="","",INDEX('Master Database'!$G$1:$G$600,$B101)))</f>
        <v>I-2</v>
      </c>
      <c r="J101" s="46">
        <f>IF($B101="","",IF(INDEX('Master Database'!$H$1:$H$600,$B101)="","",INDEX('Master Database'!$H$1:$H$600,$B101)))</f>
        <v>16.5</v>
      </c>
      <c r="K101" s="46">
        <f>IF($B101="","",IF(INDEX('Master Database'!$I$1:$I$600,$B101)="","",INDEX('Master Database'!$I$1:$I$600,$B101)))</f>
        <v>107</v>
      </c>
      <c r="L101" s="46">
        <f>IF($B101="","",IF(INDEX('Master Database'!$K$1:$K$600,$B101)="","",INDEX('Master Database'!$K$1:$K$600,$B101)))</f>
        <v>8.0177111716621265</v>
      </c>
      <c r="M101" s="19" t="str">
        <f>IF($B101="","",IF(INDEX('Master Database'!$L$1:$L$600,$B101)="","",INDEX('Master Database'!$L$1:$L$600,$B101)))</f>
        <v>NFPA 20 + IPS-M-PM-125</v>
      </c>
      <c r="N101" s="19" t="str">
        <f>IF($B101="","",IF(INDEX('Master Database'!$P$1:$P$600,$B101)="","",INDEX('Master Database'!$P$1:$P$600,$B101)))</f>
        <v>Not stated</v>
      </c>
      <c r="O101" s="19" t="str">
        <f>IF($B101="","",IF(INDEX('Master Database'!$S$1:$S$600,$B101)="","",INDEX('Master Database'!$S$1:$S$600,$B101)))</f>
        <v>Electric Motor</v>
      </c>
      <c r="P101" s="19" t="str">
        <f>IF($B101="","",IF(INDEX('Master Database'!$T$1:$T$600,$B101)="","",INDEX('Master Database'!$T$1:$T$600,$B101)))</f>
        <v>Fire Water</v>
      </c>
      <c r="Q101" s="19">
        <f>IF($B101="","",IF(INDEX('Master Database'!$Y$1:$Y$600,$B101)="","",INDEX('Master Database'!$Y$1:$Y$600,$B101)))</f>
        <v>1393</v>
      </c>
      <c r="R101" s="19" t="str">
        <f>IF($B101="","",IF(INDEX('Master Database'!$Z$1:$Z$600,$B101)="","",INDEX('Master Database'!$Z$1:$Z$600,$B101)))</f>
        <v>EUR</v>
      </c>
      <c r="S101" s="47">
        <f>IF($B101="","",IF(INDEX('Master Database'!$AA$1:$AA$600,$B101)="","",INDEX('Master Database'!$AA$1:$AA$600,$B101)))</f>
        <v>15000</v>
      </c>
      <c r="T101" s="19" t="str">
        <f>IF($B101="","",IF(INDEX('Master Database'!$AE$1:$AE$600,$B101)="","",INDEX('Master Database'!$AE$1:$AE$600,$B101)))</f>
        <v>Consultant FEED MTO estimate – KPL-476 R03 (Jan 2016); vendor-level price in EUR, before project overhead | source label: AACE Class 3</v>
      </c>
      <c r="U101" s="47">
        <f>IF($B101="","",IF(INDEX('Master Database'!$AG$1:$AG$600,$B101)="","",INDEX('Master Database'!$AG$1:$AG$600,$B101)))</f>
        <v>20266.018588459392</v>
      </c>
      <c r="V101" s="47">
        <f>IF($B101="","",IF(INDEX('Master Database'!$AH$1:$AH$600,$B101)="","",INDEX('Master Database'!$AH$1:$AH$600,$B101)))</f>
        <v>21396.519554769442</v>
      </c>
      <c r="W101" s="47">
        <f>IF($B101="","",IF(INDEX('Master Database'!$AI$1:$AI$600,$B101)="","",INDEX('Master Database'!$AI$1:$AI$600,$B101)))</f>
        <v>14090314211.960985</v>
      </c>
      <c r="X101" s="19" t="str">
        <f>IF($B101="","",IF(INDEX('Master Database'!$BG$1:$BG$600,$B101)="","",INDEX('Master Database'!$BG$1:$BG$600,$B101)))</f>
        <v>Y</v>
      </c>
      <c r="BA101">
        <f>IF('Master Database'!$A101="",0,IF(AND(OR($B$5="",ISNUMBER(SEARCH($B$5,'Master Database'!$B101&amp;" "&amp;'Master Database'!$D101))),OR($B$6="(All)",'Master Database'!$C101=$B$6),OR($B$7="(All)",'Master Database'!$E101=$B$7),OR($B$8="(All)",'Master Database'!$T101=$B$8),OR($B$9="(All)",'Master Database'!$M101=$B$9),OR($B$10="(All)",'Master Database'!$V101=$B$10),OR($E$5="(All)",'Master Database'!$F101=$E$5),OR($E$6="(All)",'Master Database'!$G101=$E$6),OR($E$7="(All)",'Master Database'!$O101=$E$7),OR($E$8="(All)",'Master Database'!$P101=$E$8),OR($E$9="(All)",'Master Database'!$S101=$E$9),OR($E$10="(All)",'Master Database'!$Y101&amp;""=$E$10&amp;""),OR($H$5="(All)",'Master Database'!$BG101=$H$5),OR($H$6&lt;&gt;"Y",ISNUMBER('Master Database'!$AG101)),OR($H$7="",AND(ISNUMBER('Master Database'!$H101),N('Master Database'!$H101)&gt;=$H$7)),OR($I$7="",AND(ISNUMBER('Master Database'!$H101),N('Master Database'!$H101)&lt;=$I$7)),OR($H$8="",AND(ISNUMBER('Master Database'!$I101),N('Master Database'!$I101)&gt;=$H$8)),OR($I$8="",AND(ISNUMBER('Master Database'!$I101),N('Master Database'!$I101)&lt;=$I$8)),OR($H$9="",AND(ISNUMBER('Master Database'!$K101),N('Master Database'!$K101)&gt;=$H$9)),OR($I$9="",AND(ISNUMBER('Master Database'!$K101),N('Master Database'!$K101)&lt;=$I$9))),1,0))</f>
        <v>1</v>
      </c>
      <c r="BB101">
        <f>IF(BA101=1,COUNTIF($BA$5:BA101,1),"")</f>
        <v>97</v>
      </c>
    </row>
    <row r="102" spans="1:54">
      <c r="A102" s="20">
        <f>IF(87&lt;=SUM($BA$5:$BA$600),87,"")</f>
        <v>87</v>
      </c>
      <c r="B102" s="20">
        <f t="shared" si="2"/>
        <v>91</v>
      </c>
      <c r="C102" s="20">
        <f>IF($B102="","",IF(INDEX('Master Database'!$A$1:$A$600,$B102)="","",INDEX('Master Database'!$A$1:$A$600,$B102)))</f>
        <v>87</v>
      </c>
      <c r="D102" s="19" t="str">
        <f>IF($B102="","",IF(INDEX('Master Database'!$B$1:$B$600,$B102)="","",INDEX('Master Database'!$B$1:$B$600,$B102)))</f>
        <v>Fire Water Loading Pump</v>
      </c>
      <c r="E102" s="19" t="str">
        <f>IF($B102="","",IF(INDEX('Master Database'!$C$1:$C$600,$B102)="","",INDEX('Master Database'!$C$1:$C$600,$B102)))</f>
        <v>Koopal Asmari</v>
      </c>
      <c r="F102" s="19" t="str">
        <f>IF($B102="","",IF(INDEX('Master Database'!$D$1:$D$600,$B102)="","",INDEX('Master Database'!$D$1:$D$600,$B102)))</f>
        <v>P-273</v>
      </c>
      <c r="G102" s="19" t="str">
        <f>IF($B102="","",IF(INDEX('Master Database'!$E$1:$E$600,$B102)="","",INDEX('Master Database'!$E$1:$E$600,$B102)))</f>
        <v>ROT-FIR</v>
      </c>
      <c r="H102" s="19" t="str">
        <f>IF($B102="","",IF(INDEX('Master Database'!$F$1:$F$600,$B102)="","",INDEX('Master Database'!$F$1:$F$600,$B102)))</f>
        <v>N/A (non-API 610)</v>
      </c>
      <c r="I102" s="19" t="str">
        <f>IF($B102="","",IF(INDEX('Master Database'!$G$1:$G$600,$B102)="","",INDEX('Master Database'!$G$1:$G$600,$B102)))</f>
        <v>I-2</v>
      </c>
      <c r="J102" s="46">
        <f>IF($B102="","",IF(INDEX('Master Database'!$H$1:$H$600,$B102)="","",INDEX('Master Database'!$H$1:$H$600,$B102)))</f>
        <v>33</v>
      </c>
      <c r="K102" s="46">
        <f>IF($B102="","",IF(INDEX('Master Database'!$I$1:$I$600,$B102)="","",INDEX('Master Database'!$I$1:$I$600,$B102)))</f>
        <v>30.6</v>
      </c>
      <c r="L102" s="46">
        <f>IF($B102="","",IF(INDEX('Master Database'!$K$1:$K$600,$B102)="","",INDEX('Master Database'!$K$1:$K$600,$B102)))</f>
        <v>4.5858310626703007</v>
      </c>
      <c r="M102" s="19" t="str">
        <f>IF($B102="","",IF(INDEX('Master Database'!$L$1:$L$600,$B102)="","",INDEX('Master Database'!$L$1:$L$600,$B102)))</f>
        <v>ISO 5199 + IPS-M-PM-115</v>
      </c>
      <c r="N102" s="19" t="str">
        <f>IF($B102="","",IF(INDEX('Master Database'!$P$1:$P$600,$B102)="","",INDEX('Master Database'!$P$1:$P$600,$B102)))</f>
        <v>Not stated</v>
      </c>
      <c r="O102" s="19" t="str">
        <f>IF($B102="","",IF(INDEX('Master Database'!$S$1:$S$600,$B102)="","",INDEX('Master Database'!$S$1:$S$600,$B102)))</f>
        <v>Electric Motor</v>
      </c>
      <c r="P102" s="19" t="str">
        <f>IF($B102="","",IF(INDEX('Master Database'!$T$1:$T$600,$B102)="","",INDEX('Master Database'!$T$1:$T$600,$B102)))</f>
        <v>Fire Water</v>
      </c>
      <c r="Q102" s="19">
        <f>IF($B102="","",IF(INDEX('Master Database'!$Y$1:$Y$600,$B102)="","",INDEX('Master Database'!$Y$1:$Y$600,$B102)))</f>
        <v>1393</v>
      </c>
      <c r="R102" s="19" t="str">
        <f>IF($B102="","",IF(INDEX('Master Database'!$Z$1:$Z$600,$B102)="","",INDEX('Master Database'!$Z$1:$Z$600,$B102)))</f>
        <v>EUR</v>
      </c>
      <c r="S102" s="47">
        <f>IF($B102="","",IF(INDEX('Master Database'!$AA$1:$AA$600,$B102)="","",INDEX('Master Database'!$AA$1:$AA$600,$B102)))</f>
        <v>6500</v>
      </c>
      <c r="T102" s="19" t="str">
        <f>IF($B102="","",IF(INDEX('Master Database'!$AE$1:$AE$600,$B102)="","",INDEX('Master Database'!$AE$1:$AE$600,$B102)))</f>
        <v>Consultant FEED MTO estimate – KPL-476 R03 (Jan 2016); vendor-level price in EUR, before project overhead | source label: AACE Class 3</v>
      </c>
      <c r="U102" s="47">
        <f>IF($B102="","",IF(INDEX('Master Database'!$AG$1:$AG$600,$B102)="","",INDEX('Master Database'!$AG$1:$AG$600,$B102)))</f>
        <v>8781.9413883324032</v>
      </c>
      <c r="V102" s="47">
        <f>IF($B102="","",IF(INDEX('Master Database'!$AH$1:$AH$600,$B102)="","",INDEX('Master Database'!$AH$1:$AH$600,$B102)))</f>
        <v>9271.8251404000912</v>
      </c>
      <c r="W102" s="47">
        <f>IF($B102="","",IF(INDEX('Master Database'!$AI$1:$AI$600,$B102)="","",INDEX('Master Database'!$AI$1:$AI$600,$B102)))</f>
        <v>6105802825.1830931</v>
      </c>
      <c r="X102" s="19" t="str">
        <f>IF($B102="","",IF(INDEX('Master Database'!$BG$1:$BG$600,$B102)="","",INDEX('Master Database'!$BG$1:$BG$600,$B102)))</f>
        <v>Y</v>
      </c>
      <c r="BA102">
        <f>IF('Master Database'!$A102="",0,IF(AND(OR($B$5="",ISNUMBER(SEARCH($B$5,'Master Database'!$B102&amp;" "&amp;'Master Database'!$D102))),OR($B$6="(All)",'Master Database'!$C102=$B$6),OR($B$7="(All)",'Master Database'!$E102=$B$7),OR($B$8="(All)",'Master Database'!$T102=$B$8),OR($B$9="(All)",'Master Database'!$M102=$B$9),OR($B$10="(All)",'Master Database'!$V102=$B$10),OR($E$5="(All)",'Master Database'!$F102=$E$5),OR($E$6="(All)",'Master Database'!$G102=$E$6),OR($E$7="(All)",'Master Database'!$O102=$E$7),OR($E$8="(All)",'Master Database'!$P102=$E$8),OR($E$9="(All)",'Master Database'!$S102=$E$9),OR($E$10="(All)",'Master Database'!$Y102&amp;""=$E$10&amp;""),OR($H$5="(All)",'Master Database'!$BG102=$H$5),OR($H$6&lt;&gt;"Y",ISNUMBER('Master Database'!$AG102)),OR($H$7="",AND(ISNUMBER('Master Database'!$H102),N('Master Database'!$H102)&gt;=$H$7)),OR($I$7="",AND(ISNUMBER('Master Database'!$H102),N('Master Database'!$H102)&lt;=$I$7)),OR($H$8="",AND(ISNUMBER('Master Database'!$I102),N('Master Database'!$I102)&gt;=$H$8)),OR($I$8="",AND(ISNUMBER('Master Database'!$I102),N('Master Database'!$I102)&lt;=$I$8)),OR($H$9="",AND(ISNUMBER('Master Database'!$K102),N('Master Database'!$K102)&gt;=$H$9)),OR($I$9="",AND(ISNUMBER('Master Database'!$K102),N('Master Database'!$K102)&lt;=$I$9))),1,0))</f>
        <v>1</v>
      </c>
      <c r="BB102">
        <f>IF(BA102=1,COUNTIF($BA$5:BA102,1),"")</f>
        <v>98</v>
      </c>
    </row>
    <row r="103" spans="1:54">
      <c r="A103" s="20">
        <f>IF(88&lt;=SUM($BA$5:$BA$600),88,"")</f>
        <v>88</v>
      </c>
      <c r="B103" s="20">
        <f t="shared" si="2"/>
        <v>92</v>
      </c>
      <c r="C103" s="20">
        <f>IF($B103="","",IF(INDEX('Master Database'!$A$1:$A$600,$B103)="","",INDEX('Master Database'!$A$1:$A$600,$B103)))</f>
        <v>88</v>
      </c>
      <c r="D103" s="19" t="str">
        <f>IF($B103="","",IF(INDEX('Master Database'!$B$1:$B$600,$B103)="","",INDEX('Master Database'!$B$1:$B$600,$B103)))</f>
        <v>Cooling Water (Sealing System) Recycle Pumps</v>
      </c>
      <c r="E103" s="19" t="str">
        <f>IF($B103="","",IF(INDEX('Master Database'!$C$1:$C$600,$B103)="","",INDEX('Master Database'!$C$1:$C$600,$B103)))</f>
        <v>Koopal Asmari</v>
      </c>
      <c r="F103" s="19" t="str">
        <f>IF($B103="","",IF(INDEX('Master Database'!$D$1:$D$600,$B103)="","",INDEX('Master Database'!$D$1:$D$600,$B103)))</f>
        <v>P-154 A/B</v>
      </c>
      <c r="G103" s="19" t="str">
        <f>IF($B103="","",IF(INDEX('Master Database'!$E$1:$E$600,$B103)="","",INDEX('Master Database'!$E$1:$E$600,$B103)))</f>
        <v>ROT-WAT</v>
      </c>
      <c r="H103" s="19" t="str">
        <f>IF($B103="","",IF(INDEX('Master Database'!$F$1:$F$600,$B103)="","",INDEX('Master Database'!$F$1:$F$600,$B103)))</f>
        <v>N/A (non-API 610)</v>
      </c>
      <c r="I103" s="19" t="str">
        <f>IF($B103="","",IF(INDEX('Master Database'!$G$1:$G$600,$B103)="","",INDEX('Master Database'!$G$1:$G$600,$B103)))</f>
        <v>I-2</v>
      </c>
      <c r="J103" s="46">
        <f>IF($B103="","",IF(INDEX('Master Database'!$H$1:$H$600,$B103)="","",INDEX('Master Database'!$H$1:$H$600,$B103)))</f>
        <v>3</v>
      </c>
      <c r="K103" s="46">
        <f>IF($B103="","",IF(INDEX('Master Database'!$I$1:$I$600,$B103)="","",INDEX('Master Database'!$I$1:$I$600,$B103)))</f>
        <v>30.6</v>
      </c>
      <c r="L103" s="46">
        <f>IF($B103="","",IF(INDEX('Master Database'!$K$1:$K$600,$B103)="","",INDEX('Master Database'!$K$1:$K$600,$B103)))</f>
        <v>0.4168937329700273</v>
      </c>
      <c r="M103" s="19" t="str">
        <f>IF($B103="","",IF(INDEX('Master Database'!$L$1:$L$600,$B103)="","",INDEX('Master Database'!$L$1:$L$600,$B103)))</f>
        <v>ISO 5199 + IPS-M-PM-115</v>
      </c>
      <c r="N103" s="19" t="str">
        <f>IF($B103="","",IF(INDEX('Master Database'!$P$1:$P$600,$B103)="","",INDEX('Master Database'!$P$1:$P$600,$B103)))</f>
        <v>Not stated</v>
      </c>
      <c r="O103" s="19" t="str">
        <f>IF($B103="","",IF(INDEX('Master Database'!$S$1:$S$600,$B103)="","",INDEX('Master Database'!$S$1:$S$600,$B103)))</f>
        <v>Electric Motor</v>
      </c>
      <c r="P103" s="19" t="str">
        <f>IF($B103="","",IF(INDEX('Master Database'!$T$1:$T$600,$B103)="","",INDEX('Master Database'!$T$1:$T$600,$B103)))</f>
        <v>Cooling / Seal Water</v>
      </c>
      <c r="Q103" s="19">
        <f>IF($B103="","",IF(INDEX('Master Database'!$Y$1:$Y$600,$B103)="","",INDEX('Master Database'!$Y$1:$Y$600,$B103)))</f>
        <v>1393</v>
      </c>
      <c r="R103" s="19" t="str">
        <f>IF($B103="","",IF(INDEX('Master Database'!$Z$1:$Z$600,$B103)="","",INDEX('Master Database'!$Z$1:$Z$600,$B103)))</f>
        <v>IRR</v>
      </c>
      <c r="S103" s="47">
        <f>IF($B103="","",IF(INDEX('Master Database'!$AA$1:$AA$600,$B103)="","",INDEX('Master Database'!$AA$1:$AA$600,$B103)))</f>
        <v>300000000</v>
      </c>
      <c r="T103" s="19" t="str">
        <f>IF($B103="","",IF(INDEX('Master Database'!$AE$1:$AE$600,$B103)="","",INDEX('Master Database'!$AE$1:$AE$600,$B103)))</f>
        <v>Consultant FEED MTO estimate – KPL-476 R03 (Jan 2016); local supplier price in IRR, before project overhead | source label: AACE Class 3</v>
      </c>
      <c r="U103" s="47">
        <f>IF($B103="","",IF(INDEX('Master Database'!$AG$1:$AG$600,$B103)="","",INDEX('Master Database'!$AG$1:$AG$600,$B103)))</f>
        <v>10000.305243646506</v>
      </c>
      <c r="V103" s="47">
        <f>IF($B103="","",IF(INDEX('Master Database'!$AH$1:$AH$600,$B103)="","",INDEX('Master Database'!$AH$1:$AH$600,$B103)))</f>
        <v>10558.153085934371</v>
      </c>
      <c r="W103" s="47">
        <f>IF($B103="","",IF(INDEX('Master Database'!$AI$1:$AI$600,$B103)="","",INDEX('Master Database'!$AI$1:$AI$600,$B103)))</f>
        <v>6952892226.1396189</v>
      </c>
      <c r="X103" s="19" t="str">
        <f>IF($B103="","",IF(INDEX('Master Database'!$BG$1:$BG$600,$B103)="","",INDEX('Master Database'!$BG$1:$BG$600,$B103)))</f>
        <v>Y</v>
      </c>
      <c r="BA103">
        <f>IF('Master Database'!$A103="",0,IF(AND(OR($B$5="",ISNUMBER(SEARCH($B$5,'Master Database'!$B103&amp;" "&amp;'Master Database'!$D103))),OR($B$6="(All)",'Master Database'!$C103=$B$6),OR($B$7="(All)",'Master Database'!$E103=$B$7),OR($B$8="(All)",'Master Database'!$T103=$B$8),OR($B$9="(All)",'Master Database'!$M103=$B$9),OR($B$10="(All)",'Master Database'!$V103=$B$10),OR($E$5="(All)",'Master Database'!$F103=$E$5),OR($E$6="(All)",'Master Database'!$G103=$E$6),OR($E$7="(All)",'Master Database'!$O103=$E$7),OR($E$8="(All)",'Master Database'!$P103=$E$8),OR($E$9="(All)",'Master Database'!$S103=$E$9),OR($E$10="(All)",'Master Database'!$Y103&amp;""=$E$10&amp;""),OR($H$5="(All)",'Master Database'!$BG103=$H$5),OR($H$6&lt;&gt;"Y",ISNUMBER('Master Database'!$AG103)),OR($H$7="",AND(ISNUMBER('Master Database'!$H103),N('Master Database'!$H103)&gt;=$H$7)),OR($I$7="",AND(ISNUMBER('Master Database'!$H103),N('Master Database'!$H103)&lt;=$I$7)),OR($H$8="",AND(ISNUMBER('Master Database'!$I103),N('Master Database'!$I103)&gt;=$H$8)),OR($I$8="",AND(ISNUMBER('Master Database'!$I103),N('Master Database'!$I103)&lt;=$I$8)),OR($H$9="",AND(ISNUMBER('Master Database'!$K103),N('Master Database'!$K103)&gt;=$H$9)),OR($I$9="",AND(ISNUMBER('Master Database'!$K103),N('Master Database'!$K103)&lt;=$I$9))),1,0))</f>
        <v>1</v>
      </c>
      <c r="BB103">
        <f>IF(BA103=1,COUNTIF($BA$5:BA103,1),"")</f>
        <v>99</v>
      </c>
    </row>
    <row r="104" spans="1:54">
      <c r="A104" s="20">
        <f>IF(89&lt;=SUM($BA$5:$BA$600),89,"")</f>
        <v>89</v>
      </c>
      <c r="B104" s="20">
        <f t="shared" si="2"/>
        <v>93</v>
      </c>
      <c r="C104" s="20">
        <f>IF($B104="","",IF(INDEX('Master Database'!$A$1:$A$600,$B104)="","",INDEX('Master Database'!$A$1:$A$600,$B104)))</f>
        <v>89</v>
      </c>
      <c r="D104" s="19" t="str">
        <f>IF($B104="","",IF(INDEX('Master Database'!$B$1:$B$600,$B104)="","",INDEX('Master Database'!$B$1:$B$600,$B104)))</f>
        <v>Water Liquid Return Pumps (Deaeration System)</v>
      </c>
      <c r="E104" s="19" t="str">
        <f>IF($B104="","",IF(INDEX('Master Database'!$C$1:$C$600,$B104)="","",INDEX('Master Database'!$C$1:$C$600,$B104)))</f>
        <v>Koopal Asmari</v>
      </c>
      <c r="F104" s="19" t="str">
        <f>IF($B104="","",IF(INDEX('Master Database'!$D$1:$D$600,$B104)="","",INDEX('Master Database'!$D$1:$D$600,$B104)))</f>
        <v>P-157 A/B</v>
      </c>
      <c r="G104" s="19" t="str">
        <f>IF($B104="","",IF(INDEX('Master Database'!$E$1:$E$600,$B104)="","",INDEX('Master Database'!$E$1:$E$600,$B104)))</f>
        <v>ROT-WAT</v>
      </c>
      <c r="H104" s="19" t="str">
        <f>IF($B104="","",IF(INDEX('Master Database'!$F$1:$F$600,$B104)="","",INDEX('Master Database'!$F$1:$F$600,$B104)))</f>
        <v>N/A (non-API 610)</v>
      </c>
      <c r="I104" s="19" t="str">
        <f>IF($B104="","",IF(INDEX('Master Database'!$G$1:$G$600,$B104)="","",INDEX('Master Database'!$G$1:$G$600,$B104)))</f>
        <v>I-2</v>
      </c>
      <c r="J104" s="46">
        <f>IF($B104="","",IF(INDEX('Master Database'!$H$1:$H$600,$B104)="","",INDEX('Master Database'!$H$1:$H$600,$B104)))</f>
        <v>2</v>
      </c>
      <c r="K104" s="46">
        <f>IF($B104="","",IF(INDEX('Master Database'!$I$1:$I$600,$B104)="","",INDEX('Master Database'!$I$1:$I$600,$B104)))</f>
        <v>30.6</v>
      </c>
      <c r="L104" s="46">
        <f>IF($B104="","",IF(INDEX('Master Database'!$K$1:$K$600,$B104)="","",INDEX('Master Database'!$K$1:$K$600,$B104)))</f>
        <v>0.27792915531335155</v>
      </c>
      <c r="M104" s="19" t="str">
        <f>IF($B104="","",IF(INDEX('Master Database'!$L$1:$L$600,$B104)="","",INDEX('Master Database'!$L$1:$L$600,$B104)))</f>
        <v>ISO 5199 + IPS-M-PM-115</v>
      </c>
      <c r="N104" s="19" t="str">
        <f>IF($B104="","",IF(INDEX('Master Database'!$P$1:$P$600,$B104)="","",INDEX('Master Database'!$P$1:$P$600,$B104)))</f>
        <v>Not stated</v>
      </c>
      <c r="O104" s="19" t="str">
        <f>IF($B104="","",IF(INDEX('Master Database'!$S$1:$S$600,$B104)="","",INDEX('Master Database'!$S$1:$S$600,$B104)))</f>
        <v>Electric Motor</v>
      </c>
      <c r="P104" s="19" t="str">
        <f>IF($B104="","",IF(INDEX('Master Database'!$T$1:$T$600,$B104)="","",INDEX('Master Database'!$T$1:$T$600,$B104)))</f>
        <v>Cooling / Seal Water</v>
      </c>
      <c r="Q104" s="19">
        <f>IF($B104="","",IF(INDEX('Master Database'!$Y$1:$Y$600,$B104)="","",INDEX('Master Database'!$Y$1:$Y$600,$B104)))</f>
        <v>1393</v>
      </c>
      <c r="R104" s="19" t="str">
        <f>IF($B104="","",IF(INDEX('Master Database'!$Z$1:$Z$600,$B104)="","",INDEX('Master Database'!$Z$1:$Z$600,$B104)))</f>
        <v>IRR</v>
      </c>
      <c r="S104" s="47">
        <f>IF($B104="","",IF(INDEX('Master Database'!$AA$1:$AA$600,$B104)="","",INDEX('Master Database'!$AA$1:$AA$600,$B104)))</f>
        <v>250000000</v>
      </c>
      <c r="T104" s="19" t="str">
        <f>IF($B104="","",IF(INDEX('Master Database'!$AE$1:$AE$600,$B104)="","",INDEX('Master Database'!$AE$1:$AE$600,$B104)))</f>
        <v>Consultant FEED MTO estimate – KPL-476 R03 (Jan 2016); local supplier price in IRR, before project overhead | source label: AACE Class 3</v>
      </c>
      <c r="U104" s="47">
        <f>IF($B104="","",IF(INDEX('Master Database'!$AG$1:$AG$600,$B104)="","",INDEX('Master Database'!$AG$1:$AG$600,$B104)))</f>
        <v>8333.5877030387564</v>
      </c>
      <c r="V104" s="47">
        <f>IF($B104="","",IF(INDEX('Master Database'!$AH$1:$AH$600,$B104)="","",INDEX('Master Database'!$AH$1:$AH$600,$B104)))</f>
        <v>8798.4609049453102</v>
      </c>
      <c r="W104" s="47">
        <f>IF($B104="","",IF(INDEX('Master Database'!$AI$1:$AI$600,$B104)="","",INDEX('Master Database'!$AI$1:$AI$600,$B104)))</f>
        <v>5794076855.1163502</v>
      </c>
      <c r="X104" s="19" t="str">
        <f>IF($B104="","",IF(INDEX('Master Database'!$BG$1:$BG$600,$B104)="","",INDEX('Master Database'!$BG$1:$BG$600,$B104)))</f>
        <v>Y</v>
      </c>
      <c r="BA104">
        <f>IF('Master Database'!$A104="",0,IF(AND(OR($B$5="",ISNUMBER(SEARCH($B$5,'Master Database'!$B104&amp;" "&amp;'Master Database'!$D104))),OR($B$6="(All)",'Master Database'!$C104=$B$6),OR($B$7="(All)",'Master Database'!$E104=$B$7),OR($B$8="(All)",'Master Database'!$T104=$B$8),OR($B$9="(All)",'Master Database'!$M104=$B$9),OR($B$10="(All)",'Master Database'!$V104=$B$10),OR($E$5="(All)",'Master Database'!$F104=$E$5),OR($E$6="(All)",'Master Database'!$G104=$E$6),OR($E$7="(All)",'Master Database'!$O104=$E$7),OR($E$8="(All)",'Master Database'!$P104=$E$8),OR($E$9="(All)",'Master Database'!$S104=$E$9),OR($E$10="(All)",'Master Database'!$Y104&amp;""=$E$10&amp;""),OR($H$5="(All)",'Master Database'!$BG104=$H$5),OR($H$6&lt;&gt;"Y",ISNUMBER('Master Database'!$AG104)),OR($H$7="",AND(ISNUMBER('Master Database'!$H104),N('Master Database'!$H104)&gt;=$H$7)),OR($I$7="",AND(ISNUMBER('Master Database'!$H104),N('Master Database'!$H104)&lt;=$I$7)),OR($H$8="",AND(ISNUMBER('Master Database'!$I104),N('Master Database'!$I104)&gt;=$H$8)),OR($I$8="",AND(ISNUMBER('Master Database'!$I104),N('Master Database'!$I104)&lt;=$I$8)),OR($H$9="",AND(ISNUMBER('Master Database'!$K104),N('Master Database'!$K104)&gt;=$H$9)),OR($I$9="",AND(ISNUMBER('Master Database'!$K104),N('Master Database'!$K104)&lt;=$I$9))),1,0))</f>
        <v>1</v>
      </c>
      <c r="BB104">
        <f>IF(BA104=1,COUNTIF($BA$5:BA104,1),"")</f>
        <v>100</v>
      </c>
    </row>
    <row r="105" spans="1:54">
      <c r="A105" s="20">
        <f>IF(90&lt;=SUM($BA$5:$BA$600),90,"")</f>
        <v>90</v>
      </c>
      <c r="B105" s="20">
        <f t="shared" si="2"/>
        <v>94</v>
      </c>
      <c r="C105" s="20">
        <f>IF($B105="","",IF(INDEX('Master Database'!$A$1:$A$600,$B105)="","",INDEX('Master Database'!$A$1:$A$600,$B105)))</f>
        <v>90</v>
      </c>
      <c r="D105" s="19" t="str">
        <f>IF($B105="","",IF(INDEX('Master Database'!$B$1:$B$600,$B105)="","",INDEX('Master Database'!$B$1:$B$600,$B105)))</f>
        <v>Evaporation Pond Portable Pump</v>
      </c>
      <c r="E105" s="19" t="str">
        <f>IF($B105="","",IF(INDEX('Master Database'!$C$1:$C$600,$B105)="","",INDEX('Master Database'!$C$1:$C$600,$B105)))</f>
        <v>Koopal Asmari</v>
      </c>
      <c r="F105" s="19" t="str">
        <f>IF($B105="","",IF(INDEX('Master Database'!$D$1:$D$600,$B105)="","",INDEX('Master Database'!$D$1:$D$600,$B105)))</f>
        <v>P-236</v>
      </c>
      <c r="G105" s="19" t="str">
        <f>IF($B105="","",IF(INDEX('Master Database'!$E$1:$E$600,$B105)="","",INDEX('Master Database'!$E$1:$E$600,$B105)))</f>
        <v>ROT-INJ</v>
      </c>
      <c r="H105" s="19" t="str">
        <f>IF($B105="","",IF(INDEX('Master Database'!$F$1:$F$600,$B105)="","",INDEX('Master Database'!$F$1:$F$600,$B105)))</f>
        <v>N/A (non-API 610)</v>
      </c>
      <c r="I105" s="19" t="str">
        <f>IF($B105="","",IF(INDEX('Master Database'!$G$1:$G$600,$B105)="","",INDEX('Master Database'!$G$1:$G$600,$B105)))</f>
        <v>D-2</v>
      </c>
      <c r="J105" s="46">
        <f>IF($B105="","",IF(INDEX('Master Database'!$H$1:$H$600,$B105)="","",INDEX('Master Database'!$H$1:$H$600,$B105)))</f>
        <v>6</v>
      </c>
      <c r="K105" s="46">
        <f>IF($B105="","",IF(INDEX('Master Database'!$I$1:$I$600,$B105)="","",INDEX('Master Database'!$I$1:$I$600,$B105)))</f>
        <v>20.399999999999999</v>
      </c>
      <c r="L105" s="46">
        <f>IF($B105="","",IF(INDEX('Master Database'!$K$1:$K$600,$B105)="","",INDEX('Master Database'!$K$1:$K$600,$B105)))</f>
        <v>0.55585831062670299</v>
      </c>
      <c r="M105" s="19" t="str">
        <f>IF($B105="","",IF(INDEX('Master Database'!$L$1:$L$600,$B105)="","",INDEX('Master Database'!$L$1:$L$600,$B105)))</f>
        <v>JIS B 8325</v>
      </c>
      <c r="N105" s="19" t="str">
        <f>IF($B105="","",IF(INDEX('Master Database'!$P$1:$P$600,$B105)="","",INDEX('Master Database'!$P$1:$P$600,$B105)))</f>
        <v>Not stated</v>
      </c>
      <c r="O105" s="19" t="str">
        <f>IF($B105="","",IF(INDEX('Master Database'!$S$1:$S$600,$B105)="","",INDEX('Master Database'!$S$1:$S$600,$B105)))</f>
        <v>Electric Motor</v>
      </c>
      <c r="P105" s="19" t="str">
        <f>IF($B105="","",IF(INDEX('Master Database'!$T$1:$T$600,$B105)="","",INDEX('Master Database'!$T$1:$T$600,$B105)))</f>
        <v>Produced / Disposal Water</v>
      </c>
      <c r="Q105" s="19">
        <f>IF($B105="","",IF(INDEX('Master Database'!$Y$1:$Y$600,$B105)="","",INDEX('Master Database'!$Y$1:$Y$600,$B105)))</f>
        <v>1393</v>
      </c>
      <c r="R105" s="19" t="str">
        <f>IF($B105="","",IF(INDEX('Master Database'!$Z$1:$Z$600,$B105)="","",INDEX('Master Database'!$Z$1:$Z$600,$B105)))</f>
        <v>EUR</v>
      </c>
      <c r="S105" s="47">
        <f>IF($B105="","",IF(INDEX('Master Database'!$AA$1:$AA$600,$B105)="","",INDEX('Master Database'!$AA$1:$AA$600,$B105)))</f>
        <v>20000</v>
      </c>
      <c r="T105" s="19" t="str">
        <f>IF($B105="","",IF(INDEX('Master Database'!$AE$1:$AE$600,$B105)="","",INDEX('Master Database'!$AE$1:$AE$600,$B105)))</f>
        <v>Consultant FEED MTO estimate – KPL-476 R03 (Jan 2016); vendor-level price in EUR, before project overhead | source label: AACE Class 3</v>
      </c>
      <c r="U105" s="47">
        <f>IF($B105="","",IF(INDEX('Master Database'!$AG$1:$AG$600,$B105)="","",INDEX('Master Database'!$AG$1:$AG$600,$B105)))</f>
        <v>27021.358117945856</v>
      </c>
      <c r="V105" s="47">
        <f>IF($B105="","",IF(INDEX('Master Database'!$AH$1:$AH$600,$B105)="","",INDEX('Master Database'!$AH$1:$AH$600,$B105)))</f>
        <v>28528.692739692589</v>
      </c>
      <c r="W105" s="47">
        <f>IF($B105="","",IF(INDEX('Master Database'!$AI$1:$AI$600,$B105)="","",INDEX('Master Database'!$AI$1:$AI$600,$B105)))</f>
        <v>18787085615.947979</v>
      </c>
      <c r="X105" s="19" t="str">
        <f>IF($B105="","",IF(INDEX('Master Database'!$BG$1:$BG$600,$B105)="","",INDEX('Master Database'!$BG$1:$BG$600,$B105)))</f>
        <v>Y</v>
      </c>
      <c r="BA105">
        <f>IF('Master Database'!$A105="",0,IF(AND(OR($B$5="",ISNUMBER(SEARCH($B$5,'Master Database'!$B105&amp;" "&amp;'Master Database'!$D105))),OR($B$6="(All)",'Master Database'!$C105=$B$6),OR($B$7="(All)",'Master Database'!$E105=$B$7),OR($B$8="(All)",'Master Database'!$T105=$B$8),OR($B$9="(All)",'Master Database'!$M105=$B$9),OR($B$10="(All)",'Master Database'!$V105=$B$10),OR($E$5="(All)",'Master Database'!$F105=$E$5),OR($E$6="(All)",'Master Database'!$G105=$E$6),OR($E$7="(All)",'Master Database'!$O105=$E$7),OR($E$8="(All)",'Master Database'!$P105=$E$8),OR($E$9="(All)",'Master Database'!$S105=$E$9),OR($E$10="(All)",'Master Database'!$Y105&amp;""=$E$10&amp;""),OR($H$5="(All)",'Master Database'!$BG105=$H$5),OR($H$6&lt;&gt;"Y",ISNUMBER('Master Database'!$AG105)),OR($H$7="",AND(ISNUMBER('Master Database'!$H105),N('Master Database'!$H105)&gt;=$H$7)),OR($I$7="",AND(ISNUMBER('Master Database'!$H105),N('Master Database'!$H105)&lt;=$I$7)),OR($H$8="",AND(ISNUMBER('Master Database'!$I105),N('Master Database'!$I105)&gt;=$H$8)),OR($I$8="",AND(ISNUMBER('Master Database'!$I105),N('Master Database'!$I105)&lt;=$I$8)),OR($H$9="",AND(ISNUMBER('Master Database'!$K105),N('Master Database'!$K105)&gt;=$H$9)),OR($I$9="",AND(ISNUMBER('Master Database'!$K105),N('Master Database'!$K105)&lt;=$I$9))),1,0))</f>
        <v>1</v>
      </c>
      <c r="BB105">
        <f>IF(BA105=1,COUNTIF($BA$5:BA105,1),"")</f>
        <v>101</v>
      </c>
    </row>
    <row r="106" spans="1:54">
      <c r="A106" s="20">
        <f>IF(91&lt;=SUM($BA$5:$BA$600),91,"")</f>
        <v>91</v>
      </c>
      <c r="B106" s="20">
        <f t="shared" si="2"/>
        <v>95</v>
      </c>
      <c r="C106" s="20">
        <f>IF($B106="","",IF(INDEX('Master Database'!$A$1:$A$600,$B106)="","",INDEX('Master Database'!$A$1:$A$600,$B106)))</f>
        <v>91</v>
      </c>
      <c r="D106" s="19" t="str">
        <f>IF($B106="","",IF(INDEX('Master Database'!$B$1:$B$600,$B106)="","",INDEX('Master Database'!$B$1:$B$600,$B106)))</f>
        <v>Evaporation Pond Portable Pump</v>
      </c>
      <c r="E106" s="19" t="str">
        <f>IF($B106="","",IF(INDEX('Master Database'!$C$1:$C$600,$B106)="","",INDEX('Master Database'!$C$1:$C$600,$B106)))</f>
        <v>Koopal Bangestan</v>
      </c>
      <c r="F106" s="19" t="str">
        <f>IF($B106="","",IF(INDEX('Master Database'!$D$1:$D$600,$B106)="","",INDEX('Master Database'!$D$1:$D$600,$B106)))</f>
        <v>P-246</v>
      </c>
      <c r="G106" s="19" t="str">
        <f>IF($B106="","",IF(INDEX('Master Database'!$E$1:$E$600,$B106)="","",INDEX('Master Database'!$E$1:$E$600,$B106)))</f>
        <v>ROT-INJ</v>
      </c>
      <c r="H106" s="19" t="str">
        <f>IF($B106="","",IF(INDEX('Master Database'!$F$1:$F$600,$B106)="","",INDEX('Master Database'!$F$1:$F$600,$B106)))</f>
        <v>N/A (non-API 610)</v>
      </c>
      <c r="I106" s="19" t="str">
        <f>IF($B106="","",IF(INDEX('Master Database'!$G$1:$G$600,$B106)="","",INDEX('Master Database'!$G$1:$G$600,$B106)))</f>
        <v>D-2</v>
      </c>
      <c r="J106" s="46">
        <f>IF($B106="","",IF(INDEX('Master Database'!$H$1:$H$600,$B106)="","",INDEX('Master Database'!$H$1:$H$600,$B106)))</f>
        <v>6</v>
      </c>
      <c r="K106" s="46">
        <f>IF($B106="","",IF(INDEX('Master Database'!$I$1:$I$600,$B106)="","",INDEX('Master Database'!$I$1:$I$600,$B106)))</f>
        <v>20.399999999999999</v>
      </c>
      <c r="L106" s="46">
        <f>IF($B106="","",IF(INDEX('Master Database'!$K$1:$K$600,$B106)="","",INDEX('Master Database'!$K$1:$K$600,$B106)))</f>
        <v>0.55585831062670299</v>
      </c>
      <c r="M106" s="19" t="str">
        <f>IF($B106="","",IF(INDEX('Master Database'!$L$1:$L$600,$B106)="","",INDEX('Master Database'!$L$1:$L$600,$B106)))</f>
        <v>JIS B 8325</v>
      </c>
      <c r="N106" s="19" t="str">
        <f>IF($B106="","",IF(INDEX('Master Database'!$P$1:$P$600,$B106)="","",INDEX('Master Database'!$P$1:$P$600,$B106)))</f>
        <v>Not stated</v>
      </c>
      <c r="O106" s="19" t="str">
        <f>IF($B106="","",IF(INDEX('Master Database'!$S$1:$S$600,$B106)="","",INDEX('Master Database'!$S$1:$S$600,$B106)))</f>
        <v>Electric Motor</v>
      </c>
      <c r="P106" s="19" t="str">
        <f>IF($B106="","",IF(INDEX('Master Database'!$T$1:$T$600,$B106)="","",INDEX('Master Database'!$T$1:$T$600,$B106)))</f>
        <v>Produced / Disposal Water</v>
      </c>
      <c r="Q106" s="19">
        <f>IF($B106="","",IF(INDEX('Master Database'!$Y$1:$Y$600,$B106)="","",INDEX('Master Database'!$Y$1:$Y$600,$B106)))</f>
        <v>1393</v>
      </c>
      <c r="R106" s="19" t="str">
        <f>IF($B106="","",IF(INDEX('Master Database'!$Z$1:$Z$600,$B106)="","",INDEX('Master Database'!$Z$1:$Z$600,$B106)))</f>
        <v>EUR</v>
      </c>
      <c r="S106" s="47">
        <f>IF($B106="","",IF(INDEX('Master Database'!$AA$1:$AA$600,$B106)="","",INDEX('Master Database'!$AA$1:$AA$600,$B106)))</f>
        <v>20000</v>
      </c>
      <c r="T106" s="19" t="str">
        <f>IF($B106="","",IF(INDEX('Master Database'!$AE$1:$AE$600,$B106)="","",INDEX('Master Database'!$AE$1:$AE$600,$B106)))</f>
        <v>Consultant FEED MTO estimate – KPL-476 R03 (Jan 2016); vendor-level price in EUR, before project overhead | source label: AACE Class 3</v>
      </c>
      <c r="U106" s="47">
        <f>IF($B106="","",IF(INDEX('Master Database'!$AG$1:$AG$600,$B106)="","",INDEX('Master Database'!$AG$1:$AG$600,$B106)))</f>
        <v>27021.358117945856</v>
      </c>
      <c r="V106" s="47">
        <f>IF($B106="","",IF(INDEX('Master Database'!$AH$1:$AH$600,$B106)="","",INDEX('Master Database'!$AH$1:$AH$600,$B106)))</f>
        <v>28528.692739692589</v>
      </c>
      <c r="W106" s="47">
        <f>IF($B106="","",IF(INDEX('Master Database'!$AI$1:$AI$600,$B106)="","",INDEX('Master Database'!$AI$1:$AI$600,$B106)))</f>
        <v>18787085615.947979</v>
      </c>
      <c r="X106" s="19" t="str">
        <f>IF($B106="","",IF(INDEX('Master Database'!$BG$1:$BG$600,$B106)="","",INDEX('Master Database'!$BG$1:$BG$600,$B106)))</f>
        <v>Y</v>
      </c>
      <c r="BA106">
        <f>IF('Master Database'!$A106="",0,IF(AND(OR($B$5="",ISNUMBER(SEARCH($B$5,'Master Database'!$B106&amp;" "&amp;'Master Database'!$D106))),OR($B$6="(All)",'Master Database'!$C106=$B$6),OR($B$7="(All)",'Master Database'!$E106=$B$7),OR($B$8="(All)",'Master Database'!$T106=$B$8),OR($B$9="(All)",'Master Database'!$M106=$B$9),OR($B$10="(All)",'Master Database'!$V106=$B$10),OR($E$5="(All)",'Master Database'!$F106=$E$5),OR($E$6="(All)",'Master Database'!$G106=$E$6),OR($E$7="(All)",'Master Database'!$O106=$E$7),OR($E$8="(All)",'Master Database'!$P106=$E$8),OR($E$9="(All)",'Master Database'!$S106=$E$9),OR($E$10="(All)",'Master Database'!$Y106&amp;""=$E$10&amp;""),OR($H$5="(All)",'Master Database'!$BG106=$H$5),OR($H$6&lt;&gt;"Y",ISNUMBER('Master Database'!$AG106)),OR($H$7="",AND(ISNUMBER('Master Database'!$H106),N('Master Database'!$H106)&gt;=$H$7)),OR($I$7="",AND(ISNUMBER('Master Database'!$H106),N('Master Database'!$H106)&lt;=$I$7)),OR($H$8="",AND(ISNUMBER('Master Database'!$I106),N('Master Database'!$I106)&gt;=$H$8)),OR($I$8="",AND(ISNUMBER('Master Database'!$I106),N('Master Database'!$I106)&lt;=$I$8)),OR($H$9="",AND(ISNUMBER('Master Database'!$K106),N('Master Database'!$K106)&gt;=$H$9)),OR($I$9="",AND(ISNUMBER('Master Database'!$K106),N('Master Database'!$K106)&lt;=$I$9))),1,0))</f>
        <v>1</v>
      </c>
      <c r="BB106">
        <f>IF(BA106=1,COUNTIF($BA$5:BA106,1),"")</f>
        <v>102</v>
      </c>
    </row>
    <row r="107" spans="1:54">
      <c r="A107" s="20">
        <f>IF(92&lt;=SUM($BA$5:$BA$600),92,"")</f>
        <v>92</v>
      </c>
      <c r="B107" s="20">
        <f t="shared" si="2"/>
        <v>96</v>
      </c>
      <c r="C107" s="20">
        <f>IF($B107="","",IF(INDEX('Master Database'!$A$1:$A$600,$B107)="","",INDEX('Master Database'!$A$1:$A$600,$B107)))</f>
        <v>92</v>
      </c>
      <c r="D107" s="19" t="str">
        <f>IF($B107="","",IF(INDEX('Master Database'!$B$1:$B$600,$B107)="","",INDEX('Master Database'!$B$1:$B$600,$B107)))</f>
        <v>Chemical Loading Pumps</v>
      </c>
      <c r="E107" s="19" t="str">
        <f>IF($B107="","",IF(INDEX('Master Database'!$C$1:$C$600,$B107)="","",INDEX('Master Database'!$C$1:$C$600,$B107)))</f>
        <v>Koopal Asmari</v>
      </c>
      <c r="F107" s="19" t="str">
        <f>IF($B107="","",IF(INDEX('Master Database'!$D$1:$D$600,$B107)="","",INDEX('Master Database'!$D$1:$D$600,$B107)))</f>
        <v>P-220 A/B/C/D/E</v>
      </c>
      <c r="G107" s="19" t="str">
        <f>IF($B107="","",IF(INDEX('Master Database'!$E$1:$E$600,$B107)="","",INDEX('Master Database'!$E$1:$E$600,$B107)))</f>
        <v>ROT-AUX</v>
      </c>
      <c r="H107" s="19" t="str">
        <f>IF($B107="","",IF(INDEX('Master Database'!$F$1:$F$600,$B107)="","",INDEX('Master Database'!$F$1:$F$600,$B107)))</f>
        <v>N/A (non-API 610)</v>
      </c>
      <c r="I107" s="19" t="str">
        <f>IF($B107="","",IF(INDEX('Master Database'!$G$1:$G$600,$B107)="","",INDEX('Master Database'!$G$1:$G$600,$B107)))</f>
        <v>SS316L (non-API)</v>
      </c>
      <c r="J107" s="46">
        <f>IF($B107="","",IF(INDEX('Master Database'!$H$1:$H$600,$B107)="","",INDEX('Master Database'!$H$1:$H$600,$B107)))</f>
        <v>9.6</v>
      </c>
      <c r="K107" s="46" t="str">
        <f>IF($B107="","",IF(INDEX('Master Database'!$I$1:$I$600,$B107)="","",INDEX('Master Database'!$I$1:$I$600,$B107)))</f>
        <v/>
      </c>
      <c r="L107" s="46" t="str">
        <f>IF($B107="","",IF(INDEX('Master Database'!$K$1:$K$600,$B107)="","",INDEX('Master Database'!$K$1:$K$600,$B107)))</f>
        <v/>
      </c>
      <c r="M107" s="19" t="str">
        <f>IF($B107="","",IF(INDEX('Master Database'!$L$1:$L$600,$B107)="","",INDEX('Master Database'!$L$1:$L$600,$B107)))</f>
        <v>Not stated</v>
      </c>
      <c r="N107" s="19" t="str">
        <f>IF($B107="","",IF(INDEX('Master Database'!$P$1:$P$600,$B107)="","",INDEX('Master Database'!$P$1:$P$600,$B107)))</f>
        <v>Not stated</v>
      </c>
      <c r="O107" s="19" t="str">
        <f>IF($B107="","",IF(INDEX('Master Database'!$S$1:$S$600,$B107)="","",INDEX('Master Database'!$S$1:$S$600,$B107)))</f>
        <v>Electric Motor</v>
      </c>
      <c r="P107" s="19" t="str">
        <f>IF($B107="","",IF(INDEX('Master Database'!$T$1:$T$600,$B107)="","",INDEX('Master Database'!$T$1:$T$600,$B107)))</f>
        <v>Chemical</v>
      </c>
      <c r="Q107" s="19">
        <f>IF($B107="","",IF(INDEX('Master Database'!$Y$1:$Y$600,$B107)="","",INDEX('Master Database'!$Y$1:$Y$600,$B107)))</f>
        <v>1393</v>
      </c>
      <c r="R107" s="19" t="str">
        <f>IF($B107="","",IF(INDEX('Master Database'!$Z$1:$Z$600,$B107)="","",INDEX('Master Database'!$Z$1:$Z$600,$B107)))</f>
        <v>IRR</v>
      </c>
      <c r="S107" s="47">
        <f>IF($B107="","",IF(INDEX('Master Database'!$AA$1:$AA$600,$B107)="","",INDEX('Master Database'!$AA$1:$AA$600,$B107)))</f>
        <v>100000000</v>
      </c>
      <c r="T107" s="19" t="str">
        <f>IF($B107="","",IF(INDEX('Master Database'!$AE$1:$AE$600,$B107)="","",INDEX('Master Database'!$AE$1:$AE$600,$B107)))</f>
        <v>Consultant FEED MTO estimate – KPL-476 R03 (Jan 2016); local supplier price in IRR, before project overhead | source label: AACE Class 3</v>
      </c>
      <c r="U107" s="47">
        <f>IF($B107="","",IF(INDEX('Master Database'!$AG$1:$AG$600,$B107)="","",INDEX('Master Database'!$AG$1:$AG$600,$B107)))</f>
        <v>3333.4350812155021</v>
      </c>
      <c r="V107" s="47">
        <f>IF($B107="","",IF(INDEX('Master Database'!$AH$1:$AH$600,$B107)="","",INDEX('Master Database'!$AH$1:$AH$600,$B107)))</f>
        <v>3519.3843619781237</v>
      </c>
      <c r="W107" s="47">
        <f>IF($B107="","",IF(INDEX('Master Database'!$AI$1:$AI$600,$B107)="","",INDEX('Master Database'!$AI$1:$AI$600,$B107)))</f>
        <v>2317630742.0465398</v>
      </c>
      <c r="X107" s="19" t="str">
        <f>IF($B107="","",IF(INDEX('Master Database'!$BG$1:$BG$600,$B107)="","",INDEX('Master Database'!$BG$1:$BG$600,$B107)))</f>
        <v>Y</v>
      </c>
      <c r="BA107">
        <f>IF('Master Database'!$A107="",0,IF(AND(OR($B$5="",ISNUMBER(SEARCH($B$5,'Master Database'!$B107&amp;" "&amp;'Master Database'!$D107))),OR($B$6="(All)",'Master Database'!$C107=$B$6),OR($B$7="(All)",'Master Database'!$E107=$B$7),OR($B$8="(All)",'Master Database'!$T107=$B$8),OR($B$9="(All)",'Master Database'!$M107=$B$9),OR($B$10="(All)",'Master Database'!$V107=$B$10),OR($E$5="(All)",'Master Database'!$F107=$E$5),OR($E$6="(All)",'Master Database'!$G107=$E$6),OR($E$7="(All)",'Master Database'!$O107=$E$7),OR($E$8="(All)",'Master Database'!$P107=$E$8),OR($E$9="(All)",'Master Database'!$S107=$E$9),OR($E$10="(All)",'Master Database'!$Y107&amp;""=$E$10&amp;""),OR($H$5="(All)",'Master Database'!$BG107=$H$5),OR($H$6&lt;&gt;"Y",ISNUMBER('Master Database'!$AG107)),OR($H$7="",AND(ISNUMBER('Master Database'!$H107),N('Master Database'!$H107)&gt;=$H$7)),OR($I$7="",AND(ISNUMBER('Master Database'!$H107),N('Master Database'!$H107)&lt;=$I$7)),OR($H$8="",AND(ISNUMBER('Master Database'!$I107),N('Master Database'!$I107)&gt;=$H$8)),OR($I$8="",AND(ISNUMBER('Master Database'!$I107),N('Master Database'!$I107)&lt;=$I$8)),OR($H$9="",AND(ISNUMBER('Master Database'!$K107),N('Master Database'!$K107)&gt;=$H$9)),OR($I$9="",AND(ISNUMBER('Master Database'!$K107),N('Master Database'!$K107)&lt;=$I$9))),1,0))</f>
        <v>1</v>
      </c>
      <c r="BB107">
        <f>IF(BA107=1,COUNTIF($BA$5:BA107,1),"")</f>
        <v>103</v>
      </c>
    </row>
    <row r="108" spans="1:54">
      <c r="A108" s="20">
        <f>IF(93&lt;=SUM($BA$5:$BA$600),93,"")</f>
        <v>93</v>
      </c>
      <c r="B108" s="20">
        <f t="shared" si="2"/>
        <v>97</v>
      </c>
      <c r="C108" s="20">
        <f>IF($B108="","",IF(INDEX('Master Database'!$A$1:$A$600,$B108)="","",INDEX('Master Database'!$A$1:$A$600,$B108)))</f>
        <v>93</v>
      </c>
      <c r="D108" s="19" t="str">
        <f>IF($B108="","",IF(INDEX('Master Database'!$B$1:$B$600,$B108)="","",INDEX('Master Database'!$B$1:$B$600,$B108)))</f>
        <v>Water Glycol Loading Pump</v>
      </c>
      <c r="E108" s="19" t="str">
        <f>IF($B108="","",IF(INDEX('Master Database'!$C$1:$C$600,$B108)="","",INDEX('Master Database'!$C$1:$C$600,$B108)))</f>
        <v>Koopal Asmari</v>
      </c>
      <c r="F108" s="19" t="str">
        <f>IF($B108="","",IF(INDEX('Master Database'!$D$1:$D$600,$B108)="","",INDEX('Master Database'!$D$1:$D$600,$B108)))</f>
        <v>P-116</v>
      </c>
      <c r="G108" s="19" t="str">
        <f>IF($B108="","",IF(INDEX('Master Database'!$E$1:$E$600,$B108)="","",INDEX('Master Database'!$E$1:$E$600,$B108)))</f>
        <v>ROT-AUX</v>
      </c>
      <c r="H108" s="19" t="str">
        <f>IF($B108="","",IF(INDEX('Master Database'!$F$1:$F$600,$B108)="","",INDEX('Master Database'!$F$1:$F$600,$B108)))</f>
        <v>N/A (non-API 610)</v>
      </c>
      <c r="I108" s="19" t="str">
        <f>IF($B108="","",IF(INDEX('Master Database'!$G$1:$G$600,$B108)="","",INDEX('Master Database'!$G$1:$G$600,$B108)))</f>
        <v>SS316L (non-API)</v>
      </c>
      <c r="J108" s="46">
        <f>IF($B108="","",IF(INDEX('Master Database'!$H$1:$H$600,$B108)="","",INDEX('Master Database'!$H$1:$H$600,$B108)))</f>
        <v>9.6</v>
      </c>
      <c r="K108" s="46" t="str">
        <f>IF($B108="","",IF(INDEX('Master Database'!$I$1:$I$600,$B108)="","",INDEX('Master Database'!$I$1:$I$600,$B108)))</f>
        <v/>
      </c>
      <c r="L108" s="46" t="str">
        <f>IF($B108="","",IF(INDEX('Master Database'!$K$1:$K$600,$B108)="","",INDEX('Master Database'!$K$1:$K$600,$B108)))</f>
        <v/>
      </c>
      <c r="M108" s="19" t="str">
        <f>IF($B108="","",IF(INDEX('Master Database'!$L$1:$L$600,$B108)="","",INDEX('Master Database'!$L$1:$L$600,$B108)))</f>
        <v>Not stated</v>
      </c>
      <c r="N108" s="19" t="str">
        <f>IF($B108="","",IF(INDEX('Master Database'!$P$1:$P$600,$B108)="","",INDEX('Master Database'!$P$1:$P$600,$B108)))</f>
        <v>Not stated</v>
      </c>
      <c r="O108" s="19" t="str">
        <f>IF($B108="","",IF(INDEX('Master Database'!$S$1:$S$600,$B108)="","",INDEX('Master Database'!$S$1:$S$600,$B108)))</f>
        <v>Electric Motor</v>
      </c>
      <c r="P108" s="19" t="str">
        <f>IF($B108="","",IF(INDEX('Master Database'!$T$1:$T$600,$B108)="","",INDEX('Master Database'!$T$1:$T$600,$B108)))</f>
        <v>Chemical</v>
      </c>
      <c r="Q108" s="19">
        <f>IF($B108="","",IF(INDEX('Master Database'!$Y$1:$Y$600,$B108)="","",INDEX('Master Database'!$Y$1:$Y$600,$B108)))</f>
        <v>1393</v>
      </c>
      <c r="R108" s="19" t="str">
        <f>IF($B108="","",IF(INDEX('Master Database'!$Z$1:$Z$600,$B108)="","",INDEX('Master Database'!$Z$1:$Z$600,$B108)))</f>
        <v>IRR</v>
      </c>
      <c r="S108" s="47">
        <f>IF($B108="","",IF(INDEX('Master Database'!$AA$1:$AA$600,$B108)="","",INDEX('Master Database'!$AA$1:$AA$600,$B108)))</f>
        <v>100000000</v>
      </c>
      <c r="T108" s="19" t="str">
        <f>IF($B108="","",IF(INDEX('Master Database'!$AE$1:$AE$600,$B108)="","",INDEX('Master Database'!$AE$1:$AE$600,$B108)))</f>
        <v>Consultant FEED MTO estimate – KPL-476 R03 (Jan 2016); local supplier price in IRR, before project overhead | source label: AACE Class 3</v>
      </c>
      <c r="U108" s="47">
        <f>IF($B108="","",IF(INDEX('Master Database'!$AG$1:$AG$600,$B108)="","",INDEX('Master Database'!$AG$1:$AG$600,$B108)))</f>
        <v>3333.4350812155021</v>
      </c>
      <c r="V108" s="47">
        <f>IF($B108="","",IF(INDEX('Master Database'!$AH$1:$AH$600,$B108)="","",INDEX('Master Database'!$AH$1:$AH$600,$B108)))</f>
        <v>3519.3843619781237</v>
      </c>
      <c r="W108" s="47">
        <f>IF($B108="","",IF(INDEX('Master Database'!$AI$1:$AI$600,$B108)="","",INDEX('Master Database'!$AI$1:$AI$600,$B108)))</f>
        <v>2317630742.0465398</v>
      </c>
      <c r="X108" s="19" t="str">
        <f>IF($B108="","",IF(INDEX('Master Database'!$BG$1:$BG$600,$B108)="","",INDEX('Master Database'!$BG$1:$BG$600,$B108)))</f>
        <v>Y</v>
      </c>
      <c r="BA108">
        <f>IF('Master Database'!$A108="",0,IF(AND(OR($B$5="",ISNUMBER(SEARCH($B$5,'Master Database'!$B108&amp;" "&amp;'Master Database'!$D108))),OR($B$6="(All)",'Master Database'!$C108=$B$6),OR($B$7="(All)",'Master Database'!$E108=$B$7),OR($B$8="(All)",'Master Database'!$T108=$B$8),OR($B$9="(All)",'Master Database'!$M108=$B$9),OR($B$10="(All)",'Master Database'!$V108=$B$10),OR($E$5="(All)",'Master Database'!$F108=$E$5),OR($E$6="(All)",'Master Database'!$G108=$E$6),OR($E$7="(All)",'Master Database'!$O108=$E$7),OR($E$8="(All)",'Master Database'!$P108=$E$8),OR($E$9="(All)",'Master Database'!$S108=$E$9),OR($E$10="(All)",'Master Database'!$Y108&amp;""=$E$10&amp;""),OR($H$5="(All)",'Master Database'!$BG108=$H$5),OR($H$6&lt;&gt;"Y",ISNUMBER('Master Database'!$AG108)),OR($H$7="",AND(ISNUMBER('Master Database'!$H108),N('Master Database'!$H108)&gt;=$H$7)),OR($I$7="",AND(ISNUMBER('Master Database'!$H108),N('Master Database'!$H108)&lt;=$I$7)),OR($H$8="",AND(ISNUMBER('Master Database'!$I108),N('Master Database'!$I108)&gt;=$H$8)),OR($I$8="",AND(ISNUMBER('Master Database'!$I108),N('Master Database'!$I108)&lt;=$I$8)),OR($H$9="",AND(ISNUMBER('Master Database'!$K108),N('Master Database'!$K108)&gt;=$H$9)),OR($I$9="",AND(ISNUMBER('Master Database'!$K108),N('Master Database'!$K108)&lt;=$I$9))),1,0))</f>
        <v>1</v>
      </c>
      <c r="BB108">
        <f>IF(BA108=1,COUNTIF($BA$5:BA108,1),"")</f>
        <v>104</v>
      </c>
    </row>
    <row r="109" spans="1:54">
      <c r="A109" s="20">
        <f>IF(94&lt;=SUM($BA$5:$BA$600),94,"")</f>
        <v>94</v>
      </c>
      <c r="B109" s="20">
        <f t="shared" si="2"/>
        <v>98</v>
      </c>
      <c r="C109" s="20">
        <f>IF($B109="","",IF(INDEX('Master Database'!$A$1:$A$600,$B109)="","",INDEX('Master Database'!$A$1:$A$600,$B109)))</f>
        <v>94</v>
      </c>
      <c r="D109" s="19" t="str">
        <f>IF($B109="","",IF(INDEX('Master Database'!$B$1:$B$600,$B109)="","",INDEX('Master Database'!$B$1:$B$600,$B109)))</f>
        <v>Off Spec. Crude Pumps</v>
      </c>
      <c r="E109" s="19" t="str">
        <f>IF($B109="","",IF(INDEX('Master Database'!$C$1:$C$600,$B109)="","",INDEX('Master Database'!$C$1:$C$600,$B109)))</f>
        <v>Pazanan 2</v>
      </c>
      <c r="F109" s="19" t="str">
        <f>IF($B109="","",IF(INDEX('Master Database'!$D$1:$D$600,$B109)="","",INDEX('Master Database'!$D$1:$D$600,$B109)))</f>
        <v>P-111 A/B</v>
      </c>
      <c r="G109" s="19" t="str">
        <f>IF($B109="","",IF(INDEX('Master Database'!$E$1:$E$600,$B109)="","",INDEX('Master Database'!$E$1:$E$600,$B109)))</f>
        <v>ROT-CRU</v>
      </c>
      <c r="H109" s="19" t="str">
        <f>IF($B109="","",IF(INDEX('Master Database'!$F$1:$F$600,$B109)="","",INDEX('Master Database'!$F$1:$F$600,$B109)))</f>
        <v>VS6</v>
      </c>
      <c r="I109" s="19" t="str">
        <f>IF($B109="","",IF(INDEX('Master Database'!$G$1:$G$600,$B109)="","",INDEX('Master Database'!$G$1:$G$600,$B109)))</f>
        <v>D-1</v>
      </c>
      <c r="J109" s="46">
        <f>IF($B109="","",IF(INDEX('Master Database'!$H$1:$H$600,$B109)="","",INDEX('Master Database'!$H$1:$H$600,$B109)))</f>
        <v>45</v>
      </c>
      <c r="K109" s="46">
        <f>IF($B109="","",IF(INDEX('Master Database'!$I$1:$I$600,$B109)="","",INDEX('Master Database'!$I$1:$I$600,$B109)))</f>
        <v>139.1</v>
      </c>
      <c r="L109" s="46">
        <f>IF($B109="","",IF(INDEX('Master Database'!$K$1:$K$600,$B109)="","",INDEX('Master Database'!$K$1:$K$600,$B109)))</f>
        <v>28.426430517711172</v>
      </c>
      <c r="M109" s="19" t="str">
        <f>IF($B109="","",IF(INDEX('Master Database'!$L$1:$L$600,$B109)="","",INDEX('Master Database'!$L$1:$L$600,$B109)))</f>
        <v>API 610 + IPS-G-PM-105 + NACE MR0175</v>
      </c>
      <c r="N109" s="19" t="str">
        <f>IF($B109="","",IF(INDEX('Master Database'!$P$1:$P$600,$B109)="","",INDEX('Master Database'!$P$1:$P$600,$B109)))</f>
        <v>Not stated</v>
      </c>
      <c r="O109" s="19" t="str">
        <f>IF($B109="","",IF(INDEX('Master Database'!$S$1:$S$600,$B109)="","",INDEX('Master Database'!$S$1:$S$600,$B109)))</f>
        <v>Electric Motor</v>
      </c>
      <c r="P109" s="19" t="str">
        <f>IF($B109="","",IF(INDEX('Master Database'!$T$1:$T$600,$B109)="","",INDEX('Master Database'!$T$1:$T$600,$B109)))</f>
        <v>Crude Oil</v>
      </c>
      <c r="Q109" s="19">
        <f>IF($B109="","",IF(INDEX('Master Database'!$Y$1:$Y$600,$B109)="","",INDEX('Master Database'!$Y$1:$Y$600,$B109)))</f>
        <v>1404</v>
      </c>
      <c r="R109" s="19" t="str">
        <f>IF($B109="","",IF(INDEX('Master Database'!$Z$1:$Z$600,$B109)="","",INDEX('Master Database'!$Z$1:$Z$600,$B109)))</f>
        <v>EUR</v>
      </c>
      <c r="S109" s="47">
        <f>IF($B109="","",IF(INDEX('Master Database'!$AA$1:$AA$600,$B109)="","",INDEX('Master Database'!$AA$1:$AA$600,$B109)))</f>
        <v>111500</v>
      </c>
      <c r="T109" s="19" t="str">
        <f>IF($B109="","",IF(INDEX('Master Database'!$AE$1:$AE$600,$B109)="","",INDEX('Master Database'!$AE$1:$AE$600,$B109)))</f>
        <v>Vendor inquiry 1404Q1 – average of 2 quotation(s), PC-ME (91211-PZN-ME-RE-451) sheet PUMPS | source label: AACE Class 1</v>
      </c>
      <c r="U109" s="47">
        <f>IF($B109="","",IF(INDEX('Master Database'!$AG$1:$AG$600,$B109)="","",INDEX('Master Database'!$AG$1:$AG$600,$B109)))</f>
        <v>111500</v>
      </c>
      <c r="V109" s="47">
        <f>IF($B109="","",IF(INDEX('Master Database'!$AH$1:$AH$600,$B109)="","",INDEX('Master Database'!$AH$1:$AH$600,$B109)))</f>
        <v>117719.81358565175</v>
      </c>
      <c r="W109" s="47">
        <f>IF($B109="","",IF(INDEX('Master Database'!$AI$1:$AI$600,$B109)="","",INDEX('Master Database'!$AI$1:$AI$600,$B109)))</f>
        <v>77522382000</v>
      </c>
      <c r="X109" s="19" t="str">
        <f>IF($B109="","",IF(INDEX('Master Database'!$BG$1:$BG$600,$B109)="","",INDEX('Master Database'!$BG$1:$BG$600,$B109)))</f>
        <v>Y</v>
      </c>
      <c r="BA109">
        <f>IF('Master Database'!$A109="",0,IF(AND(OR($B$5="",ISNUMBER(SEARCH($B$5,'Master Database'!$B109&amp;" "&amp;'Master Database'!$D109))),OR($B$6="(All)",'Master Database'!$C109=$B$6),OR($B$7="(All)",'Master Database'!$E109=$B$7),OR($B$8="(All)",'Master Database'!$T109=$B$8),OR($B$9="(All)",'Master Database'!$M109=$B$9),OR($B$10="(All)",'Master Database'!$V109=$B$10),OR($E$5="(All)",'Master Database'!$F109=$E$5),OR($E$6="(All)",'Master Database'!$G109=$E$6),OR($E$7="(All)",'Master Database'!$O109=$E$7),OR($E$8="(All)",'Master Database'!$P109=$E$8),OR($E$9="(All)",'Master Database'!$S109=$E$9),OR($E$10="(All)",'Master Database'!$Y109&amp;""=$E$10&amp;""),OR($H$5="(All)",'Master Database'!$BG109=$H$5),OR($H$6&lt;&gt;"Y",ISNUMBER('Master Database'!$AG109)),OR($H$7="",AND(ISNUMBER('Master Database'!$H109),N('Master Database'!$H109)&gt;=$H$7)),OR($I$7="",AND(ISNUMBER('Master Database'!$H109),N('Master Database'!$H109)&lt;=$I$7)),OR($H$8="",AND(ISNUMBER('Master Database'!$I109),N('Master Database'!$I109)&gt;=$H$8)),OR($I$8="",AND(ISNUMBER('Master Database'!$I109),N('Master Database'!$I109)&lt;=$I$8)),OR($H$9="",AND(ISNUMBER('Master Database'!$K109),N('Master Database'!$K109)&gt;=$H$9)),OR($I$9="",AND(ISNUMBER('Master Database'!$K109),N('Master Database'!$K109)&lt;=$I$9))),1,0))</f>
        <v>1</v>
      </c>
      <c r="BB109">
        <f>IF(BA109=1,COUNTIF($BA$5:BA109,1),"")</f>
        <v>105</v>
      </c>
    </row>
    <row r="110" spans="1:54">
      <c r="A110" s="20">
        <f>IF(95&lt;=SUM($BA$5:$BA$600),95,"")</f>
        <v>95</v>
      </c>
      <c r="B110" s="20">
        <f t="shared" si="2"/>
        <v>99</v>
      </c>
      <c r="C110" s="20">
        <f>IF($B110="","",IF(INDEX('Master Database'!$A$1:$A$600,$B110)="","",INDEX('Master Database'!$A$1:$A$600,$B110)))</f>
        <v>95</v>
      </c>
      <c r="D110" s="19" t="str">
        <f>IF($B110="","",IF(INDEX('Master Database'!$B$1:$B$600,$B110)="","",INDEX('Master Database'!$B$1:$B$600,$B110)))</f>
        <v>Deaerated Water Pumps</v>
      </c>
      <c r="E110" s="19" t="str">
        <f>IF($B110="","",IF(INDEX('Master Database'!$C$1:$C$600,$B110)="","",INDEX('Master Database'!$C$1:$C$600,$B110)))</f>
        <v>Pazanan 2</v>
      </c>
      <c r="F110" s="19" t="str">
        <f>IF($B110="","",IF(INDEX('Master Database'!$D$1:$D$600,$B110)="","",INDEX('Master Database'!$D$1:$D$600,$B110)))</f>
        <v>P-122 A/B</v>
      </c>
      <c r="G110" s="19" t="str">
        <f>IF($B110="","",IF(INDEX('Master Database'!$E$1:$E$600,$B110)="","",INDEX('Master Database'!$E$1:$E$600,$B110)))</f>
        <v>ROT-WAT</v>
      </c>
      <c r="H110" s="19" t="str">
        <f>IF($B110="","",IF(INDEX('Master Database'!$F$1:$F$600,$B110)="","",INDEX('Master Database'!$F$1:$F$600,$B110)))</f>
        <v>N/A (non-API 610)</v>
      </c>
      <c r="I110" s="19" t="str">
        <f>IF($B110="","",IF(INDEX('Master Database'!$G$1:$G$600,$B110)="","",INDEX('Master Database'!$G$1:$G$600,$B110)))</f>
        <v>I-2</v>
      </c>
      <c r="J110" s="46">
        <f>IF($B110="","",IF(INDEX('Master Database'!$H$1:$H$600,$B110)="","",INDEX('Master Database'!$H$1:$H$600,$B110)))</f>
        <v>53</v>
      </c>
      <c r="K110" s="46">
        <f>IF($B110="","",IF(INDEX('Master Database'!$I$1:$I$600,$B110)="","",INDEX('Master Database'!$I$1:$I$600,$B110)))</f>
        <v>35.700000000000003</v>
      </c>
      <c r="L110" s="46">
        <f>IF($B110="","",IF(INDEX('Master Database'!$K$1:$K$600,$B110)="","",INDEX('Master Database'!$K$1:$K$600,$B110)))</f>
        <v>8.5926430517711179</v>
      </c>
      <c r="M110" s="19" t="str">
        <f>IF($B110="","",IF(INDEX('Master Database'!$L$1:$L$600,$B110)="","",INDEX('Master Database'!$L$1:$L$600,$B110)))</f>
        <v>ISO 5199 + IPS-M-PM-115</v>
      </c>
      <c r="N110" s="19" t="str">
        <f>IF($B110="","",IF(INDEX('Master Database'!$P$1:$P$600,$B110)="","",INDEX('Master Database'!$P$1:$P$600,$B110)))</f>
        <v>Not stated</v>
      </c>
      <c r="O110" s="19" t="str">
        <f>IF($B110="","",IF(INDEX('Master Database'!$S$1:$S$600,$B110)="","",INDEX('Master Database'!$S$1:$S$600,$B110)))</f>
        <v>Electric Motor</v>
      </c>
      <c r="P110" s="19" t="str">
        <f>IF($B110="","",IF(INDEX('Master Database'!$T$1:$T$600,$B110)="","",INDEX('Master Database'!$T$1:$T$600,$B110)))</f>
        <v>Deaerated Water</v>
      </c>
      <c r="Q110" s="19">
        <f>IF($B110="","",IF(INDEX('Master Database'!$Y$1:$Y$600,$B110)="","",INDEX('Master Database'!$Y$1:$Y$600,$B110)))</f>
        <v>1404</v>
      </c>
      <c r="R110" s="19" t="str">
        <f>IF($B110="","",IF(INDEX('Master Database'!$Z$1:$Z$600,$B110)="","",INDEX('Master Database'!$Z$1:$Z$600,$B110)))</f>
        <v>EUR</v>
      </c>
      <c r="S110" s="47">
        <f>IF($B110="","",IF(INDEX('Master Database'!$AA$1:$AA$600,$B110)="","",INDEX('Master Database'!$AA$1:$AA$600,$B110)))</f>
        <v>15050</v>
      </c>
      <c r="T110" s="19" t="str">
        <f>IF($B110="","",IF(INDEX('Master Database'!$AE$1:$AE$600,$B110)="","",INDEX('Master Database'!$AE$1:$AE$600,$B110)))</f>
        <v>Vendor inquiry 1404Q1 – average of 2 quotation(s), PC-ME (91211-PZN-ME-RE-451) sheet PUMPS | source label: AACE Class 1</v>
      </c>
      <c r="U110" s="47">
        <f>IF($B110="","",IF(INDEX('Master Database'!$AG$1:$AG$600,$B110)="","",INDEX('Master Database'!$AG$1:$AG$600,$B110)))</f>
        <v>15050</v>
      </c>
      <c r="V110" s="47">
        <f>IF($B110="","",IF(INDEX('Master Database'!$AH$1:$AH$600,$B110)="","",INDEX('Master Database'!$AH$1:$AH$600,$B110)))</f>
        <v>15889.535376359272</v>
      </c>
      <c r="W110" s="47">
        <f>IF($B110="","",IF(INDEX('Master Database'!$AI$1:$AI$600,$B110)="","",INDEX('Master Database'!$AI$1:$AI$600,$B110)))</f>
        <v>10463783400</v>
      </c>
      <c r="X110" s="19" t="str">
        <f>IF($B110="","",IF(INDEX('Master Database'!$BG$1:$BG$600,$B110)="","",INDEX('Master Database'!$BG$1:$BG$600,$B110)))</f>
        <v>Y</v>
      </c>
      <c r="BA110">
        <f>IF('Master Database'!$A110="",0,IF(AND(OR($B$5="",ISNUMBER(SEARCH($B$5,'Master Database'!$B110&amp;" "&amp;'Master Database'!$D110))),OR($B$6="(All)",'Master Database'!$C110=$B$6),OR($B$7="(All)",'Master Database'!$E110=$B$7),OR($B$8="(All)",'Master Database'!$T110=$B$8),OR($B$9="(All)",'Master Database'!$M110=$B$9),OR($B$10="(All)",'Master Database'!$V110=$B$10),OR($E$5="(All)",'Master Database'!$F110=$E$5),OR($E$6="(All)",'Master Database'!$G110=$E$6),OR($E$7="(All)",'Master Database'!$O110=$E$7),OR($E$8="(All)",'Master Database'!$P110=$E$8),OR($E$9="(All)",'Master Database'!$S110=$E$9),OR($E$10="(All)",'Master Database'!$Y110&amp;""=$E$10&amp;""),OR($H$5="(All)",'Master Database'!$BG110=$H$5),OR($H$6&lt;&gt;"Y",ISNUMBER('Master Database'!$AG110)),OR($H$7="",AND(ISNUMBER('Master Database'!$H110),N('Master Database'!$H110)&gt;=$H$7)),OR($I$7="",AND(ISNUMBER('Master Database'!$H110),N('Master Database'!$H110)&lt;=$I$7)),OR($H$8="",AND(ISNUMBER('Master Database'!$I110),N('Master Database'!$I110)&gt;=$H$8)),OR($I$8="",AND(ISNUMBER('Master Database'!$I110),N('Master Database'!$I110)&lt;=$I$8)),OR($H$9="",AND(ISNUMBER('Master Database'!$K110),N('Master Database'!$K110)&gt;=$H$9)),OR($I$9="",AND(ISNUMBER('Master Database'!$K110),N('Master Database'!$K110)&lt;=$I$9))),1,0))</f>
        <v>1</v>
      </c>
      <c r="BB110">
        <f>IF(BA110=1,COUNTIF($BA$5:BA110,1),"")</f>
        <v>106</v>
      </c>
    </row>
    <row r="111" spans="1:54">
      <c r="A111" s="20">
        <f>IF(96&lt;=SUM($BA$5:$BA$600),96,"")</f>
        <v>96</v>
      </c>
      <c r="B111" s="20">
        <f t="shared" si="2"/>
        <v>100</v>
      </c>
      <c r="C111" s="20">
        <f>IF($B111="","",IF(INDEX('Master Database'!$A$1:$A$600,$B111)="","",INDEX('Master Database'!$A$1:$A$600,$B111)))</f>
        <v>96</v>
      </c>
      <c r="D111" s="19" t="str">
        <f>IF($B111="","",IF(INDEX('Master Database'!$B$1:$B$600,$B111)="","",INDEX('Master Database'!$B$1:$B$600,$B111)))</f>
        <v>Dilution Water Pump</v>
      </c>
      <c r="E111" s="19" t="str">
        <f>IF($B111="","",IF(INDEX('Master Database'!$C$1:$C$600,$B111)="","",INDEX('Master Database'!$C$1:$C$600,$B111)))</f>
        <v>Pazanan 2</v>
      </c>
      <c r="F111" s="19" t="str">
        <f>IF($B111="","",IF(INDEX('Master Database'!$D$1:$D$600,$B111)="","",INDEX('Master Database'!$D$1:$D$600,$B111)))</f>
        <v>P-124</v>
      </c>
      <c r="G111" s="19" t="str">
        <f>IF($B111="","",IF(INDEX('Master Database'!$E$1:$E$600,$B111)="","",INDEX('Master Database'!$E$1:$E$600,$B111)))</f>
        <v>ROT-WAT</v>
      </c>
      <c r="H111" s="19" t="str">
        <f>IF($B111="","",IF(INDEX('Master Database'!$F$1:$F$600,$B111)="","",INDEX('Master Database'!$F$1:$F$600,$B111)))</f>
        <v>OH2</v>
      </c>
      <c r="I111" s="19" t="str">
        <f>IF($B111="","",IF(INDEX('Master Database'!$G$1:$G$600,$B111)="","",INDEX('Master Database'!$G$1:$G$600,$B111)))</f>
        <v>I-2</v>
      </c>
      <c r="J111" s="46">
        <f>IF($B111="","",IF(INDEX('Master Database'!$H$1:$H$600,$B111)="","",INDEX('Master Database'!$H$1:$H$600,$B111)))</f>
        <v>53</v>
      </c>
      <c r="K111" s="46">
        <f>IF($B111="","",IF(INDEX('Master Database'!$I$1:$I$600,$B111)="","",INDEX('Master Database'!$I$1:$I$600,$B111)))</f>
        <v>122.3</v>
      </c>
      <c r="L111" s="46">
        <f>IF($B111="","",IF(INDEX('Master Database'!$K$1:$K$600,$B111)="","",INDEX('Master Database'!$K$1:$K$600,$B111)))</f>
        <v>29.436421435059039</v>
      </c>
      <c r="M111" s="19" t="str">
        <f>IF($B111="","",IF(INDEX('Master Database'!$L$1:$L$600,$B111)="","",INDEX('Master Database'!$L$1:$L$600,$B111)))</f>
        <v>API 610 + IPS-G-PM-105</v>
      </c>
      <c r="N111" s="19" t="str">
        <f>IF($B111="","",IF(INDEX('Master Database'!$P$1:$P$600,$B111)="","",INDEX('Master Database'!$P$1:$P$600,$B111)))</f>
        <v>Not stated</v>
      </c>
      <c r="O111" s="19" t="str">
        <f>IF($B111="","",IF(INDEX('Master Database'!$S$1:$S$600,$B111)="","",INDEX('Master Database'!$S$1:$S$600,$B111)))</f>
        <v>Electric Motor</v>
      </c>
      <c r="P111" s="19" t="str">
        <f>IF($B111="","",IF(INDEX('Master Database'!$T$1:$T$600,$B111)="","",INDEX('Master Database'!$T$1:$T$600,$B111)))</f>
        <v>Process / Dilution Water</v>
      </c>
      <c r="Q111" s="19">
        <f>IF($B111="","",IF(INDEX('Master Database'!$Y$1:$Y$600,$B111)="","",INDEX('Master Database'!$Y$1:$Y$600,$B111)))</f>
        <v>1404</v>
      </c>
      <c r="R111" s="19" t="str">
        <f>IF($B111="","",IF(INDEX('Master Database'!$Z$1:$Z$600,$B111)="","",INDEX('Master Database'!$Z$1:$Z$600,$B111)))</f>
        <v>EUR</v>
      </c>
      <c r="S111" s="47">
        <f>IF($B111="","",IF(INDEX('Master Database'!$AA$1:$AA$600,$B111)="","",INDEX('Master Database'!$AA$1:$AA$600,$B111)))</f>
        <v>22250</v>
      </c>
      <c r="T111" s="19" t="str">
        <f>IF($B111="","",IF(INDEX('Master Database'!$AE$1:$AE$600,$B111)="","",INDEX('Master Database'!$AE$1:$AE$600,$B111)))</f>
        <v>Vendor inquiry 1404Q1 – average of 2 quotation(s), PC-ME (91211-PZN-ME-RE-451) sheet PUMPS | source label: AACE Class 1</v>
      </c>
      <c r="U111" s="47">
        <f>IF($B111="","",IF(INDEX('Master Database'!$AG$1:$AG$600,$B111)="","",INDEX('Master Database'!$AG$1:$AG$600,$B111)))</f>
        <v>22250</v>
      </c>
      <c r="V111" s="47">
        <f>IF($B111="","",IF(INDEX('Master Database'!$AH$1:$AH$600,$B111)="","",INDEX('Master Database'!$AH$1:$AH$600,$B111)))</f>
        <v>23491.173563056065</v>
      </c>
      <c r="W111" s="47">
        <f>IF($B111="","",IF(INDEX('Master Database'!$AI$1:$AI$600,$B111)="","",INDEX('Master Database'!$AI$1:$AI$600,$B111)))</f>
        <v>15469713000</v>
      </c>
      <c r="X111" s="19" t="str">
        <f>IF($B111="","",IF(INDEX('Master Database'!$BG$1:$BG$600,$B111)="","",INDEX('Master Database'!$BG$1:$BG$600,$B111)))</f>
        <v>Y</v>
      </c>
      <c r="BA111">
        <f>IF('Master Database'!$A111="",0,IF(AND(OR($B$5="",ISNUMBER(SEARCH($B$5,'Master Database'!$B111&amp;" "&amp;'Master Database'!$D111))),OR($B$6="(All)",'Master Database'!$C111=$B$6),OR($B$7="(All)",'Master Database'!$E111=$B$7),OR($B$8="(All)",'Master Database'!$T111=$B$8),OR($B$9="(All)",'Master Database'!$M111=$B$9),OR($B$10="(All)",'Master Database'!$V111=$B$10),OR($E$5="(All)",'Master Database'!$F111=$E$5),OR($E$6="(All)",'Master Database'!$G111=$E$6),OR($E$7="(All)",'Master Database'!$O111=$E$7),OR($E$8="(All)",'Master Database'!$P111=$E$8),OR($E$9="(All)",'Master Database'!$S111=$E$9),OR($E$10="(All)",'Master Database'!$Y111&amp;""=$E$10&amp;""),OR($H$5="(All)",'Master Database'!$BG111=$H$5),OR($H$6&lt;&gt;"Y",ISNUMBER('Master Database'!$AG111)),OR($H$7="",AND(ISNUMBER('Master Database'!$H111),N('Master Database'!$H111)&gt;=$H$7)),OR($I$7="",AND(ISNUMBER('Master Database'!$H111),N('Master Database'!$H111)&lt;=$I$7)),OR($H$8="",AND(ISNUMBER('Master Database'!$I111),N('Master Database'!$I111)&gt;=$H$8)),OR($I$8="",AND(ISNUMBER('Master Database'!$I111),N('Master Database'!$I111)&lt;=$I$8)),OR($H$9="",AND(ISNUMBER('Master Database'!$K111),N('Master Database'!$K111)&gt;=$H$9)),OR($I$9="",AND(ISNUMBER('Master Database'!$K111),N('Master Database'!$K111)&lt;=$I$9))),1,0))</f>
        <v>1</v>
      </c>
      <c r="BB111">
        <f>IF(BA111=1,COUNTIF($BA$5:BA111,1),"")</f>
        <v>107</v>
      </c>
    </row>
    <row r="112" spans="1:54">
      <c r="A112" s="20">
        <f>IF(97&lt;=SUM($BA$5:$BA$600),97,"")</f>
        <v>97</v>
      </c>
      <c r="B112" s="20">
        <f t="shared" ref="B112:B143" si="3">IF(A112="","",MATCH(A112,$BB$5:$BB$600,0)+4)</f>
        <v>101</v>
      </c>
      <c r="C112" s="20">
        <f>IF($B112="","",IF(INDEX('Master Database'!$A$1:$A$600,$B112)="","",INDEX('Master Database'!$A$1:$A$600,$B112)))</f>
        <v>97</v>
      </c>
      <c r="D112" s="19" t="str">
        <f>IF($B112="","",IF(INDEX('Master Database'!$B$1:$B$600,$B112)="","",INDEX('Master Database'!$B$1:$B$600,$B112)))</f>
        <v>Dilution Water Pumps</v>
      </c>
      <c r="E112" s="19" t="str">
        <f>IF($B112="","",IF(INDEX('Master Database'!$C$1:$C$600,$B112)="","",INDEX('Master Database'!$C$1:$C$600,$B112)))</f>
        <v>Pazanan 2</v>
      </c>
      <c r="F112" s="19" t="str">
        <f>IF($B112="","",IF(INDEX('Master Database'!$D$1:$D$600,$B112)="","",INDEX('Master Database'!$D$1:$D$600,$B112)))</f>
        <v>P-125 A/B</v>
      </c>
      <c r="G112" s="19" t="str">
        <f>IF($B112="","",IF(INDEX('Master Database'!$E$1:$E$600,$B112)="","",INDEX('Master Database'!$E$1:$E$600,$B112)))</f>
        <v>ROT-WAT</v>
      </c>
      <c r="H112" s="19" t="str">
        <f>IF($B112="","",IF(INDEX('Master Database'!$F$1:$F$600,$B112)="","",INDEX('Master Database'!$F$1:$F$600,$B112)))</f>
        <v>OH2</v>
      </c>
      <c r="I112" s="19" t="str">
        <f>IF($B112="","",IF(INDEX('Master Database'!$G$1:$G$600,$B112)="","",INDEX('Master Database'!$G$1:$G$600,$B112)))</f>
        <v>I-2</v>
      </c>
      <c r="J112" s="46">
        <f>IF($B112="","",IF(INDEX('Master Database'!$H$1:$H$600,$B112)="","",INDEX('Master Database'!$H$1:$H$600,$B112)))</f>
        <v>31</v>
      </c>
      <c r="K112" s="46">
        <f>IF($B112="","",IF(INDEX('Master Database'!$I$1:$I$600,$B112)="","",INDEX('Master Database'!$I$1:$I$600,$B112)))</f>
        <v>122</v>
      </c>
      <c r="L112" s="46">
        <f>IF($B112="","",IF(INDEX('Master Database'!$K$1:$K$600,$B112)="","",INDEX('Master Database'!$K$1:$K$600,$B112)))</f>
        <v>17.175295186194369</v>
      </c>
      <c r="M112" s="19" t="str">
        <f>IF($B112="","",IF(INDEX('Master Database'!$L$1:$L$600,$B112)="","",INDEX('Master Database'!$L$1:$L$600,$B112)))</f>
        <v>API 610 + IPS-G-PM-105</v>
      </c>
      <c r="N112" s="19" t="str">
        <f>IF($B112="","",IF(INDEX('Master Database'!$P$1:$P$600,$B112)="","",INDEX('Master Database'!$P$1:$P$600,$B112)))</f>
        <v>Not stated</v>
      </c>
      <c r="O112" s="19" t="str">
        <f>IF($B112="","",IF(INDEX('Master Database'!$S$1:$S$600,$B112)="","",INDEX('Master Database'!$S$1:$S$600,$B112)))</f>
        <v>Electric Motor</v>
      </c>
      <c r="P112" s="19" t="str">
        <f>IF($B112="","",IF(INDEX('Master Database'!$T$1:$T$600,$B112)="","",INDEX('Master Database'!$T$1:$T$600,$B112)))</f>
        <v>Process / Dilution Water</v>
      </c>
      <c r="Q112" s="19">
        <f>IF($B112="","",IF(INDEX('Master Database'!$Y$1:$Y$600,$B112)="","",INDEX('Master Database'!$Y$1:$Y$600,$B112)))</f>
        <v>1404</v>
      </c>
      <c r="R112" s="19" t="str">
        <f>IF($B112="","",IF(INDEX('Master Database'!$Z$1:$Z$600,$B112)="","",INDEX('Master Database'!$Z$1:$Z$600,$B112)))</f>
        <v>EUR</v>
      </c>
      <c r="S112" s="47">
        <f>IF($B112="","",IF(INDEX('Master Database'!$AA$1:$AA$600,$B112)="","",INDEX('Master Database'!$AA$1:$AA$600,$B112)))</f>
        <v>21500</v>
      </c>
      <c r="T112" s="19" t="str">
        <f>IF($B112="","",IF(INDEX('Master Database'!$AE$1:$AE$600,$B112)="","",INDEX('Master Database'!$AE$1:$AE$600,$B112)))</f>
        <v>Vendor inquiry 1404Q1 – average of 2 quotation(s), PC-ME (91211-PZN-ME-RE-451) sheet PUMPS | source label: AACE Class 1</v>
      </c>
      <c r="U112" s="47">
        <f>IF($B112="","",IF(INDEX('Master Database'!$AG$1:$AG$600,$B112)="","",INDEX('Master Database'!$AG$1:$AG$600,$B112)))</f>
        <v>21500</v>
      </c>
      <c r="V112" s="47">
        <f>IF($B112="","",IF(INDEX('Master Database'!$AH$1:$AH$600,$B112)="","",INDEX('Master Database'!$AH$1:$AH$600,$B112)))</f>
        <v>22699.336251941815</v>
      </c>
      <c r="W112" s="47">
        <f>IF($B112="","",IF(INDEX('Master Database'!$AI$1:$AI$600,$B112)="","",INDEX('Master Database'!$AI$1:$AI$600,$B112)))</f>
        <v>14948262000</v>
      </c>
      <c r="X112" s="19" t="str">
        <f>IF($B112="","",IF(INDEX('Master Database'!$BG$1:$BG$600,$B112)="","",INDEX('Master Database'!$BG$1:$BG$600,$B112)))</f>
        <v>Y</v>
      </c>
      <c r="BA112">
        <f>IF('Master Database'!$A112="",0,IF(AND(OR($B$5="",ISNUMBER(SEARCH($B$5,'Master Database'!$B112&amp;" "&amp;'Master Database'!$D112))),OR($B$6="(All)",'Master Database'!$C112=$B$6),OR($B$7="(All)",'Master Database'!$E112=$B$7),OR($B$8="(All)",'Master Database'!$T112=$B$8),OR($B$9="(All)",'Master Database'!$M112=$B$9),OR($B$10="(All)",'Master Database'!$V112=$B$10),OR($E$5="(All)",'Master Database'!$F112=$E$5),OR($E$6="(All)",'Master Database'!$G112=$E$6),OR($E$7="(All)",'Master Database'!$O112=$E$7),OR($E$8="(All)",'Master Database'!$P112=$E$8),OR($E$9="(All)",'Master Database'!$S112=$E$9),OR($E$10="(All)",'Master Database'!$Y112&amp;""=$E$10&amp;""),OR($H$5="(All)",'Master Database'!$BG112=$H$5),OR($H$6&lt;&gt;"Y",ISNUMBER('Master Database'!$AG112)),OR($H$7="",AND(ISNUMBER('Master Database'!$H112),N('Master Database'!$H112)&gt;=$H$7)),OR($I$7="",AND(ISNUMBER('Master Database'!$H112),N('Master Database'!$H112)&lt;=$I$7)),OR($H$8="",AND(ISNUMBER('Master Database'!$I112),N('Master Database'!$I112)&gt;=$H$8)),OR($I$8="",AND(ISNUMBER('Master Database'!$I112),N('Master Database'!$I112)&lt;=$I$8)),OR($H$9="",AND(ISNUMBER('Master Database'!$K112),N('Master Database'!$K112)&gt;=$H$9)),OR($I$9="",AND(ISNUMBER('Master Database'!$K112),N('Master Database'!$K112)&lt;=$I$9))),1,0))</f>
        <v>1</v>
      </c>
      <c r="BB112">
        <f>IF(BA112=1,COUNTIF($BA$5:BA112,1),"")</f>
        <v>108</v>
      </c>
    </row>
    <row r="113" spans="1:54">
      <c r="A113" s="20">
        <f>IF(98&lt;=SUM($BA$5:$BA$600),98,"")</f>
        <v>98</v>
      </c>
      <c r="B113" s="20">
        <f t="shared" si="3"/>
        <v>102</v>
      </c>
      <c r="C113" s="20">
        <f>IF($B113="","",IF(INDEX('Master Database'!$A$1:$A$600,$B113)="","",INDEX('Master Database'!$A$1:$A$600,$B113)))</f>
        <v>98</v>
      </c>
      <c r="D113" s="19" t="str">
        <f>IF($B113="","",IF(INDEX('Master Database'!$B$1:$B$600,$B113)="","",INDEX('Master Database'!$B$1:$B$600,$B113)))</f>
        <v>Disposal Water InjectionPumps</v>
      </c>
      <c r="E113" s="19" t="str">
        <f>IF($B113="","",IF(INDEX('Master Database'!$C$1:$C$600,$B113)="","",INDEX('Master Database'!$C$1:$C$600,$B113)))</f>
        <v>Pazanan 2</v>
      </c>
      <c r="F113" s="19" t="str">
        <f>IF($B113="","",IF(INDEX('Master Database'!$D$1:$D$600,$B113)="","",INDEX('Master Database'!$D$1:$D$600,$B113)))</f>
        <v>P-136 A/B</v>
      </c>
      <c r="G113" s="19" t="str">
        <f>IF($B113="","",IF(INDEX('Master Database'!$E$1:$E$600,$B113)="","",INDEX('Master Database'!$E$1:$E$600,$B113)))</f>
        <v>ROT-INJ</v>
      </c>
      <c r="H113" s="19" t="str">
        <f>IF($B113="","",IF(INDEX('Master Database'!$F$1:$F$600,$B113)="","",INDEX('Master Database'!$F$1:$F$600,$B113)))</f>
        <v>BB3</v>
      </c>
      <c r="I113" s="19" t="str">
        <f>IF($B113="","",IF(INDEX('Master Database'!$G$1:$G$600,$B113)="","",INDEX('Master Database'!$G$1:$G$600,$B113)))</f>
        <v>D-2</v>
      </c>
      <c r="J113" s="46">
        <f>IF($B113="","",IF(INDEX('Master Database'!$H$1:$H$600,$B113)="","",INDEX('Master Database'!$H$1:$H$600,$B113)))</f>
        <v>91</v>
      </c>
      <c r="K113" s="46">
        <f>IF($B113="","",IF(INDEX('Master Database'!$I$1:$I$600,$B113)="","",INDEX('Master Database'!$I$1:$I$600,$B113)))</f>
        <v>650</v>
      </c>
      <c r="L113" s="46">
        <f>IF($B113="","",IF(INDEX('Master Database'!$K$1:$K$600,$B113)="","",INDEX('Master Database'!$K$1:$K$600,$B113)))</f>
        <v>268.61943687556766</v>
      </c>
      <c r="M113" s="19" t="str">
        <f>IF($B113="","",IF(INDEX('Master Database'!$L$1:$L$600,$B113)="","",INDEX('Master Database'!$L$1:$L$600,$B113)))</f>
        <v>API 610 + IPS-G-PM-105 + NACE MR0175</v>
      </c>
      <c r="N113" s="19" t="str">
        <f>IF($B113="","",IF(INDEX('Master Database'!$P$1:$P$600,$B113)="","",INDEX('Master Database'!$P$1:$P$600,$B113)))</f>
        <v>Not stated</v>
      </c>
      <c r="O113" s="19" t="str">
        <f>IF($B113="","",IF(INDEX('Master Database'!$S$1:$S$600,$B113)="","",INDEX('Master Database'!$S$1:$S$600,$B113)))</f>
        <v>Electric Motor</v>
      </c>
      <c r="P113" s="19" t="str">
        <f>IF($B113="","",IF(INDEX('Master Database'!$T$1:$T$600,$B113)="","",INDEX('Master Database'!$T$1:$T$600,$B113)))</f>
        <v>Produced / Disposal Water</v>
      </c>
      <c r="Q113" s="19">
        <f>IF($B113="","",IF(INDEX('Master Database'!$Y$1:$Y$600,$B113)="","",INDEX('Master Database'!$Y$1:$Y$600,$B113)))</f>
        <v>1404</v>
      </c>
      <c r="R113" s="19" t="str">
        <f>IF($B113="","",IF(INDEX('Master Database'!$Z$1:$Z$600,$B113)="","",INDEX('Master Database'!$Z$1:$Z$600,$B113)))</f>
        <v>EUR</v>
      </c>
      <c r="S113" s="47">
        <f>IF($B113="","",IF(INDEX('Master Database'!$AA$1:$AA$600,$B113)="","",INDEX('Master Database'!$AA$1:$AA$600,$B113)))</f>
        <v>317500</v>
      </c>
      <c r="T113" s="19" t="str">
        <f>IF($B113="","",IF(INDEX('Master Database'!$AE$1:$AE$600,$B113)="","",INDEX('Master Database'!$AE$1:$AE$600,$B113)))</f>
        <v>Vendor inquiry 1404Q1 – average of 2 quotation(s), PC-ME (91211-PZN-ME-RE-451) sheet PUMPS | source label: AACE Class 1</v>
      </c>
      <c r="U113" s="47">
        <f>IF($B113="","",IF(INDEX('Master Database'!$AG$1:$AG$600,$B113)="","",INDEX('Master Database'!$AG$1:$AG$600,$B113)))</f>
        <v>317500</v>
      </c>
      <c r="V113" s="47">
        <f>IF($B113="","",IF(INDEX('Master Database'!$AH$1:$AH$600,$B113)="","",INDEX('Master Database'!$AH$1:$AH$600,$B113)))</f>
        <v>335211.1283716989</v>
      </c>
      <c r="W113" s="47">
        <f>IF($B113="","",IF(INDEX('Master Database'!$AI$1:$AI$600,$B113)="","",INDEX('Master Database'!$AI$1:$AI$600,$B113)))</f>
        <v>220747590000</v>
      </c>
      <c r="X113" s="19" t="str">
        <f>IF($B113="","",IF(INDEX('Master Database'!$BG$1:$BG$600,$B113)="","",INDEX('Master Database'!$BG$1:$BG$600,$B113)))</f>
        <v>Y</v>
      </c>
      <c r="BA113">
        <f>IF('Master Database'!$A113="",0,IF(AND(OR($B$5="",ISNUMBER(SEARCH($B$5,'Master Database'!$B113&amp;" "&amp;'Master Database'!$D113))),OR($B$6="(All)",'Master Database'!$C113=$B$6),OR($B$7="(All)",'Master Database'!$E113=$B$7),OR($B$8="(All)",'Master Database'!$T113=$B$8),OR($B$9="(All)",'Master Database'!$M113=$B$9),OR($B$10="(All)",'Master Database'!$V113=$B$10),OR($E$5="(All)",'Master Database'!$F113=$E$5),OR($E$6="(All)",'Master Database'!$G113=$E$6),OR($E$7="(All)",'Master Database'!$O113=$E$7),OR($E$8="(All)",'Master Database'!$P113=$E$8),OR($E$9="(All)",'Master Database'!$S113=$E$9),OR($E$10="(All)",'Master Database'!$Y113&amp;""=$E$10&amp;""),OR($H$5="(All)",'Master Database'!$BG113=$H$5),OR($H$6&lt;&gt;"Y",ISNUMBER('Master Database'!$AG113)),OR($H$7="",AND(ISNUMBER('Master Database'!$H113),N('Master Database'!$H113)&gt;=$H$7)),OR($I$7="",AND(ISNUMBER('Master Database'!$H113),N('Master Database'!$H113)&lt;=$I$7)),OR($H$8="",AND(ISNUMBER('Master Database'!$I113),N('Master Database'!$I113)&gt;=$H$8)),OR($I$8="",AND(ISNUMBER('Master Database'!$I113),N('Master Database'!$I113)&lt;=$I$8)),OR($H$9="",AND(ISNUMBER('Master Database'!$K113),N('Master Database'!$K113)&gt;=$H$9)),OR($I$9="",AND(ISNUMBER('Master Database'!$K113),N('Master Database'!$K113)&lt;=$I$9))),1,0))</f>
        <v>1</v>
      </c>
      <c r="BB113">
        <f>IF(BA113=1,COUNTIF($BA$5:BA113,1),"")</f>
        <v>109</v>
      </c>
    </row>
    <row r="114" spans="1:54">
      <c r="A114" s="20">
        <f>IF(99&lt;=SUM($BA$5:$BA$600),99,"")</f>
        <v>99</v>
      </c>
      <c r="B114" s="20">
        <f t="shared" si="3"/>
        <v>103</v>
      </c>
      <c r="C114" s="20">
        <f>IF($B114="","",IF(INDEX('Master Database'!$A$1:$A$600,$B114)="","",INDEX('Master Database'!$A$1:$A$600,$B114)))</f>
        <v>99</v>
      </c>
      <c r="D114" s="19" t="str">
        <f>IF($B114="","",IF(INDEX('Master Database'!$B$1:$B$600,$B114)="","",INDEX('Master Database'!$B$1:$B$600,$B114)))</f>
        <v>Dirty Oil Pumps</v>
      </c>
      <c r="E114" s="19" t="str">
        <f>IF($B114="","",IF(INDEX('Master Database'!$C$1:$C$600,$B114)="","",INDEX('Master Database'!$C$1:$C$600,$B114)))</f>
        <v>Pazanan 2</v>
      </c>
      <c r="F114" s="19" t="str">
        <f>IF($B114="","",IF(INDEX('Master Database'!$D$1:$D$600,$B114)="","",INDEX('Master Database'!$D$1:$D$600,$B114)))</f>
        <v>P-137 A/B</v>
      </c>
      <c r="G114" s="19" t="str">
        <f>IF($B114="","",IF(INDEX('Master Database'!$E$1:$E$600,$B114)="","",INDEX('Master Database'!$E$1:$E$600,$B114)))</f>
        <v>ROT-DRN</v>
      </c>
      <c r="H114" s="19" t="str">
        <f>IF($B114="","",IF(INDEX('Master Database'!$F$1:$F$600,$B114)="","",INDEX('Master Database'!$F$1:$F$600,$B114)))</f>
        <v>N/A (non-API 610)</v>
      </c>
      <c r="I114" s="19" t="str">
        <f>IF($B114="","",IF(INDEX('Master Database'!$G$1:$G$600,$B114)="","",INDEX('Master Database'!$G$1:$G$600,$B114)))</f>
        <v>D-1</v>
      </c>
      <c r="J114" s="46">
        <f>IF($B114="","",IF(INDEX('Master Database'!$H$1:$H$600,$B114)="","",INDEX('Master Database'!$H$1:$H$600,$B114)))</f>
        <v>5</v>
      </c>
      <c r="K114" s="46" t="str">
        <f>IF($B114="","",IF(INDEX('Master Database'!$I$1:$I$600,$B114)="","",INDEX('Master Database'!$I$1:$I$600,$B114)))</f>
        <v/>
      </c>
      <c r="L114" s="46" t="str">
        <f>IF($B114="","",IF(INDEX('Master Database'!$K$1:$K$600,$B114)="","",INDEX('Master Database'!$K$1:$K$600,$B114)))</f>
        <v/>
      </c>
      <c r="M114" s="19" t="str">
        <f>IF($B114="","",IF(INDEX('Master Database'!$L$1:$L$600,$B114)="","",INDEX('Master Database'!$L$1:$L$600,$B114)))</f>
        <v>API 676 + IPS-M-PM-140 + NACE MR0175</v>
      </c>
      <c r="N114" s="19" t="str">
        <f>IF($B114="","",IF(INDEX('Master Database'!$P$1:$P$600,$B114)="","",INDEX('Master Database'!$P$1:$P$600,$B114)))</f>
        <v>Not stated</v>
      </c>
      <c r="O114" s="19" t="str">
        <f>IF($B114="","",IF(INDEX('Master Database'!$S$1:$S$600,$B114)="","",INDEX('Master Database'!$S$1:$S$600,$B114)))</f>
        <v>Electric Motor</v>
      </c>
      <c r="P114" s="19" t="str">
        <f>IF($B114="","",IF(INDEX('Master Database'!$T$1:$T$600,$B114)="","",INDEX('Master Database'!$T$1:$T$600,$B114)))</f>
        <v>Slop / Dirty Oil</v>
      </c>
      <c r="Q114" s="19">
        <f>IF($B114="","",IF(INDEX('Master Database'!$Y$1:$Y$600,$B114)="","",INDEX('Master Database'!$Y$1:$Y$600,$B114)))</f>
        <v>1404</v>
      </c>
      <c r="R114" s="19" t="str">
        <f>IF($B114="","",IF(INDEX('Master Database'!$Z$1:$Z$600,$B114)="","",INDEX('Master Database'!$Z$1:$Z$600,$B114)))</f>
        <v>EUR</v>
      </c>
      <c r="S114" s="47">
        <f>IF($B114="","",IF(INDEX('Master Database'!$AA$1:$AA$600,$B114)="","",INDEX('Master Database'!$AA$1:$AA$600,$B114)))</f>
        <v>30000</v>
      </c>
      <c r="T114" s="19" t="str">
        <f>IF($B114="","",IF(INDEX('Master Database'!$AE$1:$AE$600,$B114)="","",INDEX('Master Database'!$AE$1:$AE$600,$B114)))</f>
        <v>Vendor inquiry 1404Q1 – average of 1 quotation(s), PC-ME (91211-PZN-ME-RE-451) sheet PUMPS | source label: AACE Class 1</v>
      </c>
      <c r="U114" s="47">
        <f>IF($B114="","",IF(INDEX('Master Database'!$AG$1:$AG$600,$B114)="","",INDEX('Master Database'!$AG$1:$AG$600,$B114)))</f>
        <v>30000</v>
      </c>
      <c r="V114" s="47">
        <f>IF($B114="","",IF(INDEX('Master Database'!$AH$1:$AH$600,$B114)="","",INDEX('Master Database'!$AH$1:$AH$600,$B114)))</f>
        <v>31673.492444569976</v>
      </c>
      <c r="W114" s="47">
        <f>IF($B114="","",IF(INDEX('Master Database'!$AI$1:$AI$600,$B114)="","",INDEX('Master Database'!$AI$1:$AI$600,$B114)))</f>
        <v>20858040000</v>
      </c>
      <c r="X114" s="19" t="str">
        <f>IF($B114="","",IF(INDEX('Master Database'!$BG$1:$BG$600,$B114)="","",INDEX('Master Database'!$BG$1:$BG$600,$B114)))</f>
        <v>Y</v>
      </c>
      <c r="BA114">
        <f>IF('Master Database'!$A114="",0,IF(AND(OR($B$5="",ISNUMBER(SEARCH($B$5,'Master Database'!$B114&amp;" "&amp;'Master Database'!$D114))),OR($B$6="(All)",'Master Database'!$C114=$B$6),OR($B$7="(All)",'Master Database'!$E114=$B$7),OR($B$8="(All)",'Master Database'!$T114=$B$8),OR($B$9="(All)",'Master Database'!$M114=$B$9),OR($B$10="(All)",'Master Database'!$V114=$B$10),OR($E$5="(All)",'Master Database'!$F114=$E$5),OR($E$6="(All)",'Master Database'!$G114=$E$6),OR($E$7="(All)",'Master Database'!$O114=$E$7),OR($E$8="(All)",'Master Database'!$P114=$E$8),OR($E$9="(All)",'Master Database'!$S114=$E$9),OR($E$10="(All)",'Master Database'!$Y114&amp;""=$E$10&amp;""),OR($H$5="(All)",'Master Database'!$BG114=$H$5),OR($H$6&lt;&gt;"Y",ISNUMBER('Master Database'!$AG114)),OR($H$7="",AND(ISNUMBER('Master Database'!$H114),N('Master Database'!$H114)&gt;=$H$7)),OR($I$7="",AND(ISNUMBER('Master Database'!$H114),N('Master Database'!$H114)&lt;=$I$7)),OR($H$8="",AND(ISNUMBER('Master Database'!$I114),N('Master Database'!$I114)&gt;=$H$8)),OR($I$8="",AND(ISNUMBER('Master Database'!$I114),N('Master Database'!$I114)&lt;=$I$8)),OR($H$9="",AND(ISNUMBER('Master Database'!$K114),N('Master Database'!$K114)&gt;=$H$9)),OR($I$9="",AND(ISNUMBER('Master Database'!$K114),N('Master Database'!$K114)&lt;=$I$9))),1,0))</f>
        <v>1</v>
      </c>
      <c r="BB114">
        <f>IF(BA114=1,COUNTIF($BA$5:BA114,1),"")</f>
        <v>110</v>
      </c>
    </row>
    <row r="115" spans="1:54">
      <c r="A115" s="20">
        <f>IF(100&lt;=SUM($BA$5:$BA$600),100,"")</f>
        <v>100</v>
      </c>
      <c r="B115" s="20">
        <f t="shared" si="3"/>
        <v>104</v>
      </c>
      <c r="C115" s="20">
        <f>IF($B115="","",IF(INDEX('Master Database'!$A$1:$A$600,$B115)="","",INDEX('Master Database'!$A$1:$A$600,$B115)))</f>
        <v>100</v>
      </c>
      <c r="D115" s="19" t="str">
        <f>IF($B115="","",IF(INDEX('Master Database'!$B$1:$B$600,$B115)="","",INDEX('Master Database'!$B$1:$B$600,$B115)))</f>
        <v>Evaporation Pond Water Return Pumps</v>
      </c>
      <c r="E115" s="19" t="str">
        <f>IF($B115="","",IF(INDEX('Master Database'!$C$1:$C$600,$B115)="","",INDEX('Master Database'!$C$1:$C$600,$B115)))</f>
        <v>Pazanan 2</v>
      </c>
      <c r="F115" s="19" t="str">
        <f>IF($B115="","",IF(INDEX('Master Database'!$D$1:$D$600,$B115)="","",INDEX('Master Database'!$D$1:$D$600,$B115)))</f>
        <v>P-138 A/B</v>
      </c>
      <c r="G115" s="19" t="str">
        <f>IF($B115="","",IF(INDEX('Master Database'!$E$1:$E$600,$B115)="","",INDEX('Master Database'!$E$1:$E$600,$B115)))</f>
        <v>ROT-INJ</v>
      </c>
      <c r="H115" s="19" t="str">
        <f>IF($B115="","",IF(INDEX('Master Database'!$F$1:$F$600,$B115)="","",INDEX('Master Database'!$F$1:$F$600,$B115)))</f>
        <v>OH2</v>
      </c>
      <c r="I115" s="19" t="str">
        <f>IF($B115="","",IF(INDEX('Master Database'!$G$1:$G$600,$B115)="","",INDEX('Master Database'!$G$1:$G$600,$B115)))</f>
        <v>D-2</v>
      </c>
      <c r="J115" s="46">
        <f>IF($B115="","",IF(INDEX('Master Database'!$H$1:$H$600,$B115)="","",INDEX('Master Database'!$H$1:$H$600,$B115)))</f>
        <v>15</v>
      </c>
      <c r="K115" s="46">
        <f>IF($B115="","",IF(INDEX('Master Database'!$I$1:$I$600,$B115)="","",INDEX('Master Database'!$I$1:$I$600,$B115)))</f>
        <v>27</v>
      </c>
      <c r="L115" s="46">
        <f>IF($B115="","",IF(INDEX('Master Database'!$K$1:$K$600,$B115)="","",INDEX('Master Database'!$K$1:$K$600,$B115)))</f>
        <v>1.8392370572207086</v>
      </c>
      <c r="M115" s="19" t="str">
        <f>IF($B115="","",IF(INDEX('Master Database'!$L$1:$L$600,$B115)="","",INDEX('Master Database'!$L$1:$L$600,$B115)))</f>
        <v>API 610 + IPS-G-PM-105</v>
      </c>
      <c r="N115" s="19" t="str">
        <f>IF($B115="","",IF(INDEX('Master Database'!$P$1:$P$600,$B115)="","",INDEX('Master Database'!$P$1:$P$600,$B115)))</f>
        <v>Not stated</v>
      </c>
      <c r="O115" s="19" t="str">
        <f>IF($B115="","",IF(INDEX('Master Database'!$S$1:$S$600,$B115)="","",INDEX('Master Database'!$S$1:$S$600,$B115)))</f>
        <v>Electric Motor</v>
      </c>
      <c r="P115" s="19" t="str">
        <f>IF($B115="","",IF(INDEX('Master Database'!$T$1:$T$600,$B115)="","",INDEX('Master Database'!$T$1:$T$600,$B115)))</f>
        <v>Produced / Disposal Water</v>
      </c>
      <c r="Q115" s="19">
        <f>IF($B115="","",IF(INDEX('Master Database'!$Y$1:$Y$600,$B115)="","",INDEX('Master Database'!$Y$1:$Y$600,$B115)))</f>
        <v>1404</v>
      </c>
      <c r="R115" s="19" t="str">
        <f>IF($B115="","",IF(INDEX('Master Database'!$Z$1:$Z$600,$B115)="","",INDEX('Master Database'!$Z$1:$Z$600,$B115)))</f>
        <v>EUR</v>
      </c>
      <c r="S115" s="47">
        <f>IF($B115="","",IF(INDEX('Master Database'!$AA$1:$AA$600,$B115)="","",INDEX('Master Database'!$AA$1:$AA$600,$B115)))</f>
        <v>29000</v>
      </c>
      <c r="T115" s="19" t="str">
        <f>IF($B115="","",IF(INDEX('Master Database'!$AE$1:$AE$600,$B115)="","",INDEX('Master Database'!$AE$1:$AE$600,$B115)))</f>
        <v>Vendor inquiry 1404Q1 – average of 2 quotation(s), PC-ME (91211-PZN-ME-RE-451) sheet PUMPS | source label: AACE Class 1</v>
      </c>
      <c r="U115" s="47">
        <f>IF($B115="","",IF(INDEX('Master Database'!$AG$1:$AG$600,$B115)="","",INDEX('Master Database'!$AG$1:$AG$600,$B115)))</f>
        <v>29000</v>
      </c>
      <c r="V115" s="47">
        <f>IF($B115="","",IF(INDEX('Master Database'!$AH$1:$AH$600,$B115)="","",INDEX('Master Database'!$AH$1:$AH$600,$B115)))</f>
        <v>30617.709363084312</v>
      </c>
      <c r="W115" s="47">
        <f>IF($B115="","",IF(INDEX('Master Database'!$AI$1:$AI$600,$B115)="","",INDEX('Master Database'!$AI$1:$AI$600,$B115)))</f>
        <v>20162772000</v>
      </c>
      <c r="X115" s="19" t="str">
        <f>IF($B115="","",IF(INDEX('Master Database'!$BG$1:$BG$600,$B115)="","",INDEX('Master Database'!$BG$1:$BG$600,$B115)))</f>
        <v>Y</v>
      </c>
      <c r="BA115">
        <f>IF('Master Database'!$A115="",0,IF(AND(OR($B$5="",ISNUMBER(SEARCH($B$5,'Master Database'!$B115&amp;" "&amp;'Master Database'!$D115))),OR($B$6="(All)",'Master Database'!$C115=$B$6),OR($B$7="(All)",'Master Database'!$E115=$B$7),OR($B$8="(All)",'Master Database'!$T115=$B$8),OR($B$9="(All)",'Master Database'!$M115=$B$9),OR($B$10="(All)",'Master Database'!$V115=$B$10),OR($E$5="(All)",'Master Database'!$F115=$E$5),OR($E$6="(All)",'Master Database'!$G115=$E$6),OR($E$7="(All)",'Master Database'!$O115=$E$7),OR($E$8="(All)",'Master Database'!$P115=$E$8),OR($E$9="(All)",'Master Database'!$S115=$E$9),OR($E$10="(All)",'Master Database'!$Y115&amp;""=$E$10&amp;""),OR($H$5="(All)",'Master Database'!$BG115=$H$5),OR($H$6&lt;&gt;"Y",ISNUMBER('Master Database'!$AG115)),OR($H$7="",AND(ISNUMBER('Master Database'!$H115),N('Master Database'!$H115)&gt;=$H$7)),OR($I$7="",AND(ISNUMBER('Master Database'!$H115),N('Master Database'!$H115)&lt;=$I$7)),OR($H$8="",AND(ISNUMBER('Master Database'!$I115),N('Master Database'!$I115)&gt;=$H$8)),OR($I$8="",AND(ISNUMBER('Master Database'!$I115),N('Master Database'!$I115)&lt;=$I$8)),OR($H$9="",AND(ISNUMBER('Master Database'!$K115),N('Master Database'!$K115)&gt;=$H$9)),OR($I$9="",AND(ISNUMBER('Master Database'!$K115),N('Master Database'!$K115)&lt;=$I$9))),1,0))</f>
        <v>1</v>
      </c>
      <c r="BB115">
        <f>IF(BA115=1,COUNTIF($BA$5:BA115,1),"")</f>
        <v>111</v>
      </c>
    </row>
    <row r="116" spans="1:54">
      <c r="A116" s="20">
        <f>IF(101&lt;=SUM($BA$5:$BA$600),101,"")</f>
        <v>101</v>
      </c>
      <c r="B116" s="20">
        <f t="shared" si="3"/>
        <v>105</v>
      </c>
      <c r="C116" s="20">
        <f>IF($B116="","",IF(INDEX('Master Database'!$A$1:$A$600,$B116)="","",INDEX('Master Database'!$A$1:$A$600,$B116)))</f>
        <v>101</v>
      </c>
      <c r="D116" s="19" t="str">
        <f>IF($B116="","",IF(INDEX('Master Database'!$B$1:$B$600,$B116)="","",INDEX('Master Database'!$B$1:$B$600,$B116)))</f>
        <v>Disposal Water InjectionPumps</v>
      </c>
      <c r="E116" s="19" t="str">
        <f>IF($B116="","",IF(INDEX('Master Database'!$C$1:$C$600,$B116)="","",INDEX('Master Database'!$C$1:$C$600,$B116)))</f>
        <v>Pazanan 2</v>
      </c>
      <c r="F116" s="19" t="str">
        <f>IF($B116="","",IF(INDEX('Master Database'!$D$1:$D$600,$B116)="","",INDEX('Master Database'!$D$1:$D$600,$B116)))</f>
        <v>P-139 A/B/C</v>
      </c>
      <c r="G116" s="19" t="str">
        <f>IF($B116="","",IF(INDEX('Master Database'!$E$1:$E$600,$B116)="","",INDEX('Master Database'!$E$1:$E$600,$B116)))</f>
        <v>ROT-INJ</v>
      </c>
      <c r="H116" s="19" t="str">
        <f>IF($B116="","",IF(INDEX('Master Database'!$F$1:$F$600,$B116)="","",INDEX('Master Database'!$F$1:$F$600,$B116)))</f>
        <v>BB3</v>
      </c>
      <c r="I116" s="19" t="str">
        <f>IF($B116="","",IF(INDEX('Master Database'!$G$1:$G$600,$B116)="","",INDEX('Master Database'!$G$1:$G$600,$B116)))</f>
        <v>D-2</v>
      </c>
      <c r="J116" s="46">
        <f>IF($B116="","",IF(INDEX('Master Database'!$H$1:$H$600,$B116)="","",INDEX('Master Database'!$H$1:$H$600,$B116)))</f>
        <v>44</v>
      </c>
      <c r="K116" s="46">
        <f>IF($B116="","",IF(INDEX('Master Database'!$I$1:$I$600,$B116)="","",INDEX('Master Database'!$I$1:$I$600,$B116)))</f>
        <v>385</v>
      </c>
      <c r="L116" s="46">
        <f>IF($B116="","",IF(INDEX('Master Database'!$K$1:$K$600,$B116)="","",INDEX('Master Database'!$K$1:$K$600,$B116)))</f>
        <v>76.93006357856494</v>
      </c>
      <c r="M116" s="19" t="str">
        <f>IF($B116="","",IF(INDEX('Master Database'!$L$1:$L$600,$B116)="","",INDEX('Master Database'!$L$1:$L$600,$B116)))</f>
        <v>API 610 + IPS-G-PM-105 + NACE MR0175</v>
      </c>
      <c r="N116" s="19" t="str">
        <f>IF($B116="","",IF(INDEX('Master Database'!$P$1:$P$600,$B116)="","",INDEX('Master Database'!$P$1:$P$600,$B116)))</f>
        <v>Not stated</v>
      </c>
      <c r="O116" s="19" t="str">
        <f>IF($B116="","",IF(INDEX('Master Database'!$S$1:$S$600,$B116)="","",INDEX('Master Database'!$S$1:$S$600,$B116)))</f>
        <v>Electric Motor</v>
      </c>
      <c r="P116" s="19" t="str">
        <f>IF($B116="","",IF(INDEX('Master Database'!$T$1:$T$600,$B116)="","",INDEX('Master Database'!$T$1:$T$600,$B116)))</f>
        <v>Produced / Disposal Water</v>
      </c>
      <c r="Q116" s="19">
        <f>IF($B116="","",IF(INDEX('Master Database'!$Y$1:$Y$600,$B116)="","",INDEX('Master Database'!$Y$1:$Y$600,$B116)))</f>
        <v>1404</v>
      </c>
      <c r="R116" s="19" t="str">
        <f>IF($B116="","",IF(INDEX('Master Database'!$Z$1:$Z$600,$B116)="","",INDEX('Master Database'!$Z$1:$Z$600,$B116)))</f>
        <v>EUR</v>
      </c>
      <c r="S116" s="47">
        <f>IF($B116="","",IF(INDEX('Master Database'!$AA$1:$AA$600,$B116)="","",INDEX('Master Database'!$AA$1:$AA$600,$B116)))</f>
        <v>247500</v>
      </c>
      <c r="T116" s="19" t="str">
        <f>IF($B116="","",IF(INDEX('Master Database'!$AE$1:$AE$600,$B116)="","",INDEX('Master Database'!$AE$1:$AE$600,$B116)))</f>
        <v>Vendor inquiry 1404Q1 – average of 2 quotation(s), PC-ME (91211-PZN-ME-RE-451) sheet PUMPS | source label: AACE Class 1</v>
      </c>
      <c r="U116" s="47">
        <f>IF($B116="","",IF(INDEX('Master Database'!$AG$1:$AG$600,$B116)="","",INDEX('Master Database'!$AG$1:$AG$600,$B116)))</f>
        <v>247500</v>
      </c>
      <c r="V116" s="47">
        <f>IF($B116="","",IF(INDEX('Master Database'!$AH$1:$AH$600,$B116)="","",INDEX('Master Database'!$AH$1:$AH$600,$B116)))</f>
        <v>261306.3126677023</v>
      </c>
      <c r="W116" s="47">
        <f>IF($B116="","",IF(INDEX('Master Database'!$AI$1:$AI$600,$B116)="","",INDEX('Master Database'!$AI$1:$AI$600,$B116)))</f>
        <v>172078830000</v>
      </c>
      <c r="X116" s="19" t="str">
        <f>IF($B116="","",IF(INDEX('Master Database'!$BG$1:$BG$600,$B116)="","",INDEX('Master Database'!$BG$1:$BG$600,$B116)))</f>
        <v>Y</v>
      </c>
      <c r="BA116">
        <f>IF('Master Database'!$A116="",0,IF(AND(OR($B$5="",ISNUMBER(SEARCH($B$5,'Master Database'!$B116&amp;" "&amp;'Master Database'!$D116))),OR($B$6="(All)",'Master Database'!$C116=$B$6),OR($B$7="(All)",'Master Database'!$E116=$B$7),OR($B$8="(All)",'Master Database'!$T116=$B$8),OR($B$9="(All)",'Master Database'!$M116=$B$9),OR($B$10="(All)",'Master Database'!$V116=$B$10),OR($E$5="(All)",'Master Database'!$F116=$E$5),OR($E$6="(All)",'Master Database'!$G116=$E$6),OR($E$7="(All)",'Master Database'!$O116=$E$7),OR($E$8="(All)",'Master Database'!$P116=$E$8),OR($E$9="(All)",'Master Database'!$S116=$E$9),OR($E$10="(All)",'Master Database'!$Y116&amp;""=$E$10&amp;""),OR($H$5="(All)",'Master Database'!$BG116=$H$5),OR($H$6&lt;&gt;"Y",ISNUMBER('Master Database'!$AG116)),OR($H$7="",AND(ISNUMBER('Master Database'!$H116),N('Master Database'!$H116)&gt;=$H$7)),OR($I$7="",AND(ISNUMBER('Master Database'!$H116),N('Master Database'!$H116)&lt;=$I$7)),OR($H$8="",AND(ISNUMBER('Master Database'!$I116),N('Master Database'!$I116)&gt;=$H$8)),OR($I$8="",AND(ISNUMBER('Master Database'!$I116),N('Master Database'!$I116)&lt;=$I$8)),OR($H$9="",AND(ISNUMBER('Master Database'!$K116),N('Master Database'!$K116)&gt;=$H$9)),OR($I$9="",AND(ISNUMBER('Master Database'!$K116),N('Master Database'!$K116)&lt;=$I$9))),1,0))</f>
        <v>1</v>
      </c>
      <c r="BB116">
        <f>IF(BA116=1,COUNTIF($BA$5:BA116,1),"")</f>
        <v>112</v>
      </c>
    </row>
    <row r="117" spans="1:54">
      <c r="A117" s="20">
        <f>IF(102&lt;=SUM($BA$5:$BA$600),102,"")</f>
        <v>102</v>
      </c>
      <c r="B117" s="20">
        <f t="shared" si="3"/>
        <v>106</v>
      </c>
      <c r="C117" s="20">
        <f>IF($B117="","",IF(INDEX('Master Database'!$A$1:$A$600,$B117)="","",INDEX('Master Database'!$A$1:$A$600,$B117)))</f>
        <v>102</v>
      </c>
      <c r="D117" s="19" t="str">
        <f>IF($B117="","",IF(INDEX('Master Database'!$B$1:$B$600,$B117)="","",INDEX('Master Database'!$B$1:$B$600,$B117)))</f>
        <v>Flare K.O. Drum Pumps</v>
      </c>
      <c r="E117" s="19" t="str">
        <f>IF($B117="","",IF(INDEX('Master Database'!$C$1:$C$600,$B117)="","",INDEX('Master Database'!$C$1:$C$600,$B117)))</f>
        <v>Pazanan 2</v>
      </c>
      <c r="F117" s="19" t="str">
        <f>IF($B117="","",IF(INDEX('Master Database'!$D$1:$D$600,$B117)="","",INDEX('Master Database'!$D$1:$D$600,$B117)))</f>
        <v>P-151 A/B</v>
      </c>
      <c r="G117" s="19" t="str">
        <f>IF($B117="","",IF(INDEX('Master Database'!$E$1:$E$600,$B117)="","",INDEX('Master Database'!$E$1:$E$600,$B117)))</f>
        <v>ROT-DRN</v>
      </c>
      <c r="H117" s="19" t="str">
        <f>IF($B117="","",IF(INDEX('Master Database'!$F$1:$F$600,$B117)="","",INDEX('Master Database'!$F$1:$F$600,$B117)))</f>
        <v>OH2</v>
      </c>
      <c r="I117" s="19" t="str">
        <f>IF($B117="","",IF(INDEX('Master Database'!$G$1:$G$600,$B117)="","",INDEX('Master Database'!$G$1:$G$600,$B117)))</f>
        <v>S-6</v>
      </c>
      <c r="J117" s="46">
        <f>IF($B117="","",IF(INDEX('Master Database'!$H$1:$H$600,$B117)="","",INDEX('Master Database'!$H$1:$H$600,$B117)))</f>
        <v>10</v>
      </c>
      <c r="K117" s="46">
        <f>IF($B117="","",IF(INDEX('Master Database'!$I$1:$I$600,$B117)="","",INDEX('Master Database'!$I$1:$I$600,$B117)))</f>
        <v>40</v>
      </c>
      <c r="L117" s="46">
        <f>IF($B117="","",IF(INDEX('Master Database'!$K$1:$K$600,$B117)="","",INDEX('Master Database'!$K$1:$K$600,$B117)))</f>
        <v>1.8165304268846505</v>
      </c>
      <c r="M117" s="19" t="str">
        <f>IF($B117="","",IF(INDEX('Master Database'!$L$1:$L$600,$B117)="","",INDEX('Master Database'!$L$1:$L$600,$B117)))</f>
        <v>API 610 + IPS-G-PM-105</v>
      </c>
      <c r="N117" s="19" t="str">
        <f>IF($B117="","",IF(INDEX('Master Database'!$P$1:$P$600,$B117)="","",INDEX('Master Database'!$P$1:$P$600,$B117)))</f>
        <v>Not stated</v>
      </c>
      <c r="O117" s="19" t="str">
        <f>IF($B117="","",IF(INDEX('Master Database'!$S$1:$S$600,$B117)="","",INDEX('Master Database'!$S$1:$S$600,$B117)))</f>
        <v>Electric Motor</v>
      </c>
      <c r="P117" s="19" t="str">
        <f>IF($B117="","",IF(INDEX('Master Database'!$T$1:$T$600,$B117)="","",INDEX('Master Database'!$T$1:$T$600,$B117)))</f>
        <v>Oily Water / Drain</v>
      </c>
      <c r="Q117" s="19">
        <f>IF($B117="","",IF(INDEX('Master Database'!$Y$1:$Y$600,$B117)="","",INDEX('Master Database'!$Y$1:$Y$600,$B117)))</f>
        <v>1404</v>
      </c>
      <c r="R117" s="19" t="str">
        <f>IF($B117="","",IF(INDEX('Master Database'!$Z$1:$Z$600,$B117)="","",INDEX('Master Database'!$Z$1:$Z$600,$B117)))</f>
        <v>EUR</v>
      </c>
      <c r="S117" s="47">
        <f>IF($B117="","",IF(INDEX('Master Database'!$AA$1:$AA$600,$B117)="","",INDEX('Master Database'!$AA$1:$AA$600,$B117)))</f>
        <v>25500</v>
      </c>
      <c r="T117" s="19" t="str">
        <f>IF($B117="","",IF(INDEX('Master Database'!$AE$1:$AE$600,$B117)="","",INDEX('Master Database'!$AE$1:$AE$600,$B117)))</f>
        <v>Vendor inquiry 1404Q1 – average of 2 quotation(s), PC-ME (91211-PZN-ME-RE-451) sheet PUMPS | source label: AACE Class 1</v>
      </c>
      <c r="U117" s="47">
        <f>IF($B117="","",IF(INDEX('Master Database'!$AG$1:$AG$600,$B117)="","",INDEX('Master Database'!$AG$1:$AG$600,$B117)))</f>
        <v>25500</v>
      </c>
      <c r="V117" s="47">
        <f>IF($B117="","",IF(INDEX('Master Database'!$AH$1:$AH$600,$B117)="","",INDEX('Master Database'!$AH$1:$AH$600,$B117)))</f>
        <v>26922.46857788448</v>
      </c>
      <c r="W117" s="47">
        <f>IF($B117="","",IF(INDEX('Master Database'!$AI$1:$AI$600,$B117)="","",INDEX('Master Database'!$AI$1:$AI$600,$B117)))</f>
        <v>17729334000</v>
      </c>
      <c r="X117" s="19" t="str">
        <f>IF($B117="","",IF(INDEX('Master Database'!$BG$1:$BG$600,$B117)="","",INDEX('Master Database'!$BG$1:$BG$600,$B117)))</f>
        <v>Y</v>
      </c>
      <c r="BA117">
        <f>IF('Master Database'!$A117="",0,IF(AND(OR($B$5="",ISNUMBER(SEARCH($B$5,'Master Database'!$B117&amp;" "&amp;'Master Database'!$D117))),OR($B$6="(All)",'Master Database'!$C117=$B$6),OR($B$7="(All)",'Master Database'!$E117=$B$7),OR($B$8="(All)",'Master Database'!$T117=$B$8),OR($B$9="(All)",'Master Database'!$M117=$B$9),OR($B$10="(All)",'Master Database'!$V117=$B$10),OR($E$5="(All)",'Master Database'!$F117=$E$5),OR($E$6="(All)",'Master Database'!$G117=$E$6),OR($E$7="(All)",'Master Database'!$O117=$E$7),OR($E$8="(All)",'Master Database'!$P117=$E$8),OR($E$9="(All)",'Master Database'!$S117=$E$9),OR($E$10="(All)",'Master Database'!$Y117&amp;""=$E$10&amp;""),OR($H$5="(All)",'Master Database'!$BG117=$H$5),OR($H$6&lt;&gt;"Y",ISNUMBER('Master Database'!$AG117)),OR($H$7="",AND(ISNUMBER('Master Database'!$H117),N('Master Database'!$H117)&gt;=$H$7)),OR($I$7="",AND(ISNUMBER('Master Database'!$H117),N('Master Database'!$H117)&lt;=$I$7)),OR($H$8="",AND(ISNUMBER('Master Database'!$I117),N('Master Database'!$I117)&gt;=$H$8)),OR($I$8="",AND(ISNUMBER('Master Database'!$I117),N('Master Database'!$I117)&lt;=$I$8)),OR($H$9="",AND(ISNUMBER('Master Database'!$K117),N('Master Database'!$K117)&gt;=$H$9)),OR($I$9="",AND(ISNUMBER('Master Database'!$K117),N('Master Database'!$K117)&lt;=$I$9))),1,0))</f>
        <v>1</v>
      </c>
      <c r="BB117">
        <f>IF(BA117=1,COUNTIF($BA$5:BA117,1),"")</f>
        <v>113</v>
      </c>
    </row>
    <row r="118" spans="1:54">
      <c r="A118" s="20">
        <f>IF(103&lt;=SUM($BA$5:$BA$600),103,"")</f>
        <v>103</v>
      </c>
      <c r="B118" s="20">
        <f t="shared" si="3"/>
        <v>107</v>
      </c>
      <c r="C118" s="20">
        <f>IF($B118="","",IF(INDEX('Master Database'!$A$1:$A$600,$B118)="","",INDEX('Master Database'!$A$1:$A$600,$B118)))</f>
        <v>103</v>
      </c>
      <c r="D118" s="19" t="str">
        <f>IF($B118="","",IF(INDEX('Master Database'!$B$1:$B$600,$B118)="","",INDEX('Master Database'!$B$1:$B$600,$B118)))</f>
        <v>Closed Drain Drum Pumps</v>
      </c>
      <c r="E118" s="19" t="str">
        <f>IF($B118="","",IF(INDEX('Master Database'!$C$1:$C$600,$B118)="","",INDEX('Master Database'!$C$1:$C$600,$B118)))</f>
        <v>Pazanan 2</v>
      </c>
      <c r="F118" s="19" t="str">
        <f>IF($B118="","",IF(INDEX('Master Database'!$D$1:$D$600,$B118)="","",INDEX('Master Database'!$D$1:$D$600,$B118)))</f>
        <v>P-161 A/B</v>
      </c>
      <c r="G118" s="19" t="str">
        <f>IF($B118="","",IF(INDEX('Master Database'!$E$1:$E$600,$B118)="","",INDEX('Master Database'!$E$1:$E$600,$B118)))</f>
        <v>ROT-DRN</v>
      </c>
      <c r="H118" s="19" t="str">
        <f>IF($B118="","",IF(INDEX('Master Database'!$F$1:$F$600,$B118)="","",INDEX('Master Database'!$F$1:$F$600,$B118)))</f>
        <v>OH2</v>
      </c>
      <c r="I118" s="19" t="str">
        <f>IF($B118="","",IF(INDEX('Master Database'!$G$1:$G$600,$B118)="","",INDEX('Master Database'!$G$1:$G$600,$B118)))</f>
        <v>D-2</v>
      </c>
      <c r="J118" s="46">
        <f>IF($B118="","",IF(INDEX('Master Database'!$H$1:$H$600,$B118)="","",INDEX('Master Database'!$H$1:$H$600,$B118)))</f>
        <v>25</v>
      </c>
      <c r="K118" s="46">
        <f>IF($B118="","",IF(INDEX('Master Database'!$I$1:$I$600,$B118)="","",INDEX('Master Database'!$I$1:$I$600,$B118)))</f>
        <v>55</v>
      </c>
      <c r="L118" s="46">
        <f>IF($B118="","",IF(INDEX('Master Database'!$K$1:$K$600,$B118)="","",INDEX('Master Database'!$K$1:$K$600,$B118)))</f>
        <v>6.2443233424159859</v>
      </c>
      <c r="M118" s="19" t="str">
        <f>IF($B118="","",IF(INDEX('Master Database'!$L$1:$L$600,$B118)="","",INDEX('Master Database'!$L$1:$L$600,$B118)))</f>
        <v>API 610 + IPS-G-PM-105 + NACE MR0175</v>
      </c>
      <c r="N118" s="19" t="str">
        <f>IF($B118="","",IF(INDEX('Master Database'!$P$1:$P$600,$B118)="","",INDEX('Master Database'!$P$1:$P$600,$B118)))</f>
        <v>Not stated</v>
      </c>
      <c r="O118" s="19" t="str">
        <f>IF($B118="","",IF(INDEX('Master Database'!$S$1:$S$600,$B118)="","",INDEX('Master Database'!$S$1:$S$600,$B118)))</f>
        <v>Electric Motor</v>
      </c>
      <c r="P118" s="19" t="str">
        <f>IF($B118="","",IF(INDEX('Master Database'!$T$1:$T$600,$B118)="","",INDEX('Master Database'!$T$1:$T$600,$B118)))</f>
        <v>Oily Water / Drain</v>
      </c>
      <c r="Q118" s="19">
        <f>IF($B118="","",IF(INDEX('Master Database'!$Y$1:$Y$600,$B118)="","",INDEX('Master Database'!$Y$1:$Y$600,$B118)))</f>
        <v>1404</v>
      </c>
      <c r="R118" s="19" t="str">
        <f>IF($B118="","",IF(INDEX('Master Database'!$Z$1:$Z$600,$B118)="","",INDEX('Master Database'!$Z$1:$Z$600,$B118)))</f>
        <v>EUR</v>
      </c>
      <c r="S118" s="47">
        <f>IF($B118="","",IF(INDEX('Master Database'!$AA$1:$AA$600,$B118)="","",INDEX('Master Database'!$AA$1:$AA$600,$B118)))</f>
        <v>31000</v>
      </c>
      <c r="T118" s="19" t="str">
        <f>IF($B118="","",IF(INDEX('Master Database'!$AE$1:$AE$600,$B118)="","",INDEX('Master Database'!$AE$1:$AE$600,$B118)))</f>
        <v>Vendor inquiry 1404Q1 – average of 2 quotation(s), PC-ME (91211-PZN-ME-RE-451) sheet PUMPS | source label: AACE Class 1</v>
      </c>
      <c r="U118" s="47">
        <f>IF($B118="","",IF(INDEX('Master Database'!$AG$1:$AG$600,$B118)="","",INDEX('Master Database'!$AG$1:$AG$600,$B118)))</f>
        <v>31000</v>
      </c>
      <c r="V118" s="47">
        <f>IF($B118="","",IF(INDEX('Master Database'!$AH$1:$AH$600,$B118)="","",INDEX('Master Database'!$AH$1:$AH$600,$B118)))</f>
        <v>32729.275526055641</v>
      </c>
      <c r="W118" s="47">
        <f>IF($B118="","",IF(INDEX('Master Database'!$AI$1:$AI$600,$B118)="","",INDEX('Master Database'!$AI$1:$AI$600,$B118)))</f>
        <v>21553308000</v>
      </c>
      <c r="X118" s="19" t="str">
        <f>IF($B118="","",IF(INDEX('Master Database'!$BG$1:$BG$600,$B118)="","",INDEX('Master Database'!$BG$1:$BG$600,$B118)))</f>
        <v>Y</v>
      </c>
      <c r="BA118">
        <f>IF('Master Database'!$A118="",0,IF(AND(OR($B$5="",ISNUMBER(SEARCH($B$5,'Master Database'!$B118&amp;" "&amp;'Master Database'!$D118))),OR($B$6="(All)",'Master Database'!$C118=$B$6),OR($B$7="(All)",'Master Database'!$E118=$B$7),OR($B$8="(All)",'Master Database'!$T118=$B$8),OR($B$9="(All)",'Master Database'!$M118=$B$9),OR($B$10="(All)",'Master Database'!$V118=$B$10),OR($E$5="(All)",'Master Database'!$F118=$E$5),OR($E$6="(All)",'Master Database'!$G118=$E$6),OR($E$7="(All)",'Master Database'!$O118=$E$7),OR($E$8="(All)",'Master Database'!$P118=$E$8),OR($E$9="(All)",'Master Database'!$S118=$E$9),OR($E$10="(All)",'Master Database'!$Y118&amp;""=$E$10&amp;""),OR($H$5="(All)",'Master Database'!$BG118=$H$5),OR($H$6&lt;&gt;"Y",ISNUMBER('Master Database'!$AG118)),OR($H$7="",AND(ISNUMBER('Master Database'!$H118),N('Master Database'!$H118)&gt;=$H$7)),OR($I$7="",AND(ISNUMBER('Master Database'!$H118),N('Master Database'!$H118)&lt;=$I$7)),OR($H$8="",AND(ISNUMBER('Master Database'!$I118),N('Master Database'!$I118)&gt;=$H$8)),OR($I$8="",AND(ISNUMBER('Master Database'!$I118),N('Master Database'!$I118)&lt;=$I$8)),OR($H$9="",AND(ISNUMBER('Master Database'!$K118),N('Master Database'!$K118)&gt;=$H$9)),OR($I$9="",AND(ISNUMBER('Master Database'!$K118),N('Master Database'!$K118)&lt;=$I$9))),1,0))</f>
        <v>1</v>
      </c>
      <c r="BB118">
        <f>IF(BA118=1,COUNTIF($BA$5:BA118,1),"")</f>
        <v>114</v>
      </c>
    </row>
    <row r="119" spans="1:54">
      <c r="A119" s="20">
        <f>IF(104&lt;=SUM($BA$5:$BA$600),104,"")</f>
        <v>104</v>
      </c>
      <c r="B119" s="20">
        <f t="shared" si="3"/>
        <v>108</v>
      </c>
      <c r="C119" s="20">
        <f>IF($B119="","",IF(INDEX('Master Database'!$A$1:$A$600,$B119)="","",INDEX('Master Database'!$A$1:$A$600,$B119)))</f>
        <v>104</v>
      </c>
      <c r="D119" s="19" t="str">
        <f>IF($B119="","",IF(INDEX('Master Database'!$B$1:$B$600,$B119)="","",INDEX('Master Database'!$B$1:$B$600,$B119)))</f>
        <v>C. D. Drum / Flare K.O. Drum Sump Pump</v>
      </c>
      <c r="E119" s="19" t="str">
        <f>IF($B119="","",IF(INDEX('Master Database'!$C$1:$C$600,$B119)="","",INDEX('Master Database'!$C$1:$C$600,$B119)))</f>
        <v>Pazanan 2</v>
      </c>
      <c r="F119" s="19" t="str">
        <f>IF($B119="","",IF(INDEX('Master Database'!$D$1:$D$600,$B119)="","",INDEX('Master Database'!$D$1:$D$600,$B119)))</f>
        <v>P-162</v>
      </c>
      <c r="G119" s="19" t="str">
        <f>IF($B119="","",IF(INDEX('Master Database'!$E$1:$E$600,$B119)="","",INDEX('Master Database'!$E$1:$E$600,$B119)))</f>
        <v>ROT-DRN</v>
      </c>
      <c r="H119" s="19" t="str">
        <f>IF($B119="","",IF(INDEX('Master Database'!$F$1:$F$600,$B119)="","",INDEX('Master Database'!$F$1:$F$600,$B119)))</f>
        <v>VS4</v>
      </c>
      <c r="I119" s="19" t="str">
        <f>IF($B119="","",IF(INDEX('Master Database'!$G$1:$G$600,$B119)="","",INDEX('Master Database'!$G$1:$G$600,$B119)))</f>
        <v>S-6</v>
      </c>
      <c r="J119" s="46">
        <f>IF($B119="","",IF(INDEX('Master Database'!$H$1:$H$600,$B119)="","",INDEX('Master Database'!$H$1:$H$600,$B119)))</f>
        <v>5</v>
      </c>
      <c r="K119" s="46">
        <f>IF($B119="","",IF(INDEX('Master Database'!$I$1:$I$600,$B119)="","",INDEX('Master Database'!$I$1:$I$600,$B119)))</f>
        <v>21.4</v>
      </c>
      <c r="L119" s="46">
        <f>IF($B119="","",IF(INDEX('Master Database'!$K$1:$K$600,$B119)="","",INDEX('Master Database'!$K$1:$K$600,$B119)))</f>
        <v>0.48592188919164397</v>
      </c>
      <c r="M119" s="19" t="str">
        <f>IF($B119="","",IF(INDEX('Master Database'!$L$1:$L$600,$B119)="","",INDEX('Master Database'!$L$1:$L$600,$B119)))</f>
        <v>API 610 + IPS-G-PM-105</v>
      </c>
      <c r="N119" s="19" t="str">
        <f>IF($B119="","",IF(INDEX('Master Database'!$P$1:$P$600,$B119)="","",INDEX('Master Database'!$P$1:$P$600,$B119)))</f>
        <v>Not stated</v>
      </c>
      <c r="O119" s="19" t="str">
        <f>IF($B119="","",IF(INDEX('Master Database'!$S$1:$S$600,$B119)="","",INDEX('Master Database'!$S$1:$S$600,$B119)))</f>
        <v>Electric Motor</v>
      </c>
      <c r="P119" s="19" t="str">
        <f>IF($B119="","",IF(INDEX('Master Database'!$T$1:$T$600,$B119)="","",INDEX('Master Database'!$T$1:$T$600,$B119)))</f>
        <v>Oily Water / Drain</v>
      </c>
      <c r="Q119" s="19">
        <f>IF($B119="","",IF(INDEX('Master Database'!$Y$1:$Y$600,$B119)="","",INDEX('Master Database'!$Y$1:$Y$600,$B119)))</f>
        <v>1404</v>
      </c>
      <c r="R119" s="19" t="str">
        <f>IF($B119="","",IF(INDEX('Master Database'!$Z$1:$Z$600,$B119)="","",INDEX('Master Database'!$Z$1:$Z$600,$B119)))</f>
        <v>EUR</v>
      </c>
      <c r="S119" s="47">
        <f>IF($B119="","",IF(INDEX('Master Database'!$AA$1:$AA$600,$B119)="","",INDEX('Master Database'!$AA$1:$AA$600,$B119)))</f>
        <v>34500</v>
      </c>
      <c r="T119" s="19" t="str">
        <f>IF($B119="","",IF(INDEX('Master Database'!$AE$1:$AE$600,$B119)="","",INDEX('Master Database'!$AE$1:$AE$600,$B119)))</f>
        <v>Vendor inquiry 1404Q1 – average of 2 quotation(s), PC-ME (91211-PZN-ME-RE-451) sheet PUMPS | source label: AACE Class 1</v>
      </c>
      <c r="U119" s="47">
        <f>IF($B119="","",IF(INDEX('Master Database'!$AG$1:$AG$600,$B119)="","",INDEX('Master Database'!$AG$1:$AG$600,$B119)))</f>
        <v>34500</v>
      </c>
      <c r="V119" s="47">
        <f>IF($B119="","",IF(INDEX('Master Database'!$AH$1:$AH$600,$B119)="","",INDEX('Master Database'!$AH$1:$AH$600,$B119)))</f>
        <v>36424.516311255473</v>
      </c>
      <c r="W119" s="47">
        <f>IF($B119="","",IF(INDEX('Master Database'!$AI$1:$AI$600,$B119)="","",INDEX('Master Database'!$AI$1:$AI$600,$B119)))</f>
        <v>23986746000</v>
      </c>
      <c r="X119" s="19" t="str">
        <f>IF($B119="","",IF(INDEX('Master Database'!$BG$1:$BG$600,$B119)="","",INDEX('Master Database'!$BG$1:$BG$600,$B119)))</f>
        <v>Y</v>
      </c>
      <c r="BA119">
        <f>IF('Master Database'!$A119="",0,IF(AND(OR($B$5="",ISNUMBER(SEARCH($B$5,'Master Database'!$B119&amp;" "&amp;'Master Database'!$D119))),OR($B$6="(All)",'Master Database'!$C119=$B$6),OR($B$7="(All)",'Master Database'!$E119=$B$7),OR($B$8="(All)",'Master Database'!$T119=$B$8),OR($B$9="(All)",'Master Database'!$M119=$B$9),OR($B$10="(All)",'Master Database'!$V119=$B$10),OR($E$5="(All)",'Master Database'!$F119=$E$5),OR($E$6="(All)",'Master Database'!$G119=$E$6),OR($E$7="(All)",'Master Database'!$O119=$E$7),OR($E$8="(All)",'Master Database'!$P119=$E$8),OR($E$9="(All)",'Master Database'!$S119=$E$9),OR($E$10="(All)",'Master Database'!$Y119&amp;""=$E$10&amp;""),OR($H$5="(All)",'Master Database'!$BG119=$H$5),OR($H$6&lt;&gt;"Y",ISNUMBER('Master Database'!$AG119)),OR($H$7="",AND(ISNUMBER('Master Database'!$H119),N('Master Database'!$H119)&gt;=$H$7)),OR($I$7="",AND(ISNUMBER('Master Database'!$H119),N('Master Database'!$H119)&lt;=$I$7)),OR($H$8="",AND(ISNUMBER('Master Database'!$I119),N('Master Database'!$I119)&gt;=$H$8)),OR($I$8="",AND(ISNUMBER('Master Database'!$I119),N('Master Database'!$I119)&lt;=$I$8)),OR($H$9="",AND(ISNUMBER('Master Database'!$K119),N('Master Database'!$K119)&gt;=$H$9)),OR($I$9="",AND(ISNUMBER('Master Database'!$K119),N('Master Database'!$K119)&lt;=$I$9))),1,0))</f>
        <v>1</v>
      </c>
      <c r="BB119">
        <f>IF(BA119=1,COUNTIF($BA$5:BA119,1),"")</f>
        <v>115</v>
      </c>
    </row>
    <row r="120" spans="1:54">
      <c r="A120" s="20">
        <f>IF(105&lt;=SUM($BA$5:$BA$600),105,"")</f>
        <v>105</v>
      </c>
      <c r="B120" s="20">
        <f t="shared" si="3"/>
        <v>109</v>
      </c>
      <c r="C120" s="20">
        <f>IF($B120="","",IF(INDEX('Master Database'!$A$1:$A$600,$B120)="","",INDEX('Master Database'!$A$1:$A$600,$B120)))</f>
        <v>105</v>
      </c>
      <c r="D120" s="19" t="str">
        <f>IF($B120="","",IF(INDEX('Master Database'!$B$1:$B$600,$B120)="","",INDEX('Master Database'!$B$1:$B$600,$B120)))</f>
        <v>O.W.S. Oil Pumps</v>
      </c>
      <c r="E120" s="19" t="str">
        <f>IF($B120="","",IF(INDEX('Master Database'!$C$1:$C$600,$B120)="","",INDEX('Master Database'!$C$1:$C$600,$B120)))</f>
        <v>Pazanan 2</v>
      </c>
      <c r="F120" s="19" t="str">
        <f>IF($B120="","",IF(INDEX('Master Database'!$D$1:$D$600,$B120)="","",INDEX('Master Database'!$D$1:$D$600,$B120)))</f>
        <v>P-163 A/B</v>
      </c>
      <c r="G120" s="19" t="str">
        <f>IF($B120="","",IF(INDEX('Master Database'!$E$1:$E$600,$B120)="","",INDEX('Master Database'!$E$1:$E$600,$B120)))</f>
        <v>ROT-DRN</v>
      </c>
      <c r="H120" s="19" t="str">
        <f>IF($B120="","",IF(INDEX('Master Database'!$F$1:$F$600,$B120)="","",INDEX('Master Database'!$F$1:$F$600,$B120)))</f>
        <v>N/A (non-API 610)</v>
      </c>
      <c r="I120" s="19" t="str">
        <f>IF($B120="","",IF(INDEX('Master Database'!$G$1:$G$600,$B120)="","",INDEX('Master Database'!$G$1:$G$600,$B120)))</f>
        <v>D-1</v>
      </c>
      <c r="J120" s="46">
        <f>IF($B120="","",IF(INDEX('Master Database'!$H$1:$H$600,$B120)="","",INDEX('Master Database'!$H$1:$H$600,$B120)))</f>
        <v>5</v>
      </c>
      <c r="K120" s="46" t="str">
        <f>IF($B120="","",IF(INDEX('Master Database'!$I$1:$I$600,$B120)="","",INDEX('Master Database'!$I$1:$I$600,$B120)))</f>
        <v/>
      </c>
      <c r="L120" s="46" t="str">
        <f>IF($B120="","",IF(INDEX('Master Database'!$K$1:$K$600,$B120)="","",INDEX('Master Database'!$K$1:$K$600,$B120)))</f>
        <v/>
      </c>
      <c r="M120" s="19" t="str">
        <f>IF($B120="","",IF(INDEX('Master Database'!$L$1:$L$600,$B120)="","",INDEX('Master Database'!$L$1:$L$600,$B120)))</f>
        <v>API 676 + IPS-M-PM-140 + NACE MR0175</v>
      </c>
      <c r="N120" s="19" t="str">
        <f>IF($B120="","",IF(INDEX('Master Database'!$P$1:$P$600,$B120)="","",INDEX('Master Database'!$P$1:$P$600,$B120)))</f>
        <v>Not stated</v>
      </c>
      <c r="O120" s="19" t="str">
        <f>IF($B120="","",IF(INDEX('Master Database'!$S$1:$S$600,$B120)="","",INDEX('Master Database'!$S$1:$S$600,$B120)))</f>
        <v>Electric Motor</v>
      </c>
      <c r="P120" s="19" t="str">
        <f>IF($B120="","",IF(INDEX('Master Database'!$T$1:$T$600,$B120)="","",INDEX('Master Database'!$T$1:$T$600,$B120)))</f>
        <v>Slop / Dirty Oil</v>
      </c>
      <c r="Q120" s="19">
        <f>IF($B120="","",IF(INDEX('Master Database'!$Y$1:$Y$600,$B120)="","",INDEX('Master Database'!$Y$1:$Y$600,$B120)))</f>
        <v>1393</v>
      </c>
      <c r="R120" s="19" t="str">
        <f>IF($B120="","",IF(INDEX('Master Database'!$Z$1:$Z$600,$B120)="","",INDEX('Master Database'!$Z$1:$Z$600,$B120)))</f>
        <v>EUR</v>
      </c>
      <c r="S120" s="47">
        <f>IF($B120="","",IF(INDEX('Master Database'!$AA$1:$AA$600,$B120)="","",INDEX('Master Database'!$AA$1:$AA$600,$B120)))</f>
        <v>25000</v>
      </c>
      <c r="T120" s="19" t="str">
        <f>IF($B120="","",IF(INDEX('Master Database'!$AE$1:$AE$600,$B120)="","",INDEX('Master Database'!$AE$1:$AE$600,$B120)))</f>
        <v>Consultant basic MTO estimate R02 (Feb 2015), PC-ME sheet PUMPS col. AR (FOB EUR) – no 1404 quotation received (all vendors declined)</v>
      </c>
      <c r="U120" s="47">
        <f>IF($B120="","",IF(INDEX('Master Database'!$AG$1:$AG$600,$B120)="","",INDEX('Master Database'!$AG$1:$AG$600,$B120)))</f>
        <v>33776.697647432324</v>
      </c>
      <c r="V120" s="47">
        <f>IF($B120="","",IF(INDEX('Master Database'!$AH$1:$AH$600,$B120)="","",INDEX('Master Database'!$AH$1:$AH$600,$B120)))</f>
        <v>35660.86592461574</v>
      </c>
      <c r="W120" s="47">
        <f>IF($B120="","",IF(INDEX('Master Database'!$AI$1:$AI$600,$B120)="","",INDEX('Master Database'!$AI$1:$AI$600,$B120)))</f>
        <v>23483857019.934978</v>
      </c>
      <c r="X120" s="19" t="str">
        <f>IF($B120="","",IF(INDEX('Master Database'!$BG$1:$BG$600,$B120)="","",INDEX('Master Database'!$BG$1:$BG$600,$B120)))</f>
        <v>Y</v>
      </c>
      <c r="BA120">
        <f>IF('Master Database'!$A120="",0,IF(AND(OR($B$5="",ISNUMBER(SEARCH($B$5,'Master Database'!$B120&amp;" "&amp;'Master Database'!$D120))),OR($B$6="(All)",'Master Database'!$C120=$B$6),OR($B$7="(All)",'Master Database'!$E120=$B$7),OR($B$8="(All)",'Master Database'!$T120=$B$8),OR($B$9="(All)",'Master Database'!$M120=$B$9),OR($B$10="(All)",'Master Database'!$V120=$B$10),OR($E$5="(All)",'Master Database'!$F120=$E$5),OR($E$6="(All)",'Master Database'!$G120=$E$6),OR($E$7="(All)",'Master Database'!$O120=$E$7),OR($E$8="(All)",'Master Database'!$P120=$E$8),OR($E$9="(All)",'Master Database'!$S120=$E$9),OR($E$10="(All)",'Master Database'!$Y120&amp;""=$E$10&amp;""),OR($H$5="(All)",'Master Database'!$BG120=$H$5),OR($H$6&lt;&gt;"Y",ISNUMBER('Master Database'!$AG120)),OR($H$7="",AND(ISNUMBER('Master Database'!$H120),N('Master Database'!$H120)&gt;=$H$7)),OR($I$7="",AND(ISNUMBER('Master Database'!$H120),N('Master Database'!$H120)&lt;=$I$7)),OR($H$8="",AND(ISNUMBER('Master Database'!$I120),N('Master Database'!$I120)&gt;=$H$8)),OR($I$8="",AND(ISNUMBER('Master Database'!$I120),N('Master Database'!$I120)&lt;=$I$8)),OR($H$9="",AND(ISNUMBER('Master Database'!$K120),N('Master Database'!$K120)&gt;=$H$9)),OR($I$9="",AND(ISNUMBER('Master Database'!$K120),N('Master Database'!$K120)&lt;=$I$9))),1,0))</f>
        <v>1</v>
      </c>
      <c r="BB120">
        <f>IF(BA120=1,COUNTIF($BA$5:BA120,1),"")</f>
        <v>116</v>
      </c>
    </row>
    <row r="121" spans="1:54">
      <c r="A121" s="20">
        <f>IF(106&lt;=SUM($BA$5:$BA$600),106,"")</f>
        <v>106</v>
      </c>
      <c r="B121" s="20">
        <f t="shared" si="3"/>
        <v>110</v>
      </c>
      <c r="C121" s="20">
        <f>IF($B121="","",IF(INDEX('Master Database'!$A$1:$A$600,$B121)="","",INDEX('Master Database'!$A$1:$A$600,$B121)))</f>
        <v>106</v>
      </c>
      <c r="D121" s="19" t="str">
        <f>IF($B121="","",IF(INDEX('Master Database'!$B$1:$B$600,$B121)="","",INDEX('Master Database'!$B$1:$B$600,$B121)))</f>
        <v>O.W.S. Water Pumps</v>
      </c>
      <c r="E121" s="19" t="str">
        <f>IF($B121="","",IF(INDEX('Master Database'!$C$1:$C$600,$B121)="","",INDEX('Master Database'!$C$1:$C$600,$B121)))</f>
        <v>Pazanan 2</v>
      </c>
      <c r="F121" s="19" t="str">
        <f>IF($B121="","",IF(INDEX('Master Database'!$D$1:$D$600,$B121)="","",INDEX('Master Database'!$D$1:$D$600,$B121)))</f>
        <v>P-164 A/B</v>
      </c>
      <c r="G121" s="19" t="str">
        <f>IF($B121="","",IF(INDEX('Master Database'!$E$1:$E$600,$B121)="","",INDEX('Master Database'!$E$1:$E$600,$B121)))</f>
        <v>ROT-WAT</v>
      </c>
      <c r="H121" s="19" t="str">
        <f>IF($B121="","",IF(INDEX('Master Database'!$F$1:$F$600,$B121)="","",INDEX('Master Database'!$F$1:$F$600,$B121)))</f>
        <v>OH2</v>
      </c>
      <c r="I121" s="19" t="str">
        <f>IF($B121="","",IF(INDEX('Master Database'!$G$1:$G$600,$B121)="","",INDEX('Master Database'!$G$1:$G$600,$B121)))</f>
        <v>D-2</v>
      </c>
      <c r="J121" s="46">
        <f>IF($B121="","",IF(INDEX('Master Database'!$H$1:$H$600,$B121)="","",INDEX('Master Database'!$H$1:$H$600,$B121)))</f>
        <v>15</v>
      </c>
      <c r="K121" s="46">
        <f>IF($B121="","",IF(INDEX('Master Database'!$I$1:$I$600,$B121)="","",INDEX('Master Database'!$I$1:$I$600,$B121)))</f>
        <v>50</v>
      </c>
      <c r="L121" s="46">
        <f>IF($B121="","",IF(INDEX('Master Database'!$K$1:$K$600,$B121)="","",INDEX('Master Database'!$K$1:$K$600,$B121)))</f>
        <v>3.4059945504087197</v>
      </c>
      <c r="M121" s="19" t="str">
        <f>IF($B121="","",IF(INDEX('Master Database'!$L$1:$L$600,$B121)="","",INDEX('Master Database'!$L$1:$L$600,$B121)))</f>
        <v>API 610 + IPS-G-PM-105 + NACE MR0175</v>
      </c>
      <c r="N121" s="19" t="str">
        <f>IF($B121="","",IF(INDEX('Master Database'!$P$1:$P$600,$B121)="","",INDEX('Master Database'!$P$1:$P$600,$B121)))</f>
        <v>Not stated</v>
      </c>
      <c r="O121" s="19" t="str">
        <f>IF($B121="","",IF(INDEX('Master Database'!$S$1:$S$600,$B121)="","",INDEX('Master Database'!$S$1:$S$600,$B121)))</f>
        <v>Electric Motor</v>
      </c>
      <c r="P121" s="19" t="str">
        <f>IF($B121="","",IF(INDEX('Master Database'!$T$1:$T$600,$B121)="","",INDEX('Master Database'!$T$1:$T$600,$B121)))</f>
        <v>Oily Water / Drain</v>
      </c>
      <c r="Q121" s="19">
        <f>IF($B121="","",IF(INDEX('Master Database'!$Y$1:$Y$600,$B121)="","",INDEX('Master Database'!$Y$1:$Y$600,$B121)))</f>
        <v>1404</v>
      </c>
      <c r="R121" s="19" t="str">
        <f>IF($B121="","",IF(INDEX('Master Database'!$Z$1:$Z$600,$B121)="","",INDEX('Master Database'!$Z$1:$Z$600,$B121)))</f>
        <v>EUR</v>
      </c>
      <c r="S121" s="47">
        <f>IF($B121="","",IF(INDEX('Master Database'!$AA$1:$AA$600,$B121)="","",INDEX('Master Database'!$AA$1:$AA$600,$B121)))</f>
        <v>29600</v>
      </c>
      <c r="T121" s="19" t="str">
        <f>IF($B121="","",IF(INDEX('Master Database'!$AE$1:$AE$600,$B121)="","",INDEX('Master Database'!$AE$1:$AE$600,$B121)))</f>
        <v>Vendor inquiry 1404Q1 – average of 2 quotation(s), PC-ME (91211-PZN-ME-RE-451) sheet PUMPS | source label: AACE Class 1</v>
      </c>
      <c r="U121" s="47">
        <f>IF($B121="","",IF(INDEX('Master Database'!$AG$1:$AG$600,$B121)="","",INDEX('Master Database'!$AG$1:$AG$600,$B121)))</f>
        <v>29600</v>
      </c>
      <c r="V121" s="47">
        <f>IF($B121="","",IF(INDEX('Master Database'!$AH$1:$AH$600,$B121)="","",INDEX('Master Database'!$AH$1:$AH$600,$B121)))</f>
        <v>31251.179211975708</v>
      </c>
      <c r="W121" s="47">
        <f>IF($B121="","",IF(INDEX('Master Database'!$AI$1:$AI$600,$B121)="","",INDEX('Master Database'!$AI$1:$AI$600,$B121)))</f>
        <v>20579932800</v>
      </c>
      <c r="X121" s="19" t="str">
        <f>IF($B121="","",IF(INDEX('Master Database'!$BG$1:$BG$600,$B121)="","",INDEX('Master Database'!$BG$1:$BG$600,$B121)))</f>
        <v>Y</v>
      </c>
      <c r="BA121">
        <f>IF('Master Database'!$A121="",0,IF(AND(OR($B$5="",ISNUMBER(SEARCH($B$5,'Master Database'!$B121&amp;" "&amp;'Master Database'!$D121))),OR($B$6="(All)",'Master Database'!$C121=$B$6),OR($B$7="(All)",'Master Database'!$E121=$B$7),OR($B$8="(All)",'Master Database'!$T121=$B$8),OR($B$9="(All)",'Master Database'!$M121=$B$9),OR($B$10="(All)",'Master Database'!$V121=$B$10),OR($E$5="(All)",'Master Database'!$F121=$E$5),OR($E$6="(All)",'Master Database'!$G121=$E$6),OR($E$7="(All)",'Master Database'!$O121=$E$7),OR($E$8="(All)",'Master Database'!$P121=$E$8),OR($E$9="(All)",'Master Database'!$S121=$E$9),OR($E$10="(All)",'Master Database'!$Y121&amp;""=$E$10&amp;""),OR($H$5="(All)",'Master Database'!$BG121=$H$5),OR($H$6&lt;&gt;"Y",ISNUMBER('Master Database'!$AG121)),OR($H$7="",AND(ISNUMBER('Master Database'!$H121),N('Master Database'!$H121)&gt;=$H$7)),OR($I$7="",AND(ISNUMBER('Master Database'!$H121),N('Master Database'!$H121)&lt;=$I$7)),OR($H$8="",AND(ISNUMBER('Master Database'!$I121),N('Master Database'!$I121)&gt;=$H$8)),OR($I$8="",AND(ISNUMBER('Master Database'!$I121),N('Master Database'!$I121)&lt;=$I$8)),OR($H$9="",AND(ISNUMBER('Master Database'!$K121),N('Master Database'!$K121)&gt;=$H$9)),OR($I$9="",AND(ISNUMBER('Master Database'!$K121),N('Master Database'!$K121)&lt;=$I$9))),1,0))</f>
        <v>1</v>
      </c>
      <c r="BB121">
        <f>IF(BA121=1,COUNTIF($BA$5:BA121,1),"")</f>
        <v>117</v>
      </c>
    </row>
    <row r="122" spans="1:54">
      <c r="A122" s="20">
        <f>IF(107&lt;=SUM($BA$5:$BA$600),107,"")</f>
        <v>107</v>
      </c>
      <c r="B122" s="20">
        <f t="shared" si="3"/>
        <v>111</v>
      </c>
      <c r="C122" s="20">
        <f>IF($B122="","",IF(INDEX('Master Database'!$A$1:$A$600,$B122)="","",INDEX('Master Database'!$A$1:$A$600,$B122)))</f>
        <v>107</v>
      </c>
      <c r="D122" s="19" t="str">
        <f>IF($B122="","",IF(INDEX('Master Database'!$B$1:$B$600,$B122)="","",INDEX('Master Database'!$B$1:$B$600,$B122)))</f>
        <v>Oily Water Basin Pumps</v>
      </c>
      <c r="E122" s="19" t="str">
        <f>IF($B122="","",IF(INDEX('Master Database'!$C$1:$C$600,$B122)="","",INDEX('Master Database'!$C$1:$C$600,$B122)))</f>
        <v>Pazanan 2</v>
      </c>
      <c r="F122" s="19" t="str">
        <f>IF($B122="","",IF(INDEX('Master Database'!$D$1:$D$600,$B122)="","",INDEX('Master Database'!$D$1:$D$600,$B122)))</f>
        <v>P-165 A/B</v>
      </c>
      <c r="G122" s="19" t="str">
        <f>IF($B122="","",IF(INDEX('Master Database'!$E$1:$E$600,$B122)="","",INDEX('Master Database'!$E$1:$E$600,$B122)))</f>
        <v>ROT-DRN</v>
      </c>
      <c r="H122" s="19" t="str">
        <f>IF($B122="","",IF(INDEX('Master Database'!$F$1:$F$600,$B122)="","",INDEX('Master Database'!$F$1:$F$600,$B122)))</f>
        <v>OH2</v>
      </c>
      <c r="I122" s="19" t="str">
        <f>IF($B122="","",IF(INDEX('Master Database'!$G$1:$G$600,$B122)="","",INDEX('Master Database'!$G$1:$G$600,$B122)))</f>
        <v>S-6</v>
      </c>
      <c r="J122" s="46">
        <f>IF($B122="","",IF(INDEX('Master Database'!$H$1:$H$600,$B122)="","",INDEX('Master Database'!$H$1:$H$600,$B122)))</f>
        <v>15</v>
      </c>
      <c r="K122" s="46">
        <f>IF($B122="","",IF(INDEX('Master Database'!$I$1:$I$600,$B122)="","",INDEX('Master Database'!$I$1:$I$600,$B122)))</f>
        <v>20</v>
      </c>
      <c r="L122" s="46">
        <f>IF($B122="","",IF(INDEX('Master Database'!$K$1:$K$600,$B122)="","",INDEX('Master Database'!$K$1:$K$600,$B122)))</f>
        <v>1.3623978201634879</v>
      </c>
      <c r="M122" s="19" t="str">
        <f>IF($B122="","",IF(INDEX('Master Database'!$L$1:$L$600,$B122)="","",INDEX('Master Database'!$L$1:$L$600,$B122)))</f>
        <v>API 610 + IPS-G-PM-105</v>
      </c>
      <c r="N122" s="19" t="str">
        <f>IF($B122="","",IF(INDEX('Master Database'!$P$1:$P$600,$B122)="","",INDEX('Master Database'!$P$1:$P$600,$B122)))</f>
        <v>Not stated</v>
      </c>
      <c r="O122" s="19" t="str">
        <f>IF($B122="","",IF(INDEX('Master Database'!$S$1:$S$600,$B122)="","",INDEX('Master Database'!$S$1:$S$600,$B122)))</f>
        <v>Electric Motor</v>
      </c>
      <c r="P122" s="19" t="str">
        <f>IF($B122="","",IF(INDEX('Master Database'!$T$1:$T$600,$B122)="","",INDEX('Master Database'!$T$1:$T$600,$B122)))</f>
        <v>Oily Water / Drain</v>
      </c>
      <c r="Q122" s="19">
        <f>IF($B122="","",IF(INDEX('Master Database'!$Y$1:$Y$600,$B122)="","",INDEX('Master Database'!$Y$1:$Y$600,$B122)))</f>
        <v>1404</v>
      </c>
      <c r="R122" s="19" t="str">
        <f>IF($B122="","",IF(INDEX('Master Database'!$Z$1:$Z$600,$B122)="","",INDEX('Master Database'!$Z$1:$Z$600,$B122)))</f>
        <v>EUR</v>
      </c>
      <c r="S122" s="47">
        <f>IF($B122="","",IF(INDEX('Master Database'!$AA$1:$AA$600,$B122)="","",INDEX('Master Database'!$AA$1:$AA$600,$B122)))</f>
        <v>26250</v>
      </c>
      <c r="T122" s="19" t="str">
        <f>IF($B122="","",IF(INDEX('Master Database'!$AE$1:$AE$600,$B122)="","",INDEX('Master Database'!$AE$1:$AE$600,$B122)))</f>
        <v>Vendor inquiry 1404Q1 – average of 2 quotation(s), PC-ME (91211-PZN-ME-RE-451) sheet PUMPS | source label: AACE Class 1</v>
      </c>
      <c r="U122" s="47">
        <f>IF($B122="","",IF(INDEX('Master Database'!$AG$1:$AG$600,$B122)="","",INDEX('Master Database'!$AG$1:$AG$600,$B122)))</f>
        <v>26250</v>
      </c>
      <c r="V122" s="47">
        <f>IF($B122="","",IF(INDEX('Master Database'!$AH$1:$AH$600,$B122)="","",INDEX('Master Database'!$AH$1:$AH$600,$B122)))</f>
        <v>27714.30588899873</v>
      </c>
      <c r="W122" s="47">
        <f>IF($B122="","",IF(INDEX('Master Database'!$AI$1:$AI$600,$B122)="","",INDEX('Master Database'!$AI$1:$AI$600,$B122)))</f>
        <v>18250785000</v>
      </c>
      <c r="X122" s="19" t="str">
        <f>IF($B122="","",IF(INDEX('Master Database'!$BG$1:$BG$600,$B122)="","",INDEX('Master Database'!$BG$1:$BG$600,$B122)))</f>
        <v>Y</v>
      </c>
      <c r="BA122">
        <f>IF('Master Database'!$A122="",0,IF(AND(OR($B$5="",ISNUMBER(SEARCH($B$5,'Master Database'!$B122&amp;" "&amp;'Master Database'!$D122))),OR($B$6="(All)",'Master Database'!$C122=$B$6),OR($B$7="(All)",'Master Database'!$E122=$B$7),OR($B$8="(All)",'Master Database'!$T122=$B$8),OR($B$9="(All)",'Master Database'!$M122=$B$9),OR($B$10="(All)",'Master Database'!$V122=$B$10),OR($E$5="(All)",'Master Database'!$F122=$E$5),OR($E$6="(All)",'Master Database'!$G122=$E$6),OR($E$7="(All)",'Master Database'!$O122=$E$7),OR($E$8="(All)",'Master Database'!$P122=$E$8),OR($E$9="(All)",'Master Database'!$S122=$E$9),OR($E$10="(All)",'Master Database'!$Y122&amp;""=$E$10&amp;""),OR($H$5="(All)",'Master Database'!$BG122=$H$5),OR($H$6&lt;&gt;"Y",ISNUMBER('Master Database'!$AG122)),OR($H$7="",AND(ISNUMBER('Master Database'!$H122),N('Master Database'!$H122)&gt;=$H$7)),OR($I$7="",AND(ISNUMBER('Master Database'!$H122),N('Master Database'!$H122)&lt;=$I$7)),OR($H$8="",AND(ISNUMBER('Master Database'!$I122),N('Master Database'!$I122)&gt;=$H$8)),OR($I$8="",AND(ISNUMBER('Master Database'!$I122),N('Master Database'!$I122)&lt;=$I$8)),OR($H$9="",AND(ISNUMBER('Master Database'!$K122),N('Master Database'!$K122)&gt;=$H$9)),OR($I$9="",AND(ISNUMBER('Master Database'!$K122),N('Master Database'!$K122)&lt;=$I$9))),1,0))</f>
        <v>1</v>
      </c>
      <c r="BB122">
        <f>IF(BA122=1,COUNTIF($BA$5:BA122,1),"")</f>
        <v>118</v>
      </c>
    </row>
    <row r="123" spans="1:54">
      <c r="A123" s="20">
        <f>IF(108&lt;=SUM($BA$5:$BA$600),108,"")</f>
        <v>108</v>
      </c>
      <c r="B123" s="20">
        <f t="shared" si="3"/>
        <v>112</v>
      </c>
      <c r="C123" s="20">
        <f>IF($B123="","",IF(INDEX('Master Database'!$A$1:$A$600,$B123)="","",INDEX('Master Database'!$A$1:$A$600,$B123)))</f>
        <v>108</v>
      </c>
      <c r="D123" s="19" t="str">
        <f>IF($B123="","",IF(INDEX('Master Database'!$B$1:$B$600,$B123)="","",INDEX('Master Database'!$B$1:$B$600,$B123)))</f>
        <v>Fuel Oil Pump</v>
      </c>
      <c r="E123" s="19" t="str">
        <f>IF($B123="","",IF(INDEX('Master Database'!$C$1:$C$600,$B123)="","",INDEX('Master Database'!$C$1:$C$600,$B123)))</f>
        <v>Pazanan 2</v>
      </c>
      <c r="F123" s="19" t="str">
        <f>IF($B123="","",IF(INDEX('Master Database'!$D$1:$D$600,$B123)="","",INDEX('Master Database'!$D$1:$D$600,$B123)))</f>
        <v>P-171</v>
      </c>
      <c r="G123" s="19" t="str">
        <f>IF($B123="","",IF(INDEX('Master Database'!$E$1:$E$600,$B123)="","",INDEX('Master Database'!$E$1:$E$600,$B123)))</f>
        <v>ROT-AUX</v>
      </c>
      <c r="H123" s="19" t="str">
        <f>IF($B123="","",IF(INDEX('Master Database'!$F$1:$F$600,$B123)="","",INDEX('Master Database'!$F$1:$F$600,$B123)))</f>
        <v>N/A (non-API 610)</v>
      </c>
      <c r="I123" s="19" t="str">
        <f>IF($B123="","",IF(INDEX('Master Database'!$G$1:$G$600,$B123)="","",INDEX('Master Database'!$G$1:$G$600,$B123)))</f>
        <v>S-1</v>
      </c>
      <c r="J123" s="46">
        <f>IF($B123="","",IF(INDEX('Master Database'!$H$1:$H$600,$B123)="","",INDEX('Master Database'!$H$1:$H$600,$B123)))</f>
        <v>10</v>
      </c>
      <c r="K123" s="46">
        <f>IF($B123="","",IF(INDEX('Master Database'!$I$1:$I$600,$B123)="","",INDEX('Master Database'!$I$1:$I$600,$B123)))</f>
        <v>21</v>
      </c>
      <c r="L123" s="46">
        <f>IF($B123="","",IF(INDEX('Master Database'!$K$1:$K$600,$B123)="","",INDEX('Master Database'!$K$1:$K$600,$B123)))</f>
        <v>0.95367847411444151</v>
      </c>
      <c r="M123" s="19" t="str">
        <f>IF($B123="","",IF(INDEX('Master Database'!$L$1:$L$600,$B123)="","",INDEX('Master Database'!$L$1:$L$600,$B123)))</f>
        <v>ISO 5199 + IPS-M-PM-115</v>
      </c>
      <c r="N123" s="19" t="str">
        <f>IF($B123="","",IF(INDEX('Master Database'!$P$1:$P$600,$B123)="","",INDEX('Master Database'!$P$1:$P$600,$B123)))</f>
        <v>Not stated</v>
      </c>
      <c r="O123" s="19" t="str">
        <f>IF($B123="","",IF(INDEX('Master Database'!$S$1:$S$600,$B123)="","",INDEX('Master Database'!$S$1:$S$600,$B123)))</f>
        <v>Electric Motor</v>
      </c>
      <c r="P123" s="19" t="str">
        <f>IF($B123="","",IF(INDEX('Master Database'!$T$1:$T$600,$B123)="","",INDEX('Master Database'!$T$1:$T$600,$B123)))</f>
        <v>Diesel / Fuel Oil</v>
      </c>
      <c r="Q123" s="19">
        <f>IF($B123="","",IF(INDEX('Master Database'!$Y$1:$Y$600,$B123)="","",INDEX('Master Database'!$Y$1:$Y$600,$B123)))</f>
        <v>1404</v>
      </c>
      <c r="R123" s="19" t="str">
        <f>IF($B123="","",IF(INDEX('Master Database'!$Z$1:$Z$600,$B123)="","",INDEX('Master Database'!$Z$1:$Z$600,$B123)))</f>
        <v>EUR</v>
      </c>
      <c r="S123" s="47">
        <f>IF($B123="","",IF(INDEX('Master Database'!$AA$1:$AA$600,$B123)="","",INDEX('Master Database'!$AA$1:$AA$600,$B123)))</f>
        <v>21000</v>
      </c>
      <c r="T123" s="19" t="str">
        <f>IF($B123="","",IF(INDEX('Master Database'!$AE$1:$AE$600,$B123)="","",INDEX('Master Database'!$AE$1:$AE$600,$B123)))</f>
        <v>Vendor inquiry 1404Q1 – average of 2 quotation(s), PC-ME (91211-PZN-ME-RE-451) sheet PUMPS | source label: AACE Class 1</v>
      </c>
      <c r="U123" s="47">
        <f>IF($B123="","",IF(INDEX('Master Database'!$AG$1:$AG$600,$B123)="","",INDEX('Master Database'!$AG$1:$AG$600,$B123)))</f>
        <v>21000</v>
      </c>
      <c r="V123" s="47">
        <f>IF($B123="","",IF(INDEX('Master Database'!$AH$1:$AH$600,$B123)="","",INDEX('Master Database'!$AH$1:$AH$600,$B123)))</f>
        <v>22171.444711198983</v>
      </c>
      <c r="W123" s="47">
        <f>IF($B123="","",IF(INDEX('Master Database'!$AI$1:$AI$600,$B123)="","",INDEX('Master Database'!$AI$1:$AI$600,$B123)))</f>
        <v>14600628000</v>
      </c>
      <c r="X123" s="19" t="str">
        <f>IF($B123="","",IF(INDEX('Master Database'!$BG$1:$BG$600,$B123)="","",INDEX('Master Database'!$BG$1:$BG$600,$B123)))</f>
        <v>Y</v>
      </c>
      <c r="BA123">
        <f>IF('Master Database'!$A123="",0,IF(AND(OR($B$5="",ISNUMBER(SEARCH($B$5,'Master Database'!$B123&amp;" "&amp;'Master Database'!$D123))),OR($B$6="(All)",'Master Database'!$C123=$B$6),OR($B$7="(All)",'Master Database'!$E123=$B$7),OR($B$8="(All)",'Master Database'!$T123=$B$8),OR($B$9="(All)",'Master Database'!$M123=$B$9),OR($B$10="(All)",'Master Database'!$V123=$B$10),OR($E$5="(All)",'Master Database'!$F123=$E$5),OR($E$6="(All)",'Master Database'!$G123=$E$6),OR($E$7="(All)",'Master Database'!$O123=$E$7),OR($E$8="(All)",'Master Database'!$P123=$E$8),OR($E$9="(All)",'Master Database'!$S123=$E$9),OR($E$10="(All)",'Master Database'!$Y123&amp;""=$E$10&amp;""),OR($H$5="(All)",'Master Database'!$BG123=$H$5),OR($H$6&lt;&gt;"Y",ISNUMBER('Master Database'!$AG123)),OR($H$7="",AND(ISNUMBER('Master Database'!$H123),N('Master Database'!$H123)&gt;=$H$7)),OR($I$7="",AND(ISNUMBER('Master Database'!$H123),N('Master Database'!$H123)&lt;=$I$7)),OR($H$8="",AND(ISNUMBER('Master Database'!$I123),N('Master Database'!$I123)&gt;=$H$8)),OR($I$8="",AND(ISNUMBER('Master Database'!$I123),N('Master Database'!$I123)&lt;=$I$8)),OR($H$9="",AND(ISNUMBER('Master Database'!$K123),N('Master Database'!$K123)&gt;=$H$9)),OR($I$9="",AND(ISNUMBER('Master Database'!$K123),N('Master Database'!$K123)&lt;=$I$9))),1,0))</f>
        <v>1</v>
      </c>
      <c r="BB123">
        <f>IF(BA123=1,COUNTIF($BA$5:BA123,1),"")</f>
        <v>119</v>
      </c>
    </row>
    <row r="124" spans="1:54">
      <c r="A124" s="20">
        <f>IF(109&lt;=SUM($BA$5:$BA$600),109,"")</f>
        <v>109</v>
      </c>
      <c r="B124" s="20">
        <f t="shared" si="3"/>
        <v>113</v>
      </c>
      <c r="C124" s="20">
        <f>IF($B124="","",IF(INDEX('Master Database'!$A$1:$A$600,$B124)="","",INDEX('Master Database'!$A$1:$A$600,$B124)))</f>
        <v>109</v>
      </c>
      <c r="D124" s="19" t="str">
        <f>IF($B124="","",IF(INDEX('Master Database'!$B$1:$B$600,$B124)="","",INDEX('Master Database'!$B$1:$B$600,$B124)))</f>
        <v>Fire Water Loading Pump</v>
      </c>
      <c r="E124" s="19" t="str">
        <f>IF($B124="","",IF(INDEX('Master Database'!$C$1:$C$600,$B124)="","",INDEX('Master Database'!$C$1:$C$600,$B124)))</f>
        <v>Pazanan 2</v>
      </c>
      <c r="F124" s="19" t="str">
        <f>IF($B124="","",IF(INDEX('Master Database'!$D$1:$D$600,$B124)="","",INDEX('Master Database'!$D$1:$D$600,$B124)))</f>
        <v>P-191</v>
      </c>
      <c r="G124" s="19" t="str">
        <f>IF($B124="","",IF(INDEX('Master Database'!$E$1:$E$600,$B124)="","",INDEX('Master Database'!$E$1:$E$600,$B124)))</f>
        <v>ROT-FIR</v>
      </c>
      <c r="H124" s="19" t="str">
        <f>IF($B124="","",IF(INDEX('Master Database'!$F$1:$F$600,$B124)="","",INDEX('Master Database'!$F$1:$F$600,$B124)))</f>
        <v>N/A (non-API 610)</v>
      </c>
      <c r="I124" s="19" t="str">
        <f>IF($B124="","",IF(INDEX('Master Database'!$G$1:$G$600,$B124)="","",INDEX('Master Database'!$G$1:$G$600,$B124)))</f>
        <v>I-2</v>
      </c>
      <c r="J124" s="46">
        <f>IF($B124="","",IF(INDEX('Master Database'!$H$1:$H$600,$B124)="","",INDEX('Master Database'!$H$1:$H$600,$B124)))</f>
        <v>33</v>
      </c>
      <c r="K124" s="46">
        <f>IF($B124="","",IF(INDEX('Master Database'!$I$1:$I$600,$B124)="","",INDEX('Master Database'!$I$1:$I$600,$B124)))</f>
        <v>31</v>
      </c>
      <c r="L124" s="46">
        <f>IF($B124="","",IF(INDEX('Master Database'!$K$1:$K$600,$B124)="","",INDEX('Master Database'!$K$1:$K$600,$B124)))</f>
        <v>4.6457765667574931</v>
      </c>
      <c r="M124" s="19" t="str">
        <f>IF($B124="","",IF(INDEX('Master Database'!$L$1:$L$600,$B124)="","",INDEX('Master Database'!$L$1:$L$600,$B124)))</f>
        <v>ISO 5199 + IPS-M-PM-115</v>
      </c>
      <c r="N124" s="19" t="str">
        <f>IF($B124="","",IF(INDEX('Master Database'!$P$1:$P$600,$B124)="","",INDEX('Master Database'!$P$1:$P$600,$B124)))</f>
        <v>Not stated</v>
      </c>
      <c r="O124" s="19" t="str">
        <f>IF($B124="","",IF(INDEX('Master Database'!$S$1:$S$600,$B124)="","",INDEX('Master Database'!$S$1:$S$600,$B124)))</f>
        <v>Electric Motor</v>
      </c>
      <c r="P124" s="19" t="str">
        <f>IF($B124="","",IF(INDEX('Master Database'!$T$1:$T$600,$B124)="","",INDEX('Master Database'!$T$1:$T$600,$B124)))</f>
        <v>Fire Water</v>
      </c>
      <c r="Q124" s="19">
        <f>IF($B124="","",IF(INDEX('Master Database'!$Y$1:$Y$600,$B124)="","",INDEX('Master Database'!$Y$1:$Y$600,$B124)))</f>
        <v>1404</v>
      </c>
      <c r="R124" s="19" t="str">
        <f>IF($B124="","",IF(INDEX('Master Database'!$Z$1:$Z$600,$B124)="","",INDEX('Master Database'!$Z$1:$Z$600,$B124)))</f>
        <v>EUR</v>
      </c>
      <c r="S124" s="47">
        <f>IF($B124="","",IF(INDEX('Master Database'!$AA$1:$AA$600,$B124)="","",INDEX('Master Database'!$AA$1:$AA$600,$B124)))</f>
        <v>16000</v>
      </c>
      <c r="T124" s="19" t="str">
        <f>IF($B124="","",IF(INDEX('Master Database'!$AE$1:$AE$600,$B124)="","",INDEX('Master Database'!$AE$1:$AE$600,$B124)))</f>
        <v>Vendor inquiry 1404Q1 – average of 2 quotation(s), PC-ME (91211-PZN-ME-RE-451) sheet PUMPS | source label: AACE Class 1</v>
      </c>
      <c r="U124" s="47">
        <f>IF($B124="","",IF(INDEX('Master Database'!$AG$1:$AG$600,$B124)="","",INDEX('Master Database'!$AG$1:$AG$600,$B124)))</f>
        <v>16000</v>
      </c>
      <c r="V124" s="47">
        <f>IF($B124="","",IF(INDEX('Master Database'!$AH$1:$AH$600,$B124)="","",INDEX('Master Database'!$AH$1:$AH$600,$B124)))</f>
        <v>16892.529303770654</v>
      </c>
      <c r="W124" s="47">
        <f>IF($B124="","",IF(INDEX('Master Database'!$AI$1:$AI$600,$B124)="","",INDEX('Master Database'!$AI$1:$AI$600,$B124)))</f>
        <v>11124288000</v>
      </c>
      <c r="X124" s="19" t="str">
        <f>IF($B124="","",IF(INDEX('Master Database'!$BG$1:$BG$600,$B124)="","",INDEX('Master Database'!$BG$1:$BG$600,$B124)))</f>
        <v>Y</v>
      </c>
      <c r="BA124">
        <f>IF('Master Database'!$A124="",0,IF(AND(OR($B$5="",ISNUMBER(SEARCH($B$5,'Master Database'!$B124&amp;" "&amp;'Master Database'!$D124))),OR($B$6="(All)",'Master Database'!$C124=$B$6),OR($B$7="(All)",'Master Database'!$E124=$B$7),OR($B$8="(All)",'Master Database'!$T124=$B$8),OR($B$9="(All)",'Master Database'!$M124=$B$9),OR($B$10="(All)",'Master Database'!$V124=$B$10),OR($E$5="(All)",'Master Database'!$F124=$E$5),OR($E$6="(All)",'Master Database'!$G124=$E$6),OR($E$7="(All)",'Master Database'!$O124=$E$7),OR($E$8="(All)",'Master Database'!$P124=$E$8),OR($E$9="(All)",'Master Database'!$S124=$E$9),OR($E$10="(All)",'Master Database'!$Y124&amp;""=$E$10&amp;""),OR($H$5="(All)",'Master Database'!$BG124=$H$5),OR($H$6&lt;&gt;"Y",ISNUMBER('Master Database'!$AG124)),OR($H$7="",AND(ISNUMBER('Master Database'!$H124),N('Master Database'!$H124)&gt;=$H$7)),OR($I$7="",AND(ISNUMBER('Master Database'!$H124),N('Master Database'!$H124)&lt;=$I$7)),OR($H$8="",AND(ISNUMBER('Master Database'!$I124),N('Master Database'!$I124)&gt;=$H$8)),OR($I$8="",AND(ISNUMBER('Master Database'!$I124),N('Master Database'!$I124)&lt;=$I$8)),OR($H$9="",AND(ISNUMBER('Master Database'!$K124),N('Master Database'!$K124)&gt;=$H$9)),OR($I$9="",AND(ISNUMBER('Master Database'!$K124),N('Master Database'!$K124)&lt;=$I$9))),1,0))</f>
        <v>1</v>
      </c>
      <c r="BB124">
        <f>IF(BA124=1,COUNTIF($BA$5:BA124,1),"")</f>
        <v>120</v>
      </c>
    </row>
    <row r="125" spans="1:54">
      <c r="A125" s="20">
        <f>IF(110&lt;=SUM($BA$5:$BA$600),110,"")</f>
        <v>110</v>
      </c>
      <c r="B125" s="20">
        <f t="shared" si="3"/>
        <v>114</v>
      </c>
      <c r="C125" s="20">
        <f>IF($B125="","",IF(INDEX('Master Database'!$A$1:$A$600,$B125)="","",INDEX('Master Database'!$A$1:$A$600,$B125)))</f>
        <v>110</v>
      </c>
      <c r="D125" s="19" t="str">
        <f>IF($B125="","",IF(INDEX('Master Database'!$B$1:$B$600,$B125)="","",INDEX('Master Database'!$B$1:$B$600,$B125)))</f>
        <v>Fire Water Pump-Elect. Motor Driven</v>
      </c>
      <c r="E125" s="19" t="str">
        <f>IF($B125="","",IF(INDEX('Master Database'!$C$1:$C$600,$B125)="","",INDEX('Master Database'!$C$1:$C$600,$B125)))</f>
        <v>Pazanan 2</v>
      </c>
      <c r="F125" s="19" t="str">
        <f>IF($B125="","",IF(INDEX('Master Database'!$D$1:$D$600,$B125)="","",INDEX('Master Database'!$D$1:$D$600,$B125)))</f>
        <v>P-192</v>
      </c>
      <c r="G125" s="19" t="str">
        <f>IF($B125="","",IF(INDEX('Master Database'!$E$1:$E$600,$B125)="","",INDEX('Master Database'!$E$1:$E$600,$B125)))</f>
        <v>ROT-FIR</v>
      </c>
      <c r="H125" s="19" t="str">
        <f>IF($B125="","",IF(INDEX('Master Database'!$F$1:$F$600,$B125)="","",INDEX('Master Database'!$F$1:$F$600,$B125)))</f>
        <v>BB (unspecified)</v>
      </c>
      <c r="I125" s="19" t="str">
        <f>IF($B125="","",IF(INDEX('Master Database'!$G$1:$G$600,$B125)="","",INDEX('Master Database'!$G$1:$G$600,$B125)))</f>
        <v>I-2</v>
      </c>
      <c r="J125" s="46">
        <f>IF($B125="","",IF(INDEX('Master Database'!$H$1:$H$600,$B125)="","",INDEX('Master Database'!$H$1:$H$600,$B125)))</f>
        <v>825</v>
      </c>
      <c r="K125" s="46">
        <f>IF($B125="","",IF(INDEX('Master Database'!$I$1:$I$600,$B125)="","",INDEX('Master Database'!$I$1:$I$600,$B125)))</f>
        <v>107</v>
      </c>
      <c r="L125" s="46">
        <f>IF($B125="","",IF(INDEX('Master Database'!$K$1:$K$600,$B125)="","",INDEX('Master Database'!$K$1:$K$600,$B125)))</f>
        <v>400.88555858310627</v>
      </c>
      <c r="M125" s="19" t="str">
        <f>IF($B125="","",IF(INDEX('Master Database'!$L$1:$L$600,$B125)="","",INDEX('Master Database'!$L$1:$L$600,$B125)))</f>
        <v>NFPA 20 + IPS-M-PM-125</v>
      </c>
      <c r="N125" s="19" t="str">
        <f>IF($B125="","",IF(INDEX('Master Database'!$P$1:$P$600,$B125)="","",INDEX('Master Database'!$P$1:$P$600,$B125)))</f>
        <v>Not stated</v>
      </c>
      <c r="O125" s="19" t="str">
        <f>IF($B125="","",IF(INDEX('Master Database'!$S$1:$S$600,$B125)="","",INDEX('Master Database'!$S$1:$S$600,$B125)))</f>
        <v>Electric Motor</v>
      </c>
      <c r="P125" s="19" t="str">
        <f>IF($B125="","",IF(INDEX('Master Database'!$T$1:$T$600,$B125)="","",INDEX('Master Database'!$T$1:$T$600,$B125)))</f>
        <v>Fire Water</v>
      </c>
      <c r="Q125" s="19">
        <f>IF($B125="","",IF(INDEX('Master Database'!$Y$1:$Y$600,$B125)="","",INDEX('Master Database'!$Y$1:$Y$600,$B125)))</f>
        <v>1404</v>
      </c>
      <c r="R125" s="19" t="str">
        <f>IF($B125="","",IF(INDEX('Master Database'!$Z$1:$Z$600,$B125)="","",INDEX('Master Database'!$Z$1:$Z$600,$B125)))</f>
        <v>EUR</v>
      </c>
      <c r="S125" s="47">
        <f>IF($B125="","",IF(INDEX('Master Database'!$AA$1:$AA$600,$B125)="","",INDEX('Master Database'!$AA$1:$AA$600,$B125)))</f>
        <v>309660.11</v>
      </c>
      <c r="T125" s="19" t="str">
        <f>IF($B125="","",IF(INDEX('Master Database'!$AE$1:$AE$600,$B125)="","",INDEX('Master Database'!$AE$1:$AE$600,$B125)))</f>
        <v>Vendor inquiry 1404Q1 – average of 3 quotation(s), PC-ME (91211-PZN-ME-RE-451) sheet PUMPS | source label: AACE Class 1</v>
      </c>
      <c r="U125" s="47">
        <f>IF($B125="","",IF(INDEX('Master Database'!$AG$1:$AG$600,$B125)="","",INDEX('Master Database'!$AG$1:$AG$600,$B125)))</f>
        <v>309660.11</v>
      </c>
      <c r="V125" s="47">
        <f>IF($B125="","",IF(INDEX('Master Database'!$AH$1:$AH$600,$B125)="","",INDEX('Master Database'!$AH$1:$AH$600,$B125)))</f>
        <v>326933.90514899022</v>
      </c>
      <c r="W125" s="47">
        <f>IF($B125="","",IF(INDEX('Master Database'!$AI$1:$AI$600,$B125)="","",INDEX('Master Database'!$AI$1:$AI$600,$B125)))</f>
        <v>215296765359.47998</v>
      </c>
      <c r="X125" s="19" t="str">
        <f>IF($B125="","",IF(INDEX('Master Database'!$BG$1:$BG$600,$B125)="","",INDEX('Master Database'!$BG$1:$BG$600,$B125)))</f>
        <v>Y</v>
      </c>
      <c r="BA125">
        <f>IF('Master Database'!$A125="",0,IF(AND(OR($B$5="",ISNUMBER(SEARCH($B$5,'Master Database'!$B125&amp;" "&amp;'Master Database'!$D125))),OR($B$6="(All)",'Master Database'!$C125=$B$6),OR($B$7="(All)",'Master Database'!$E125=$B$7),OR($B$8="(All)",'Master Database'!$T125=$B$8),OR($B$9="(All)",'Master Database'!$M125=$B$9),OR($B$10="(All)",'Master Database'!$V125=$B$10),OR($E$5="(All)",'Master Database'!$F125=$E$5),OR($E$6="(All)",'Master Database'!$G125=$E$6),OR($E$7="(All)",'Master Database'!$O125=$E$7),OR($E$8="(All)",'Master Database'!$P125=$E$8),OR($E$9="(All)",'Master Database'!$S125=$E$9),OR($E$10="(All)",'Master Database'!$Y125&amp;""=$E$10&amp;""),OR($H$5="(All)",'Master Database'!$BG125=$H$5),OR($H$6&lt;&gt;"Y",ISNUMBER('Master Database'!$AG125)),OR($H$7="",AND(ISNUMBER('Master Database'!$H125),N('Master Database'!$H125)&gt;=$H$7)),OR($I$7="",AND(ISNUMBER('Master Database'!$H125),N('Master Database'!$H125)&lt;=$I$7)),OR($H$8="",AND(ISNUMBER('Master Database'!$I125),N('Master Database'!$I125)&gt;=$H$8)),OR($I$8="",AND(ISNUMBER('Master Database'!$I125),N('Master Database'!$I125)&lt;=$I$8)),OR($H$9="",AND(ISNUMBER('Master Database'!$K125),N('Master Database'!$K125)&gt;=$H$9)),OR($I$9="",AND(ISNUMBER('Master Database'!$K125),N('Master Database'!$K125)&lt;=$I$9))),1,0))</f>
        <v>1</v>
      </c>
      <c r="BB125">
        <f>IF(BA125=1,COUNTIF($BA$5:BA125,1),"")</f>
        <v>121</v>
      </c>
    </row>
    <row r="126" spans="1:54">
      <c r="A126" s="20">
        <f>IF(111&lt;=SUM($BA$5:$BA$600),111,"")</f>
        <v>111</v>
      </c>
      <c r="B126" s="20">
        <f t="shared" si="3"/>
        <v>115</v>
      </c>
      <c r="C126" s="20">
        <f>IF($B126="","",IF(INDEX('Master Database'!$A$1:$A$600,$B126)="","",INDEX('Master Database'!$A$1:$A$600,$B126)))</f>
        <v>111</v>
      </c>
      <c r="D126" s="19" t="str">
        <f>IF($B126="","",IF(INDEX('Master Database'!$B$1:$B$600,$B126)="","",INDEX('Master Database'!$B$1:$B$600,$B126)))</f>
        <v>Fire Water Pump-Diesel Engine Driven</v>
      </c>
      <c r="E126" s="19" t="str">
        <f>IF($B126="","",IF(INDEX('Master Database'!$C$1:$C$600,$B126)="","",INDEX('Master Database'!$C$1:$C$600,$B126)))</f>
        <v>Pazanan 2</v>
      </c>
      <c r="F126" s="19" t="str">
        <f>IF($B126="","",IF(INDEX('Master Database'!$D$1:$D$600,$B126)="","",INDEX('Master Database'!$D$1:$D$600,$B126)))</f>
        <v>P-193</v>
      </c>
      <c r="G126" s="19" t="str">
        <f>IF($B126="","",IF(INDEX('Master Database'!$E$1:$E$600,$B126)="","",INDEX('Master Database'!$E$1:$E$600,$B126)))</f>
        <v>ROT-FIR</v>
      </c>
      <c r="H126" s="19" t="str">
        <f>IF($B126="","",IF(INDEX('Master Database'!$F$1:$F$600,$B126)="","",INDEX('Master Database'!$F$1:$F$600,$B126)))</f>
        <v>BB (unspecified)</v>
      </c>
      <c r="I126" s="19" t="str">
        <f>IF($B126="","",IF(INDEX('Master Database'!$G$1:$G$600,$B126)="","",INDEX('Master Database'!$G$1:$G$600,$B126)))</f>
        <v>I-2</v>
      </c>
      <c r="J126" s="46">
        <f>IF($B126="","",IF(INDEX('Master Database'!$H$1:$H$600,$B126)="","",INDEX('Master Database'!$H$1:$H$600,$B126)))</f>
        <v>825</v>
      </c>
      <c r="K126" s="46">
        <f>IF($B126="","",IF(INDEX('Master Database'!$I$1:$I$600,$B126)="","",INDEX('Master Database'!$I$1:$I$600,$B126)))</f>
        <v>107</v>
      </c>
      <c r="L126" s="46">
        <f>IF($B126="","",IF(INDEX('Master Database'!$K$1:$K$600,$B126)="","",INDEX('Master Database'!$K$1:$K$600,$B126)))</f>
        <v>400.88555858310627</v>
      </c>
      <c r="M126" s="19" t="str">
        <f>IF($B126="","",IF(INDEX('Master Database'!$L$1:$L$600,$B126)="","",INDEX('Master Database'!$L$1:$L$600,$B126)))</f>
        <v>NFPA 20 + IPS-M-PM-125</v>
      </c>
      <c r="N126" s="19" t="str">
        <f>IF($B126="","",IF(INDEX('Master Database'!$P$1:$P$600,$B126)="","",INDEX('Master Database'!$P$1:$P$600,$B126)))</f>
        <v>Not stated</v>
      </c>
      <c r="O126" s="19" t="str">
        <f>IF($B126="","",IF(INDEX('Master Database'!$S$1:$S$600,$B126)="","",INDEX('Master Database'!$S$1:$S$600,$B126)))</f>
        <v>Diesel Engine</v>
      </c>
      <c r="P126" s="19" t="str">
        <f>IF($B126="","",IF(INDEX('Master Database'!$T$1:$T$600,$B126)="","",INDEX('Master Database'!$T$1:$T$600,$B126)))</f>
        <v>Fire Water</v>
      </c>
      <c r="Q126" s="19">
        <f>IF($B126="","",IF(INDEX('Master Database'!$Y$1:$Y$600,$B126)="","",INDEX('Master Database'!$Y$1:$Y$600,$B126)))</f>
        <v>1404</v>
      </c>
      <c r="R126" s="19" t="str">
        <f>IF($B126="","",IF(INDEX('Master Database'!$Z$1:$Z$600,$B126)="","",INDEX('Master Database'!$Z$1:$Z$600,$B126)))</f>
        <v>EUR</v>
      </c>
      <c r="S126" s="47">
        <f>IF($B126="","",IF(INDEX('Master Database'!$AA$1:$AA$600,$B126)="","",INDEX('Master Database'!$AA$1:$AA$600,$B126)))</f>
        <v>202973.76</v>
      </c>
      <c r="T126" s="19" t="str">
        <f>IF($B126="","",IF(INDEX('Master Database'!$AE$1:$AE$600,$B126)="","",INDEX('Master Database'!$AE$1:$AE$600,$B126)))</f>
        <v>Vendor inquiry 1404Q1 – average of 3 quotation(s), PC-ME (91211-PZN-ME-RE-451) sheet PUMPS | source label: AACE Class 1</v>
      </c>
      <c r="U126" s="47">
        <f>IF($B126="","",IF(INDEX('Master Database'!$AG$1:$AG$600,$B126)="","",INDEX('Master Database'!$AG$1:$AG$600,$B126)))</f>
        <v>202973.76</v>
      </c>
      <c r="V126" s="47">
        <f>IF($B126="","",IF(INDEX('Master Database'!$AH$1:$AH$600,$B126)="","",INDEX('Master Database'!$AH$1:$AH$600,$B126)))</f>
        <v>214296.26179353197</v>
      </c>
      <c r="W126" s="47">
        <f>IF($B126="","",IF(INDEX('Master Database'!$AI$1:$AI$600,$B126)="","",INDEX('Master Database'!$AI$1:$AI$600,$B126)))</f>
        <v>141121160167.67999</v>
      </c>
      <c r="X126" s="19" t="str">
        <f>IF($B126="","",IF(INDEX('Master Database'!$BG$1:$BG$600,$B126)="","",INDEX('Master Database'!$BG$1:$BG$600,$B126)))</f>
        <v>Y</v>
      </c>
      <c r="BA126">
        <f>IF('Master Database'!$A126="",0,IF(AND(OR($B$5="",ISNUMBER(SEARCH($B$5,'Master Database'!$B126&amp;" "&amp;'Master Database'!$D126))),OR($B$6="(All)",'Master Database'!$C126=$B$6),OR($B$7="(All)",'Master Database'!$E126=$B$7),OR($B$8="(All)",'Master Database'!$T126=$B$8),OR($B$9="(All)",'Master Database'!$M126=$B$9),OR($B$10="(All)",'Master Database'!$V126=$B$10),OR($E$5="(All)",'Master Database'!$F126=$E$5),OR($E$6="(All)",'Master Database'!$G126=$E$6),OR($E$7="(All)",'Master Database'!$O126=$E$7),OR($E$8="(All)",'Master Database'!$P126=$E$8),OR($E$9="(All)",'Master Database'!$S126=$E$9),OR($E$10="(All)",'Master Database'!$Y126&amp;""=$E$10&amp;""),OR($H$5="(All)",'Master Database'!$BG126=$H$5),OR($H$6&lt;&gt;"Y",ISNUMBER('Master Database'!$AG126)),OR($H$7="",AND(ISNUMBER('Master Database'!$H126),N('Master Database'!$H126)&gt;=$H$7)),OR($I$7="",AND(ISNUMBER('Master Database'!$H126),N('Master Database'!$H126)&lt;=$I$7)),OR($H$8="",AND(ISNUMBER('Master Database'!$I126),N('Master Database'!$I126)&gt;=$H$8)),OR($I$8="",AND(ISNUMBER('Master Database'!$I126),N('Master Database'!$I126)&lt;=$I$8)),OR($H$9="",AND(ISNUMBER('Master Database'!$K126),N('Master Database'!$K126)&gt;=$H$9)),OR($I$9="",AND(ISNUMBER('Master Database'!$K126),N('Master Database'!$K126)&lt;=$I$9))),1,0))</f>
        <v>1</v>
      </c>
      <c r="BB126">
        <f>IF(BA126=1,COUNTIF($BA$5:BA126,1),"")</f>
        <v>122</v>
      </c>
    </row>
    <row r="127" spans="1:54">
      <c r="A127" s="20">
        <f>IF(112&lt;=SUM($BA$5:$BA$600),112,"")</f>
        <v>112</v>
      </c>
      <c r="B127" s="20">
        <f t="shared" si="3"/>
        <v>116</v>
      </c>
      <c r="C127" s="20">
        <f>IF($B127="","",IF(INDEX('Master Database'!$A$1:$A$600,$B127)="","",INDEX('Master Database'!$A$1:$A$600,$B127)))</f>
        <v>112</v>
      </c>
      <c r="D127" s="19" t="str">
        <f>IF($B127="","",IF(INDEX('Master Database'!$B$1:$B$600,$B127)="","",INDEX('Master Database'!$B$1:$B$600,$B127)))</f>
        <v>Fire Water Jockey Pumps</v>
      </c>
      <c r="E127" s="19" t="str">
        <f>IF($B127="","",IF(INDEX('Master Database'!$C$1:$C$600,$B127)="","",INDEX('Master Database'!$C$1:$C$600,$B127)))</f>
        <v>Pazanan 2</v>
      </c>
      <c r="F127" s="19" t="str">
        <f>IF($B127="","",IF(INDEX('Master Database'!$D$1:$D$600,$B127)="","",INDEX('Master Database'!$D$1:$D$600,$B127)))</f>
        <v>P-194 A/B</v>
      </c>
      <c r="G127" s="19" t="str">
        <f>IF($B127="","",IF(INDEX('Master Database'!$E$1:$E$600,$B127)="","",INDEX('Master Database'!$E$1:$E$600,$B127)))</f>
        <v>ROT-FIR</v>
      </c>
      <c r="H127" s="19" t="str">
        <f>IF($B127="","",IF(INDEX('Master Database'!$F$1:$F$600,$B127)="","",INDEX('Master Database'!$F$1:$F$600,$B127)))</f>
        <v>OH (unspecified)</v>
      </c>
      <c r="I127" s="19" t="str">
        <f>IF($B127="","",IF(INDEX('Master Database'!$G$1:$G$600,$B127)="","",INDEX('Master Database'!$G$1:$G$600,$B127)))</f>
        <v>I-2</v>
      </c>
      <c r="J127" s="46">
        <f>IF($B127="","",IF(INDEX('Master Database'!$H$1:$H$600,$B127)="","",INDEX('Master Database'!$H$1:$H$600,$B127)))</f>
        <v>16.5</v>
      </c>
      <c r="K127" s="46">
        <f>IF($B127="","",IF(INDEX('Master Database'!$I$1:$I$600,$B127)="","",INDEX('Master Database'!$I$1:$I$600,$B127)))</f>
        <v>107</v>
      </c>
      <c r="L127" s="46">
        <f>IF($B127="","",IF(INDEX('Master Database'!$K$1:$K$600,$B127)="","",INDEX('Master Database'!$K$1:$K$600,$B127)))</f>
        <v>8.0177111716621265</v>
      </c>
      <c r="M127" s="19" t="str">
        <f>IF($B127="","",IF(INDEX('Master Database'!$L$1:$L$600,$B127)="","",INDEX('Master Database'!$L$1:$L$600,$B127)))</f>
        <v>NFPA 20 + IPS-M-PM-125</v>
      </c>
      <c r="N127" s="19" t="str">
        <f>IF($B127="","",IF(INDEX('Master Database'!$P$1:$P$600,$B127)="","",INDEX('Master Database'!$P$1:$P$600,$B127)))</f>
        <v>Not stated</v>
      </c>
      <c r="O127" s="19" t="str">
        <f>IF($B127="","",IF(INDEX('Master Database'!$S$1:$S$600,$B127)="","",INDEX('Master Database'!$S$1:$S$600,$B127)))</f>
        <v>Electric Motor</v>
      </c>
      <c r="P127" s="19" t="str">
        <f>IF($B127="","",IF(INDEX('Master Database'!$T$1:$T$600,$B127)="","",INDEX('Master Database'!$T$1:$T$600,$B127)))</f>
        <v>Fire Water</v>
      </c>
      <c r="Q127" s="19">
        <f>IF($B127="","",IF(INDEX('Master Database'!$Y$1:$Y$600,$B127)="","",INDEX('Master Database'!$Y$1:$Y$600,$B127)))</f>
        <v>1404</v>
      </c>
      <c r="R127" s="19" t="str">
        <f>IF($B127="","",IF(INDEX('Master Database'!$Z$1:$Z$600,$B127)="","",INDEX('Master Database'!$Z$1:$Z$600,$B127)))</f>
        <v>EUR</v>
      </c>
      <c r="S127" s="47">
        <f>IF($B127="","",IF(INDEX('Master Database'!$AA$1:$AA$600,$B127)="","",INDEX('Master Database'!$AA$1:$AA$600,$B127)))</f>
        <v>26808.07</v>
      </c>
      <c r="T127" s="19" t="str">
        <f>IF($B127="","",IF(INDEX('Master Database'!$AE$1:$AE$600,$B127)="","",INDEX('Master Database'!$AE$1:$AE$600,$B127)))</f>
        <v>Vendor inquiry 1404Q1 – average of 3 quotation(s), PC-ME (91211-PZN-ME-RE-451) sheet PUMPS | source label: AACE Class 1</v>
      </c>
      <c r="U127" s="47">
        <f>IF($B127="","",IF(INDEX('Master Database'!$AG$1:$AG$600,$B127)="","",INDEX('Master Database'!$AG$1:$AG$600,$B127)))</f>
        <v>26808.07</v>
      </c>
      <c r="V127" s="47">
        <f>IF($B127="","",IF(INDEX('Master Database'!$AH$1:$AH$600,$B127)="","",INDEX('Master Database'!$AH$1:$AH$600,$B127)))</f>
        <v>28303.506753283433</v>
      </c>
      <c r="W127" s="47">
        <f>IF($B127="","",IF(INDEX('Master Database'!$AI$1:$AI$600,$B127)="","",INDEX('Master Database'!$AI$1:$AI$600,$B127)))</f>
        <v>18638793212.759998</v>
      </c>
      <c r="X127" s="19" t="str">
        <f>IF($B127="","",IF(INDEX('Master Database'!$BG$1:$BG$600,$B127)="","",INDEX('Master Database'!$BG$1:$BG$600,$B127)))</f>
        <v>Y</v>
      </c>
      <c r="BA127">
        <f>IF('Master Database'!$A127="",0,IF(AND(OR($B$5="",ISNUMBER(SEARCH($B$5,'Master Database'!$B127&amp;" "&amp;'Master Database'!$D127))),OR($B$6="(All)",'Master Database'!$C127=$B$6),OR($B$7="(All)",'Master Database'!$E127=$B$7),OR($B$8="(All)",'Master Database'!$T127=$B$8),OR($B$9="(All)",'Master Database'!$M127=$B$9),OR($B$10="(All)",'Master Database'!$V127=$B$10),OR($E$5="(All)",'Master Database'!$F127=$E$5),OR($E$6="(All)",'Master Database'!$G127=$E$6),OR($E$7="(All)",'Master Database'!$O127=$E$7),OR($E$8="(All)",'Master Database'!$P127=$E$8),OR($E$9="(All)",'Master Database'!$S127=$E$9),OR($E$10="(All)",'Master Database'!$Y127&amp;""=$E$10&amp;""),OR($H$5="(All)",'Master Database'!$BG127=$H$5),OR($H$6&lt;&gt;"Y",ISNUMBER('Master Database'!$AG127)),OR($H$7="",AND(ISNUMBER('Master Database'!$H127),N('Master Database'!$H127)&gt;=$H$7)),OR($I$7="",AND(ISNUMBER('Master Database'!$H127),N('Master Database'!$H127)&lt;=$I$7)),OR($H$8="",AND(ISNUMBER('Master Database'!$I127),N('Master Database'!$I127)&gt;=$H$8)),OR($I$8="",AND(ISNUMBER('Master Database'!$I127),N('Master Database'!$I127)&lt;=$I$8)),OR($H$9="",AND(ISNUMBER('Master Database'!$K127),N('Master Database'!$K127)&gt;=$H$9)),OR($I$9="",AND(ISNUMBER('Master Database'!$K127),N('Master Database'!$K127)&lt;=$I$9))),1,0))</f>
        <v>1</v>
      </c>
      <c r="BB127">
        <f>IF(BA127=1,COUNTIF($BA$5:BA127,1),"")</f>
        <v>123</v>
      </c>
    </row>
    <row r="128" spans="1:54">
      <c r="A128" s="20">
        <f>IF(113&lt;=SUM($BA$5:$BA$600),113,"")</f>
        <v>113</v>
      </c>
      <c r="B128" s="20">
        <f t="shared" si="3"/>
        <v>117</v>
      </c>
      <c r="C128" s="20">
        <f>IF($B128="","",IF(INDEX('Master Database'!$A$1:$A$600,$B128)="","",INDEX('Master Database'!$A$1:$A$600,$B128)))</f>
        <v>113</v>
      </c>
      <c r="D128" s="19" t="str">
        <f>IF($B128="","",IF(INDEX('Master Database'!$B$1:$B$600,$B128)="","",INDEX('Master Database'!$B$1:$B$600,$B128)))</f>
        <v>Chemical Loading Pumps</v>
      </c>
      <c r="E128" s="19" t="str">
        <f>IF($B128="","",IF(INDEX('Master Database'!$C$1:$C$600,$B128)="","",INDEX('Master Database'!$C$1:$C$600,$B128)))</f>
        <v>Pazanan 2</v>
      </c>
      <c r="F128" s="19" t="str">
        <f>IF($B128="","",IF(INDEX('Master Database'!$D$1:$D$600,$B128)="","",INDEX('Master Database'!$D$1:$D$600,$B128)))</f>
        <v>P-210 A/B</v>
      </c>
      <c r="G128" s="19" t="str">
        <f>IF($B128="","",IF(INDEX('Master Database'!$E$1:$E$600,$B128)="","",INDEX('Master Database'!$E$1:$E$600,$B128)))</f>
        <v>ROT-AUX</v>
      </c>
      <c r="H128" s="19" t="str">
        <f>IF($B128="","",IF(INDEX('Master Database'!$F$1:$F$600,$B128)="","",INDEX('Master Database'!$F$1:$F$600,$B128)))</f>
        <v>N/A (non-API 610)</v>
      </c>
      <c r="I128" s="19" t="str">
        <f>IF($B128="","",IF(INDEX('Master Database'!$G$1:$G$600,$B128)="","",INDEX('Master Database'!$G$1:$G$600,$B128)))</f>
        <v>SS316L (non-API)</v>
      </c>
      <c r="J128" s="46">
        <f>IF($B128="","",IF(INDEX('Master Database'!$H$1:$H$600,$B128)="","",INDEX('Master Database'!$H$1:$H$600,$B128)))</f>
        <v>9.6</v>
      </c>
      <c r="K128" s="46" t="str">
        <f>IF($B128="","",IF(INDEX('Master Database'!$I$1:$I$600,$B128)="","",INDEX('Master Database'!$I$1:$I$600,$B128)))</f>
        <v/>
      </c>
      <c r="L128" s="46" t="str">
        <f>IF($B128="","",IF(INDEX('Master Database'!$K$1:$K$600,$B128)="","",INDEX('Master Database'!$K$1:$K$600,$B128)))</f>
        <v/>
      </c>
      <c r="M128" s="19" t="str">
        <f>IF($B128="","",IF(INDEX('Master Database'!$L$1:$L$600,$B128)="","",INDEX('Master Database'!$L$1:$L$600,$B128)))</f>
        <v>Not stated</v>
      </c>
      <c r="N128" s="19" t="str">
        <f>IF($B128="","",IF(INDEX('Master Database'!$P$1:$P$600,$B128)="","",INDEX('Master Database'!$P$1:$P$600,$B128)))</f>
        <v>Not stated</v>
      </c>
      <c r="O128" s="19" t="str">
        <f>IF($B128="","",IF(INDEX('Master Database'!$S$1:$S$600,$B128)="","",INDEX('Master Database'!$S$1:$S$600,$B128)))</f>
        <v>Portable (Air / Electric)</v>
      </c>
      <c r="P128" s="19" t="str">
        <f>IF($B128="","",IF(INDEX('Master Database'!$T$1:$T$600,$B128)="","",INDEX('Master Database'!$T$1:$T$600,$B128)))</f>
        <v>Chemical</v>
      </c>
      <c r="Q128" s="19">
        <f>IF($B128="","",IF(INDEX('Master Database'!$Y$1:$Y$600,$B128)="","",INDEX('Master Database'!$Y$1:$Y$600,$B128)))</f>
        <v>1393</v>
      </c>
      <c r="R128" s="19" t="str">
        <f>IF($B128="","",IF(INDEX('Master Database'!$Z$1:$Z$600,$B128)="","",INDEX('Master Database'!$Z$1:$Z$600,$B128)))</f>
        <v>IRR</v>
      </c>
      <c r="S128" s="47">
        <f>IF($B128="","",IF(INDEX('Master Database'!$AA$1:$AA$600,$B128)="","",INDEX('Master Database'!$AA$1:$AA$600,$B128)))</f>
        <v>100000000</v>
      </c>
      <c r="T128" s="19" t="str">
        <f>IF($B128="","",IF(INDEX('Master Database'!$AE$1:$AE$600,$B128)="","",INDEX('Master Database'!$AE$1:$AE$600,$B128)))</f>
        <v>Consultant basic MTO estimate R02 (Feb 2015), PC-ME sheet PUMPS col. AQ (IRR) – no 1404 quotation received (all vendors declined)</v>
      </c>
      <c r="U128" s="47">
        <f>IF($B128="","",IF(INDEX('Master Database'!$AG$1:$AG$600,$B128)="","",INDEX('Master Database'!$AG$1:$AG$600,$B128)))</f>
        <v>3333.4350812155021</v>
      </c>
      <c r="V128" s="47">
        <f>IF($B128="","",IF(INDEX('Master Database'!$AH$1:$AH$600,$B128)="","",INDEX('Master Database'!$AH$1:$AH$600,$B128)))</f>
        <v>3519.3843619781237</v>
      </c>
      <c r="W128" s="47">
        <f>IF($B128="","",IF(INDEX('Master Database'!$AI$1:$AI$600,$B128)="","",INDEX('Master Database'!$AI$1:$AI$600,$B128)))</f>
        <v>2317630742.0465398</v>
      </c>
      <c r="X128" s="19" t="str">
        <f>IF($B128="","",IF(INDEX('Master Database'!$BG$1:$BG$600,$B128)="","",INDEX('Master Database'!$BG$1:$BG$600,$B128)))</f>
        <v>Y</v>
      </c>
      <c r="BA128">
        <f>IF('Master Database'!$A128="",0,IF(AND(OR($B$5="",ISNUMBER(SEARCH($B$5,'Master Database'!$B128&amp;" "&amp;'Master Database'!$D128))),OR($B$6="(All)",'Master Database'!$C128=$B$6),OR($B$7="(All)",'Master Database'!$E128=$B$7),OR($B$8="(All)",'Master Database'!$T128=$B$8),OR($B$9="(All)",'Master Database'!$M128=$B$9),OR($B$10="(All)",'Master Database'!$V128=$B$10),OR($E$5="(All)",'Master Database'!$F128=$E$5),OR($E$6="(All)",'Master Database'!$G128=$E$6),OR($E$7="(All)",'Master Database'!$O128=$E$7),OR($E$8="(All)",'Master Database'!$P128=$E$8),OR($E$9="(All)",'Master Database'!$S128=$E$9),OR($E$10="(All)",'Master Database'!$Y128&amp;""=$E$10&amp;""),OR($H$5="(All)",'Master Database'!$BG128=$H$5),OR($H$6&lt;&gt;"Y",ISNUMBER('Master Database'!$AG128)),OR($H$7="",AND(ISNUMBER('Master Database'!$H128),N('Master Database'!$H128)&gt;=$H$7)),OR($I$7="",AND(ISNUMBER('Master Database'!$H128),N('Master Database'!$H128)&lt;=$I$7)),OR($H$8="",AND(ISNUMBER('Master Database'!$I128),N('Master Database'!$I128)&gt;=$H$8)),OR($I$8="",AND(ISNUMBER('Master Database'!$I128),N('Master Database'!$I128)&lt;=$I$8)),OR($H$9="",AND(ISNUMBER('Master Database'!$K128),N('Master Database'!$K128)&gt;=$H$9)),OR($I$9="",AND(ISNUMBER('Master Database'!$K128),N('Master Database'!$K128)&lt;=$I$9))),1,0))</f>
        <v>1</v>
      </c>
      <c r="BB128">
        <f>IF(BA128=1,COUNTIF($BA$5:BA128,1),"")</f>
        <v>124</v>
      </c>
    </row>
    <row r="129" spans="1:54">
      <c r="A129" s="20">
        <f>IF(114&lt;=SUM($BA$5:$BA$600),114,"")</f>
        <v>114</v>
      </c>
      <c r="B129" s="20">
        <f t="shared" si="3"/>
        <v>118</v>
      </c>
      <c r="C129" s="20">
        <f>IF($B129="","",IF(INDEX('Master Database'!$A$1:$A$600,$B129)="","",INDEX('Master Database'!$A$1:$A$600,$B129)))</f>
        <v>114</v>
      </c>
      <c r="D129" s="19" t="str">
        <f>IF($B129="","",IF(INDEX('Master Database'!$B$1:$B$600,$B129)="","",INDEX('Master Database'!$B$1:$B$600,$B129)))</f>
        <v>Chemical Loading Pumps</v>
      </c>
      <c r="E129" s="19" t="str">
        <f>IF($B129="","",IF(INDEX('Master Database'!$C$1:$C$600,$B129)="","",INDEX('Master Database'!$C$1:$C$600,$B129)))</f>
        <v>Pazanan 2</v>
      </c>
      <c r="F129" s="19" t="str">
        <f>IF($B129="","",IF(INDEX('Master Database'!$D$1:$D$600,$B129)="","",INDEX('Master Database'!$D$1:$D$600,$B129)))</f>
        <v>P-211</v>
      </c>
      <c r="G129" s="19" t="str">
        <f>IF($B129="","",IF(INDEX('Master Database'!$E$1:$E$600,$B129)="","",INDEX('Master Database'!$E$1:$E$600,$B129)))</f>
        <v>ROT-AUX</v>
      </c>
      <c r="H129" s="19" t="str">
        <f>IF($B129="","",IF(INDEX('Master Database'!$F$1:$F$600,$B129)="","",INDEX('Master Database'!$F$1:$F$600,$B129)))</f>
        <v>N/A (non-API 610)</v>
      </c>
      <c r="I129" s="19" t="str">
        <f>IF($B129="","",IF(INDEX('Master Database'!$G$1:$G$600,$B129)="","",INDEX('Master Database'!$G$1:$G$600,$B129)))</f>
        <v>SS316L (non-API)</v>
      </c>
      <c r="J129" s="46">
        <f>IF($B129="","",IF(INDEX('Master Database'!$H$1:$H$600,$B129)="","",INDEX('Master Database'!$H$1:$H$600,$B129)))</f>
        <v>9.6</v>
      </c>
      <c r="K129" s="46" t="str">
        <f>IF($B129="","",IF(INDEX('Master Database'!$I$1:$I$600,$B129)="","",INDEX('Master Database'!$I$1:$I$600,$B129)))</f>
        <v/>
      </c>
      <c r="L129" s="46" t="str">
        <f>IF($B129="","",IF(INDEX('Master Database'!$K$1:$K$600,$B129)="","",INDEX('Master Database'!$K$1:$K$600,$B129)))</f>
        <v/>
      </c>
      <c r="M129" s="19" t="str">
        <f>IF($B129="","",IF(INDEX('Master Database'!$L$1:$L$600,$B129)="","",INDEX('Master Database'!$L$1:$L$600,$B129)))</f>
        <v>Not stated</v>
      </c>
      <c r="N129" s="19" t="str">
        <f>IF($B129="","",IF(INDEX('Master Database'!$P$1:$P$600,$B129)="","",INDEX('Master Database'!$P$1:$P$600,$B129)))</f>
        <v>Not stated</v>
      </c>
      <c r="O129" s="19" t="str">
        <f>IF($B129="","",IF(INDEX('Master Database'!$S$1:$S$600,$B129)="","",INDEX('Master Database'!$S$1:$S$600,$B129)))</f>
        <v>Portable (Air / Electric)</v>
      </c>
      <c r="P129" s="19" t="str">
        <f>IF($B129="","",IF(INDEX('Master Database'!$T$1:$T$600,$B129)="","",INDEX('Master Database'!$T$1:$T$600,$B129)))</f>
        <v>Chemical</v>
      </c>
      <c r="Q129" s="19">
        <f>IF($B129="","",IF(INDEX('Master Database'!$Y$1:$Y$600,$B129)="","",INDEX('Master Database'!$Y$1:$Y$600,$B129)))</f>
        <v>1393</v>
      </c>
      <c r="R129" s="19" t="str">
        <f>IF($B129="","",IF(INDEX('Master Database'!$Z$1:$Z$600,$B129)="","",INDEX('Master Database'!$Z$1:$Z$600,$B129)))</f>
        <v>IRR</v>
      </c>
      <c r="S129" s="47">
        <f>IF($B129="","",IF(INDEX('Master Database'!$AA$1:$AA$600,$B129)="","",INDEX('Master Database'!$AA$1:$AA$600,$B129)))</f>
        <v>100000000</v>
      </c>
      <c r="T129" s="19" t="str">
        <f>IF($B129="","",IF(INDEX('Master Database'!$AE$1:$AE$600,$B129)="","",INDEX('Master Database'!$AE$1:$AE$600,$B129)))</f>
        <v>Consultant basic MTO estimate R02 (Feb 2015), PC-ME sheet PUMPS col. AQ (IRR) – no 1404 quotation received (all vendors declined)</v>
      </c>
      <c r="U129" s="47">
        <f>IF($B129="","",IF(INDEX('Master Database'!$AG$1:$AG$600,$B129)="","",INDEX('Master Database'!$AG$1:$AG$600,$B129)))</f>
        <v>3333.4350812155021</v>
      </c>
      <c r="V129" s="47">
        <f>IF($B129="","",IF(INDEX('Master Database'!$AH$1:$AH$600,$B129)="","",INDEX('Master Database'!$AH$1:$AH$600,$B129)))</f>
        <v>3519.3843619781237</v>
      </c>
      <c r="W129" s="47">
        <f>IF($B129="","",IF(INDEX('Master Database'!$AI$1:$AI$600,$B129)="","",INDEX('Master Database'!$AI$1:$AI$600,$B129)))</f>
        <v>2317630742.0465398</v>
      </c>
      <c r="X129" s="19" t="str">
        <f>IF($B129="","",IF(INDEX('Master Database'!$BG$1:$BG$600,$B129)="","",INDEX('Master Database'!$BG$1:$BG$600,$B129)))</f>
        <v>Y</v>
      </c>
      <c r="BA129">
        <f>IF('Master Database'!$A129="",0,IF(AND(OR($B$5="",ISNUMBER(SEARCH($B$5,'Master Database'!$B129&amp;" "&amp;'Master Database'!$D129))),OR($B$6="(All)",'Master Database'!$C129=$B$6),OR($B$7="(All)",'Master Database'!$E129=$B$7),OR($B$8="(All)",'Master Database'!$T129=$B$8),OR($B$9="(All)",'Master Database'!$M129=$B$9),OR($B$10="(All)",'Master Database'!$V129=$B$10),OR($E$5="(All)",'Master Database'!$F129=$E$5),OR($E$6="(All)",'Master Database'!$G129=$E$6),OR($E$7="(All)",'Master Database'!$O129=$E$7),OR($E$8="(All)",'Master Database'!$P129=$E$8),OR($E$9="(All)",'Master Database'!$S129=$E$9),OR($E$10="(All)",'Master Database'!$Y129&amp;""=$E$10&amp;""),OR($H$5="(All)",'Master Database'!$BG129=$H$5),OR($H$6&lt;&gt;"Y",ISNUMBER('Master Database'!$AG129)),OR($H$7="",AND(ISNUMBER('Master Database'!$H129),N('Master Database'!$H129)&gt;=$H$7)),OR($I$7="",AND(ISNUMBER('Master Database'!$H129),N('Master Database'!$H129)&lt;=$I$7)),OR($H$8="",AND(ISNUMBER('Master Database'!$I129),N('Master Database'!$I129)&gt;=$H$8)),OR($I$8="",AND(ISNUMBER('Master Database'!$I129),N('Master Database'!$I129)&lt;=$I$8)),OR($H$9="",AND(ISNUMBER('Master Database'!$K129),N('Master Database'!$K129)&gt;=$H$9)),OR($I$9="",AND(ISNUMBER('Master Database'!$K129),N('Master Database'!$K129)&lt;=$I$9))),1,0))</f>
        <v>1</v>
      </c>
      <c r="BB129">
        <f>IF(BA129=1,COUNTIF($BA$5:BA129,1),"")</f>
        <v>125</v>
      </c>
    </row>
    <row r="130" spans="1:54">
      <c r="A130" s="20">
        <f>IF(115&lt;=SUM($BA$5:$BA$600),115,"")</f>
        <v>115</v>
      </c>
      <c r="B130" s="20">
        <f t="shared" si="3"/>
        <v>119</v>
      </c>
      <c r="C130" s="20">
        <f>IF($B130="","",IF(INDEX('Master Database'!$A$1:$A$600,$B130)="","",INDEX('Master Database'!$A$1:$A$600,$B130)))</f>
        <v>115</v>
      </c>
      <c r="D130" s="19" t="str">
        <f>IF($B130="","",IF(INDEX('Master Database'!$B$1:$B$600,$B130)="","",INDEX('Master Database'!$B$1:$B$600,$B130)))</f>
        <v>2nd Stage  Separators Oil Pumps</v>
      </c>
      <c r="E130" s="19" t="str">
        <f>IF($B130="","",IF(INDEX('Master Database'!$C$1:$C$600,$B130)="","",INDEX('Master Database'!$C$1:$C$600,$B130)))</f>
        <v>(نام پروژه در فایل قید نشده است) – نمونه قیمتی نمک زدایی (PUMPS.csv)</v>
      </c>
      <c r="F130" s="19" t="str">
        <f>IF($B130="","",IF(INDEX('Master Database'!$D$1:$D$600,$B130)="","",INDEX('Master Database'!$D$1:$D$600,$B130)))</f>
        <v>(Not stated in source document)</v>
      </c>
      <c r="G130" s="19" t="str">
        <f>IF($B130="","",IF(INDEX('Master Database'!$E$1:$E$600,$B130)="","",INDEX('Master Database'!$E$1:$E$600,$B130)))</f>
        <v>ROT-CRU</v>
      </c>
      <c r="H130" s="19" t="str">
        <f>IF($B130="","",IF(INDEX('Master Database'!$F$1:$F$600,$B130)="","",INDEX('Master Database'!$F$1:$F$600,$B130)))</f>
        <v>Not stated</v>
      </c>
      <c r="I130" s="19" t="str">
        <f>IF($B130="","",IF(INDEX('Master Database'!$G$1:$G$600,$B130)="","",INDEX('Master Database'!$G$1:$G$600,$B130)))</f>
        <v>Not stated</v>
      </c>
      <c r="J130" s="46" t="str">
        <f>IF($B130="","",IF(INDEX('Master Database'!$H$1:$H$600,$B130)="","",INDEX('Master Database'!$H$1:$H$600,$B130)))</f>
        <v/>
      </c>
      <c r="K130" s="46">
        <f>IF($B130="","",IF(INDEX('Master Database'!$I$1:$I$600,$B130)="","",INDEX('Master Database'!$I$1:$I$600,$B130)))</f>
        <v>95.8</v>
      </c>
      <c r="L130" s="46">
        <f>IF($B130="","",IF(INDEX('Master Database'!$K$1:$K$600,$B130)="","",INDEX('Master Database'!$K$1:$K$600,$B130)))</f>
        <v>54.3</v>
      </c>
      <c r="M130" s="19" t="str">
        <f>IF($B130="","",IF(INDEX('Master Database'!$L$1:$L$600,$B130)="","",INDEX('Master Database'!$L$1:$L$600,$B130)))</f>
        <v>Not stated</v>
      </c>
      <c r="N130" s="19" t="str">
        <f>IF($B130="","",IF(INDEX('Master Database'!$P$1:$P$600,$B130)="","",INDEX('Master Database'!$P$1:$P$600,$B130)))</f>
        <v>Not stated</v>
      </c>
      <c r="O130" s="19" t="str">
        <f>IF($B130="","",IF(INDEX('Master Database'!$S$1:$S$600,$B130)="","",INDEX('Master Database'!$S$1:$S$600,$B130)))</f>
        <v>Electric Motor</v>
      </c>
      <c r="P130" s="19" t="str">
        <f>IF($B130="","",IF(INDEX('Master Database'!$T$1:$T$600,$B130)="","",INDEX('Master Database'!$T$1:$T$600,$B130)))</f>
        <v>Crude Oil</v>
      </c>
      <c r="Q130" s="19" t="str">
        <f>IF($B130="","",IF(INDEX('Master Database'!$Y$1:$Y$600,$B130)="","",INDEX('Master Database'!$Y$1:$Y$600,$B130)))</f>
        <v>(Not stated)</v>
      </c>
      <c r="R130" s="19" t="str">
        <f>IF($B130="","",IF(INDEX('Master Database'!$Z$1:$Z$600,$B130)="","",INDEX('Master Database'!$Z$1:$Z$600,$B130)))</f>
        <v>USD</v>
      </c>
      <c r="S130" s="47">
        <f>IF($B130="","",IF(INDEX('Master Database'!$AA$1:$AA$600,$B130)="","",INDEX('Master Database'!$AA$1:$AA$600,$B130)))</f>
        <v>580000</v>
      </c>
      <c r="T130" s="19" t="str">
        <f>IF($B130="","",IF(INDEX('Master Database'!$AE$1:$AE$600,$B130)="","",INDEX('Master Database'!$AE$1:$AE$600,$B130)))</f>
        <v>Price (USD) – «نمونه قیمتی نمک‌زدایی» sheet PUMPS; project and year not stated</v>
      </c>
      <c r="U130" s="47" t="str">
        <f>IF($B130="","",IF(INDEX('Master Database'!$AG$1:$AG$600,$B130)="","",INDEX('Master Database'!$AG$1:$AG$600,$B130)))</f>
        <v>(PPI/FX missing)</v>
      </c>
      <c r="V130" s="47" t="str">
        <f>IF($B130="","",IF(INDEX('Master Database'!$AH$1:$AH$600,$B130)="","",INDEX('Master Database'!$AH$1:$AH$600,$B130)))</f>
        <v/>
      </c>
      <c r="W130" s="47" t="str">
        <f>IF($B130="","",IF(INDEX('Master Database'!$AI$1:$AI$600,$B130)="","",INDEX('Master Database'!$AI$1:$AI$600,$B130)))</f>
        <v/>
      </c>
      <c r="X130" s="19" t="str">
        <f>IF($B130="","",IF(INDEX('Master Database'!$BG$1:$BG$600,$B130)="","",INDEX('Master Database'!$BG$1:$BG$600,$B130)))</f>
        <v>Y</v>
      </c>
      <c r="BA130">
        <f>IF('Master Database'!$A130="",0,IF(AND(OR($B$5="",ISNUMBER(SEARCH($B$5,'Master Database'!$B130&amp;" "&amp;'Master Database'!$D130))),OR($B$6="(All)",'Master Database'!$C130=$B$6),OR($B$7="(All)",'Master Database'!$E130=$B$7),OR($B$8="(All)",'Master Database'!$T130=$B$8),OR($B$9="(All)",'Master Database'!$M130=$B$9),OR($B$10="(All)",'Master Database'!$V130=$B$10),OR($E$5="(All)",'Master Database'!$F130=$E$5),OR($E$6="(All)",'Master Database'!$G130=$E$6),OR($E$7="(All)",'Master Database'!$O130=$E$7),OR($E$8="(All)",'Master Database'!$P130=$E$8),OR($E$9="(All)",'Master Database'!$S130=$E$9),OR($E$10="(All)",'Master Database'!$Y130&amp;""=$E$10&amp;""),OR($H$5="(All)",'Master Database'!$BG130=$H$5),OR($H$6&lt;&gt;"Y",ISNUMBER('Master Database'!$AG130)),OR($H$7="",AND(ISNUMBER('Master Database'!$H130),N('Master Database'!$H130)&gt;=$H$7)),OR($I$7="",AND(ISNUMBER('Master Database'!$H130),N('Master Database'!$H130)&lt;=$I$7)),OR($H$8="",AND(ISNUMBER('Master Database'!$I130),N('Master Database'!$I130)&gt;=$H$8)),OR($I$8="",AND(ISNUMBER('Master Database'!$I130),N('Master Database'!$I130)&lt;=$I$8)),OR($H$9="",AND(ISNUMBER('Master Database'!$K130),N('Master Database'!$K130)&gt;=$H$9)),OR($I$9="",AND(ISNUMBER('Master Database'!$K130),N('Master Database'!$K130)&lt;=$I$9))),1,0))</f>
        <v>1</v>
      </c>
      <c r="BB130">
        <f>IF(BA130=1,COUNTIF($BA$5:BA130,1),"")</f>
        <v>126</v>
      </c>
    </row>
    <row r="131" spans="1:54">
      <c r="A131" s="20">
        <f>IF(116&lt;=SUM($BA$5:$BA$600),116,"")</f>
        <v>116</v>
      </c>
      <c r="B131" s="20">
        <f t="shared" si="3"/>
        <v>120</v>
      </c>
      <c r="C131" s="20">
        <f>IF($B131="","",IF(INDEX('Master Database'!$A$1:$A$600,$B131)="","",INDEX('Master Database'!$A$1:$A$600,$B131)))</f>
        <v>116</v>
      </c>
      <c r="D131" s="19" t="str">
        <f>IF($B131="","",IF(INDEX('Master Database'!$B$1:$B$600,$B131)="","",INDEX('Master Database'!$B$1:$B$600,$B131)))</f>
        <v>3rd Stage  Separators Oil Pumps</v>
      </c>
      <c r="E131" s="19" t="str">
        <f>IF($B131="","",IF(INDEX('Master Database'!$C$1:$C$600,$B131)="","",INDEX('Master Database'!$C$1:$C$600,$B131)))</f>
        <v>(نام پروژه در فایل قید نشده است) – نمونه قیمتی نمک زدایی (PUMPS.csv)</v>
      </c>
      <c r="F131" s="19" t="str">
        <f>IF($B131="","",IF(INDEX('Master Database'!$D$1:$D$600,$B131)="","",INDEX('Master Database'!$D$1:$D$600,$B131)))</f>
        <v>(Not stated in source document)</v>
      </c>
      <c r="G131" s="19" t="str">
        <f>IF($B131="","",IF(INDEX('Master Database'!$E$1:$E$600,$B131)="","",INDEX('Master Database'!$E$1:$E$600,$B131)))</f>
        <v>ROT-CRU</v>
      </c>
      <c r="H131" s="19" t="str">
        <f>IF($B131="","",IF(INDEX('Master Database'!$F$1:$F$600,$B131)="","",INDEX('Master Database'!$F$1:$F$600,$B131)))</f>
        <v>Not stated</v>
      </c>
      <c r="I131" s="19" t="str">
        <f>IF($B131="","",IF(INDEX('Master Database'!$G$1:$G$600,$B131)="","",INDEX('Master Database'!$G$1:$G$600,$B131)))</f>
        <v>Not stated</v>
      </c>
      <c r="J131" s="46" t="str">
        <f>IF($B131="","",IF(INDEX('Master Database'!$H$1:$H$600,$B131)="","",INDEX('Master Database'!$H$1:$H$600,$B131)))</f>
        <v/>
      </c>
      <c r="K131" s="46">
        <f>IF($B131="","",IF(INDEX('Master Database'!$I$1:$I$600,$B131)="","",INDEX('Master Database'!$I$1:$I$600,$B131)))</f>
        <v>59.85</v>
      </c>
      <c r="L131" s="46">
        <f>IF($B131="","",IF(INDEX('Master Database'!$K$1:$K$600,$B131)="","",INDEX('Master Database'!$K$1:$K$600,$B131)))</f>
        <v>33.119999999999997</v>
      </c>
      <c r="M131" s="19" t="str">
        <f>IF($B131="","",IF(INDEX('Master Database'!$L$1:$L$600,$B131)="","",INDEX('Master Database'!$L$1:$L$600,$B131)))</f>
        <v>Not stated</v>
      </c>
      <c r="N131" s="19" t="str">
        <f>IF($B131="","",IF(INDEX('Master Database'!$P$1:$P$600,$B131)="","",INDEX('Master Database'!$P$1:$P$600,$B131)))</f>
        <v>Not stated</v>
      </c>
      <c r="O131" s="19" t="str">
        <f>IF($B131="","",IF(INDEX('Master Database'!$S$1:$S$600,$B131)="","",INDEX('Master Database'!$S$1:$S$600,$B131)))</f>
        <v>Electric Motor</v>
      </c>
      <c r="P131" s="19" t="str">
        <f>IF($B131="","",IF(INDEX('Master Database'!$T$1:$T$600,$B131)="","",INDEX('Master Database'!$T$1:$T$600,$B131)))</f>
        <v>Crude Oil</v>
      </c>
      <c r="Q131" s="19" t="str">
        <f>IF($B131="","",IF(INDEX('Master Database'!$Y$1:$Y$600,$B131)="","",INDEX('Master Database'!$Y$1:$Y$600,$B131)))</f>
        <v>(Not stated)</v>
      </c>
      <c r="R131" s="19" t="str">
        <f>IF($B131="","",IF(INDEX('Master Database'!$Z$1:$Z$600,$B131)="","",INDEX('Master Database'!$Z$1:$Z$600,$B131)))</f>
        <v>USD</v>
      </c>
      <c r="S131" s="47">
        <f>IF($B131="","",IF(INDEX('Master Database'!$AA$1:$AA$600,$B131)="","",INDEX('Master Database'!$AA$1:$AA$600,$B131)))</f>
        <v>380000</v>
      </c>
      <c r="T131" s="19" t="str">
        <f>IF($B131="","",IF(INDEX('Master Database'!$AE$1:$AE$600,$B131)="","",INDEX('Master Database'!$AE$1:$AE$600,$B131)))</f>
        <v>Price (USD) – «نمونه قیمتی نمک‌زدایی» sheet PUMPS; project and year not stated</v>
      </c>
      <c r="U131" s="47" t="str">
        <f>IF($B131="","",IF(INDEX('Master Database'!$AG$1:$AG$600,$B131)="","",INDEX('Master Database'!$AG$1:$AG$600,$B131)))</f>
        <v>(PPI/FX missing)</v>
      </c>
      <c r="V131" s="47" t="str">
        <f>IF($B131="","",IF(INDEX('Master Database'!$AH$1:$AH$600,$B131)="","",INDEX('Master Database'!$AH$1:$AH$600,$B131)))</f>
        <v/>
      </c>
      <c r="W131" s="47" t="str">
        <f>IF($B131="","",IF(INDEX('Master Database'!$AI$1:$AI$600,$B131)="","",INDEX('Master Database'!$AI$1:$AI$600,$B131)))</f>
        <v/>
      </c>
      <c r="X131" s="19" t="str">
        <f>IF($B131="","",IF(INDEX('Master Database'!$BG$1:$BG$600,$B131)="","",INDEX('Master Database'!$BG$1:$BG$600,$B131)))</f>
        <v>Y</v>
      </c>
      <c r="BA131">
        <f>IF('Master Database'!$A131="",0,IF(AND(OR($B$5="",ISNUMBER(SEARCH($B$5,'Master Database'!$B131&amp;" "&amp;'Master Database'!$D131))),OR($B$6="(All)",'Master Database'!$C131=$B$6),OR($B$7="(All)",'Master Database'!$E131=$B$7),OR($B$8="(All)",'Master Database'!$T131=$B$8),OR($B$9="(All)",'Master Database'!$M131=$B$9),OR($B$10="(All)",'Master Database'!$V131=$B$10),OR($E$5="(All)",'Master Database'!$F131=$E$5),OR($E$6="(All)",'Master Database'!$G131=$E$6),OR($E$7="(All)",'Master Database'!$O131=$E$7),OR($E$8="(All)",'Master Database'!$P131=$E$8),OR($E$9="(All)",'Master Database'!$S131=$E$9),OR($E$10="(All)",'Master Database'!$Y131&amp;""=$E$10&amp;""),OR($H$5="(All)",'Master Database'!$BG131=$H$5),OR($H$6&lt;&gt;"Y",ISNUMBER('Master Database'!$AG131)),OR($H$7="",AND(ISNUMBER('Master Database'!$H131),N('Master Database'!$H131)&gt;=$H$7)),OR($I$7="",AND(ISNUMBER('Master Database'!$H131),N('Master Database'!$H131)&lt;=$I$7)),OR($H$8="",AND(ISNUMBER('Master Database'!$I131),N('Master Database'!$I131)&gt;=$H$8)),OR($I$8="",AND(ISNUMBER('Master Database'!$I131),N('Master Database'!$I131)&lt;=$I$8)),OR($H$9="",AND(ISNUMBER('Master Database'!$K131),N('Master Database'!$K131)&gt;=$H$9)),OR($I$9="",AND(ISNUMBER('Master Database'!$K131),N('Master Database'!$K131)&lt;=$I$9))),1,0))</f>
        <v>1</v>
      </c>
      <c r="BB131">
        <f>IF(BA131=1,COUNTIF($BA$5:BA131,1),"")</f>
        <v>127</v>
      </c>
    </row>
    <row r="132" spans="1:54">
      <c r="A132" s="20">
        <f>IF(117&lt;=SUM($BA$5:$BA$600),117,"")</f>
        <v>117</v>
      </c>
      <c r="B132" s="20">
        <f t="shared" si="3"/>
        <v>121</v>
      </c>
      <c r="C132" s="20">
        <f>IF($B132="","",IF(INDEX('Master Database'!$A$1:$A$600,$B132)="","",INDEX('Master Database'!$A$1:$A$600,$B132)))</f>
        <v>117</v>
      </c>
      <c r="D132" s="19" t="str">
        <f>IF($B132="","",IF(INDEX('Master Database'!$B$1:$B$600,$B132)="","",INDEX('Master Database'!$B$1:$B$600,$B132)))</f>
        <v>Stabilized Oil Pump</v>
      </c>
      <c r="E132" s="19" t="str">
        <f>IF($B132="","",IF(INDEX('Master Database'!$C$1:$C$600,$B132)="","",INDEX('Master Database'!$C$1:$C$600,$B132)))</f>
        <v>(نام پروژه در فایل قید نشده است) – نمونه قیمتی نمک زدایی (PUMPS.csv)</v>
      </c>
      <c r="F132" s="19" t="str">
        <f>IF($B132="","",IF(INDEX('Master Database'!$D$1:$D$600,$B132)="","",INDEX('Master Database'!$D$1:$D$600,$B132)))</f>
        <v>(Not stated in source document)</v>
      </c>
      <c r="G132" s="19" t="str">
        <f>IF($B132="","",IF(INDEX('Master Database'!$E$1:$E$600,$B132)="","",INDEX('Master Database'!$E$1:$E$600,$B132)))</f>
        <v>ROT-CRU</v>
      </c>
      <c r="H132" s="19" t="str">
        <f>IF($B132="","",IF(INDEX('Master Database'!$F$1:$F$600,$B132)="","",INDEX('Master Database'!$F$1:$F$600,$B132)))</f>
        <v>Not stated</v>
      </c>
      <c r="I132" s="19" t="str">
        <f>IF($B132="","",IF(INDEX('Master Database'!$G$1:$G$600,$B132)="","",INDEX('Master Database'!$G$1:$G$600,$B132)))</f>
        <v>Not stated</v>
      </c>
      <c r="J132" s="46" t="str">
        <f>IF($B132="","",IF(INDEX('Master Database'!$H$1:$H$600,$B132)="","",INDEX('Master Database'!$H$1:$H$600,$B132)))</f>
        <v/>
      </c>
      <c r="K132" s="46">
        <f>IF($B132="","",IF(INDEX('Master Database'!$I$1:$I$600,$B132)="","",INDEX('Master Database'!$I$1:$I$600,$B132)))</f>
        <v>34.75</v>
      </c>
      <c r="L132" s="46">
        <f>IF($B132="","",IF(INDEX('Master Database'!$K$1:$K$600,$B132)="","",INDEX('Master Database'!$K$1:$K$600,$B132)))</f>
        <v>57.35</v>
      </c>
      <c r="M132" s="19" t="str">
        <f>IF($B132="","",IF(INDEX('Master Database'!$L$1:$L$600,$B132)="","",INDEX('Master Database'!$L$1:$L$600,$B132)))</f>
        <v>Not stated</v>
      </c>
      <c r="N132" s="19" t="str">
        <f>IF($B132="","",IF(INDEX('Master Database'!$P$1:$P$600,$B132)="","",INDEX('Master Database'!$P$1:$P$600,$B132)))</f>
        <v>Not stated</v>
      </c>
      <c r="O132" s="19" t="str">
        <f>IF($B132="","",IF(INDEX('Master Database'!$S$1:$S$600,$B132)="","",INDEX('Master Database'!$S$1:$S$600,$B132)))</f>
        <v>Electric Motor</v>
      </c>
      <c r="P132" s="19" t="str">
        <f>IF($B132="","",IF(INDEX('Master Database'!$T$1:$T$600,$B132)="","",INDEX('Master Database'!$T$1:$T$600,$B132)))</f>
        <v>Crude Oil</v>
      </c>
      <c r="Q132" s="19" t="str">
        <f>IF($B132="","",IF(INDEX('Master Database'!$Y$1:$Y$600,$B132)="","",INDEX('Master Database'!$Y$1:$Y$600,$B132)))</f>
        <v>(Not stated)</v>
      </c>
      <c r="R132" s="19" t="str">
        <f>IF($B132="","",IF(INDEX('Master Database'!$Z$1:$Z$600,$B132)="","",INDEX('Master Database'!$Z$1:$Z$600,$B132)))</f>
        <v>USD</v>
      </c>
      <c r="S132" s="47">
        <f>IF($B132="","",IF(INDEX('Master Database'!$AA$1:$AA$600,$B132)="","",INDEX('Master Database'!$AA$1:$AA$600,$B132)))</f>
        <v>250000</v>
      </c>
      <c r="T132" s="19" t="str">
        <f>IF($B132="","",IF(INDEX('Master Database'!$AE$1:$AE$600,$B132)="","",INDEX('Master Database'!$AE$1:$AE$600,$B132)))</f>
        <v>Price (USD) – «نمونه قیمتی نمک‌زدایی» sheet PUMPS; project and year not stated</v>
      </c>
      <c r="U132" s="47" t="str">
        <f>IF($B132="","",IF(INDEX('Master Database'!$AG$1:$AG$600,$B132)="","",INDEX('Master Database'!$AG$1:$AG$600,$B132)))</f>
        <v>(PPI/FX missing)</v>
      </c>
      <c r="V132" s="47" t="str">
        <f>IF($B132="","",IF(INDEX('Master Database'!$AH$1:$AH$600,$B132)="","",INDEX('Master Database'!$AH$1:$AH$600,$B132)))</f>
        <v/>
      </c>
      <c r="W132" s="47" t="str">
        <f>IF($B132="","",IF(INDEX('Master Database'!$AI$1:$AI$600,$B132)="","",INDEX('Master Database'!$AI$1:$AI$600,$B132)))</f>
        <v/>
      </c>
      <c r="X132" s="19" t="str">
        <f>IF($B132="","",IF(INDEX('Master Database'!$BG$1:$BG$600,$B132)="","",INDEX('Master Database'!$BG$1:$BG$600,$B132)))</f>
        <v>Y</v>
      </c>
      <c r="BA132">
        <f>IF('Master Database'!$A132="",0,IF(AND(OR($B$5="",ISNUMBER(SEARCH($B$5,'Master Database'!$B132&amp;" "&amp;'Master Database'!$D132))),OR($B$6="(All)",'Master Database'!$C132=$B$6),OR($B$7="(All)",'Master Database'!$E132=$B$7),OR($B$8="(All)",'Master Database'!$T132=$B$8),OR($B$9="(All)",'Master Database'!$M132=$B$9),OR($B$10="(All)",'Master Database'!$V132=$B$10),OR($E$5="(All)",'Master Database'!$F132=$E$5),OR($E$6="(All)",'Master Database'!$G132=$E$6),OR($E$7="(All)",'Master Database'!$O132=$E$7),OR($E$8="(All)",'Master Database'!$P132=$E$8),OR($E$9="(All)",'Master Database'!$S132=$E$9),OR($E$10="(All)",'Master Database'!$Y132&amp;""=$E$10&amp;""),OR($H$5="(All)",'Master Database'!$BG132=$H$5),OR($H$6&lt;&gt;"Y",ISNUMBER('Master Database'!$AG132)),OR($H$7="",AND(ISNUMBER('Master Database'!$H132),N('Master Database'!$H132)&gt;=$H$7)),OR($I$7="",AND(ISNUMBER('Master Database'!$H132),N('Master Database'!$H132)&lt;=$I$7)),OR($H$8="",AND(ISNUMBER('Master Database'!$I132),N('Master Database'!$I132)&gt;=$H$8)),OR($I$8="",AND(ISNUMBER('Master Database'!$I132),N('Master Database'!$I132)&lt;=$I$8)),OR($H$9="",AND(ISNUMBER('Master Database'!$K132),N('Master Database'!$K132)&gt;=$H$9)),OR($I$9="",AND(ISNUMBER('Master Database'!$K132),N('Master Database'!$K132)&lt;=$I$9))),1,0))</f>
        <v>1</v>
      </c>
      <c r="BB132">
        <f>IF(BA132=1,COUNTIF($BA$5:BA132,1),"")</f>
        <v>128</v>
      </c>
    </row>
    <row r="133" spans="1:54">
      <c r="A133" s="20">
        <f>IF(118&lt;=SUM($BA$5:$BA$600),118,"")</f>
        <v>118</v>
      </c>
      <c r="B133" s="20">
        <f t="shared" si="3"/>
        <v>122</v>
      </c>
      <c r="C133" s="20">
        <f>IF($B133="","",IF(INDEX('Master Database'!$A$1:$A$600,$B133)="","",INDEX('Master Database'!$A$1:$A$600,$B133)))</f>
        <v>118</v>
      </c>
      <c r="D133" s="19" t="str">
        <f>IF($B133="","",IF(INDEX('Master Database'!$B$1:$B$600,$B133)="","",INDEX('Master Database'!$B$1:$B$600,$B133)))</f>
        <v>Product Oil Pump</v>
      </c>
      <c r="E133" s="19" t="str">
        <f>IF($B133="","",IF(INDEX('Master Database'!$C$1:$C$600,$B133)="","",INDEX('Master Database'!$C$1:$C$600,$B133)))</f>
        <v>(نام پروژه در فایل قید نشده است) – نمونه قیمتی نمک زدایی (PUMPS.csv)</v>
      </c>
      <c r="F133" s="19" t="str">
        <f>IF($B133="","",IF(INDEX('Master Database'!$D$1:$D$600,$B133)="","",INDEX('Master Database'!$D$1:$D$600,$B133)))</f>
        <v>(Not stated in source document)</v>
      </c>
      <c r="G133" s="19" t="str">
        <f>IF($B133="","",IF(INDEX('Master Database'!$E$1:$E$600,$B133)="","",INDEX('Master Database'!$E$1:$E$600,$B133)))</f>
        <v>ROT-CRU</v>
      </c>
      <c r="H133" s="19" t="str">
        <f>IF($B133="","",IF(INDEX('Master Database'!$F$1:$F$600,$B133)="","",INDEX('Master Database'!$F$1:$F$600,$B133)))</f>
        <v>Not stated</v>
      </c>
      <c r="I133" s="19" t="str">
        <f>IF($B133="","",IF(INDEX('Master Database'!$G$1:$G$600,$B133)="","",INDEX('Master Database'!$G$1:$G$600,$B133)))</f>
        <v>Not stated</v>
      </c>
      <c r="J133" s="46" t="str">
        <f>IF($B133="","",IF(INDEX('Master Database'!$H$1:$H$600,$B133)="","",INDEX('Master Database'!$H$1:$H$600,$B133)))</f>
        <v/>
      </c>
      <c r="K133" s="46" t="str">
        <f>IF($B133="","",IF(INDEX('Master Database'!$I$1:$I$600,$B133)="","",INDEX('Master Database'!$I$1:$I$600,$B133)))</f>
        <v/>
      </c>
      <c r="L133" s="46" t="str">
        <f>IF($B133="","",IF(INDEX('Master Database'!$K$1:$K$600,$B133)="","",INDEX('Master Database'!$K$1:$K$600,$B133)))</f>
        <v/>
      </c>
      <c r="M133" s="19" t="str">
        <f>IF($B133="","",IF(INDEX('Master Database'!$L$1:$L$600,$B133)="","",INDEX('Master Database'!$L$1:$L$600,$B133)))</f>
        <v>Not stated</v>
      </c>
      <c r="N133" s="19" t="str">
        <f>IF($B133="","",IF(INDEX('Master Database'!$P$1:$P$600,$B133)="","",INDEX('Master Database'!$P$1:$P$600,$B133)))</f>
        <v>Not stated</v>
      </c>
      <c r="O133" s="19" t="str">
        <f>IF($B133="","",IF(INDEX('Master Database'!$S$1:$S$600,$B133)="","",INDEX('Master Database'!$S$1:$S$600,$B133)))</f>
        <v>Electric Motor</v>
      </c>
      <c r="P133" s="19" t="str">
        <f>IF($B133="","",IF(INDEX('Master Database'!$T$1:$T$600,$B133)="","",INDEX('Master Database'!$T$1:$T$600,$B133)))</f>
        <v>Crude Oil</v>
      </c>
      <c r="Q133" s="19" t="str">
        <f>IF($B133="","",IF(INDEX('Master Database'!$Y$1:$Y$600,$B133)="","",INDEX('Master Database'!$Y$1:$Y$600,$B133)))</f>
        <v>(Not stated)</v>
      </c>
      <c r="R133" s="19" t="str">
        <f>IF($B133="","",IF(INDEX('Master Database'!$Z$1:$Z$600,$B133)="","",INDEX('Master Database'!$Z$1:$Z$600,$B133)))</f>
        <v>USD</v>
      </c>
      <c r="S133" s="47">
        <f>IF($B133="","",IF(INDEX('Master Database'!$AA$1:$AA$600,$B133)="","",INDEX('Master Database'!$AA$1:$AA$600,$B133)))</f>
        <v>320000</v>
      </c>
      <c r="T133" s="19" t="str">
        <f>IF($B133="","",IF(INDEX('Master Database'!$AE$1:$AE$600,$B133)="","",INDEX('Master Database'!$AE$1:$AE$600,$B133)))</f>
        <v>Price (USD) – «نمونه قیمتی نمک‌زدایی» sheet PUMPS; project and year not stated</v>
      </c>
      <c r="U133" s="47" t="str">
        <f>IF($B133="","",IF(INDEX('Master Database'!$AG$1:$AG$600,$B133)="","",INDEX('Master Database'!$AG$1:$AG$600,$B133)))</f>
        <v>(PPI/FX missing)</v>
      </c>
      <c r="V133" s="47" t="str">
        <f>IF($B133="","",IF(INDEX('Master Database'!$AH$1:$AH$600,$B133)="","",INDEX('Master Database'!$AH$1:$AH$600,$B133)))</f>
        <v/>
      </c>
      <c r="W133" s="47" t="str">
        <f>IF($B133="","",IF(INDEX('Master Database'!$AI$1:$AI$600,$B133)="","",INDEX('Master Database'!$AI$1:$AI$600,$B133)))</f>
        <v/>
      </c>
      <c r="X133" s="19" t="str">
        <f>IF($B133="","",IF(INDEX('Master Database'!$BG$1:$BG$600,$B133)="","",INDEX('Master Database'!$BG$1:$BG$600,$B133)))</f>
        <v>Y</v>
      </c>
      <c r="BA133">
        <f>IF('Master Database'!$A133="",0,IF(AND(OR($B$5="",ISNUMBER(SEARCH($B$5,'Master Database'!$B133&amp;" "&amp;'Master Database'!$D133))),OR($B$6="(All)",'Master Database'!$C133=$B$6),OR($B$7="(All)",'Master Database'!$E133=$B$7),OR($B$8="(All)",'Master Database'!$T133=$B$8),OR($B$9="(All)",'Master Database'!$M133=$B$9),OR($B$10="(All)",'Master Database'!$V133=$B$10),OR($E$5="(All)",'Master Database'!$F133=$E$5),OR($E$6="(All)",'Master Database'!$G133=$E$6),OR($E$7="(All)",'Master Database'!$O133=$E$7),OR($E$8="(All)",'Master Database'!$P133=$E$8),OR($E$9="(All)",'Master Database'!$S133=$E$9),OR($E$10="(All)",'Master Database'!$Y133&amp;""=$E$10&amp;""),OR($H$5="(All)",'Master Database'!$BG133=$H$5),OR($H$6&lt;&gt;"Y",ISNUMBER('Master Database'!$AG133)),OR($H$7="",AND(ISNUMBER('Master Database'!$H133),N('Master Database'!$H133)&gt;=$H$7)),OR($I$7="",AND(ISNUMBER('Master Database'!$H133),N('Master Database'!$H133)&lt;=$I$7)),OR($H$8="",AND(ISNUMBER('Master Database'!$I133),N('Master Database'!$I133)&gt;=$H$8)),OR($I$8="",AND(ISNUMBER('Master Database'!$I133),N('Master Database'!$I133)&lt;=$I$8)),OR($H$9="",AND(ISNUMBER('Master Database'!$K133),N('Master Database'!$K133)&gt;=$H$9)),OR($I$9="",AND(ISNUMBER('Master Database'!$K133),N('Master Database'!$K133)&lt;=$I$9))),1,0))</f>
        <v>1</v>
      </c>
      <c r="BB133">
        <f>IF(BA133=1,COUNTIF($BA$5:BA133,1),"")</f>
        <v>129</v>
      </c>
    </row>
    <row r="134" spans="1:54">
      <c r="A134" s="20">
        <f>IF(119&lt;=SUM($BA$5:$BA$600),119,"")</f>
        <v>119</v>
      </c>
      <c r="B134" s="20">
        <f t="shared" si="3"/>
        <v>123</v>
      </c>
      <c r="C134" s="20">
        <f>IF($B134="","",IF(INDEX('Master Database'!$A$1:$A$600,$B134)="","",INDEX('Master Database'!$A$1:$A$600,$B134)))</f>
        <v>119</v>
      </c>
      <c r="D134" s="19" t="str">
        <f>IF($B134="","",IF(INDEX('Master Database'!$B$1:$B$600,$B134)="","",INDEX('Master Database'!$B$1:$B$600,$B134)))</f>
        <v>Off Spec Crude Pump</v>
      </c>
      <c r="E134" s="19" t="str">
        <f>IF($B134="","",IF(INDEX('Master Database'!$C$1:$C$600,$B134)="","",INDEX('Master Database'!$C$1:$C$600,$B134)))</f>
        <v>(نام پروژه در فایل قید نشده است) – نمونه قیمتی نمک زدایی (PUMPS.csv)</v>
      </c>
      <c r="F134" s="19" t="str">
        <f>IF($B134="","",IF(INDEX('Master Database'!$D$1:$D$600,$B134)="","",INDEX('Master Database'!$D$1:$D$600,$B134)))</f>
        <v>(Not stated in source document)</v>
      </c>
      <c r="G134" s="19" t="str">
        <f>IF($B134="","",IF(INDEX('Master Database'!$E$1:$E$600,$B134)="","",INDEX('Master Database'!$E$1:$E$600,$B134)))</f>
        <v>ROT-CRU</v>
      </c>
      <c r="H134" s="19" t="str">
        <f>IF($B134="","",IF(INDEX('Master Database'!$F$1:$F$600,$B134)="","",INDEX('Master Database'!$F$1:$F$600,$B134)))</f>
        <v>Not stated</v>
      </c>
      <c r="I134" s="19" t="str">
        <f>IF($B134="","",IF(INDEX('Master Database'!$G$1:$G$600,$B134)="","",INDEX('Master Database'!$G$1:$G$600,$B134)))</f>
        <v>Not stated</v>
      </c>
      <c r="J134" s="46" t="str">
        <f>IF($B134="","",IF(INDEX('Master Database'!$H$1:$H$600,$B134)="","",INDEX('Master Database'!$H$1:$H$600,$B134)))</f>
        <v/>
      </c>
      <c r="K134" s="46">
        <f>IF($B134="","",IF(INDEX('Master Database'!$I$1:$I$600,$B134)="","",INDEX('Master Database'!$I$1:$I$600,$B134)))</f>
        <v>311.3</v>
      </c>
      <c r="L134" s="46">
        <f>IF($B134="","",IF(INDEX('Master Database'!$K$1:$K$600,$B134)="","",INDEX('Master Database'!$K$1:$K$600,$B134)))</f>
        <v>48</v>
      </c>
      <c r="M134" s="19" t="str">
        <f>IF($B134="","",IF(INDEX('Master Database'!$L$1:$L$600,$B134)="","",INDEX('Master Database'!$L$1:$L$600,$B134)))</f>
        <v>Not stated</v>
      </c>
      <c r="N134" s="19" t="str">
        <f>IF($B134="","",IF(INDEX('Master Database'!$P$1:$P$600,$B134)="","",INDEX('Master Database'!$P$1:$P$600,$B134)))</f>
        <v>Not stated</v>
      </c>
      <c r="O134" s="19" t="str">
        <f>IF($B134="","",IF(INDEX('Master Database'!$S$1:$S$600,$B134)="","",INDEX('Master Database'!$S$1:$S$600,$B134)))</f>
        <v>Electric Motor</v>
      </c>
      <c r="P134" s="19" t="str">
        <f>IF($B134="","",IF(INDEX('Master Database'!$T$1:$T$600,$B134)="","",INDEX('Master Database'!$T$1:$T$600,$B134)))</f>
        <v>Crude Oil</v>
      </c>
      <c r="Q134" s="19" t="str">
        <f>IF($B134="","",IF(INDEX('Master Database'!$Y$1:$Y$600,$B134)="","",INDEX('Master Database'!$Y$1:$Y$600,$B134)))</f>
        <v>(Not stated)</v>
      </c>
      <c r="R134" s="19" t="str">
        <f>IF($B134="","",IF(INDEX('Master Database'!$Z$1:$Z$600,$B134)="","",INDEX('Master Database'!$Z$1:$Z$600,$B134)))</f>
        <v>USD</v>
      </c>
      <c r="S134" s="47">
        <f>IF($B134="","",IF(INDEX('Master Database'!$AA$1:$AA$600,$B134)="","",INDEX('Master Database'!$AA$1:$AA$600,$B134)))</f>
        <v>75000</v>
      </c>
      <c r="T134" s="19" t="str">
        <f>IF($B134="","",IF(INDEX('Master Database'!$AE$1:$AE$600,$B134)="","",INDEX('Master Database'!$AE$1:$AE$600,$B134)))</f>
        <v>Price (USD) – «نمونه قیمتی نمک‌زدایی» sheet PUMPS; project and year not stated</v>
      </c>
      <c r="U134" s="47" t="str">
        <f>IF($B134="","",IF(INDEX('Master Database'!$AG$1:$AG$600,$B134)="","",INDEX('Master Database'!$AG$1:$AG$600,$B134)))</f>
        <v>(PPI/FX missing)</v>
      </c>
      <c r="V134" s="47" t="str">
        <f>IF($B134="","",IF(INDEX('Master Database'!$AH$1:$AH$600,$B134)="","",INDEX('Master Database'!$AH$1:$AH$600,$B134)))</f>
        <v/>
      </c>
      <c r="W134" s="47" t="str">
        <f>IF($B134="","",IF(INDEX('Master Database'!$AI$1:$AI$600,$B134)="","",INDEX('Master Database'!$AI$1:$AI$600,$B134)))</f>
        <v/>
      </c>
      <c r="X134" s="19" t="str">
        <f>IF($B134="","",IF(INDEX('Master Database'!$BG$1:$BG$600,$B134)="","",INDEX('Master Database'!$BG$1:$BG$600,$B134)))</f>
        <v>Y</v>
      </c>
      <c r="BA134">
        <f>IF('Master Database'!$A134="",0,IF(AND(OR($B$5="",ISNUMBER(SEARCH($B$5,'Master Database'!$B134&amp;" "&amp;'Master Database'!$D134))),OR($B$6="(All)",'Master Database'!$C134=$B$6),OR($B$7="(All)",'Master Database'!$E134=$B$7),OR($B$8="(All)",'Master Database'!$T134=$B$8),OR($B$9="(All)",'Master Database'!$M134=$B$9),OR($B$10="(All)",'Master Database'!$V134=$B$10),OR($E$5="(All)",'Master Database'!$F134=$E$5),OR($E$6="(All)",'Master Database'!$G134=$E$6),OR($E$7="(All)",'Master Database'!$O134=$E$7),OR($E$8="(All)",'Master Database'!$P134=$E$8),OR($E$9="(All)",'Master Database'!$S134=$E$9),OR($E$10="(All)",'Master Database'!$Y134&amp;""=$E$10&amp;""),OR($H$5="(All)",'Master Database'!$BG134=$H$5),OR($H$6&lt;&gt;"Y",ISNUMBER('Master Database'!$AG134)),OR($H$7="",AND(ISNUMBER('Master Database'!$H134),N('Master Database'!$H134)&gt;=$H$7)),OR($I$7="",AND(ISNUMBER('Master Database'!$H134),N('Master Database'!$H134)&lt;=$I$7)),OR($H$8="",AND(ISNUMBER('Master Database'!$I134),N('Master Database'!$I134)&gt;=$H$8)),OR($I$8="",AND(ISNUMBER('Master Database'!$I134),N('Master Database'!$I134)&lt;=$I$8)),OR($H$9="",AND(ISNUMBER('Master Database'!$K134),N('Master Database'!$K134)&gt;=$H$9)),OR($I$9="",AND(ISNUMBER('Master Database'!$K134),N('Master Database'!$K134)&lt;=$I$9))),1,0))</f>
        <v>1</v>
      </c>
      <c r="BB134">
        <f>IF(BA134=1,COUNTIF($BA$5:BA134,1),"")</f>
        <v>130</v>
      </c>
    </row>
    <row r="135" spans="1:54">
      <c r="A135" s="20">
        <f>IF(120&lt;=SUM($BA$5:$BA$600),120,"")</f>
        <v>120</v>
      </c>
      <c r="B135" s="20">
        <f t="shared" si="3"/>
        <v>124</v>
      </c>
      <c r="C135" s="20">
        <f>IF($B135="","",IF(INDEX('Master Database'!$A$1:$A$600,$B135)="","",INDEX('Master Database'!$A$1:$A$600,$B135)))</f>
        <v>120</v>
      </c>
      <c r="D135" s="19" t="str">
        <f>IF($B135="","",IF(INDEX('Master Database'!$B$1:$B$600,$B135)="","",INDEX('Master Database'!$B$1:$B$600,$B135)))</f>
        <v>Second Stage Desalter Water Criculated Pump</v>
      </c>
      <c r="E135" s="19" t="str">
        <f>IF($B135="","",IF(INDEX('Master Database'!$C$1:$C$600,$B135)="","",INDEX('Master Database'!$C$1:$C$600,$B135)))</f>
        <v>(نام پروژه در فایل قید نشده است) – نمونه قیمتی نمک زدایی (PUMPS.csv)</v>
      </c>
      <c r="F135" s="19" t="str">
        <f>IF($B135="","",IF(INDEX('Master Database'!$D$1:$D$600,$B135)="","",INDEX('Master Database'!$D$1:$D$600,$B135)))</f>
        <v>(Not stated in source document)</v>
      </c>
      <c r="G135" s="19" t="str">
        <f>IF($B135="","",IF(INDEX('Master Database'!$E$1:$E$600,$B135)="","",INDEX('Master Database'!$E$1:$E$600,$B135)))</f>
        <v>ROT-WAT</v>
      </c>
      <c r="H135" s="19" t="str">
        <f>IF($B135="","",IF(INDEX('Master Database'!$F$1:$F$600,$B135)="","",INDEX('Master Database'!$F$1:$F$600,$B135)))</f>
        <v>Not stated</v>
      </c>
      <c r="I135" s="19" t="str">
        <f>IF($B135="","",IF(INDEX('Master Database'!$G$1:$G$600,$B135)="","",INDEX('Master Database'!$G$1:$G$600,$B135)))</f>
        <v>Not stated</v>
      </c>
      <c r="J135" s="46" t="str">
        <f>IF($B135="","",IF(INDEX('Master Database'!$H$1:$H$600,$B135)="","",INDEX('Master Database'!$H$1:$H$600,$B135)))</f>
        <v/>
      </c>
      <c r="K135" s="46">
        <f>IF($B135="","",IF(INDEX('Master Database'!$I$1:$I$600,$B135)="","",INDEX('Master Database'!$I$1:$I$600,$B135)))</f>
        <v>32</v>
      </c>
      <c r="L135" s="46">
        <f>IF($B135="","",IF(INDEX('Master Database'!$K$1:$K$600,$B135)="","",INDEX('Master Database'!$K$1:$K$600,$B135)))</f>
        <v>1</v>
      </c>
      <c r="M135" s="19" t="str">
        <f>IF($B135="","",IF(INDEX('Master Database'!$L$1:$L$600,$B135)="","",INDEX('Master Database'!$L$1:$L$600,$B135)))</f>
        <v>Not stated</v>
      </c>
      <c r="N135" s="19" t="str">
        <f>IF($B135="","",IF(INDEX('Master Database'!$P$1:$P$600,$B135)="","",INDEX('Master Database'!$P$1:$P$600,$B135)))</f>
        <v>Not stated</v>
      </c>
      <c r="O135" s="19" t="str">
        <f>IF($B135="","",IF(INDEX('Master Database'!$S$1:$S$600,$B135)="","",INDEX('Master Database'!$S$1:$S$600,$B135)))</f>
        <v>Electric Motor</v>
      </c>
      <c r="P135" s="19" t="str">
        <f>IF($B135="","",IF(INDEX('Master Database'!$T$1:$T$600,$B135)="","",INDEX('Master Database'!$T$1:$T$600,$B135)))</f>
        <v>Process / Dilution Water</v>
      </c>
      <c r="Q135" s="19" t="str">
        <f>IF($B135="","",IF(INDEX('Master Database'!$Y$1:$Y$600,$B135)="","",INDEX('Master Database'!$Y$1:$Y$600,$B135)))</f>
        <v>(Not stated)</v>
      </c>
      <c r="R135" s="19" t="str">
        <f>IF($B135="","",IF(INDEX('Master Database'!$Z$1:$Z$600,$B135)="","",INDEX('Master Database'!$Z$1:$Z$600,$B135)))</f>
        <v>USD</v>
      </c>
      <c r="S135" s="47">
        <f>IF($B135="","",IF(INDEX('Master Database'!$AA$1:$AA$600,$B135)="","",INDEX('Master Database'!$AA$1:$AA$600,$B135)))</f>
        <v>60000</v>
      </c>
      <c r="T135" s="19" t="str">
        <f>IF($B135="","",IF(INDEX('Master Database'!$AE$1:$AE$600,$B135)="","",INDEX('Master Database'!$AE$1:$AE$600,$B135)))</f>
        <v>Price (USD) – «نمونه قیمتی نمک‌زدایی» sheet PUMPS; project and year not stated</v>
      </c>
      <c r="U135" s="47" t="str">
        <f>IF($B135="","",IF(INDEX('Master Database'!$AG$1:$AG$600,$B135)="","",INDEX('Master Database'!$AG$1:$AG$600,$B135)))</f>
        <v>(PPI/FX missing)</v>
      </c>
      <c r="V135" s="47" t="str">
        <f>IF($B135="","",IF(INDEX('Master Database'!$AH$1:$AH$600,$B135)="","",INDEX('Master Database'!$AH$1:$AH$600,$B135)))</f>
        <v/>
      </c>
      <c r="W135" s="47" t="str">
        <f>IF($B135="","",IF(INDEX('Master Database'!$AI$1:$AI$600,$B135)="","",INDEX('Master Database'!$AI$1:$AI$600,$B135)))</f>
        <v/>
      </c>
      <c r="X135" s="19" t="str">
        <f>IF($B135="","",IF(INDEX('Master Database'!$BG$1:$BG$600,$B135)="","",INDEX('Master Database'!$BG$1:$BG$600,$B135)))</f>
        <v>Y</v>
      </c>
      <c r="BA135">
        <f>IF('Master Database'!$A135="",0,IF(AND(OR($B$5="",ISNUMBER(SEARCH($B$5,'Master Database'!$B135&amp;" "&amp;'Master Database'!$D135))),OR($B$6="(All)",'Master Database'!$C135=$B$6),OR($B$7="(All)",'Master Database'!$E135=$B$7),OR($B$8="(All)",'Master Database'!$T135=$B$8),OR($B$9="(All)",'Master Database'!$M135=$B$9),OR($B$10="(All)",'Master Database'!$V135=$B$10),OR($E$5="(All)",'Master Database'!$F135=$E$5),OR($E$6="(All)",'Master Database'!$G135=$E$6),OR($E$7="(All)",'Master Database'!$O135=$E$7),OR($E$8="(All)",'Master Database'!$P135=$E$8),OR($E$9="(All)",'Master Database'!$S135=$E$9),OR($E$10="(All)",'Master Database'!$Y135&amp;""=$E$10&amp;""),OR($H$5="(All)",'Master Database'!$BG135=$H$5),OR($H$6&lt;&gt;"Y",ISNUMBER('Master Database'!$AG135)),OR($H$7="",AND(ISNUMBER('Master Database'!$H135),N('Master Database'!$H135)&gt;=$H$7)),OR($I$7="",AND(ISNUMBER('Master Database'!$H135),N('Master Database'!$H135)&lt;=$I$7)),OR($H$8="",AND(ISNUMBER('Master Database'!$I135),N('Master Database'!$I135)&gt;=$H$8)),OR($I$8="",AND(ISNUMBER('Master Database'!$I135),N('Master Database'!$I135)&lt;=$I$8)),OR($H$9="",AND(ISNUMBER('Master Database'!$K135),N('Master Database'!$K135)&gt;=$H$9)),OR($I$9="",AND(ISNUMBER('Master Database'!$K135),N('Master Database'!$K135)&lt;=$I$9))),1,0))</f>
        <v>1</v>
      </c>
      <c r="BB135">
        <f>IF(BA135=1,COUNTIF($BA$5:BA135,1),"")</f>
        <v>131</v>
      </c>
    </row>
    <row r="136" spans="1:54">
      <c r="A136" s="20">
        <f>IF(121&lt;=SUM($BA$5:$BA$600),121,"")</f>
        <v>121</v>
      </c>
      <c r="B136" s="20">
        <f t="shared" si="3"/>
        <v>125</v>
      </c>
      <c r="C136" s="20">
        <f>IF($B136="","",IF(INDEX('Master Database'!$A$1:$A$600,$B136)="","",INDEX('Master Database'!$A$1:$A$600,$B136)))</f>
        <v>121</v>
      </c>
      <c r="D136" s="19" t="str">
        <f>IF($B136="","",IF(INDEX('Master Database'!$B$1:$B$600,$B136)="","",INDEX('Master Database'!$B$1:$B$600,$B136)))</f>
        <v>Degassing Water Pump</v>
      </c>
      <c r="E136" s="19" t="str">
        <f>IF($B136="","",IF(INDEX('Master Database'!$C$1:$C$600,$B136)="","",INDEX('Master Database'!$C$1:$C$600,$B136)))</f>
        <v>(نام پروژه در فایل قید نشده است) – نمونه قیمتی نمک زدایی (PUMPS.csv)</v>
      </c>
      <c r="F136" s="19" t="str">
        <f>IF($B136="","",IF(INDEX('Master Database'!$D$1:$D$600,$B136)="","",INDEX('Master Database'!$D$1:$D$600,$B136)))</f>
        <v>(Not stated in source document)</v>
      </c>
      <c r="G136" s="19" t="str">
        <f>IF($B136="","",IF(INDEX('Master Database'!$E$1:$E$600,$B136)="","",INDEX('Master Database'!$E$1:$E$600,$B136)))</f>
        <v>ROT-WAT</v>
      </c>
      <c r="H136" s="19" t="str">
        <f>IF($B136="","",IF(INDEX('Master Database'!$F$1:$F$600,$B136)="","",INDEX('Master Database'!$F$1:$F$600,$B136)))</f>
        <v>Not stated</v>
      </c>
      <c r="I136" s="19" t="str">
        <f>IF($B136="","",IF(INDEX('Master Database'!$G$1:$G$600,$B136)="","",INDEX('Master Database'!$G$1:$G$600,$B136)))</f>
        <v>Not stated</v>
      </c>
      <c r="J136" s="46" t="str">
        <f>IF($B136="","",IF(INDEX('Master Database'!$H$1:$H$600,$B136)="","",INDEX('Master Database'!$H$1:$H$600,$B136)))</f>
        <v/>
      </c>
      <c r="K136" s="46">
        <f>IF($B136="","",IF(INDEX('Master Database'!$I$1:$I$600,$B136)="","",INDEX('Master Database'!$I$1:$I$600,$B136)))</f>
        <v>36.15</v>
      </c>
      <c r="L136" s="46">
        <f>IF($B136="","",IF(INDEX('Master Database'!$K$1:$K$600,$B136)="","",INDEX('Master Database'!$K$1:$K$600,$B136)))</f>
        <v>13.1</v>
      </c>
      <c r="M136" s="19" t="str">
        <f>IF($B136="","",IF(INDEX('Master Database'!$L$1:$L$600,$B136)="","",INDEX('Master Database'!$L$1:$L$600,$B136)))</f>
        <v>Not stated</v>
      </c>
      <c r="N136" s="19" t="str">
        <f>IF($B136="","",IF(INDEX('Master Database'!$P$1:$P$600,$B136)="","",INDEX('Master Database'!$P$1:$P$600,$B136)))</f>
        <v>Not stated</v>
      </c>
      <c r="O136" s="19" t="str">
        <f>IF($B136="","",IF(INDEX('Master Database'!$S$1:$S$600,$B136)="","",INDEX('Master Database'!$S$1:$S$600,$B136)))</f>
        <v>Electric Motor</v>
      </c>
      <c r="P136" s="19" t="str">
        <f>IF($B136="","",IF(INDEX('Master Database'!$T$1:$T$600,$B136)="","",INDEX('Master Database'!$T$1:$T$600,$B136)))</f>
        <v>Process / Dilution Water</v>
      </c>
      <c r="Q136" s="19" t="str">
        <f>IF($B136="","",IF(INDEX('Master Database'!$Y$1:$Y$600,$B136)="","",INDEX('Master Database'!$Y$1:$Y$600,$B136)))</f>
        <v>(Not stated)</v>
      </c>
      <c r="R136" s="19" t="str">
        <f>IF($B136="","",IF(INDEX('Master Database'!$Z$1:$Z$600,$B136)="","",INDEX('Master Database'!$Z$1:$Z$600,$B136)))</f>
        <v>USD</v>
      </c>
      <c r="S136" s="47">
        <f>IF($B136="","",IF(INDEX('Master Database'!$AA$1:$AA$600,$B136)="","",INDEX('Master Database'!$AA$1:$AA$600,$B136)))</f>
        <v>60000</v>
      </c>
      <c r="T136" s="19" t="str">
        <f>IF($B136="","",IF(INDEX('Master Database'!$AE$1:$AE$600,$B136)="","",INDEX('Master Database'!$AE$1:$AE$600,$B136)))</f>
        <v>Price (USD) – «نمونه قیمتی نمک‌زدایی» sheet PUMPS; project and year not stated</v>
      </c>
      <c r="U136" s="47" t="str">
        <f>IF($B136="","",IF(INDEX('Master Database'!$AG$1:$AG$600,$B136)="","",INDEX('Master Database'!$AG$1:$AG$600,$B136)))</f>
        <v>(PPI/FX missing)</v>
      </c>
      <c r="V136" s="47" t="str">
        <f>IF($B136="","",IF(INDEX('Master Database'!$AH$1:$AH$600,$B136)="","",INDEX('Master Database'!$AH$1:$AH$600,$B136)))</f>
        <v/>
      </c>
      <c r="W136" s="47" t="str">
        <f>IF($B136="","",IF(INDEX('Master Database'!$AI$1:$AI$600,$B136)="","",INDEX('Master Database'!$AI$1:$AI$600,$B136)))</f>
        <v/>
      </c>
      <c r="X136" s="19" t="str">
        <f>IF($B136="","",IF(INDEX('Master Database'!$BG$1:$BG$600,$B136)="","",INDEX('Master Database'!$BG$1:$BG$600,$B136)))</f>
        <v>Y</v>
      </c>
      <c r="BA136">
        <f>IF('Master Database'!$A136="",0,IF(AND(OR($B$5="",ISNUMBER(SEARCH($B$5,'Master Database'!$B136&amp;" "&amp;'Master Database'!$D136))),OR($B$6="(All)",'Master Database'!$C136=$B$6),OR($B$7="(All)",'Master Database'!$E136=$B$7),OR($B$8="(All)",'Master Database'!$T136=$B$8),OR($B$9="(All)",'Master Database'!$M136=$B$9),OR($B$10="(All)",'Master Database'!$V136=$B$10),OR($E$5="(All)",'Master Database'!$F136=$E$5),OR($E$6="(All)",'Master Database'!$G136=$E$6),OR($E$7="(All)",'Master Database'!$O136=$E$7),OR($E$8="(All)",'Master Database'!$P136=$E$8),OR($E$9="(All)",'Master Database'!$S136=$E$9),OR($E$10="(All)",'Master Database'!$Y136&amp;""=$E$10&amp;""),OR($H$5="(All)",'Master Database'!$BG136=$H$5),OR($H$6&lt;&gt;"Y",ISNUMBER('Master Database'!$AG136)),OR($H$7="",AND(ISNUMBER('Master Database'!$H136),N('Master Database'!$H136)&gt;=$H$7)),OR($I$7="",AND(ISNUMBER('Master Database'!$H136),N('Master Database'!$H136)&lt;=$I$7)),OR($H$8="",AND(ISNUMBER('Master Database'!$I136),N('Master Database'!$I136)&gt;=$H$8)),OR($I$8="",AND(ISNUMBER('Master Database'!$I136),N('Master Database'!$I136)&lt;=$I$8)),OR($H$9="",AND(ISNUMBER('Master Database'!$K136),N('Master Database'!$K136)&gt;=$H$9)),OR($I$9="",AND(ISNUMBER('Master Database'!$K136),N('Master Database'!$K136)&lt;=$I$9))),1,0))</f>
        <v>1</v>
      </c>
      <c r="BB136">
        <f>IF(BA136=1,COUNTIF($BA$5:BA136,1),"")</f>
        <v>132</v>
      </c>
    </row>
    <row r="137" spans="1:54">
      <c r="A137" s="20">
        <f>IF(122&lt;=SUM($BA$5:$BA$600),122,"")</f>
        <v>122</v>
      </c>
      <c r="B137" s="20">
        <f t="shared" si="3"/>
        <v>126</v>
      </c>
      <c r="C137" s="20">
        <f>IF($B137="","",IF(INDEX('Master Database'!$A$1:$A$600,$B137)="","",INDEX('Master Database'!$A$1:$A$600,$B137)))</f>
        <v>122</v>
      </c>
      <c r="D137" s="19" t="str">
        <f>IF($B137="","",IF(INDEX('Master Database'!$B$1:$B$600,$B137)="","",INDEX('Master Database'!$B$1:$B$600,$B137)))</f>
        <v>Disposal Water Pump</v>
      </c>
      <c r="E137" s="19" t="str">
        <f>IF($B137="","",IF(INDEX('Master Database'!$C$1:$C$600,$B137)="","",INDEX('Master Database'!$C$1:$C$600,$B137)))</f>
        <v>(نام پروژه در فایل قید نشده است) – نمونه قیمتی نمک زدایی (PUMPS.csv)</v>
      </c>
      <c r="F137" s="19" t="str">
        <f>IF($B137="","",IF(INDEX('Master Database'!$D$1:$D$600,$B137)="","",INDEX('Master Database'!$D$1:$D$600,$B137)))</f>
        <v>(Not stated in source document)</v>
      </c>
      <c r="G137" s="19" t="str">
        <f>IF($B137="","",IF(INDEX('Master Database'!$E$1:$E$600,$B137)="","",INDEX('Master Database'!$E$1:$E$600,$B137)))</f>
        <v>ROT-INJ</v>
      </c>
      <c r="H137" s="19" t="str">
        <f>IF($B137="","",IF(INDEX('Master Database'!$F$1:$F$600,$B137)="","",INDEX('Master Database'!$F$1:$F$600,$B137)))</f>
        <v>Not stated</v>
      </c>
      <c r="I137" s="19" t="str">
        <f>IF($B137="","",IF(INDEX('Master Database'!$G$1:$G$600,$B137)="","",INDEX('Master Database'!$G$1:$G$600,$B137)))</f>
        <v>Not stated</v>
      </c>
      <c r="J137" s="46" t="str">
        <f>IF($B137="","",IF(INDEX('Master Database'!$H$1:$H$600,$B137)="","",INDEX('Master Database'!$H$1:$H$600,$B137)))</f>
        <v/>
      </c>
      <c r="K137" s="46">
        <f>IF($B137="","",IF(INDEX('Master Database'!$I$1:$I$600,$B137)="","",INDEX('Master Database'!$I$1:$I$600,$B137)))</f>
        <v>51.5</v>
      </c>
      <c r="L137" s="46" t="str">
        <f>IF($B137="","",IF(INDEX('Master Database'!$K$1:$K$600,$B137)="","",INDEX('Master Database'!$K$1:$K$600,$B137)))</f>
        <v/>
      </c>
      <c r="M137" s="19" t="str">
        <f>IF($B137="","",IF(INDEX('Master Database'!$L$1:$L$600,$B137)="","",INDEX('Master Database'!$L$1:$L$600,$B137)))</f>
        <v>Not stated</v>
      </c>
      <c r="N137" s="19" t="str">
        <f>IF($B137="","",IF(INDEX('Master Database'!$P$1:$P$600,$B137)="","",INDEX('Master Database'!$P$1:$P$600,$B137)))</f>
        <v>Not stated</v>
      </c>
      <c r="O137" s="19" t="str">
        <f>IF($B137="","",IF(INDEX('Master Database'!$S$1:$S$600,$B137)="","",INDEX('Master Database'!$S$1:$S$600,$B137)))</f>
        <v>Electric Motor</v>
      </c>
      <c r="P137" s="19" t="str">
        <f>IF($B137="","",IF(INDEX('Master Database'!$T$1:$T$600,$B137)="","",INDEX('Master Database'!$T$1:$T$600,$B137)))</f>
        <v>Produced / Disposal Water</v>
      </c>
      <c r="Q137" s="19" t="str">
        <f>IF($B137="","",IF(INDEX('Master Database'!$Y$1:$Y$600,$B137)="","",INDEX('Master Database'!$Y$1:$Y$600,$B137)))</f>
        <v>(Not stated)</v>
      </c>
      <c r="R137" s="19" t="str">
        <f>IF($B137="","",IF(INDEX('Master Database'!$Z$1:$Z$600,$B137)="","",INDEX('Master Database'!$Z$1:$Z$600,$B137)))</f>
        <v>USD</v>
      </c>
      <c r="S137" s="47">
        <f>IF($B137="","",IF(INDEX('Master Database'!$AA$1:$AA$600,$B137)="","",INDEX('Master Database'!$AA$1:$AA$600,$B137)))</f>
        <v>10000</v>
      </c>
      <c r="T137" s="19" t="str">
        <f>IF($B137="","",IF(INDEX('Master Database'!$AE$1:$AE$600,$B137)="","",INDEX('Master Database'!$AE$1:$AE$600,$B137)))</f>
        <v>Price (USD) – «نمونه قیمتی نمک‌زدایی» sheet PUMPS; project and year not stated</v>
      </c>
      <c r="U137" s="47" t="str">
        <f>IF($B137="","",IF(INDEX('Master Database'!$AG$1:$AG$600,$B137)="","",INDEX('Master Database'!$AG$1:$AG$600,$B137)))</f>
        <v>(PPI/FX missing)</v>
      </c>
      <c r="V137" s="47" t="str">
        <f>IF($B137="","",IF(INDEX('Master Database'!$AH$1:$AH$600,$B137)="","",INDEX('Master Database'!$AH$1:$AH$600,$B137)))</f>
        <v/>
      </c>
      <c r="W137" s="47" t="str">
        <f>IF($B137="","",IF(INDEX('Master Database'!$AI$1:$AI$600,$B137)="","",INDEX('Master Database'!$AI$1:$AI$600,$B137)))</f>
        <v/>
      </c>
      <c r="X137" s="19" t="str">
        <f>IF($B137="","",IF(INDEX('Master Database'!$BG$1:$BG$600,$B137)="","",INDEX('Master Database'!$BG$1:$BG$600,$B137)))</f>
        <v>Y</v>
      </c>
      <c r="BA137">
        <f>IF('Master Database'!$A137="",0,IF(AND(OR($B$5="",ISNUMBER(SEARCH($B$5,'Master Database'!$B137&amp;" "&amp;'Master Database'!$D137))),OR($B$6="(All)",'Master Database'!$C137=$B$6),OR($B$7="(All)",'Master Database'!$E137=$B$7),OR($B$8="(All)",'Master Database'!$T137=$B$8),OR($B$9="(All)",'Master Database'!$M137=$B$9),OR($B$10="(All)",'Master Database'!$V137=$B$10),OR($E$5="(All)",'Master Database'!$F137=$E$5),OR($E$6="(All)",'Master Database'!$G137=$E$6),OR($E$7="(All)",'Master Database'!$O137=$E$7),OR($E$8="(All)",'Master Database'!$P137=$E$8),OR($E$9="(All)",'Master Database'!$S137=$E$9),OR($E$10="(All)",'Master Database'!$Y137&amp;""=$E$10&amp;""),OR($H$5="(All)",'Master Database'!$BG137=$H$5),OR($H$6&lt;&gt;"Y",ISNUMBER('Master Database'!$AG137)),OR($H$7="",AND(ISNUMBER('Master Database'!$H137),N('Master Database'!$H137)&gt;=$H$7)),OR($I$7="",AND(ISNUMBER('Master Database'!$H137),N('Master Database'!$H137)&lt;=$I$7)),OR($H$8="",AND(ISNUMBER('Master Database'!$I137),N('Master Database'!$I137)&gt;=$H$8)),OR($I$8="",AND(ISNUMBER('Master Database'!$I137),N('Master Database'!$I137)&lt;=$I$8)),OR($H$9="",AND(ISNUMBER('Master Database'!$K137),N('Master Database'!$K137)&gt;=$H$9)),OR($I$9="",AND(ISNUMBER('Master Database'!$K137),N('Master Database'!$K137)&lt;=$I$9))),1,0))</f>
        <v>1</v>
      </c>
      <c r="BB137">
        <f>IF(BA137=1,COUNTIF($BA$5:BA137,1),"")</f>
        <v>133</v>
      </c>
    </row>
    <row r="138" spans="1:54">
      <c r="A138" s="20">
        <f>IF(123&lt;=SUM($BA$5:$BA$600),123,"")</f>
        <v>123</v>
      </c>
      <c r="B138" s="20">
        <f t="shared" si="3"/>
        <v>127</v>
      </c>
      <c r="C138" s="20">
        <f>IF($B138="","",IF(INDEX('Master Database'!$A$1:$A$600,$B138)="","",INDEX('Master Database'!$A$1:$A$600,$B138)))</f>
        <v>123</v>
      </c>
      <c r="D138" s="19" t="str">
        <f>IF($B138="","",IF(INDEX('Master Database'!$B$1:$B$600,$B138)="","",INDEX('Master Database'!$B$1:$B$600,$B138)))</f>
        <v>Fresh Water Pump</v>
      </c>
      <c r="E138" s="19" t="str">
        <f>IF($B138="","",IF(INDEX('Master Database'!$C$1:$C$600,$B138)="","",INDEX('Master Database'!$C$1:$C$600,$B138)))</f>
        <v>(نام پروژه در فایل قید نشده است) – نمونه قیمتی نمک زدایی (PUMPS.csv)</v>
      </c>
      <c r="F138" s="19" t="str">
        <f>IF($B138="","",IF(INDEX('Master Database'!$D$1:$D$600,$B138)="","",INDEX('Master Database'!$D$1:$D$600,$B138)))</f>
        <v>(Not stated in source document)</v>
      </c>
      <c r="G138" s="19" t="str">
        <f>IF($B138="","",IF(INDEX('Master Database'!$E$1:$E$600,$B138)="","",INDEX('Master Database'!$E$1:$E$600,$B138)))</f>
        <v>ROT-WAT</v>
      </c>
      <c r="H138" s="19" t="str">
        <f>IF($B138="","",IF(INDEX('Master Database'!$F$1:$F$600,$B138)="","",INDEX('Master Database'!$F$1:$F$600,$B138)))</f>
        <v>Not stated</v>
      </c>
      <c r="I138" s="19" t="str">
        <f>IF($B138="","",IF(INDEX('Master Database'!$G$1:$G$600,$B138)="","",INDEX('Master Database'!$G$1:$G$600,$B138)))</f>
        <v>Not stated</v>
      </c>
      <c r="J138" s="46" t="str">
        <f>IF($B138="","",IF(INDEX('Master Database'!$H$1:$H$600,$B138)="","",INDEX('Master Database'!$H$1:$H$600,$B138)))</f>
        <v/>
      </c>
      <c r="K138" s="46">
        <f>IF($B138="","",IF(INDEX('Master Database'!$I$1:$I$600,$B138)="","",INDEX('Master Database'!$I$1:$I$600,$B138)))</f>
        <v>41</v>
      </c>
      <c r="L138" s="46">
        <f>IF($B138="","",IF(INDEX('Master Database'!$K$1:$K$600,$B138)="","",INDEX('Master Database'!$K$1:$K$600,$B138)))</f>
        <v>3.9</v>
      </c>
      <c r="M138" s="19" t="str">
        <f>IF($B138="","",IF(INDEX('Master Database'!$L$1:$L$600,$B138)="","",INDEX('Master Database'!$L$1:$L$600,$B138)))</f>
        <v>Not stated</v>
      </c>
      <c r="N138" s="19" t="str">
        <f>IF($B138="","",IF(INDEX('Master Database'!$P$1:$P$600,$B138)="","",INDEX('Master Database'!$P$1:$P$600,$B138)))</f>
        <v>Not stated</v>
      </c>
      <c r="O138" s="19" t="str">
        <f>IF($B138="","",IF(INDEX('Master Database'!$S$1:$S$600,$B138)="","",INDEX('Master Database'!$S$1:$S$600,$B138)))</f>
        <v>Electric Motor</v>
      </c>
      <c r="P138" s="19" t="str">
        <f>IF($B138="","",IF(INDEX('Master Database'!$T$1:$T$600,$B138)="","",INDEX('Master Database'!$T$1:$T$600,$B138)))</f>
        <v>Fresh / Potable Water</v>
      </c>
      <c r="Q138" s="19" t="str">
        <f>IF($B138="","",IF(INDEX('Master Database'!$Y$1:$Y$600,$B138)="","",INDEX('Master Database'!$Y$1:$Y$600,$B138)))</f>
        <v>(Not stated)</v>
      </c>
      <c r="R138" s="19" t="str">
        <f>IF($B138="","",IF(INDEX('Master Database'!$Z$1:$Z$600,$B138)="","",INDEX('Master Database'!$Z$1:$Z$600,$B138)))</f>
        <v>USD</v>
      </c>
      <c r="S138" s="47">
        <f>IF($B138="","",IF(INDEX('Master Database'!$AA$1:$AA$600,$B138)="","",INDEX('Master Database'!$AA$1:$AA$600,$B138)))</f>
        <v>8000</v>
      </c>
      <c r="T138" s="19" t="str">
        <f>IF($B138="","",IF(INDEX('Master Database'!$AE$1:$AE$600,$B138)="","",INDEX('Master Database'!$AE$1:$AE$600,$B138)))</f>
        <v>Price (USD) – «نمونه قیمتی نمک‌زدایی» sheet PUMPS; project and year not stated</v>
      </c>
      <c r="U138" s="47" t="str">
        <f>IF($B138="","",IF(INDEX('Master Database'!$AG$1:$AG$600,$B138)="","",INDEX('Master Database'!$AG$1:$AG$600,$B138)))</f>
        <v>(PPI/FX missing)</v>
      </c>
      <c r="V138" s="47" t="str">
        <f>IF($B138="","",IF(INDEX('Master Database'!$AH$1:$AH$600,$B138)="","",INDEX('Master Database'!$AH$1:$AH$600,$B138)))</f>
        <v/>
      </c>
      <c r="W138" s="47" t="str">
        <f>IF($B138="","",IF(INDEX('Master Database'!$AI$1:$AI$600,$B138)="","",INDEX('Master Database'!$AI$1:$AI$600,$B138)))</f>
        <v/>
      </c>
      <c r="X138" s="19" t="str">
        <f>IF($B138="","",IF(INDEX('Master Database'!$BG$1:$BG$600,$B138)="","",INDEX('Master Database'!$BG$1:$BG$600,$B138)))</f>
        <v>Y</v>
      </c>
      <c r="BA138">
        <f>IF('Master Database'!$A138="",0,IF(AND(OR($B$5="",ISNUMBER(SEARCH($B$5,'Master Database'!$B138&amp;" "&amp;'Master Database'!$D138))),OR($B$6="(All)",'Master Database'!$C138=$B$6),OR($B$7="(All)",'Master Database'!$E138=$B$7),OR($B$8="(All)",'Master Database'!$T138=$B$8),OR($B$9="(All)",'Master Database'!$M138=$B$9),OR($B$10="(All)",'Master Database'!$V138=$B$10),OR($E$5="(All)",'Master Database'!$F138=$E$5),OR($E$6="(All)",'Master Database'!$G138=$E$6),OR($E$7="(All)",'Master Database'!$O138=$E$7),OR($E$8="(All)",'Master Database'!$P138=$E$8),OR($E$9="(All)",'Master Database'!$S138=$E$9),OR($E$10="(All)",'Master Database'!$Y138&amp;""=$E$10&amp;""),OR($H$5="(All)",'Master Database'!$BG138=$H$5),OR($H$6&lt;&gt;"Y",ISNUMBER('Master Database'!$AG138)),OR($H$7="",AND(ISNUMBER('Master Database'!$H138),N('Master Database'!$H138)&gt;=$H$7)),OR($I$7="",AND(ISNUMBER('Master Database'!$H138),N('Master Database'!$H138)&lt;=$I$7)),OR($H$8="",AND(ISNUMBER('Master Database'!$I138),N('Master Database'!$I138)&gt;=$H$8)),OR($I$8="",AND(ISNUMBER('Master Database'!$I138),N('Master Database'!$I138)&lt;=$I$8)),OR($H$9="",AND(ISNUMBER('Master Database'!$K138),N('Master Database'!$K138)&gt;=$H$9)),OR($I$9="",AND(ISNUMBER('Master Database'!$K138),N('Master Database'!$K138)&lt;=$I$9))),1,0))</f>
        <v>1</v>
      </c>
      <c r="BB138">
        <f>IF(BA138=1,COUNTIF($BA$5:BA138,1),"")</f>
        <v>134</v>
      </c>
    </row>
    <row r="139" spans="1:54">
      <c r="A139" s="20">
        <f>IF(124&lt;=SUM($BA$5:$BA$600),124,"")</f>
        <v>124</v>
      </c>
      <c r="B139" s="20">
        <f t="shared" si="3"/>
        <v>128</v>
      </c>
      <c r="C139" s="20">
        <f>IF($B139="","",IF(INDEX('Master Database'!$A$1:$A$600,$B139)="","",INDEX('Master Database'!$A$1:$A$600,$B139)))</f>
        <v>124</v>
      </c>
      <c r="D139" s="19" t="str">
        <f>IF($B139="","",IF(INDEX('Master Database'!$B$1:$B$600,$B139)="","",INDEX('Master Database'!$B$1:$B$600,$B139)))</f>
        <v>Closed Drain Pump</v>
      </c>
      <c r="E139" s="19" t="str">
        <f>IF($B139="","",IF(INDEX('Master Database'!$C$1:$C$600,$B139)="","",INDEX('Master Database'!$C$1:$C$600,$B139)))</f>
        <v>(نام پروژه در فایل قید نشده است) – نمونه قیمتی نمک زدایی (PUMPS.csv)</v>
      </c>
      <c r="F139" s="19" t="str">
        <f>IF($B139="","",IF(INDEX('Master Database'!$D$1:$D$600,$B139)="","",INDEX('Master Database'!$D$1:$D$600,$B139)))</f>
        <v>(Not stated in source document)</v>
      </c>
      <c r="G139" s="19" t="str">
        <f>IF($B139="","",IF(INDEX('Master Database'!$E$1:$E$600,$B139)="","",INDEX('Master Database'!$E$1:$E$600,$B139)))</f>
        <v>ROT-DRN</v>
      </c>
      <c r="H139" s="19" t="str">
        <f>IF($B139="","",IF(INDEX('Master Database'!$F$1:$F$600,$B139)="","",INDEX('Master Database'!$F$1:$F$600,$B139)))</f>
        <v>Not stated</v>
      </c>
      <c r="I139" s="19" t="str">
        <f>IF($B139="","",IF(INDEX('Master Database'!$G$1:$G$600,$B139)="","",INDEX('Master Database'!$G$1:$G$600,$B139)))</f>
        <v>Not stated</v>
      </c>
      <c r="J139" s="46" t="str">
        <f>IF($B139="","",IF(INDEX('Master Database'!$H$1:$H$600,$B139)="","",INDEX('Master Database'!$H$1:$H$600,$B139)))</f>
        <v/>
      </c>
      <c r="K139" s="46">
        <f>IF($B139="","",IF(INDEX('Master Database'!$I$1:$I$600,$B139)="","",INDEX('Master Database'!$I$1:$I$600,$B139)))</f>
        <v>120</v>
      </c>
      <c r="L139" s="46">
        <f>IF($B139="","",IF(INDEX('Master Database'!$K$1:$K$600,$B139)="","",INDEX('Master Database'!$K$1:$K$600,$B139)))</f>
        <v>13.7</v>
      </c>
      <c r="M139" s="19" t="str">
        <f>IF($B139="","",IF(INDEX('Master Database'!$L$1:$L$600,$B139)="","",INDEX('Master Database'!$L$1:$L$600,$B139)))</f>
        <v>Not stated</v>
      </c>
      <c r="N139" s="19" t="str">
        <f>IF($B139="","",IF(INDEX('Master Database'!$P$1:$P$600,$B139)="","",INDEX('Master Database'!$P$1:$P$600,$B139)))</f>
        <v>Not stated</v>
      </c>
      <c r="O139" s="19" t="str">
        <f>IF($B139="","",IF(INDEX('Master Database'!$S$1:$S$600,$B139)="","",INDEX('Master Database'!$S$1:$S$600,$B139)))</f>
        <v>Electric Motor</v>
      </c>
      <c r="P139" s="19" t="str">
        <f>IF($B139="","",IF(INDEX('Master Database'!$T$1:$T$600,$B139)="","",INDEX('Master Database'!$T$1:$T$600,$B139)))</f>
        <v>Oily Water / Drain</v>
      </c>
      <c r="Q139" s="19" t="str">
        <f>IF($B139="","",IF(INDEX('Master Database'!$Y$1:$Y$600,$B139)="","",INDEX('Master Database'!$Y$1:$Y$600,$B139)))</f>
        <v>(Not stated)</v>
      </c>
      <c r="R139" s="19" t="str">
        <f>IF($B139="","",IF(INDEX('Master Database'!$Z$1:$Z$600,$B139)="","",INDEX('Master Database'!$Z$1:$Z$600,$B139)))</f>
        <v>USD</v>
      </c>
      <c r="S139" s="47">
        <f>IF($B139="","",IF(INDEX('Master Database'!$AA$1:$AA$600,$B139)="","",INDEX('Master Database'!$AA$1:$AA$600,$B139)))</f>
        <v>40000</v>
      </c>
      <c r="T139" s="19" t="str">
        <f>IF($B139="","",IF(INDEX('Master Database'!$AE$1:$AE$600,$B139)="","",INDEX('Master Database'!$AE$1:$AE$600,$B139)))</f>
        <v>Price (USD) – «نمونه قیمتی نمک‌زدایی» sheet PUMPS; project and year not stated</v>
      </c>
      <c r="U139" s="47" t="str">
        <f>IF($B139="","",IF(INDEX('Master Database'!$AG$1:$AG$600,$B139)="","",INDEX('Master Database'!$AG$1:$AG$600,$B139)))</f>
        <v>(PPI/FX missing)</v>
      </c>
      <c r="V139" s="47" t="str">
        <f>IF($B139="","",IF(INDEX('Master Database'!$AH$1:$AH$600,$B139)="","",INDEX('Master Database'!$AH$1:$AH$600,$B139)))</f>
        <v/>
      </c>
      <c r="W139" s="47" t="str">
        <f>IF($B139="","",IF(INDEX('Master Database'!$AI$1:$AI$600,$B139)="","",INDEX('Master Database'!$AI$1:$AI$600,$B139)))</f>
        <v/>
      </c>
      <c r="X139" s="19" t="str">
        <f>IF($B139="","",IF(INDEX('Master Database'!$BG$1:$BG$600,$B139)="","",INDEX('Master Database'!$BG$1:$BG$600,$B139)))</f>
        <v>Y</v>
      </c>
      <c r="BA139">
        <f>IF('Master Database'!$A139="",0,IF(AND(OR($B$5="",ISNUMBER(SEARCH($B$5,'Master Database'!$B139&amp;" "&amp;'Master Database'!$D139))),OR($B$6="(All)",'Master Database'!$C139=$B$6),OR($B$7="(All)",'Master Database'!$E139=$B$7),OR($B$8="(All)",'Master Database'!$T139=$B$8),OR($B$9="(All)",'Master Database'!$M139=$B$9),OR($B$10="(All)",'Master Database'!$V139=$B$10),OR($E$5="(All)",'Master Database'!$F139=$E$5),OR($E$6="(All)",'Master Database'!$G139=$E$6),OR($E$7="(All)",'Master Database'!$O139=$E$7),OR($E$8="(All)",'Master Database'!$P139=$E$8),OR($E$9="(All)",'Master Database'!$S139=$E$9),OR($E$10="(All)",'Master Database'!$Y139&amp;""=$E$10&amp;""),OR($H$5="(All)",'Master Database'!$BG139=$H$5),OR($H$6&lt;&gt;"Y",ISNUMBER('Master Database'!$AG139)),OR($H$7="",AND(ISNUMBER('Master Database'!$H139),N('Master Database'!$H139)&gt;=$H$7)),OR($I$7="",AND(ISNUMBER('Master Database'!$H139),N('Master Database'!$H139)&lt;=$I$7)),OR($H$8="",AND(ISNUMBER('Master Database'!$I139),N('Master Database'!$I139)&gt;=$H$8)),OR($I$8="",AND(ISNUMBER('Master Database'!$I139),N('Master Database'!$I139)&lt;=$I$8)),OR($H$9="",AND(ISNUMBER('Master Database'!$K139),N('Master Database'!$K139)&gt;=$H$9)),OR($I$9="",AND(ISNUMBER('Master Database'!$K139),N('Master Database'!$K139)&lt;=$I$9))),1,0))</f>
        <v>1</v>
      </c>
      <c r="BB139">
        <f>IF(BA139=1,COUNTIF($BA$5:BA139,1),"")</f>
        <v>135</v>
      </c>
    </row>
    <row r="140" spans="1:54">
      <c r="A140" s="20">
        <f>IF(125&lt;=SUM($BA$5:$BA$600),125,"")</f>
        <v>125</v>
      </c>
      <c r="B140" s="20">
        <f t="shared" si="3"/>
        <v>129</v>
      </c>
      <c r="C140" s="20">
        <f>IF($B140="","",IF(INDEX('Master Database'!$A$1:$A$600,$B140)="","",INDEX('Master Database'!$A$1:$A$600,$B140)))</f>
        <v>125</v>
      </c>
      <c r="D140" s="19" t="str">
        <f>IF($B140="","",IF(INDEX('Master Database'!$B$1:$B$600,$B140)="","",INDEX('Master Database'!$B$1:$B$600,$B140)))</f>
        <v>Diesel Unlodaing pump</v>
      </c>
      <c r="E140" s="19" t="str">
        <f>IF($B140="","",IF(INDEX('Master Database'!$C$1:$C$600,$B140)="","",INDEX('Master Database'!$C$1:$C$600,$B140)))</f>
        <v>(نام پروژه در فایل قید نشده است) – نمونه قیمتی نمک زدایی (PUMPS.csv)</v>
      </c>
      <c r="F140" s="19" t="str">
        <f>IF($B140="","",IF(INDEX('Master Database'!$D$1:$D$600,$B140)="","",INDEX('Master Database'!$D$1:$D$600,$B140)))</f>
        <v>(Not stated in source document)</v>
      </c>
      <c r="G140" s="19" t="str">
        <f>IF($B140="","",IF(INDEX('Master Database'!$E$1:$E$600,$B140)="","",INDEX('Master Database'!$E$1:$E$600,$B140)))</f>
        <v>ROT-AUX</v>
      </c>
      <c r="H140" s="19" t="str">
        <f>IF($B140="","",IF(INDEX('Master Database'!$F$1:$F$600,$B140)="","",INDEX('Master Database'!$F$1:$F$600,$B140)))</f>
        <v>N/A (non-API 610)</v>
      </c>
      <c r="I140" s="19" t="str">
        <f>IF($B140="","",IF(INDEX('Master Database'!$G$1:$G$600,$B140)="","",INDEX('Master Database'!$G$1:$G$600,$B140)))</f>
        <v>Not stated</v>
      </c>
      <c r="J140" s="46" t="str">
        <f>IF($B140="","",IF(INDEX('Master Database'!$H$1:$H$600,$B140)="","",INDEX('Master Database'!$H$1:$H$600,$B140)))</f>
        <v/>
      </c>
      <c r="K140" s="46">
        <f>IF($B140="","",IF(INDEX('Master Database'!$I$1:$I$600,$B140)="","",INDEX('Master Database'!$I$1:$I$600,$B140)))</f>
        <v>27.2</v>
      </c>
      <c r="L140" s="46" t="str">
        <f>IF($B140="","",IF(INDEX('Master Database'!$K$1:$K$600,$B140)="","",INDEX('Master Database'!$K$1:$K$600,$B140)))</f>
        <v/>
      </c>
      <c r="M140" s="19" t="str">
        <f>IF($B140="","",IF(INDEX('Master Database'!$L$1:$L$600,$B140)="","",INDEX('Master Database'!$L$1:$L$600,$B140)))</f>
        <v>Not stated</v>
      </c>
      <c r="N140" s="19" t="str">
        <f>IF($B140="","",IF(INDEX('Master Database'!$P$1:$P$600,$B140)="","",INDEX('Master Database'!$P$1:$P$600,$B140)))</f>
        <v>Not stated</v>
      </c>
      <c r="O140" s="19" t="str">
        <f>IF($B140="","",IF(INDEX('Master Database'!$S$1:$S$600,$B140)="","",INDEX('Master Database'!$S$1:$S$600,$B140)))</f>
        <v>Not stated</v>
      </c>
      <c r="P140" s="19" t="str">
        <f>IF($B140="","",IF(INDEX('Master Database'!$T$1:$T$600,$B140)="","",INDEX('Master Database'!$T$1:$T$600,$B140)))</f>
        <v>Diesel / Fuel Oil</v>
      </c>
      <c r="Q140" s="19" t="str">
        <f>IF($B140="","",IF(INDEX('Master Database'!$Y$1:$Y$600,$B140)="","",INDEX('Master Database'!$Y$1:$Y$600,$B140)))</f>
        <v>(Not stated)</v>
      </c>
      <c r="R140" s="19" t="str">
        <f>IF($B140="","",IF(INDEX('Master Database'!$Z$1:$Z$600,$B140)="","",INDEX('Master Database'!$Z$1:$Z$600,$B140)))</f>
        <v>USD</v>
      </c>
      <c r="S140" s="47">
        <f>IF($B140="","",IF(INDEX('Master Database'!$AA$1:$AA$600,$B140)="","",INDEX('Master Database'!$AA$1:$AA$600,$B140)))</f>
        <v>5000</v>
      </c>
      <c r="T140" s="19" t="str">
        <f>IF($B140="","",IF(INDEX('Master Database'!$AE$1:$AE$600,$B140)="","",INDEX('Master Database'!$AE$1:$AE$600,$B140)))</f>
        <v>Price (USD) – «نمونه قیمتی نمک‌زدایی» sheet PUMPS; project and year not stated</v>
      </c>
      <c r="U140" s="47" t="str">
        <f>IF($B140="","",IF(INDEX('Master Database'!$AG$1:$AG$600,$B140)="","",INDEX('Master Database'!$AG$1:$AG$600,$B140)))</f>
        <v>(PPI/FX missing)</v>
      </c>
      <c r="V140" s="47" t="str">
        <f>IF($B140="","",IF(INDEX('Master Database'!$AH$1:$AH$600,$B140)="","",INDEX('Master Database'!$AH$1:$AH$600,$B140)))</f>
        <v/>
      </c>
      <c r="W140" s="47" t="str">
        <f>IF($B140="","",IF(INDEX('Master Database'!$AI$1:$AI$600,$B140)="","",INDEX('Master Database'!$AI$1:$AI$600,$B140)))</f>
        <v/>
      </c>
      <c r="X140" s="19" t="str">
        <f>IF($B140="","",IF(INDEX('Master Database'!$BG$1:$BG$600,$B140)="","",INDEX('Master Database'!$BG$1:$BG$600,$B140)))</f>
        <v>Y</v>
      </c>
      <c r="BA140">
        <f>IF('Master Database'!$A140="",0,IF(AND(OR($B$5="",ISNUMBER(SEARCH($B$5,'Master Database'!$B140&amp;" "&amp;'Master Database'!$D140))),OR($B$6="(All)",'Master Database'!$C140=$B$6),OR($B$7="(All)",'Master Database'!$E140=$B$7),OR($B$8="(All)",'Master Database'!$T140=$B$8),OR($B$9="(All)",'Master Database'!$M140=$B$9),OR($B$10="(All)",'Master Database'!$V140=$B$10),OR($E$5="(All)",'Master Database'!$F140=$E$5),OR($E$6="(All)",'Master Database'!$G140=$E$6),OR($E$7="(All)",'Master Database'!$O140=$E$7),OR($E$8="(All)",'Master Database'!$P140=$E$8),OR($E$9="(All)",'Master Database'!$S140=$E$9),OR($E$10="(All)",'Master Database'!$Y140&amp;""=$E$10&amp;""),OR($H$5="(All)",'Master Database'!$BG140=$H$5),OR($H$6&lt;&gt;"Y",ISNUMBER('Master Database'!$AG140)),OR($H$7="",AND(ISNUMBER('Master Database'!$H140),N('Master Database'!$H140)&gt;=$H$7)),OR($I$7="",AND(ISNUMBER('Master Database'!$H140),N('Master Database'!$H140)&lt;=$I$7)),OR($H$8="",AND(ISNUMBER('Master Database'!$I140),N('Master Database'!$I140)&gt;=$H$8)),OR($I$8="",AND(ISNUMBER('Master Database'!$I140),N('Master Database'!$I140)&lt;=$I$8)),OR($H$9="",AND(ISNUMBER('Master Database'!$K140),N('Master Database'!$K140)&gt;=$H$9)),OR($I$9="",AND(ISNUMBER('Master Database'!$K140),N('Master Database'!$K140)&lt;=$I$9))),1,0))</f>
        <v>1</v>
      </c>
      <c r="BB140">
        <f>IF(BA140=1,COUNTIF($BA$5:BA140,1),"")</f>
        <v>136</v>
      </c>
    </row>
    <row r="141" spans="1:54">
      <c r="A141" s="20">
        <f>IF(126&lt;=SUM($BA$5:$BA$600),126,"")</f>
        <v>126</v>
      </c>
      <c r="B141" s="20">
        <f t="shared" si="3"/>
        <v>130</v>
      </c>
      <c r="C141" s="20">
        <f>IF($B141="","",IF(INDEX('Master Database'!$A$1:$A$600,$B141)="","",INDEX('Master Database'!$A$1:$A$600,$B141)))</f>
        <v>126</v>
      </c>
      <c r="D141" s="19" t="str">
        <f>IF($B141="","",IF(INDEX('Master Database'!$B$1:$B$600,$B141)="","",INDEX('Master Database'!$B$1:$B$600,$B141)))</f>
        <v>Diesel Transfer pump</v>
      </c>
      <c r="E141" s="19" t="str">
        <f>IF($B141="","",IF(INDEX('Master Database'!$C$1:$C$600,$B141)="","",INDEX('Master Database'!$C$1:$C$600,$B141)))</f>
        <v>(نام پروژه در فایل قید نشده است) – نمونه قیمتی نمک زدایی (PUMPS.csv)</v>
      </c>
      <c r="F141" s="19" t="str">
        <f>IF($B141="","",IF(INDEX('Master Database'!$D$1:$D$600,$B141)="","",INDEX('Master Database'!$D$1:$D$600,$B141)))</f>
        <v>(Not stated in source document)</v>
      </c>
      <c r="G141" s="19" t="str">
        <f>IF($B141="","",IF(INDEX('Master Database'!$E$1:$E$600,$B141)="","",INDEX('Master Database'!$E$1:$E$600,$B141)))</f>
        <v>ROT-AUX</v>
      </c>
      <c r="H141" s="19" t="str">
        <f>IF($B141="","",IF(INDEX('Master Database'!$F$1:$F$600,$B141)="","",INDEX('Master Database'!$F$1:$F$600,$B141)))</f>
        <v>N/A (non-API 610)</v>
      </c>
      <c r="I141" s="19" t="str">
        <f>IF($B141="","",IF(INDEX('Master Database'!$G$1:$G$600,$B141)="","",INDEX('Master Database'!$G$1:$G$600,$B141)))</f>
        <v>Not stated</v>
      </c>
      <c r="J141" s="46" t="str">
        <f>IF($B141="","",IF(INDEX('Master Database'!$H$1:$H$600,$B141)="","",INDEX('Master Database'!$H$1:$H$600,$B141)))</f>
        <v/>
      </c>
      <c r="K141" s="46">
        <f>IF($B141="","",IF(INDEX('Master Database'!$I$1:$I$600,$B141)="","",INDEX('Master Database'!$I$1:$I$600,$B141)))</f>
        <v>40.799999999999997</v>
      </c>
      <c r="L141" s="46">
        <f>IF($B141="","",IF(INDEX('Master Database'!$K$1:$K$600,$B141)="","",INDEX('Master Database'!$K$1:$K$600,$B141)))</f>
        <v>0.83</v>
      </c>
      <c r="M141" s="19" t="str">
        <f>IF($B141="","",IF(INDEX('Master Database'!$L$1:$L$600,$B141)="","",INDEX('Master Database'!$L$1:$L$600,$B141)))</f>
        <v>Not stated</v>
      </c>
      <c r="N141" s="19" t="str">
        <f>IF($B141="","",IF(INDEX('Master Database'!$P$1:$P$600,$B141)="","",INDEX('Master Database'!$P$1:$P$600,$B141)))</f>
        <v>Not stated</v>
      </c>
      <c r="O141" s="19" t="str">
        <f>IF($B141="","",IF(INDEX('Master Database'!$S$1:$S$600,$B141)="","",INDEX('Master Database'!$S$1:$S$600,$B141)))</f>
        <v>Electric Motor</v>
      </c>
      <c r="P141" s="19" t="str">
        <f>IF($B141="","",IF(INDEX('Master Database'!$T$1:$T$600,$B141)="","",INDEX('Master Database'!$T$1:$T$600,$B141)))</f>
        <v>Diesel / Fuel Oil</v>
      </c>
      <c r="Q141" s="19" t="str">
        <f>IF($B141="","",IF(INDEX('Master Database'!$Y$1:$Y$600,$B141)="","",INDEX('Master Database'!$Y$1:$Y$600,$B141)))</f>
        <v>(Not stated)</v>
      </c>
      <c r="R141" s="19" t="str">
        <f>IF($B141="","",IF(INDEX('Master Database'!$Z$1:$Z$600,$B141)="","",INDEX('Master Database'!$Z$1:$Z$600,$B141)))</f>
        <v>USD</v>
      </c>
      <c r="S141" s="47">
        <f>IF($B141="","",IF(INDEX('Master Database'!$AA$1:$AA$600,$B141)="","",INDEX('Master Database'!$AA$1:$AA$600,$B141)))</f>
        <v>3000</v>
      </c>
      <c r="T141" s="19" t="str">
        <f>IF($B141="","",IF(INDEX('Master Database'!$AE$1:$AE$600,$B141)="","",INDEX('Master Database'!$AE$1:$AE$600,$B141)))</f>
        <v>Price (USD) – «نمونه قیمتی نمک‌زدایی» sheet PUMPS; project and year not stated</v>
      </c>
      <c r="U141" s="47" t="str">
        <f>IF($B141="","",IF(INDEX('Master Database'!$AG$1:$AG$600,$B141)="","",INDEX('Master Database'!$AG$1:$AG$600,$B141)))</f>
        <v>(PPI/FX missing)</v>
      </c>
      <c r="V141" s="47" t="str">
        <f>IF($B141="","",IF(INDEX('Master Database'!$AH$1:$AH$600,$B141)="","",INDEX('Master Database'!$AH$1:$AH$600,$B141)))</f>
        <v/>
      </c>
      <c r="W141" s="47" t="str">
        <f>IF($B141="","",IF(INDEX('Master Database'!$AI$1:$AI$600,$B141)="","",INDEX('Master Database'!$AI$1:$AI$600,$B141)))</f>
        <v/>
      </c>
      <c r="X141" s="19" t="str">
        <f>IF($B141="","",IF(INDEX('Master Database'!$BG$1:$BG$600,$B141)="","",INDEX('Master Database'!$BG$1:$BG$600,$B141)))</f>
        <v>Y</v>
      </c>
      <c r="BA141">
        <f>IF('Master Database'!$A141="",0,IF(AND(OR($B$5="",ISNUMBER(SEARCH($B$5,'Master Database'!$B141&amp;" "&amp;'Master Database'!$D141))),OR($B$6="(All)",'Master Database'!$C141=$B$6),OR($B$7="(All)",'Master Database'!$E141=$B$7),OR($B$8="(All)",'Master Database'!$T141=$B$8),OR($B$9="(All)",'Master Database'!$M141=$B$9),OR($B$10="(All)",'Master Database'!$V141=$B$10),OR($E$5="(All)",'Master Database'!$F141=$E$5),OR($E$6="(All)",'Master Database'!$G141=$E$6),OR($E$7="(All)",'Master Database'!$O141=$E$7),OR($E$8="(All)",'Master Database'!$P141=$E$8),OR($E$9="(All)",'Master Database'!$S141=$E$9),OR($E$10="(All)",'Master Database'!$Y141&amp;""=$E$10&amp;""),OR($H$5="(All)",'Master Database'!$BG141=$H$5),OR($H$6&lt;&gt;"Y",ISNUMBER('Master Database'!$AG141)),OR($H$7="",AND(ISNUMBER('Master Database'!$H141),N('Master Database'!$H141)&gt;=$H$7)),OR($I$7="",AND(ISNUMBER('Master Database'!$H141),N('Master Database'!$H141)&lt;=$I$7)),OR($H$8="",AND(ISNUMBER('Master Database'!$I141),N('Master Database'!$I141)&gt;=$H$8)),OR($I$8="",AND(ISNUMBER('Master Database'!$I141),N('Master Database'!$I141)&lt;=$I$8)),OR($H$9="",AND(ISNUMBER('Master Database'!$K141),N('Master Database'!$K141)&gt;=$H$9)),OR($I$9="",AND(ISNUMBER('Master Database'!$K141),N('Master Database'!$K141)&lt;=$I$9))),1,0))</f>
        <v>1</v>
      </c>
      <c r="BB141">
        <f>IF(BA141=1,COUNTIF($BA$5:BA141,1),"")</f>
        <v>137</v>
      </c>
    </row>
    <row r="142" spans="1:54">
      <c r="A142" s="20">
        <f>IF(127&lt;=SUM($BA$5:$BA$600),127,"")</f>
        <v>127</v>
      </c>
      <c r="B142" s="20">
        <f t="shared" si="3"/>
        <v>131</v>
      </c>
      <c r="C142" s="20">
        <f>IF($B142="","",IF(INDEX('Master Database'!$A$1:$A$600,$B142)="","",INDEX('Master Database'!$A$1:$A$600,$B142)))</f>
        <v>127</v>
      </c>
      <c r="D142" s="19" t="str">
        <f>IF($B142="","",IF(INDEX('Master Database'!$B$1:$B$600,$B142)="","",INDEX('Master Database'!$B$1:$B$600,$B142)))</f>
        <v>Sludge Discharge Water Jet Pump</v>
      </c>
      <c r="E142" s="19" t="str">
        <f>IF($B142="","",IF(INDEX('Master Database'!$C$1:$C$600,$B142)="","",INDEX('Master Database'!$C$1:$C$600,$B142)))</f>
        <v>(نام پروژه در فایل قید نشده است) – نمونه قیمتی نمک زدایی (PUMPS.csv)</v>
      </c>
      <c r="F142" s="19" t="str">
        <f>IF($B142="","",IF(INDEX('Master Database'!$D$1:$D$600,$B142)="","",INDEX('Master Database'!$D$1:$D$600,$B142)))</f>
        <v>(Not stated in source document)</v>
      </c>
      <c r="G142" s="19" t="str">
        <f>IF($B142="","",IF(INDEX('Master Database'!$E$1:$E$600,$B142)="","",INDEX('Master Database'!$E$1:$E$600,$B142)))</f>
        <v>ROT-WAT</v>
      </c>
      <c r="H142" s="19" t="str">
        <f>IF($B142="","",IF(INDEX('Master Database'!$F$1:$F$600,$B142)="","",INDEX('Master Database'!$F$1:$F$600,$B142)))</f>
        <v>Not stated</v>
      </c>
      <c r="I142" s="19" t="str">
        <f>IF($B142="","",IF(INDEX('Master Database'!$G$1:$G$600,$B142)="","",INDEX('Master Database'!$G$1:$G$600,$B142)))</f>
        <v>Not stated</v>
      </c>
      <c r="J142" s="46" t="str">
        <f>IF($B142="","",IF(INDEX('Master Database'!$H$1:$H$600,$B142)="","",INDEX('Master Database'!$H$1:$H$600,$B142)))</f>
        <v/>
      </c>
      <c r="K142" s="46" t="str">
        <f>IF($B142="","",IF(INDEX('Master Database'!$I$1:$I$600,$B142)="","",INDEX('Master Database'!$I$1:$I$600,$B142)))</f>
        <v/>
      </c>
      <c r="L142" s="46" t="str">
        <f>IF($B142="","",IF(INDEX('Master Database'!$K$1:$K$600,$B142)="","",INDEX('Master Database'!$K$1:$K$600,$B142)))</f>
        <v/>
      </c>
      <c r="M142" s="19" t="str">
        <f>IF($B142="","",IF(INDEX('Master Database'!$L$1:$L$600,$B142)="","",INDEX('Master Database'!$L$1:$L$600,$B142)))</f>
        <v>Not stated</v>
      </c>
      <c r="N142" s="19" t="str">
        <f>IF($B142="","",IF(INDEX('Master Database'!$P$1:$P$600,$B142)="","",INDEX('Master Database'!$P$1:$P$600,$B142)))</f>
        <v>Not stated</v>
      </c>
      <c r="O142" s="19" t="str">
        <f>IF($B142="","",IF(INDEX('Master Database'!$S$1:$S$600,$B142)="","",INDEX('Master Database'!$S$1:$S$600,$B142)))</f>
        <v>Electric Motor</v>
      </c>
      <c r="P142" s="19" t="str">
        <f>IF($B142="","",IF(INDEX('Master Database'!$T$1:$T$600,$B142)="","",INDEX('Master Database'!$T$1:$T$600,$B142)))</f>
        <v>Process / Dilution Water</v>
      </c>
      <c r="Q142" s="19" t="str">
        <f>IF($B142="","",IF(INDEX('Master Database'!$Y$1:$Y$600,$B142)="","",INDEX('Master Database'!$Y$1:$Y$600,$B142)))</f>
        <v>(Not stated)</v>
      </c>
      <c r="R142" s="19" t="str">
        <f>IF($B142="","",IF(INDEX('Master Database'!$Z$1:$Z$600,$B142)="","",INDEX('Master Database'!$Z$1:$Z$600,$B142)))</f>
        <v>USD</v>
      </c>
      <c r="S142" s="47">
        <f>IF($B142="","",IF(INDEX('Master Database'!$AA$1:$AA$600,$B142)="","",INDEX('Master Database'!$AA$1:$AA$600,$B142)))</f>
        <v>3000</v>
      </c>
      <c r="T142" s="19" t="str">
        <f>IF($B142="","",IF(INDEX('Master Database'!$AE$1:$AE$600,$B142)="","",INDEX('Master Database'!$AE$1:$AE$600,$B142)))</f>
        <v>Price (USD) – «نمونه قیمتی نمک‌زدایی» sheet PUMPS; project and year not stated</v>
      </c>
      <c r="U142" s="47" t="str">
        <f>IF($B142="","",IF(INDEX('Master Database'!$AG$1:$AG$600,$B142)="","",INDEX('Master Database'!$AG$1:$AG$600,$B142)))</f>
        <v>(PPI/FX missing)</v>
      </c>
      <c r="V142" s="47" t="str">
        <f>IF($B142="","",IF(INDEX('Master Database'!$AH$1:$AH$600,$B142)="","",INDEX('Master Database'!$AH$1:$AH$600,$B142)))</f>
        <v/>
      </c>
      <c r="W142" s="47" t="str">
        <f>IF($B142="","",IF(INDEX('Master Database'!$AI$1:$AI$600,$B142)="","",INDEX('Master Database'!$AI$1:$AI$600,$B142)))</f>
        <v/>
      </c>
      <c r="X142" s="19" t="str">
        <f>IF($B142="","",IF(INDEX('Master Database'!$BG$1:$BG$600,$B142)="","",INDEX('Master Database'!$BG$1:$BG$600,$B142)))</f>
        <v>Y</v>
      </c>
      <c r="BA142">
        <f>IF('Master Database'!$A142="",0,IF(AND(OR($B$5="",ISNUMBER(SEARCH($B$5,'Master Database'!$B142&amp;" "&amp;'Master Database'!$D142))),OR($B$6="(All)",'Master Database'!$C142=$B$6),OR($B$7="(All)",'Master Database'!$E142=$B$7),OR($B$8="(All)",'Master Database'!$T142=$B$8),OR($B$9="(All)",'Master Database'!$M142=$B$9),OR($B$10="(All)",'Master Database'!$V142=$B$10),OR($E$5="(All)",'Master Database'!$F142=$E$5),OR($E$6="(All)",'Master Database'!$G142=$E$6),OR($E$7="(All)",'Master Database'!$O142=$E$7),OR($E$8="(All)",'Master Database'!$P142=$E$8),OR($E$9="(All)",'Master Database'!$S142=$E$9),OR($E$10="(All)",'Master Database'!$Y142&amp;""=$E$10&amp;""),OR($H$5="(All)",'Master Database'!$BG142=$H$5),OR($H$6&lt;&gt;"Y",ISNUMBER('Master Database'!$AG142)),OR($H$7="",AND(ISNUMBER('Master Database'!$H142),N('Master Database'!$H142)&gt;=$H$7)),OR($I$7="",AND(ISNUMBER('Master Database'!$H142),N('Master Database'!$H142)&lt;=$I$7)),OR($H$8="",AND(ISNUMBER('Master Database'!$I142),N('Master Database'!$I142)&gt;=$H$8)),OR($I$8="",AND(ISNUMBER('Master Database'!$I142),N('Master Database'!$I142)&lt;=$I$8)),OR($H$9="",AND(ISNUMBER('Master Database'!$K142),N('Master Database'!$K142)&gt;=$H$9)),OR($I$9="",AND(ISNUMBER('Master Database'!$K142),N('Master Database'!$K142)&lt;=$I$9))),1,0))</f>
        <v>1</v>
      </c>
      <c r="BB142">
        <f>IF(BA142=1,COUNTIF($BA$5:BA142,1),"")</f>
        <v>138</v>
      </c>
    </row>
    <row r="143" spans="1:54">
      <c r="A143" s="20">
        <f>IF(128&lt;=SUM($BA$5:$BA$600),128,"")</f>
        <v>128</v>
      </c>
      <c r="B143" s="20">
        <f t="shared" si="3"/>
        <v>132</v>
      </c>
      <c r="C143" s="20">
        <f>IF($B143="","",IF(INDEX('Master Database'!$A$1:$A$600,$B143)="","",INDEX('Master Database'!$A$1:$A$600,$B143)))</f>
        <v>128</v>
      </c>
      <c r="D143" s="19" t="str">
        <f>IF($B143="","",IF(INDEX('Master Database'!$B$1:$B$600,$B143)="","",INDEX('Master Database'!$B$1:$B$600,$B143)))</f>
        <v>Flare KO Drum Pumps</v>
      </c>
      <c r="E143" s="19" t="str">
        <f>IF($B143="","",IF(INDEX('Master Database'!$C$1:$C$600,$B143)="","",INDEX('Master Database'!$C$1:$C$600,$B143)))</f>
        <v>(نام پروژه در فایل قید نشده است) – نمونه قیمتی نمک زدایی (PUMPS.csv)</v>
      </c>
      <c r="F143" s="19" t="str">
        <f>IF($B143="","",IF(INDEX('Master Database'!$D$1:$D$600,$B143)="","",INDEX('Master Database'!$D$1:$D$600,$B143)))</f>
        <v>(Not stated in source document)</v>
      </c>
      <c r="G143" s="19" t="str">
        <f>IF($B143="","",IF(INDEX('Master Database'!$E$1:$E$600,$B143)="","",INDEX('Master Database'!$E$1:$E$600,$B143)))</f>
        <v>ROT-DRN</v>
      </c>
      <c r="H143" s="19" t="str">
        <f>IF($B143="","",IF(INDEX('Master Database'!$F$1:$F$600,$B143)="","",INDEX('Master Database'!$F$1:$F$600,$B143)))</f>
        <v>Not stated</v>
      </c>
      <c r="I143" s="19" t="str">
        <f>IF($B143="","",IF(INDEX('Master Database'!$G$1:$G$600,$B143)="","",INDEX('Master Database'!$G$1:$G$600,$B143)))</f>
        <v>Not stated</v>
      </c>
      <c r="J143" s="46" t="str">
        <f>IF($B143="","",IF(INDEX('Master Database'!$H$1:$H$600,$B143)="","",INDEX('Master Database'!$H$1:$H$600,$B143)))</f>
        <v/>
      </c>
      <c r="K143" s="46" t="str">
        <f>IF($B143="","",IF(INDEX('Master Database'!$I$1:$I$600,$B143)="","",INDEX('Master Database'!$I$1:$I$600,$B143)))</f>
        <v/>
      </c>
      <c r="L143" s="46" t="str">
        <f>IF($B143="","",IF(INDEX('Master Database'!$K$1:$K$600,$B143)="","",INDEX('Master Database'!$K$1:$K$600,$B143)))</f>
        <v/>
      </c>
      <c r="M143" s="19" t="str">
        <f>IF($B143="","",IF(INDEX('Master Database'!$L$1:$L$600,$B143)="","",INDEX('Master Database'!$L$1:$L$600,$B143)))</f>
        <v>Not stated</v>
      </c>
      <c r="N143" s="19" t="str">
        <f>IF($B143="","",IF(INDEX('Master Database'!$P$1:$P$600,$B143)="","",INDEX('Master Database'!$P$1:$P$600,$B143)))</f>
        <v>Not stated</v>
      </c>
      <c r="O143" s="19" t="str">
        <f>IF($B143="","",IF(INDEX('Master Database'!$S$1:$S$600,$B143)="","",INDEX('Master Database'!$S$1:$S$600,$B143)))</f>
        <v>Electric Motor</v>
      </c>
      <c r="P143" s="19" t="str">
        <f>IF($B143="","",IF(INDEX('Master Database'!$T$1:$T$600,$B143)="","",INDEX('Master Database'!$T$1:$T$600,$B143)))</f>
        <v>Oily Water / Drain</v>
      </c>
      <c r="Q143" s="19" t="str">
        <f>IF($B143="","",IF(INDEX('Master Database'!$Y$1:$Y$600,$B143)="","",INDEX('Master Database'!$Y$1:$Y$600,$B143)))</f>
        <v>(Not stated)</v>
      </c>
      <c r="R143" s="19" t="str">
        <f>IF($B143="","",IF(INDEX('Master Database'!$Z$1:$Z$600,$B143)="","",INDEX('Master Database'!$Z$1:$Z$600,$B143)))</f>
        <v>USD</v>
      </c>
      <c r="S143" s="47">
        <f>IF($B143="","",IF(INDEX('Master Database'!$AA$1:$AA$600,$B143)="","",INDEX('Master Database'!$AA$1:$AA$600,$B143)))</f>
        <v>40000</v>
      </c>
      <c r="T143" s="19" t="str">
        <f>IF($B143="","",IF(INDEX('Master Database'!$AE$1:$AE$600,$B143)="","",INDEX('Master Database'!$AE$1:$AE$600,$B143)))</f>
        <v>Price (USD) – «نمونه قیمتی نمک‌زدایی» sheet PUMPS; project and year not stated</v>
      </c>
      <c r="U143" s="47" t="str">
        <f>IF($B143="","",IF(INDEX('Master Database'!$AG$1:$AG$600,$B143)="","",INDEX('Master Database'!$AG$1:$AG$600,$B143)))</f>
        <v>(PPI/FX missing)</v>
      </c>
      <c r="V143" s="47" t="str">
        <f>IF($B143="","",IF(INDEX('Master Database'!$AH$1:$AH$600,$B143)="","",INDEX('Master Database'!$AH$1:$AH$600,$B143)))</f>
        <v/>
      </c>
      <c r="W143" s="47" t="str">
        <f>IF($B143="","",IF(INDEX('Master Database'!$AI$1:$AI$600,$B143)="","",INDEX('Master Database'!$AI$1:$AI$600,$B143)))</f>
        <v/>
      </c>
      <c r="X143" s="19" t="str">
        <f>IF($B143="","",IF(INDEX('Master Database'!$BG$1:$BG$600,$B143)="","",INDEX('Master Database'!$BG$1:$BG$600,$B143)))</f>
        <v>Y</v>
      </c>
      <c r="BA143">
        <f>IF('Master Database'!$A143="",0,IF(AND(OR($B$5="",ISNUMBER(SEARCH($B$5,'Master Database'!$B143&amp;" "&amp;'Master Database'!$D143))),OR($B$6="(All)",'Master Database'!$C143=$B$6),OR($B$7="(All)",'Master Database'!$E143=$B$7),OR($B$8="(All)",'Master Database'!$T143=$B$8),OR($B$9="(All)",'Master Database'!$M143=$B$9),OR($B$10="(All)",'Master Database'!$V143=$B$10),OR($E$5="(All)",'Master Database'!$F143=$E$5),OR($E$6="(All)",'Master Database'!$G143=$E$6),OR($E$7="(All)",'Master Database'!$O143=$E$7),OR($E$8="(All)",'Master Database'!$P143=$E$8),OR($E$9="(All)",'Master Database'!$S143=$E$9),OR($E$10="(All)",'Master Database'!$Y143&amp;""=$E$10&amp;""),OR($H$5="(All)",'Master Database'!$BG143=$H$5),OR($H$6&lt;&gt;"Y",ISNUMBER('Master Database'!$AG143)),OR($H$7="",AND(ISNUMBER('Master Database'!$H143),N('Master Database'!$H143)&gt;=$H$7)),OR($I$7="",AND(ISNUMBER('Master Database'!$H143),N('Master Database'!$H143)&lt;=$I$7)),OR($H$8="",AND(ISNUMBER('Master Database'!$I143),N('Master Database'!$I143)&gt;=$H$8)),OR($I$8="",AND(ISNUMBER('Master Database'!$I143),N('Master Database'!$I143)&lt;=$I$8)),OR($H$9="",AND(ISNUMBER('Master Database'!$K143),N('Master Database'!$K143)&gt;=$H$9)),OR($I$9="",AND(ISNUMBER('Master Database'!$K143),N('Master Database'!$K143)&lt;=$I$9))),1,0))</f>
        <v>1</v>
      </c>
      <c r="BB143">
        <f>IF(BA143=1,COUNTIF($BA$5:BA143,1),"")</f>
        <v>139</v>
      </c>
    </row>
    <row r="144" spans="1:54">
      <c r="A144" s="20">
        <f>IF(129&lt;=SUM($BA$5:$BA$600),129,"")</f>
        <v>129</v>
      </c>
      <c r="B144" s="20">
        <f t="shared" ref="B144:B175" si="4">IF(A144="","",MATCH(A144,$BB$5:$BB$600,0)+4)</f>
        <v>133</v>
      </c>
      <c r="C144" s="20">
        <f>IF($B144="","",IF(INDEX('Master Database'!$A$1:$A$600,$B144)="","",INDEX('Master Database'!$A$1:$A$600,$B144)))</f>
        <v>129</v>
      </c>
      <c r="D144" s="19" t="str">
        <f>IF($B144="","",IF(INDEX('Master Database'!$B$1:$B$600,$B144)="","",INDEX('Master Database'!$B$1:$B$600,$B144)))</f>
        <v>Off Spec. Crude Pumps</v>
      </c>
      <c r="E144" s="19" t="str">
        <f>IF($B144="","",IF(INDEX('Master Database'!$C$1:$C$600,$B144)="","",INDEX('Master Database'!$C$1:$C$600,$B144)))</f>
        <v>Pazanan 2</v>
      </c>
      <c r="F144" s="19" t="str">
        <f>IF($B144="","",IF(INDEX('Master Database'!$D$1:$D$600,$B144)="","",INDEX('Master Database'!$D$1:$D$600,$B144)))</f>
        <v>P-111 A/B</v>
      </c>
      <c r="G144" s="19" t="str">
        <f>IF($B144="","",IF(INDEX('Master Database'!$E$1:$E$600,$B144)="","",INDEX('Master Database'!$E$1:$E$600,$B144)))</f>
        <v>ROT-CRU</v>
      </c>
      <c r="H144" s="19" t="str">
        <f>IF($B144="","",IF(INDEX('Master Database'!$F$1:$F$600,$B144)="","",INDEX('Master Database'!$F$1:$F$600,$B144)))</f>
        <v>VS6</v>
      </c>
      <c r="I144" s="19" t="str">
        <f>IF($B144="","",IF(INDEX('Master Database'!$G$1:$G$600,$B144)="","",INDEX('Master Database'!$G$1:$G$600,$B144)))</f>
        <v>D-1</v>
      </c>
      <c r="J144" s="46">
        <f>IF($B144="","",IF(INDEX('Master Database'!$H$1:$H$600,$B144)="","",INDEX('Master Database'!$H$1:$H$600,$B144)))</f>
        <v>45</v>
      </c>
      <c r="K144" s="46">
        <f>IF($B144="","",IF(INDEX('Master Database'!$I$1:$I$600,$B144)="","",INDEX('Master Database'!$I$1:$I$600,$B144)))</f>
        <v>139.1</v>
      </c>
      <c r="L144" s="46">
        <f>IF($B144="","",IF(INDEX('Master Database'!$K$1:$K$600,$B144)="","",INDEX('Master Database'!$K$1:$K$600,$B144)))</f>
        <v>28.426430517711172</v>
      </c>
      <c r="M144" s="19" t="str">
        <f>IF($B144="","",IF(INDEX('Master Database'!$L$1:$L$600,$B144)="","",INDEX('Master Database'!$L$1:$L$600,$B144)))</f>
        <v>API 610 + IPS-G-PM-105 + NACE MR0175</v>
      </c>
      <c r="N144" s="19" t="str">
        <f>IF($B144="","",IF(INDEX('Master Database'!$P$1:$P$600,$B144)="","",INDEX('Master Database'!$P$1:$P$600,$B144)))</f>
        <v>Not stated</v>
      </c>
      <c r="O144" s="19" t="str">
        <f>IF($B144="","",IF(INDEX('Master Database'!$S$1:$S$600,$B144)="","",INDEX('Master Database'!$S$1:$S$600,$B144)))</f>
        <v>Electric Motor</v>
      </c>
      <c r="P144" s="19" t="str">
        <f>IF($B144="","",IF(INDEX('Master Database'!$T$1:$T$600,$B144)="","",INDEX('Master Database'!$T$1:$T$600,$B144)))</f>
        <v>Crude Oil</v>
      </c>
      <c r="Q144" s="19">
        <f>IF($B144="","",IF(INDEX('Master Database'!$Y$1:$Y$600,$B144)="","",INDEX('Master Database'!$Y$1:$Y$600,$B144)))</f>
        <v>1393</v>
      </c>
      <c r="R144" s="19" t="str">
        <f>IF($B144="","",IF(INDEX('Master Database'!$Z$1:$Z$600,$B144)="","",INDEX('Master Database'!$Z$1:$Z$600,$B144)))</f>
        <v>EUR</v>
      </c>
      <c r="S144" s="47">
        <f>IF($B144="","",IF(INDEX('Master Database'!$AA$1:$AA$600,$B144)="","",INDEX('Master Database'!$AA$1:$AA$600,$B144)))</f>
        <v>75000</v>
      </c>
      <c r="T144" s="19" t="str">
        <f>IF($B144="","",IF(INDEX('Master Database'!$AE$1:$AE$600,$B144)="","",INDEX('Master Database'!$AE$1:$AE$600,$B144)))</f>
        <v>Consultant basic MTO estimate R02 (Feb 2015), PC-ME sheet PUMPS col. AR (FOB EUR)</v>
      </c>
      <c r="U144" s="47">
        <f>IF($B144="","",IF(INDEX('Master Database'!$AG$1:$AG$600,$B144)="","",INDEX('Master Database'!$AG$1:$AG$600,$B144)))</f>
        <v>101330.09294229696</v>
      </c>
      <c r="V144" s="47">
        <f>IF($B144="","",IF(INDEX('Master Database'!$AH$1:$AH$600,$B144)="","",INDEX('Master Database'!$AH$1:$AH$600,$B144)))</f>
        <v>106982.59777384721</v>
      </c>
      <c r="W144" s="47">
        <f>IF($B144="","",IF(INDEX('Master Database'!$AI$1:$AI$600,$B144)="","",INDEX('Master Database'!$AI$1:$AI$600,$B144)))</f>
        <v>70451571059.804932</v>
      </c>
      <c r="X144" s="19" t="str">
        <f>IF($B144="","",IF(INDEX('Master Database'!$BG$1:$BG$600,$B144)="","",INDEX('Master Database'!$BG$1:$BG$600,$B144)))</f>
        <v>Y</v>
      </c>
      <c r="BA144">
        <f>IF('Master Database'!$A144="",0,IF(AND(OR($B$5="",ISNUMBER(SEARCH($B$5,'Master Database'!$B144&amp;" "&amp;'Master Database'!$D144))),OR($B$6="(All)",'Master Database'!$C144=$B$6),OR($B$7="(All)",'Master Database'!$E144=$B$7),OR($B$8="(All)",'Master Database'!$T144=$B$8),OR($B$9="(All)",'Master Database'!$M144=$B$9),OR($B$10="(All)",'Master Database'!$V144=$B$10),OR($E$5="(All)",'Master Database'!$F144=$E$5),OR($E$6="(All)",'Master Database'!$G144=$E$6),OR($E$7="(All)",'Master Database'!$O144=$E$7),OR($E$8="(All)",'Master Database'!$P144=$E$8),OR($E$9="(All)",'Master Database'!$S144=$E$9),OR($E$10="(All)",'Master Database'!$Y144&amp;""=$E$10&amp;""),OR($H$5="(All)",'Master Database'!$BG144=$H$5),OR($H$6&lt;&gt;"Y",ISNUMBER('Master Database'!$AG144)),OR($H$7="",AND(ISNUMBER('Master Database'!$H144),N('Master Database'!$H144)&gt;=$H$7)),OR($I$7="",AND(ISNUMBER('Master Database'!$H144),N('Master Database'!$H144)&lt;=$I$7)),OR($H$8="",AND(ISNUMBER('Master Database'!$I144),N('Master Database'!$I144)&gt;=$H$8)),OR($I$8="",AND(ISNUMBER('Master Database'!$I144),N('Master Database'!$I144)&lt;=$I$8)),OR($H$9="",AND(ISNUMBER('Master Database'!$K144),N('Master Database'!$K144)&gt;=$H$9)),OR($I$9="",AND(ISNUMBER('Master Database'!$K144),N('Master Database'!$K144)&lt;=$I$9))),1,0))</f>
        <v>1</v>
      </c>
      <c r="BB144">
        <f>IF(BA144=1,COUNTIF($BA$5:BA144,1),"")</f>
        <v>140</v>
      </c>
    </row>
    <row r="145" spans="1:54">
      <c r="A145" s="20">
        <f>IF(130&lt;=SUM($BA$5:$BA$600),130,"")</f>
        <v>130</v>
      </c>
      <c r="B145" s="20">
        <f t="shared" si="4"/>
        <v>134</v>
      </c>
      <c r="C145" s="20">
        <f>IF($B145="","",IF(INDEX('Master Database'!$A$1:$A$600,$B145)="","",INDEX('Master Database'!$A$1:$A$600,$B145)))</f>
        <v>130</v>
      </c>
      <c r="D145" s="19" t="str">
        <f>IF($B145="","",IF(INDEX('Master Database'!$B$1:$B$600,$B145)="","",INDEX('Master Database'!$B$1:$B$600,$B145)))</f>
        <v>Deaerated Water Pumps</v>
      </c>
      <c r="E145" s="19" t="str">
        <f>IF($B145="","",IF(INDEX('Master Database'!$C$1:$C$600,$B145)="","",INDEX('Master Database'!$C$1:$C$600,$B145)))</f>
        <v>Pazanan 2</v>
      </c>
      <c r="F145" s="19" t="str">
        <f>IF($B145="","",IF(INDEX('Master Database'!$D$1:$D$600,$B145)="","",INDEX('Master Database'!$D$1:$D$600,$B145)))</f>
        <v>P-122 A/B</v>
      </c>
      <c r="G145" s="19" t="str">
        <f>IF($B145="","",IF(INDEX('Master Database'!$E$1:$E$600,$B145)="","",INDEX('Master Database'!$E$1:$E$600,$B145)))</f>
        <v>ROT-WAT</v>
      </c>
      <c r="H145" s="19" t="str">
        <f>IF($B145="","",IF(INDEX('Master Database'!$F$1:$F$600,$B145)="","",INDEX('Master Database'!$F$1:$F$600,$B145)))</f>
        <v>N/A (non-API 610)</v>
      </c>
      <c r="I145" s="19" t="str">
        <f>IF($B145="","",IF(INDEX('Master Database'!$G$1:$G$600,$B145)="","",INDEX('Master Database'!$G$1:$G$600,$B145)))</f>
        <v>I-2</v>
      </c>
      <c r="J145" s="46">
        <f>IF($B145="","",IF(INDEX('Master Database'!$H$1:$H$600,$B145)="","",INDEX('Master Database'!$H$1:$H$600,$B145)))</f>
        <v>53</v>
      </c>
      <c r="K145" s="46">
        <f>IF($B145="","",IF(INDEX('Master Database'!$I$1:$I$600,$B145)="","",INDEX('Master Database'!$I$1:$I$600,$B145)))</f>
        <v>35.700000000000003</v>
      </c>
      <c r="L145" s="46">
        <f>IF($B145="","",IF(INDEX('Master Database'!$K$1:$K$600,$B145)="","",INDEX('Master Database'!$K$1:$K$600,$B145)))</f>
        <v>8.5926430517711179</v>
      </c>
      <c r="M145" s="19" t="str">
        <f>IF($B145="","",IF(INDEX('Master Database'!$L$1:$L$600,$B145)="","",INDEX('Master Database'!$L$1:$L$600,$B145)))</f>
        <v>ISO 5199 + IPS-M-PM-115</v>
      </c>
      <c r="N145" s="19" t="str">
        <f>IF($B145="","",IF(INDEX('Master Database'!$P$1:$P$600,$B145)="","",INDEX('Master Database'!$P$1:$P$600,$B145)))</f>
        <v>Not stated</v>
      </c>
      <c r="O145" s="19" t="str">
        <f>IF($B145="","",IF(INDEX('Master Database'!$S$1:$S$600,$B145)="","",INDEX('Master Database'!$S$1:$S$600,$B145)))</f>
        <v>Electric Motor</v>
      </c>
      <c r="P145" s="19" t="str">
        <f>IF($B145="","",IF(INDEX('Master Database'!$T$1:$T$600,$B145)="","",INDEX('Master Database'!$T$1:$T$600,$B145)))</f>
        <v>Deaerated Water</v>
      </c>
      <c r="Q145" s="19">
        <f>IF($B145="","",IF(INDEX('Master Database'!$Y$1:$Y$600,$B145)="","",INDEX('Master Database'!$Y$1:$Y$600,$B145)))</f>
        <v>1393</v>
      </c>
      <c r="R145" s="19" t="str">
        <f>IF($B145="","",IF(INDEX('Master Database'!$Z$1:$Z$600,$B145)="","",INDEX('Master Database'!$Z$1:$Z$600,$B145)))</f>
        <v>EUR</v>
      </c>
      <c r="S145" s="47">
        <f>IF($B145="","",IF(INDEX('Master Database'!$AA$1:$AA$600,$B145)="","",INDEX('Master Database'!$AA$1:$AA$600,$B145)))</f>
        <v>10000</v>
      </c>
      <c r="T145" s="19" t="str">
        <f>IF($B145="","",IF(INDEX('Master Database'!$AE$1:$AE$600,$B145)="","",INDEX('Master Database'!$AE$1:$AE$600,$B145)))</f>
        <v>Consultant basic MTO estimate R02 (Feb 2015), PC-ME sheet PUMPS col. AR (FOB EUR)</v>
      </c>
      <c r="U145" s="47">
        <f>IF($B145="","",IF(INDEX('Master Database'!$AG$1:$AG$600,$B145)="","",INDEX('Master Database'!$AG$1:$AG$600,$B145)))</f>
        <v>13510.679058972928</v>
      </c>
      <c r="V145" s="47">
        <f>IF($B145="","",IF(INDEX('Master Database'!$AH$1:$AH$600,$B145)="","",INDEX('Master Database'!$AH$1:$AH$600,$B145)))</f>
        <v>14264.346369846295</v>
      </c>
      <c r="W145" s="47">
        <f>IF($B145="","",IF(INDEX('Master Database'!$AI$1:$AI$600,$B145)="","",INDEX('Master Database'!$AI$1:$AI$600,$B145)))</f>
        <v>9393542807.9739895</v>
      </c>
      <c r="X145" s="19" t="str">
        <f>IF($B145="","",IF(INDEX('Master Database'!$BG$1:$BG$600,$B145)="","",INDEX('Master Database'!$BG$1:$BG$600,$B145)))</f>
        <v>Y</v>
      </c>
      <c r="BA145">
        <f>IF('Master Database'!$A145="",0,IF(AND(OR($B$5="",ISNUMBER(SEARCH($B$5,'Master Database'!$B145&amp;" "&amp;'Master Database'!$D145))),OR($B$6="(All)",'Master Database'!$C145=$B$6),OR($B$7="(All)",'Master Database'!$E145=$B$7),OR($B$8="(All)",'Master Database'!$T145=$B$8),OR($B$9="(All)",'Master Database'!$M145=$B$9),OR($B$10="(All)",'Master Database'!$V145=$B$10),OR($E$5="(All)",'Master Database'!$F145=$E$5),OR($E$6="(All)",'Master Database'!$G145=$E$6),OR($E$7="(All)",'Master Database'!$O145=$E$7),OR($E$8="(All)",'Master Database'!$P145=$E$8),OR($E$9="(All)",'Master Database'!$S145=$E$9),OR($E$10="(All)",'Master Database'!$Y145&amp;""=$E$10&amp;""),OR($H$5="(All)",'Master Database'!$BG145=$H$5),OR($H$6&lt;&gt;"Y",ISNUMBER('Master Database'!$AG145)),OR($H$7="",AND(ISNUMBER('Master Database'!$H145),N('Master Database'!$H145)&gt;=$H$7)),OR($I$7="",AND(ISNUMBER('Master Database'!$H145),N('Master Database'!$H145)&lt;=$I$7)),OR($H$8="",AND(ISNUMBER('Master Database'!$I145),N('Master Database'!$I145)&gt;=$H$8)),OR($I$8="",AND(ISNUMBER('Master Database'!$I145),N('Master Database'!$I145)&lt;=$I$8)),OR($H$9="",AND(ISNUMBER('Master Database'!$K145),N('Master Database'!$K145)&gt;=$H$9)),OR($I$9="",AND(ISNUMBER('Master Database'!$K145),N('Master Database'!$K145)&lt;=$I$9))),1,0))</f>
        <v>1</v>
      </c>
      <c r="BB145">
        <f>IF(BA145=1,COUNTIF($BA$5:BA145,1),"")</f>
        <v>141</v>
      </c>
    </row>
    <row r="146" spans="1:54">
      <c r="A146" s="20">
        <f>IF(131&lt;=SUM($BA$5:$BA$600),131,"")</f>
        <v>131</v>
      </c>
      <c r="B146" s="20">
        <f t="shared" si="4"/>
        <v>135</v>
      </c>
      <c r="C146" s="20">
        <f>IF($B146="","",IF(INDEX('Master Database'!$A$1:$A$600,$B146)="","",INDEX('Master Database'!$A$1:$A$600,$B146)))</f>
        <v>131</v>
      </c>
      <c r="D146" s="19" t="str">
        <f>IF($B146="","",IF(INDEX('Master Database'!$B$1:$B$600,$B146)="","",INDEX('Master Database'!$B$1:$B$600,$B146)))</f>
        <v>Dilution Water Pump</v>
      </c>
      <c r="E146" s="19" t="str">
        <f>IF($B146="","",IF(INDEX('Master Database'!$C$1:$C$600,$B146)="","",INDEX('Master Database'!$C$1:$C$600,$B146)))</f>
        <v>Pazanan 2</v>
      </c>
      <c r="F146" s="19" t="str">
        <f>IF($B146="","",IF(INDEX('Master Database'!$D$1:$D$600,$B146)="","",INDEX('Master Database'!$D$1:$D$600,$B146)))</f>
        <v>P-124</v>
      </c>
      <c r="G146" s="19" t="str">
        <f>IF($B146="","",IF(INDEX('Master Database'!$E$1:$E$600,$B146)="","",INDEX('Master Database'!$E$1:$E$600,$B146)))</f>
        <v>ROT-WAT</v>
      </c>
      <c r="H146" s="19" t="str">
        <f>IF($B146="","",IF(INDEX('Master Database'!$F$1:$F$600,$B146)="","",INDEX('Master Database'!$F$1:$F$600,$B146)))</f>
        <v>OH2</v>
      </c>
      <c r="I146" s="19" t="str">
        <f>IF($B146="","",IF(INDEX('Master Database'!$G$1:$G$600,$B146)="","",INDEX('Master Database'!$G$1:$G$600,$B146)))</f>
        <v>I-2</v>
      </c>
      <c r="J146" s="46">
        <f>IF($B146="","",IF(INDEX('Master Database'!$H$1:$H$600,$B146)="","",INDEX('Master Database'!$H$1:$H$600,$B146)))</f>
        <v>53</v>
      </c>
      <c r="K146" s="46">
        <f>IF($B146="","",IF(INDEX('Master Database'!$I$1:$I$600,$B146)="","",INDEX('Master Database'!$I$1:$I$600,$B146)))</f>
        <v>122.3</v>
      </c>
      <c r="L146" s="46">
        <f>IF($B146="","",IF(INDEX('Master Database'!$K$1:$K$600,$B146)="","",INDEX('Master Database'!$K$1:$K$600,$B146)))</f>
        <v>29.436421435059039</v>
      </c>
      <c r="M146" s="19" t="str">
        <f>IF($B146="","",IF(INDEX('Master Database'!$L$1:$L$600,$B146)="","",INDEX('Master Database'!$L$1:$L$600,$B146)))</f>
        <v>API 610 + IPS-G-PM-105</v>
      </c>
      <c r="N146" s="19" t="str">
        <f>IF($B146="","",IF(INDEX('Master Database'!$P$1:$P$600,$B146)="","",INDEX('Master Database'!$P$1:$P$600,$B146)))</f>
        <v>Not stated</v>
      </c>
      <c r="O146" s="19" t="str">
        <f>IF($B146="","",IF(INDEX('Master Database'!$S$1:$S$600,$B146)="","",INDEX('Master Database'!$S$1:$S$600,$B146)))</f>
        <v>Electric Motor</v>
      </c>
      <c r="P146" s="19" t="str">
        <f>IF($B146="","",IF(INDEX('Master Database'!$T$1:$T$600,$B146)="","",INDEX('Master Database'!$T$1:$T$600,$B146)))</f>
        <v>Process / Dilution Water</v>
      </c>
      <c r="Q146" s="19">
        <f>IF($B146="","",IF(INDEX('Master Database'!$Y$1:$Y$600,$B146)="","",INDEX('Master Database'!$Y$1:$Y$600,$B146)))</f>
        <v>1393</v>
      </c>
      <c r="R146" s="19" t="str">
        <f>IF($B146="","",IF(INDEX('Master Database'!$Z$1:$Z$600,$B146)="","",INDEX('Master Database'!$Z$1:$Z$600,$B146)))</f>
        <v>EUR</v>
      </c>
      <c r="S146" s="47">
        <f>IF($B146="","",IF(INDEX('Master Database'!$AA$1:$AA$600,$B146)="","",INDEX('Master Database'!$AA$1:$AA$600,$B146)))</f>
        <v>15000</v>
      </c>
      <c r="T146" s="19" t="str">
        <f>IF($B146="","",IF(INDEX('Master Database'!$AE$1:$AE$600,$B146)="","",INDEX('Master Database'!$AE$1:$AE$600,$B146)))</f>
        <v>Consultant basic MTO estimate R02 (Feb 2015), PC-ME sheet PUMPS col. AR (FOB EUR)</v>
      </c>
      <c r="U146" s="47">
        <f>IF($B146="","",IF(INDEX('Master Database'!$AG$1:$AG$600,$B146)="","",INDEX('Master Database'!$AG$1:$AG$600,$B146)))</f>
        <v>20266.018588459392</v>
      </c>
      <c r="V146" s="47">
        <f>IF($B146="","",IF(INDEX('Master Database'!$AH$1:$AH$600,$B146)="","",INDEX('Master Database'!$AH$1:$AH$600,$B146)))</f>
        <v>21396.519554769442</v>
      </c>
      <c r="W146" s="47">
        <f>IF($B146="","",IF(INDEX('Master Database'!$AI$1:$AI$600,$B146)="","",INDEX('Master Database'!$AI$1:$AI$600,$B146)))</f>
        <v>14090314211.960985</v>
      </c>
      <c r="X146" s="19" t="str">
        <f>IF($B146="","",IF(INDEX('Master Database'!$BG$1:$BG$600,$B146)="","",INDEX('Master Database'!$BG$1:$BG$600,$B146)))</f>
        <v>Y</v>
      </c>
      <c r="BA146">
        <f>IF('Master Database'!$A146="",0,IF(AND(OR($B$5="",ISNUMBER(SEARCH($B$5,'Master Database'!$B146&amp;" "&amp;'Master Database'!$D146))),OR($B$6="(All)",'Master Database'!$C146=$B$6),OR($B$7="(All)",'Master Database'!$E146=$B$7),OR($B$8="(All)",'Master Database'!$T146=$B$8),OR($B$9="(All)",'Master Database'!$M146=$B$9),OR($B$10="(All)",'Master Database'!$V146=$B$10),OR($E$5="(All)",'Master Database'!$F146=$E$5),OR($E$6="(All)",'Master Database'!$G146=$E$6),OR($E$7="(All)",'Master Database'!$O146=$E$7),OR($E$8="(All)",'Master Database'!$P146=$E$8),OR($E$9="(All)",'Master Database'!$S146=$E$9),OR($E$10="(All)",'Master Database'!$Y146&amp;""=$E$10&amp;""),OR($H$5="(All)",'Master Database'!$BG146=$H$5),OR($H$6&lt;&gt;"Y",ISNUMBER('Master Database'!$AG146)),OR($H$7="",AND(ISNUMBER('Master Database'!$H146),N('Master Database'!$H146)&gt;=$H$7)),OR($I$7="",AND(ISNUMBER('Master Database'!$H146),N('Master Database'!$H146)&lt;=$I$7)),OR($H$8="",AND(ISNUMBER('Master Database'!$I146),N('Master Database'!$I146)&gt;=$H$8)),OR($I$8="",AND(ISNUMBER('Master Database'!$I146),N('Master Database'!$I146)&lt;=$I$8)),OR($H$9="",AND(ISNUMBER('Master Database'!$K146),N('Master Database'!$K146)&gt;=$H$9)),OR($I$9="",AND(ISNUMBER('Master Database'!$K146),N('Master Database'!$K146)&lt;=$I$9))),1,0))</f>
        <v>1</v>
      </c>
      <c r="BB146">
        <f>IF(BA146=1,COUNTIF($BA$5:BA146,1),"")</f>
        <v>142</v>
      </c>
    </row>
    <row r="147" spans="1:54">
      <c r="A147" s="20">
        <f>IF(132&lt;=SUM($BA$5:$BA$600),132,"")</f>
        <v>132</v>
      </c>
      <c r="B147" s="20">
        <f t="shared" si="4"/>
        <v>136</v>
      </c>
      <c r="C147" s="20">
        <f>IF($B147="","",IF(INDEX('Master Database'!$A$1:$A$600,$B147)="","",INDEX('Master Database'!$A$1:$A$600,$B147)))</f>
        <v>132</v>
      </c>
      <c r="D147" s="19" t="str">
        <f>IF($B147="","",IF(INDEX('Master Database'!$B$1:$B$600,$B147)="","",INDEX('Master Database'!$B$1:$B$600,$B147)))</f>
        <v>Dilution Water Pumps</v>
      </c>
      <c r="E147" s="19" t="str">
        <f>IF($B147="","",IF(INDEX('Master Database'!$C$1:$C$600,$B147)="","",INDEX('Master Database'!$C$1:$C$600,$B147)))</f>
        <v>Pazanan 2</v>
      </c>
      <c r="F147" s="19" t="str">
        <f>IF($B147="","",IF(INDEX('Master Database'!$D$1:$D$600,$B147)="","",INDEX('Master Database'!$D$1:$D$600,$B147)))</f>
        <v>P-125 A/B</v>
      </c>
      <c r="G147" s="19" t="str">
        <f>IF($B147="","",IF(INDEX('Master Database'!$E$1:$E$600,$B147)="","",INDEX('Master Database'!$E$1:$E$600,$B147)))</f>
        <v>ROT-WAT</v>
      </c>
      <c r="H147" s="19" t="str">
        <f>IF($B147="","",IF(INDEX('Master Database'!$F$1:$F$600,$B147)="","",INDEX('Master Database'!$F$1:$F$600,$B147)))</f>
        <v>OH2</v>
      </c>
      <c r="I147" s="19" t="str">
        <f>IF($B147="","",IF(INDEX('Master Database'!$G$1:$G$600,$B147)="","",INDEX('Master Database'!$G$1:$G$600,$B147)))</f>
        <v>I-2</v>
      </c>
      <c r="J147" s="46">
        <f>IF($B147="","",IF(INDEX('Master Database'!$H$1:$H$600,$B147)="","",INDEX('Master Database'!$H$1:$H$600,$B147)))</f>
        <v>31</v>
      </c>
      <c r="K147" s="46">
        <f>IF($B147="","",IF(INDEX('Master Database'!$I$1:$I$600,$B147)="","",INDEX('Master Database'!$I$1:$I$600,$B147)))</f>
        <v>122</v>
      </c>
      <c r="L147" s="46">
        <f>IF($B147="","",IF(INDEX('Master Database'!$K$1:$K$600,$B147)="","",INDEX('Master Database'!$K$1:$K$600,$B147)))</f>
        <v>17.175295186194369</v>
      </c>
      <c r="M147" s="19" t="str">
        <f>IF($B147="","",IF(INDEX('Master Database'!$L$1:$L$600,$B147)="","",INDEX('Master Database'!$L$1:$L$600,$B147)))</f>
        <v>API 610 + IPS-G-PM-105</v>
      </c>
      <c r="N147" s="19" t="str">
        <f>IF($B147="","",IF(INDEX('Master Database'!$P$1:$P$600,$B147)="","",INDEX('Master Database'!$P$1:$P$600,$B147)))</f>
        <v>Not stated</v>
      </c>
      <c r="O147" s="19" t="str">
        <f>IF($B147="","",IF(INDEX('Master Database'!$S$1:$S$600,$B147)="","",INDEX('Master Database'!$S$1:$S$600,$B147)))</f>
        <v>Electric Motor</v>
      </c>
      <c r="P147" s="19" t="str">
        <f>IF($B147="","",IF(INDEX('Master Database'!$T$1:$T$600,$B147)="","",INDEX('Master Database'!$T$1:$T$600,$B147)))</f>
        <v>Process / Dilution Water</v>
      </c>
      <c r="Q147" s="19">
        <f>IF($B147="","",IF(INDEX('Master Database'!$Y$1:$Y$600,$B147)="","",INDEX('Master Database'!$Y$1:$Y$600,$B147)))</f>
        <v>1393</v>
      </c>
      <c r="R147" s="19" t="str">
        <f>IF($B147="","",IF(INDEX('Master Database'!$Z$1:$Z$600,$B147)="","",INDEX('Master Database'!$Z$1:$Z$600,$B147)))</f>
        <v>EUR</v>
      </c>
      <c r="S147" s="47">
        <f>IF($B147="","",IF(INDEX('Master Database'!$AA$1:$AA$600,$B147)="","",INDEX('Master Database'!$AA$1:$AA$600,$B147)))</f>
        <v>12000</v>
      </c>
      <c r="T147" s="19" t="str">
        <f>IF($B147="","",IF(INDEX('Master Database'!$AE$1:$AE$600,$B147)="","",INDEX('Master Database'!$AE$1:$AE$600,$B147)))</f>
        <v>Consultant basic MTO estimate R02 (Feb 2015), PC-ME sheet PUMPS col. AR (FOB EUR)</v>
      </c>
      <c r="U147" s="47">
        <f>IF($B147="","",IF(INDEX('Master Database'!$AG$1:$AG$600,$B147)="","",INDEX('Master Database'!$AG$1:$AG$600,$B147)))</f>
        <v>16212.814870767514</v>
      </c>
      <c r="V147" s="47">
        <f>IF($B147="","",IF(INDEX('Master Database'!$AH$1:$AH$600,$B147)="","",INDEX('Master Database'!$AH$1:$AH$600,$B147)))</f>
        <v>17117.215643815554</v>
      </c>
      <c r="W147" s="47">
        <f>IF($B147="","",IF(INDEX('Master Database'!$AI$1:$AI$600,$B147)="","",INDEX('Master Database'!$AI$1:$AI$600,$B147)))</f>
        <v>11272251369.568789</v>
      </c>
      <c r="X147" s="19" t="str">
        <f>IF($B147="","",IF(INDEX('Master Database'!$BG$1:$BG$600,$B147)="","",INDEX('Master Database'!$BG$1:$BG$600,$B147)))</f>
        <v>Y</v>
      </c>
      <c r="BA147">
        <f>IF('Master Database'!$A147="",0,IF(AND(OR($B$5="",ISNUMBER(SEARCH($B$5,'Master Database'!$B147&amp;" "&amp;'Master Database'!$D147))),OR($B$6="(All)",'Master Database'!$C147=$B$6),OR($B$7="(All)",'Master Database'!$E147=$B$7),OR($B$8="(All)",'Master Database'!$T147=$B$8),OR($B$9="(All)",'Master Database'!$M147=$B$9),OR($B$10="(All)",'Master Database'!$V147=$B$10),OR($E$5="(All)",'Master Database'!$F147=$E$5),OR($E$6="(All)",'Master Database'!$G147=$E$6),OR($E$7="(All)",'Master Database'!$O147=$E$7),OR($E$8="(All)",'Master Database'!$P147=$E$8),OR($E$9="(All)",'Master Database'!$S147=$E$9),OR($E$10="(All)",'Master Database'!$Y147&amp;""=$E$10&amp;""),OR($H$5="(All)",'Master Database'!$BG147=$H$5),OR($H$6&lt;&gt;"Y",ISNUMBER('Master Database'!$AG147)),OR($H$7="",AND(ISNUMBER('Master Database'!$H147),N('Master Database'!$H147)&gt;=$H$7)),OR($I$7="",AND(ISNUMBER('Master Database'!$H147),N('Master Database'!$H147)&lt;=$I$7)),OR($H$8="",AND(ISNUMBER('Master Database'!$I147),N('Master Database'!$I147)&gt;=$H$8)),OR($I$8="",AND(ISNUMBER('Master Database'!$I147),N('Master Database'!$I147)&lt;=$I$8)),OR($H$9="",AND(ISNUMBER('Master Database'!$K147),N('Master Database'!$K147)&gt;=$H$9)),OR($I$9="",AND(ISNUMBER('Master Database'!$K147),N('Master Database'!$K147)&lt;=$I$9))),1,0))</f>
        <v>1</v>
      </c>
      <c r="BB147">
        <f>IF(BA147=1,COUNTIF($BA$5:BA147,1),"")</f>
        <v>143</v>
      </c>
    </row>
    <row r="148" spans="1:54">
      <c r="A148" s="20">
        <f>IF(133&lt;=SUM($BA$5:$BA$600),133,"")</f>
        <v>133</v>
      </c>
      <c r="B148" s="20">
        <f t="shared" si="4"/>
        <v>137</v>
      </c>
      <c r="C148" s="20">
        <f>IF($B148="","",IF(INDEX('Master Database'!$A$1:$A$600,$B148)="","",INDEX('Master Database'!$A$1:$A$600,$B148)))</f>
        <v>133</v>
      </c>
      <c r="D148" s="19" t="str">
        <f>IF($B148="","",IF(INDEX('Master Database'!$B$1:$B$600,$B148)="","",INDEX('Master Database'!$B$1:$B$600,$B148)))</f>
        <v>Disposal Water InjectionPumps</v>
      </c>
      <c r="E148" s="19" t="str">
        <f>IF($B148="","",IF(INDEX('Master Database'!$C$1:$C$600,$B148)="","",INDEX('Master Database'!$C$1:$C$600,$B148)))</f>
        <v>Pazanan 2</v>
      </c>
      <c r="F148" s="19" t="str">
        <f>IF($B148="","",IF(INDEX('Master Database'!$D$1:$D$600,$B148)="","",INDEX('Master Database'!$D$1:$D$600,$B148)))</f>
        <v>P-136 A/B</v>
      </c>
      <c r="G148" s="19" t="str">
        <f>IF($B148="","",IF(INDEX('Master Database'!$E$1:$E$600,$B148)="","",INDEX('Master Database'!$E$1:$E$600,$B148)))</f>
        <v>ROT-INJ</v>
      </c>
      <c r="H148" s="19" t="str">
        <f>IF($B148="","",IF(INDEX('Master Database'!$F$1:$F$600,$B148)="","",INDEX('Master Database'!$F$1:$F$600,$B148)))</f>
        <v>BB3</v>
      </c>
      <c r="I148" s="19" t="str">
        <f>IF($B148="","",IF(INDEX('Master Database'!$G$1:$G$600,$B148)="","",INDEX('Master Database'!$G$1:$G$600,$B148)))</f>
        <v>D-2</v>
      </c>
      <c r="J148" s="46">
        <f>IF($B148="","",IF(INDEX('Master Database'!$H$1:$H$600,$B148)="","",INDEX('Master Database'!$H$1:$H$600,$B148)))</f>
        <v>91</v>
      </c>
      <c r="K148" s="46">
        <f>IF($B148="","",IF(INDEX('Master Database'!$I$1:$I$600,$B148)="","",INDEX('Master Database'!$I$1:$I$600,$B148)))</f>
        <v>650</v>
      </c>
      <c r="L148" s="46">
        <f>IF($B148="","",IF(INDEX('Master Database'!$K$1:$K$600,$B148)="","",INDEX('Master Database'!$K$1:$K$600,$B148)))</f>
        <v>268.61943687556766</v>
      </c>
      <c r="M148" s="19" t="str">
        <f>IF($B148="","",IF(INDEX('Master Database'!$L$1:$L$600,$B148)="","",INDEX('Master Database'!$L$1:$L$600,$B148)))</f>
        <v>API 610 + IPS-G-PM-105 + NACE MR0175</v>
      </c>
      <c r="N148" s="19" t="str">
        <f>IF($B148="","",IF(INDEX('Master Database'!$P$1:$P$600,$B148)="","",INDEX('Master Database'!$P$1:$P$600,$B148)))</f>
        <v>Not stated</v>
      </c>
      <c r="O148" s="19" t="str">
        <f>IF($B148="","",IF(INDEX('Master Database'!$S$1:$S$600,$B148)="","",INDEX('Master Database'!$S$1:$S$600,$B148)))</f>
        <v>Electric Motor</v>
      </c>
      <c r="P148" s="19" t="str">
        <f>IF($B148="","",IF(INDEX('Master Database'!$T$1:$T$600,$B148)="","",INDEX('Master Database'!$T$1:$T$600,$B148)))</f>
        <v>Produced / Disposal Water</v>
      </c>
      <c r="Q148" s="19">
        <f>IF($B148="","",IF(INDEX('Master Database'!$Y$1:$Y$600,$B148)="","",INDEX('Master Database'!$Y$1:$Y$600,$B148)))</f>
        <v>1393</v>
      </c>
      <c r="R148" s="19" t="str">
        <f>IF($B148="","",IF(INDEX('Master Database'!$Z$1:$Z$600,$B148)="","",INDEX('Master Database'!$Z$1:$Z$600,$B148)))</f>
        <v>EUR</v>
      </c>
      <c r="S148" s="47">
        <f>IF($B148="","",IF(INDEX('Master Database'!$AA$1:$AA$600,$B148)="","",INDEX('Master Database'!$AA$1:$AA$600,$B148)))</f>
        <v>260000</v>
      </c>
      <c r="T148" s="19" t="str">
        <f>IF($B148="","",IF(INDEX('Master Database'!$AE$1:$AE$600,$B148)="","",INDEX('Master Database'!$AE$1:$AE$600,$B148)))</f>
        <v>Consultant basic MTO estimate R02 (Feb 2015), PC-ME sheet PUMPS col. AR (FOB EUR)</v>
      </c>
      <c r="U148" s="47">
        <f>IF($B148="","",IF(INDEX('Master Database'!$AG$1:$AG$600,$B148)="","",INDEX('Master Database'!$AG$1:$AG$600,$B148)))</f>
        <v>351277.65553329611</v>
      </c>
      <c r="V148" s="47">
        <f>IF($B148="","",IF(INDEX('Master Database'!$AH$1:$AH$600,$B148)="","",INDEX('Master Database'!$AH$1:$AH$600,$B148)))</f>
        <v>370873.00561600365</v>
      </c>
      <c r="W148" s="47">
        <f>IF($B148="","",IF(INDEX('Master Database'!$AI$1:$AI$600,$B148)="","",INDEX('Master Database'!$AI$1:$AI$600,$B148)))</f>
        <v>244232113007.32373</v>
      </c>
      <c r="X148" s="19" t="str">
        <f>IF($B148="","",IF(INDEX('Master Database'!$BG$1:$BG$600,$B148)="","",INDEX('Master Database'!$BG$1:$BG$600,$B148)))</f>
        <v>Y</v>
      </c>
      <c r="BA148">
        <f>IF('Master Database'!$A148="",0,IF(AND(OR($B$5="",ISNUMBER(SEARCH($B$5,'Master Database'!$B148&amp;" "&amp;'Master Database'!$D148))),OR($B$6="(All)",'Master Database'!$C148=$B$6),OR($B$7="(All)",'Master Database'!$E148=$B$7),OR($B$8="(All)",'Master Database'!$T148=$B$8),OR($B$9="(All)",'Master Database'!$M148=$B$9),OR($B$10="(All)",'Master Database'!$V148=$B$10),OR($E$5="(All)",'Master Database'!$F148=$E$5),OR($E$6="(All)",'Master Database'!$G148=$E$6),OR($E$7="(All)",'Master Database'!$O148=$E$7),OR($E$8="(All)",'Master Database'!$P148=$E$8),OR($E$9="(All)",'Master Database'!$S148=$E$9),OR($E$10="(All)",'Master Database'!$Y148&amp;""=$E$10&amp;""),OR($H$5="(All)",'Master Database'!$BG148=$H$5),OR($H$6&lt;&gt;"Y",ISNUMBER('Master Database'!$AG148)),OR($H$7="",AND(ISNUMBER('Master Database'!$H148),N('Master Database'!$H148)&gt;=$H$7)),OR($I$7="",AND(ISNUMBER('Master Database'!$H148),N('Master Database'!$H148)&lt;=$I$7)),OR($H$8="",AND(ISNUMBER('Master Database'!$I148),N('Master Database'!$I148)&gt;=$H$8)),OR($I$8="",AND(ISNUMBER('Master Database'!$I148),N('Master Database'!$I148)&lt;=$I$8)),OR($H$9="",AND(ISNUMBER('Master Database'!$K148),N('Master Database'!$K148)&gt;=$H$9)),OR($I$9="",AND(ISNUMBER('Master Database'!$K148),N('Master Database'!$K148)&lt;=$I$9))),1,0))</f>
        <v>1</v>
      </c>
      <c r="BB148">
        <f>IF(BA148=1,COUNTIF($BA$5:BA148,1),"")</f>
        <v>144</v>
      </c>
    </row>
    <row r="149" spans="1:54">
      <c r="A149" s="20">
        <f>IF(134&lt;=SUM($BA$5:$BA$600),134,"")</f>
        <v>134</v>
      </c>
      <c r="B149" s="20">
        <f t="shared" si="4"/>
        <v>138</v>
      </c>
      <c r="C149" s="20">
        <f>IF($B149="","",IF(INDEX('Master Database'!$A$1:$A$600,$B149)="","",INDEX('Master Database'!$A$1:$A$600,$B149)))</f>
        <v>134</v>
      </c>
      <c r="D149" s="19" t="str">
        <f>IF($B149="","",IF(INDEX('Master Database'!$B$1:$B$600,$B149)="","",INDEX('Master Database'!$B$1:$B$600,$B149)))</f>
        <v>Dirty Oil Pumps</v>
      </c>
      <c r="E149" s="19" t="str">
        <f>IF($B149="","",IF(INDEX('Master Database'!$C$1:$C$600,$B149)="","",INDEX('Master Database'!$C$1:$C$600,$B149)))</f>
        <v>Pazanan 2</v>
      </c>
      <c r="F149" s="19" t="str">
        <f>IF($B149="","",IF(INDEX('Master Database'!$D$1:$D$600,$B149)="","",INDEX('Master Database'!$D$1:$D$600,$B149)))</f>
        <v>P-137 A/B</v>
      </c>
      <c r="G149" s="19" t="str">
        <f>IF($B149="","",IF(INDEX('Master Database'!$E$1:$E$600,$B149)="","",INDEX('Master Database'!$E$1:$E$600,$B149)))</f>
        <v>ROT-DRN</v>
      </c>
      <c r="H149" s="19" t="str">
        <f>IF($B149="","",IF(INDEX('Master Database'!$F$1:$F$600,$B149)="","",INDEX('Master Database'!$F$1:$F$600,$B149)))</f>
        <v>N/A (non-API 610)</v>
      </c>
      <c r="I149" s="19" t="str">
        <f>IF($B149="","",IF(INDEX('Master Database'!$G$1:$G$600,$B149)="","",INDEX('Master Database'!$G$1:$G$600,$B149)))</f>
        <v>D-1</v>
      </c>
      <c r="J149" s="46">
        <f>IF($B149="","",IF(INDEX('Master Database'!$H$1:$H$600,$B149)="","",INDEX('Master Database'!$H$1:$H$600,$B149)))</f>
        <v>5</v>
      </c>
      <c r="K149" s="46" t="str">
        <f>IF($B149="","",IF(INDEX('Master Database'!$I$1:$I$600,$B149)="","",INDEX('Master Database'!$I$1:$I$600,$B149)))</f>
        <v/>
      </c>
      <c r="L149" s="46" t="str">
        <f>IF($B149="","",IF(INDEX('Master Database'!$K$1:$K$600,$B149)="","",INDEX('Master Database'!$K$1:$K$600,$B149)))</f>
        <v/>
      </c>
      <c r="M149" s="19" t="str">
        <f>IF($B149="","",IF(INDEX('Master Database'!$L$1:$L$600,$B149)="","",INDEX('Master Database'!$L$1:$L$600,$B149)))</f>
        <v>API 676 + IPS-M-PM-140 + NACE MR0175</v>
      </c>
      <c r="N149" s="19" t="str">
        <f>IF($B149="","",IF(INDEX('Master Database'!$P$1:$P$600,$B149)="","",INDEX('Master Database'!$P$1:$P$600,$B149)))</f>
        <v>Not stated</v>
      </c>
      <c r="O149" s="19" t="str">
        <f>IF($B149="","",IF(INDEX('Master Database'!$S$1:$S$600,$B149)="","",INDEX('Master Database'!$S$1:$S$600,$B149)))</f>
        <v>Electric Motor</v>
      </c>
      <c r="P149" s="19" t="str">
        <f>IF($B149="","",IF(INDEX('Master Database'!$T$1:$T$600,$B149)="","",INDEX('Master Database'!$T$1:$T$600,$B149)))</f>
        <v>Slop / Dirty Oil</v>
      </c>
      <c r="Q149" s="19">
        <f>IF($B149="","",IF(INDEX('Master Database'!$Y$1:$Y$600,$B149)="","",INDEX('Master Database'!$Y$1:$Y$600,$B149)))</f>
        <v>1393</v>
      </c>
      <c r="R149" s="19" t="str">
        <f>IF($B149="","",IF(INDEX('Master Database'!$Z$1:$Z$600,$B149)="","",INDEX('Master Database'!$Z$1:$Z$600,$B149)))</f>
        <v>EUR</v>
      </c>
      <c r="S149" s="47">
        <f>IF($B149="","",IF(INDEX('Master Database'!$AA$1:$AA$600,$B149)="","",INDEX('Master Database'!$AA$1:$AA$600,$B149)))</f>
        <v>10000</v>
      </c>
      <c r="T149" s="19" t="str">
        <f>IF($B149="","",IF(INDEX('Master Database'!$AE$1:$AE$600,$B149)="","",INDEX('Master Database'!$AE$1:$AE$600,$B149)))</f>
        <v>Consultant basic MTO estimate R02 (Feb 2015), PC-ME sheet PUMPS col. AR (FOB EUR)</v>
      </c>
      <c r="U149" s="47">
        <f>IF($B149="","",IF(INDEX('Master Database'!$AG$1:$AG$600,$B149)="","",INDEX('Master Database'!$AG$1:$AG$600,$B149)))</f>
        <v>13510.679058972928</v>
      </c>
      <c r="V149" s="47">
        <f>IF($B149="","",IF(INDEX('Master Database'!$AH$1:$AH$600,$B149)="","",INDEX('Master Database'!$AH$1:$AH$600,$B149)))</f>
        <v>14264.346369846295</v>
      </c>
      <c r="W149" s="47">
        <f>IF($B149="","",IF(INDEX('Master Database'!$AI$1:$AI$600,$B149)="","",INDEX('Master Database'!$AI$1:$AI$600,$B149)))</f>
        <v>9393542807.9739895</v>
      </c>
      <c r="X149" s="19" t="str">
        <f>IF($B149="","",IF(INDEX('Master Database'!$BG$1:$BG$600,$B149)="","",INDEX('Master Database'!$BG$1:$BG$600,$B149)))</f>
        <v>Y</v>
      </c>
      <c r="BA149">
        <f>IF('Master Database'!$A149="",0,IF(AND(OR($B$5="",ISNUMBER(SEARCH($B$5,'Master Database'!$B149&amp;" "&amp;'Master Database'!$D149))),OR($B$6="(All)",'Master Database'!$C149=$B$6),OR($B$7="(All)",'Master Database'!$E149=$B$7),OR($B$8="(All)",'Master Database'!$T149=$B$8),OR($B$9="(All)",'Master Database'!$M149=$B$9),OR($B$10="(All)",'Master Database'!$V149=$B$10),OR($E$5="(All)",'Master Database'!$F149=$E$5),OR($E$6="(All)",'Master Database'!$G149=$E$6),OR($E$7="(All)",'Master Database'!$O149=$E$7),OR($E$8="(All)",'Master Database'!$P149=$E$8),OR($E$9="(All)",'Master Database'!$S149=$E$9),OR($E$10="(All)",'Master Database'!$Y149&amp;""=$E$10&amp;""),OR($H$5="(All)",'Master Database'!$BG149=$H$5),OR($H$6&lt;&gt;"Y",ISNUMBER('Master Database'!$AG149)),OR($H$7="",AND(ISNUMBER('Master Database'!$H149),N('Master Database'!$H149)&gt;=$H$7)),OR($I$7="",AND(ISNUMBER('Master Database'!$H149),N('Master Database'!$H149)&lt;=$I$7)),OR($H$8="",AND(ISNUMBER('Master Database'!$I149),N('Master Database'!$I149)&gt;=$H$8)),OR($I$8="",AND(ISNUMBER('Master Database'!$I149),N('Master Database'!$I149)&lt;=$I$8)),OR($H$9="",AND(ISNUMBER('Master Database'!$K149),N('Master Database'!$K149)&gt;=$H$9)),OR($I$9="",AND(ISNUMBER('Master Database'!$K149),N('Master Database'!$K149)&lt;=$I$9))),1,0))</f>
        <v>1</v>
      </c>
      <c r="BB149">
        <f>IF(BA149=1,COUNTIF($BA$5:BA149,1),"")</f>
        <v>145</v>
      </c>
    </row>
    <row r="150" spans="1:54">
      <c r="A150" s="20">
        <f>IF(135&lt;=SUM($BA$5:$BA$600),135,"")</f>
        <v>135</v>
      </c>
      <c r="B150" s="20">
        <f t="shared" si="4"/>
        <v>139</v>
      </c>
      <c r="C150" s="20">
        <f>IF($B150="","",IF(INDEX('Master Database'!$A$1:$A$600,$B150)="","",INDEX('Master Database'!$A$1:$A$600,$B150)))</f>
        <v>135</v>
      </c>
      <c r="D150" s="19" t="str">
        <f>IF($B150="","",IF(INDEX('Master Database'!$B$1:$B$600,$B150)="","",INDEX('Master Database'!$B$1:$B$600,$B150)))</f>
        <v>Evaporation Pond Water Return Pumps</v>
      </c>
      <c r="E150" s="19" t="str">
        <f>IF($B150="","",IF(INDEX('Master Database'!$C$1:$C$600,$B150)="","",INDEX('Master Database'!$C$1:$C$600,$B150)))</f>
        <v>Pazanan 2</v>
      </c>
      <c r="F150" s="19" t="str">
        <f>IF($B150="","",IF(INDEX('Master Database'!$D$1:$D$600,$B150)="","",INDEX('Master Database'!$D$1:$D$600,$B150)))</f>
        <v>P-138 A/B</v>
      </c>
      <c r="G150" s="19" t="str">
        <f>IF($B150="","",IF(INDEX('Master Database'!$E$1:$E$600,$B150)="","",INDEX('Master Database'!$E$1:$E$600,$B150)))</f>
        <v>ROT-INJ</v>
      </c>
      <c r="H150" s="19" t="str">
        <f>IF($B150="","",IF(INDEX('Master Database'!$F$1:$F$600,$B150)="","",INDEX('Master Database'!$F$1:$F$600,$B150)))</f>
        <v>OH2</v>
      </c>
      <c r="I150" s="19" t="str">
        <f>IF($B150="","",IF(INDEX('Master Database'!$G$1:$G$600,$B150)="","",INDEX('Master Database'!$G$1:$G$600,$B150)))</f>
        <v>D-2</v>
      </c>
      <c r="J150" s="46">
        <f>IF($B150="","",IF(INDEX('Master Database'!$H$1:$H$600,$B150)="","",INDEX('Master Database'!$H$1:$H$600,$B150)))</f>
        <v>15</v>
      </c>
      <c r="K150" s="46">
        <f>IF($B150="","",IF(INDEX('Master Database'!$I$1:$I$600,$B150)="","",INDEX('Master Database'!$I$1:$I$600,$B150)))</f>
        <v>27</v>
      </c>
      <c r="L150" s="46">
        <f>IF($B150="","",IF(INDEX('Master Database'!$K$1:$K$600,$B150)="","",INDEX('Master Database'!$K$1:$K$600,$B150)))</f>
        <v>1.8392370572207086</v>
      </c>
      <c r="M150" s="19" t="str">
        <f>IF($B150="","",IF(INDEX('Master Database'!$L$1:$L$600,$B150)="","",INDEX('Master Database'!$L$1:$L$600,$B150)))</f>
        <v>API 610 + IPS-G-PM-105</v>
      </c>
      <c r="N150" s="19" t="str">
        <f>IF($B150="","",IF(INDEX('Master Database'!$P$1:$P$600,$B150)="","",INDEX('Master Database'!$P$1:$P$600,$B150)))</f>
        <v>Not stated</v>
      </c>
      <c r="O150" s="19" t="str">
        <f>IF($B150="","",IF(INDEX('Master Database'!$S$1:$S$600,$B150)="","",INDEX('Master Database'!$S$1:$S$600,$B150)))</f>
        <v>Electric Motor</v>
      </c>
      <c r="P150" s="19" t="str">
        <f>IF($B150="","",IF(INDEX('Master Database'!$T$1:$T$600,$B150)="","",INDEX('Master Database'!$T$1:$T$600,$B150)))</f>
        <v>Produced / Disposal Water</v>
      </c>
      <c r="Q150" s="19">
        <f>IF($B150="","",IF(INDEX('Master Database'!$Y$1:$Y$600,$B150)="","",INDEX('Master Database'!$Y$1:$Y$600,$B150)))</f>
        <v>1393</v>
      </c>
      <c r="R150" s="19" t="str">
        <f>IF($B150="","",IF(INDEX('Master Database'!$Z$1:$Z$600,$B150)="","",INDEX('Master Database'!$Z$1:$Z$600,$B150)))</f>
        <v>EUR</v>
      </c>
      <c r="S150" s="47">
        <f>IF($B150="","",IF(INDEX('Master Database'!$AA$1:$AA$600,$B150)="","",INDEX('Master Database'!$AA$1:$AA$600,$B150)))</f>
        <v>35000</v>
      </c>
      <c r="T150" s="19" t="str">
        <f>IF($B150="","",IF(INDEX('Master Database'!$AE$1:$AE$600,$B150)="","",INDEX('Master Database'!$AE$1:$AE$600,$B150)))</f>
        <v>Consultant basic MTO estimate R02 (Feb 2015), PC-ME sheet PUMPS col. AR (FOB EUR)</v>
      </c>
      <c r="U150" s="47">
        <f>IF($B150="","",IF(INDEX('Master Database'!$AG$1:$AG$600,$B150)="","",INDEX('Master Database'!$AG$1:$AG$600,$B150)))</f>
        <v>47287.376706405252</v>
      </c>
      <c r="V150" s="47">
        <f>IF($B150="","",IF(INDEX('Master Database'!$AH$1:$AH$600,$B150)="","",INDEX('Master Database'!$AH$1:$AH$600,$B150)))</f>
        <v>49925.212294462035</v>
      </c>
      <c r="W150" s="47">
        <f>IF($B150="","",IF(INDEX('Master Database'!$AI$1:$AI$600,$B150)="","",INDEX('Master Database'!$AI$1:$AI$600,$B150)))</f>
        <v>32877399827.908966</v>
      </c>
      <c r="X150" s="19" t="str">
        <f>IF($B150="","",IF(INDEX('Master Database'!$BG$1:$BG$600,$B150)="","",INDEX('Master Database'!$BG$1:$BG$600,$B150)))</f>
        <v>Y</v>
      </c>
      <c r="BA150">
        <f>IF('Master Database'!$A150="",0,IF(AND(OR($B$5="",ISNUMBER(SEARCH($B$5,'Master Database'!$B150&amp;" "&amp;'Master Database'!$D150))),OR($B$6="(All)",'Master Database'!$C150=$B$6),OR($B$7="(All)",'Master Database'!$E150=$B$7),OR($B$8="(All)",'Master Database'!$T150=$B$8),OR($B$9="(All)",'Master Database'!$M150=$B$9),OR($B$10="(All)",'Master Database'!$V150=$B$10),OR($E$5="(All)",'Master Database'!$F150=$E$5),OR($E$6="(All)",'Master Database'!$G150=$E$6),OR($E$7="(All)",'Master Database'!$O150=$E$7),OR($E$8="(All)",'Master Database'!$P150=$E$8),OR($E$9="(All)",'Master Database'!$S150=$E$9),OR($E$10="(All)",'Master Database'!$Y150&amp;""=$E$10&amp;""),OR($H$5="(All)",'Master Database'!$BG150=$H$5),OR($H$6&lt;&gt;"Y",ISNUMBER('Master Database'!$AG150)),OR($H$7="",AND(ISNUMBER('Master Database'!$H150),N('Master Database'!$H150)&gt;=$H$7)),OR($I$7="",AND(ISNUMBER('Master Database'!$H150),N('Master Database'!$H150)&lt;=$I$7)),OR($H$8="",AND(ISNUMBER('Master Database'!$I150),N('Master Database'!$I150)&gt;=$H$8)),OR($I$8="",AND(ISNUMBER('Master Database'!$I150),N('Master Database'!$I150)&lt;=$I$8)),OR($H$9="",AND(ISNUMBER('Master Database'!$K150),N('Master Database'!$K150)&gt;=$H$9)),OR($I$9="",AND(ISNUMBER('Master Database'!$K150),N('Master Database'!$K150)&lt;=$I$9))),1,0))</f>
        <v>1</v>
      </c>
      <c r="BB150">
        <f>IF(BA150=1,COUNTIF($BA$5:BA150,1),"")</f>
        <v>146</v>
      </c>
    </row>
    <row r="151" spans="1:54">
      <c r="A151" s="20">
        <f>IF(136&lt;=SUM($BA$5:$BA$600),136,"")</f>
        <v>136</v>
      </c>
      <c r="B151" s="20">
        <f t="shared" si="4"/>
        <v>140</v>
      </c>
      <c r="C151" s="20">
        <f>IF($B151="","",IF(INDEX('Master Database'!$A$1:$A$600,$B151)="","",INDEX('Master Database'!$A$1:$A$600,$B151)))</f>
        <v>136</v>
      </c>
      <c r="D151" s="19" t="str">
        <f>IF($B151="","",IF(INDEX('Master Database'!$B$1:$B$600,$B151)="","",INDEX('Master Database'!$B$1:$B$600,$B151)))</f>
        <v>Disposal Water InjectionPumps</v>
      </c>
      <c r="E151" s="19" t="str">
        <f>IF($B151="","",IF(INDEX('Master Database'!$C$1:$C$600,$B151)="","",INDEX('Master Database'!$C$1:$C$600,$B151)))</f>
        <v>Pazanan 2</v>
      </c>
      <c r="F151" s="19" t="str">
        <f>IF($B151="","",IF(INDEX('Master Database'!$D$1:$D$600,$B151)="","",INDEX('Master Database'!$D$1:$D$600,$B151)))</f>
        <v>P-139 A/B/C</v>
      </c>
      <c r="G151" s="19" t="str">
        <f>IF($B151="","",IF(INDEX('Master Database'!$E$1:$E$600,$B151)="","",INDEX('Master Database'!$E$1:$E$600,$B151)))</f>
        <v>ROT-INJ</v>
      </c>
      <c r="H151" s="19" t="str">
        <f>IF($B151="","",IF(INDEX('Master Database'!$F$1:$F$600,$B151)="","",INDEX('Master Database'!$F$1:$F$600,$B151)))</f>
        <v>BB3</v>
      </c>
      <c r="I151" s="19" t="str">
        <f>IF($B151="","",IF(INDEX('Master Database'!$G$1:$G$600,$B151)="","",INDEX('Master Database'!$G$1:$G$600,$B151)))</f>
        <v>D-2</v>
      </c>
      <c r="J151" s="46">
        <f>IF($B151="","",IF(INDEX('Master Database'!$H$1:$H$600,$B151)="","",INDEX('Master Database'!$H$1:$H$600,$B151)))</f>
        <v>44</v>
      </c>
      <c r="K151" s="46">
        <f>IF($B151="","",IF(INDEX('Master Database'!$I$1:$I$600,$B151)="","",INDEX('Master Database'!$I$1:$I$600,$B151)))</f>
        <v>385</v>
      </c>
      <c r="L151" s="46">
        <f>IF($B151="","",IF(INDEX('Master Database'!$K$1:$K$600,$B151)="","",INDEX('Master Database'!$K$1:$K$600,$B151)))</f>
        <v>76.93006357856494</v>
      </c>
      <c r="M151" s="19" t="str">
        <f>IF($B151="","",IF(INDEX('Master Database'!$L$1:$L$600,$B151)="","",INDEX('Master Database'!$L$1:$L$600,$B151)))</f>
        <v>API 610 + IPS-G-PM-105 + NACE MR0175</v>
      </c>
      <c r="N151" s="19" t="str">
        <f>IF($B151="","",IF(INDEX('Master Database'!$P$1:$P$600,$B151)="","",INDEX('Master Database'!$P$1:$P$600,$B151)))</f>
        <v>Not stated</v>
      </c>
      <c r="O151" s="19" t="str">
        <f>IF($B151="","",IF(INDEX('Master Database'!$S$1:$S$600,$B151)="","",INDEX('Master Database'!$S$1:$S$600,$B151)))</f>
        <v>Electric Motor</v>
      </c>
      <c r="P151" s="19" t="str">
        <f>IF($B151="","",IF(INDEX('Master Database'!$T$1:$T$600,$B151)="","",INDEX('Master Database'!$T$1:$T$600,$B151)))</f>
        <v>Produced / Disposal Water</v>
      </c>
      <c r="Q151" s="19">
        <f>IF($B151="","",IF(INDEX('Master Database'!$Y$1:$Y$600,$B151)="","",INDEX('Master Database'!$Y$1:$Y$600,$B151)))</f>
        <v>1393</v>
      </c>
      <c r="R151" s="19" t="str">
        <f>IF($B151="","",IF(INDEX('Master Database'!$Z$1:$Z$600,$B151)="","",INDEX('Master Database'!$Z$1:$Z$600,$B151)))</f>
        <v>EUR</v>
      </c>
      <c r="S151" s="47">
        <f>IF($B151="","",IF(INDEX('Master Database'!$AA$1:$AA$600,$B151)="","",INDEX('Master Database'!$AA$1:$AA$600,$B151)))</f>
        <v>180000</v>
      </c>
      <c r="T151" s="19" t="str">
        <f>IF($B151="","",IF(INDEX('Master Database'!$AE$1:$AE$600,$B151)="","",INDEX('Master Database'!$AE$1:$AE$600,$B151)))</f>
        <v>Consultant basic MTO estimate R02 (Feb 2015), PC-ME sheet PUMPS col. AR (FOB EUR)</v>
      </c>
      <c r="U151" s="47">
        <f>IF($B151="","",IF(INDEX('Master Database'!$AG$1:$AG$600,$B151)="","",INDEX('Master Database'!$AG$1:$AG$600,$B151)))</f>
        <v>243192.22306151272</v>
      </c>
      <c r="V151" s="47">
        <f>IF($B151="","",IF(INDEX('Master Database'!$AH$1:$AH$600,$B151)="","",INDEX('Master Database'!$AH$1:$AH$600,$B151)))</f>
        <v>256758.23465723332</v>
      </c>
      <c r="W151" s="47">
        <f>IF($B151="","",IF(INDEX('Master Database'!$AI$1:$AI$600,$B151)="","",INDEX('Master Database'!$AI$1:$AI$600,$B151)))</f>
        <v>169083770543.53183</v>
      </c>
      <c r="X151" s="19" t="str">
        <f>IF($B151="","",IF(INDEX('Master Database'!$BG$1:$BG$600,$B151)="","",INDEX('Master Database'!$BG$1:$BG$600,$B151)))</f>
        <v>Y</v>
      </c>
      <c r="BA151">
        <f>IF('Master Database'!$A151="",0,IF(AND(OR($B$5="",ISNUMBER(SEARCH($B$5,'Master Database'!$B151&amp;" "&amp;'Master Database'!$D151))),OR($B$6="(All)",'Master Database'!$C151=$B$6),OR($B$7="(All)",'Master Database'!$E151=$B$7),OR($B$8="(All)",'Master Database'!$T151=$B$8),OR($B$9="(All)",'Master Database'!$M151=$B$9),OR($B$10="(All)",'Master Database'!$V151=$B$10),OR($E$5="(All)",'Master Database'!$F151=$E$5),OR($E$6="(All)",'Master Database'!$G151=$E$6),OR($E$7="(All)",'Master Database'!$O151=$E$7),OR($E$8="(All)",'Master Database'!$P151=$E$8),OR($E$9="(All)",'Master Database'!$S151=$E$9),OR($E$10="(All)",'Master Database'!$Y151&amp;""=$E$10&amp;""),OR($H$5="(All)",'Master Database'!$BG151=$H$5),OR($H$6&lt;&gt;"Y",ISNUMBER('Master Database'!$AG151)),OR($H$7="",AND(ISNUMBER('Master Database'!$H151),N('Master Database'!$H151)&gt;=$H$7)),OR($I$7="",AND(ISNUMBER('Master Database'!$H151),N('Master Database'!$H151)&lt;=$I$7)),OR($H$8="",AND(ISNUMBER('Master Database'!$I151),N('Master Database'!$I151)&gt;=$H$8)),OR($I$8="",AND(ISNUMBER('Master Database'!$I151),N('Master Database'!$I151)&lt;=$I$8)),OR($H$9="",AND(ISNUMBER('Master Database'!$K151),N('Master Database'!$K151)&gt;=$H$9)),OR($I$9="",AND(ISNUMBER('Master Database'!$K151),N('Master Database'!$K151)&lt;=$I$9))),1,0))</f>
        <v>0</v>
      </c>
      <c r="BB151" t="str">
        <f>IF(BA151=1,COUNTIF($BA$5:BA151,1),"")</f>
        <v/>
      </c>
    </row>
    <row r="152" spans="1:54">
      <c r="A152" s="20">
        <f>IF(137&lt;=SUM($BA$5:$BA$600),137,"")</f>
        <v>137</v>
      </c>
      <c r="B152" s="20">
        <f t="shared" si="4"/>
        <v>141</v>
      </c>
      <c r="C152" s="20">
        <f>IF($B152="","",IF(INDEX('Master Database'!$A$1:$A$600,$B152)="","",INDEX('Master Database'!$A$1:$A$600,$B152)))</f>
        <v>137</v>
      </c>
      <c r="D152" s="19" t="str">
        <f>IF($B152="","",IF(INDEX('Master Database'!$B$1:$B$600,$B152)="","",INDEX('Master Database'!$B$1:$B$600,$B152)))</f>
        <v>Flare K.O. Drum Pumps</v>
      </c>
      <c r="E152" s="19" t="str">
        <f>IF($B152="","",IF(INDEX('Master Database'!$C$1:$C$600,$B152)="","",INDEX('Master Database'!$C$1:$C$600,$B152)))</f>
        <v>Pazanan 2</v>
      </c>
      <c r="F152" s="19" t="str">
        <f>IF($B152="","",IF(INDEX('Master Database'!$D$1:$D$600,$B152)="","",INDEX('Master Database'!$D$1:$D$600,$B152)))</f>
        <v>P-151 A/B</v>
      </c>
      <c r="G152" s="19" t="str">
        <f>IF($B152="","",IF(INDEX('Master Database'!$E$1:$E$600,$B152)="","",INDEX('Master Database'!$E$1:$E$600,$B152)))</f>
        <v>ROT-DRN</v>
      </c>
      <c r="H152" s="19" t="str">
        <f>IF($B152="","",IF(INDEX('Master Database'!$F$1:$F$600,$B152)="","",INDEX('Master Database'!$F$1:$F$600,$B152)))</f>
        <v>OH2</v>
      </c>
      <c r="I152" s="19" t="str">
        <f>IF($B152="","",IF(INDEX('Master Database'!$G$1:$G$600,$B152)="","",INDEX('Master Database'!$G$1:$G$600,$B152)))</f>
        <v>S-6</v>
      </c>
      <c r="J152" s="46">
        <f>IF($B152="","",IF(INDEX('Master Database'!$H$1:$H$600,$B152)="","",INDEX('Master Database'!$H$1:$H$600,$B152)))</f>
        <v>10</v>
      </c>
      <c r="K152" s="46">
        <f>IF($B152="","",IF(INDEX('Master Database'!$I$1:$I$600,$B152)="","",INDEX('Master Database'!$I$1:$I$600,$B152)))</f>
        <v>40</v>
      </c>
      <c r="L152" s="46">
        <f>IF($B152="","",IF(INDEX('Master Database'!$K$1:$K$600,$B152)="","",INDEX('Master Database'!$K$1:$K$600,$B152)))</f>
        <v>1.8165304268846505</v>
      </c>
      <c r="M152" s="19" t="str">
        <f>IF($B152="","",IF(INDEX('Master Database'!$L$1:$L$600,$B152)="","",INDEX('Master Database'!$L$1:$L$600,$B152)))</f>
        <v>API 610 + IPS-G-PM-105</v>
      </c>
      <c r="N152" s="19" t="str">
        <f>IF($B152="","",IF(INDEX('Master Database'!$P$1:$P$600,$B152)="","",INDEX('Master Database'!$P$1:$P$600,$B152)))</f>
        <v>Not stated</v>
      </c>
      <c r="O152" s="19" t="str">
        <f>IF($B152="","",IF(INDEX('Master Database'!$S$1:$S$600,$B152)="","",INDEX('Master Database'!$S$1:$S$600,$B152)))</f>
        <v>Electric Motor</v>
      </c>
      <c r="P152" s="19" t="str">
        <f>IF($B152="","",IF(INDEX('Master Database'!$T$1:$T$600,$B152)="","",INDEX('Master Database'!$T$1:$T$600,$B152)))</f>
        <v>Oily Water / Drain</v>
      </c>
      <c r="Q152" s="19">
        <f>IF($B152="","",IF(INDEX('Master Database'!$Y$1:$Y$600,$B152)="","",INDEX('Master Database'!$Y$1:$Y$600,$B152)))</f>
        <v>1393</v>
      </c>
      <c r="R152" s="19" t="str">
        <f>IF($B152="","",IF(INDEX('Master Database'!$Z$1:$Z$600,$B152)="","",INDEX('Master Database'!$Z$1:$Z$600,$B152)))</f>
        <v>EUR</v>
      </c>
      <c r="S152" s="47">
        <f>IF($B152="","",IF(INDEX('Master Database'!$AA$1:$AA$600,$B152)="","",INDEX('Master Database'!$AA$1:$AA$600,$B152)))</f>
        <v>15000</v>
      </c>
      <c r="T152" s="19" t="str">
        <f>IF($B152="","",IF(INDEX('Master Database'!$AE$1:$AE$600,$B152)="","",INDEX('Master Database'!$AE$1:$AE$600,$B152)))</f>
        <v>Consultant basic MTO estimate R02 (Feb 2015), PC-ME sheet PUMPS col. AR (FOB EUR)</v>
      </c>
      <c r="U152" s="47">
        <f>IF($B152="","",IF(INDEX('Master Database'!$AG$1:$AG$600,$B152)="","",INDEX('Master Database'!$AG$1:$AG$600,$B152)))</f>
        <v>25000</v>
      </c>
      <c r="V152" s="47">
        <f>IF($B152="","",IF(INDEX('Master Database'!$AH$1:$AH$600,$B152)="","",INDEX('Master Database'!$AH$1:$AH$600,$B152)))</f>
        <v>26394.577037141647</v>
      </c>
      <c r="W152" s="47">
        <f>IF($B152="","",IF(INDEX('Master Database'!$AI$1:$AI$600,$B152)="","",INDEX('Master Database'!$AI$1:$AI$600,$B152)))</f>
        <v>17381700000</v>
      </c>
      <c r="X152" s="19" t="str">
        <f>IF($B152="","",IF(INDEX('Master Database'!$BG$1:$BG$600,$B152)="","",INDEX('Master Database'!$BG$1:$BG$600,$B152)))</f>
        <v>Y</v>
      </c>
      <c r="BA152">
        <f>IF('Master Database'!$A152="",0,IF(AND(OR($B$5="",ISNUMBER(SEARCH($B$5,'Master Database'!$B152&amp;" "&amp;'Master Database'!$D152))),OR($B$6="(All)",'Master Database'!$C152=$B$6),OR($B$7="(All)",'Master Database'!$E152=$B$7),OR($B$8="(All)",'Master Database'!$T152=$B$8),OR($B$9="(All)",'Master Database'!$M152=$B$9),OR($B$10="(All)",'Master Database'!$V152=$B$10),OR($E$5="(All)",'Master Database'!$F152=$E$5),OR($E$6="(All)",'Master Database'!$G152=$E$6),OR($E$7="(All)",'Master Database'!$O152=$E$7),OR($E$8="(All)",'Master Database'!$P152=$E$8),OR($E$9="(All)",'Master Database'!$S152=$E$9),OR($E$10="(All)",'Master Database'!$Y152&amp;""=$E$10&amp;""),OR($H$5="(All)",'Master Database'!$BG152=$H$5),OR($H$6&lt;&gt;"Y",ISNUMBER('Master Database'!$AG152)),OR($H$7="",AND(ISNUMBER('Master Database'!$H152),N('Master Database'!$H152)&gt;=$H$7)),OR($I$7="",AND(ISNUMBER('Master Database'!$H152),N('Master Database'!$H152)&lt;=$I$7)),OR($H$8="",AND(ISNUMBER('Master Database'!$I152),N('Master Database'!$I152)&gt;=$H$8)),OR($I$8="",AND(ISNUMBER('Master Database'!$I152),N('Master Database'!$I152)&lt;=$I$8)),OR($H$9="",AND(ISNUMBER('Master Database'!$K152),N('Master Database'!$K152)&gt;=$H$9)),OR($I$9="",AND(ISNUMBER('Master Database'!$K152),N('Master Database'!$K152)&lt;=$I$9))),1,0))</f>
        <v>0</v>
      </c>
      <c r="BB152" t="str">
        <f>IF(BA152=1,COUNTIF($BA$5:BA152,1),"")</f>
        <v/>
      </c>
    </row>
    <row r="153" spans="1:54">
      <c r="A153" s="20">
        <f>IF(138&lt;=SUM($BA$5:$BA$600),138,"")</f>
        <v>138</v>
      </c>
      <c r="B153" s="20">
        <f t="shared" si="4"/>
        <v>142</v>
      </c>
      <c r="C153" s="20">
        <f>IF($B153="","",IF(INDEX('Master Database'!$A$1:$A$600,$B153)="","",INDEX('Master Database'!$A$1:$A$600,$B153)))</f>
        <v>138</v>
      </c>
      <c r="D153" s="19" t="str">
        <f>IF($B153="","",IF(INDEX('Master Database'!$B$1:$B$600,$B153)="","",INDEX('Master Database'!$B$1:$B$600,$B153)))</f>
        <v>Closed Drain Drum Pumps</v>
      </c>
      <c r="E153" s="19" t="str">
        <f>IF($B153="","",IF(INDEX('Master Database'!$C$1:$C$600,$B153)="","",INDEX('Master Database'!$C$1:$C$600,$B153)))</f>
        <v>Pazanan 2</v>
      </c>
      <c r="F153" s="19" t="str">
        <f>IF($B153="","",IF(INDEX('Master Database'!$D$1:$D$600,$B153)="","",INDEX('Master Database'!$D$1:$D$600,$B153)))</f>
        <v>P-161 A/B</v>
      </c>
      <c r="G153" s="19" t="str">
        <f>IF($B153="","",IF(INDEX('Master Database'!$E$1:$E$600,$B153)="","",INDEX('Master Database'!$E$1:$E$600,$B153)))</f>
        <v>ROT-DRN</v>
      </c>
      <c r="H153" s="19" t="str">
        <f>IF($B153="","",IF(INDEX('Master Database'!$F$1:$F$600,$B153)="","",INDEX('Master Database'!$F$1:$F$600,$B153)))</f>
        <v>OH2</v>
      </c>
      <c r="I153" s="19" t="str">
        <f>IF($B153="","",IF(INDEX('Master Database'!$G$1:$G$600,$B153)="","",INDEX('Master Database'!$G$1:$G$600,$B153)))</f>
        <v>D-2</v>
      </c>
      <c r="J153" s="46">
        <f>IF($B153="","",IF(INDEX('Master Database'!$H$1:$H$600,$B153)="","",INDEX('Master Database'!$H$1:$H$600,$B153)))</f>
        <v>25</v>
      </c>
      <c r="K153" s="46">
        <f>IF($B153="","",IF(INDEX('Master Database'!$I$1:$I$600,$B153)="","",INDEX('Master Database'!$I$1:$I$600,$B153)))</f>
        <v>55</v>
      </c>
      <c r="L153" s="46">
        <f>IF($B153="","",IF(INDEX('Master Database'!$K$1:$K$600,$B153)="","",INDEX('Master Database'!$K$1:$K$600,$B153)))</f>
        <v>6.2443233424159859</v>
      </c>
      <c r="M153" s="19" t="str">
        <f>IF($B153="","",IF(INDEX('Master Database'!$L$1:$L$600,$B153)="","",INDEX('Master Database'!$L$1:$L$600,$B153)))</f>
        <v>API 610 + IPS-G-PM-105 + NACE MR0175</v>
      </c>
      <c r="N153" s="19" t="str">
        <f>IF($B153="","",IF(INDEX('Master Database'!$P$1:$P$600,$B153)="","",INDEX('Master Database'!$P$1:$P$600,$B153)))</f>
        <v>Not stated</v>
      </c>
      <c r="O153" s="19" t="str">
        <f>IF($B153="","",IF(INDEX('Master Database'!$S$1:$S$600,$B153)="","",INDEX('Master Database'!$S$1:$S$600,$B153)))</f>
        <v>Electric Motor</v>
      </c>
      <c r="P153" s="19" t="str">
        <f>IF($B153="","",IF(INDEX('Master Database'!$T$1:$T$600,$B153)="","",INDEX('Master Database'!$T$1:$T$600,$B153)))</f>
        <v>Oily Water / Drain</v>
      </c>
      <c r="Q153" s="19">
        <f>IF($B153="","",IF(INDEX('Master Database'!$Y$1:$Y$600,$B153)="","",INDEX('Master Database'!$Y$1:$Y$600,$B153)))</f>
        <v>1393</v>
      </c>
      <c r="R153" s="19" t="str">
        <f>IF($B153="","",IF(INDEX('Master Database'!$Z$1:$Z$600,$B153)="","",INDEX('Master Database'!$Z$1:$Z$600,$B153)))</f>
        <v>EUR</v>
      </c>
      <c r="S153" s="47">
        <f>IF($B153="","",IF(INDEX('Master Database'!$AA$1:$AA$600,$B153)="","",INDEX('Master Database'!$AA$1:$AA$600,$B153)))</f>
        <v>32000</v>
      </c>
      <c r="T153" s="19" t="str">
        <f>IF($B153="","",IF(INDEX('Master Database'!$AE$1:$AE$600,$B153)="","",INDEX('Master Database'!$AE$1:$AE$600,$B153)))</f>
        <v>Consultant basic MTO estimate R02 (Feb 2015), PC-ME sheet PUMPS col. AR (FOB EUR)</v>
      </c>
      <c r="U153" s="47">
        <f>IF($B153="","",IF(INDEX('Master Database'!$AG$1:$AG$600,$B153)="","",INDEX('Master Database'!$AG$1:$AG$600,$B153)))</f>
        <v>43234.17298871337</v>
      </c>
      <c r="V153" s="47">
        <f>IF($B153="","",IF(INDEX('Master Database'!$AH$1:$AH$600,$B153)="","",INDEX('Master Database'!$AH$1:$AH$600,$B153)))</f>
        <v>45645.90838350814</v>
      </c>
      <c r="W153" s="47">
        <f>IF($B153="","",IF(INDEX('Master Database'!$AI$1:$AI$600,$B153)="","",INDEX('Master Database'!$AI$1:$AI$600,$B153)))</f>
        <v>30059336985.516766</v>
      </c>
      <c r="X153" s="19" t="str">
        <f>IF($B153="","",IF(INDEX('Master Database'!$BG$1:$BG$600,$B153)="","",INDEX('Master Database'!$BG$1:$BG$600,$B153)))</f>
        <v>Y</v>
      </c>
      <c r="BA153">
        <f>IF('Master Database'!$A153="",0,IF(AND(OR($B$5="",ISNUMBER(SEARCH($B$5,'Master Database'!$B153&amp;" "&amp;'Master Database'!$D153))),OR($B$6="(All)",'Master Database'!$C153=$B$6),OR($B$7="(All)",'Master Database'!$E153=$B$7),OR($B$8="(All)",'Master Database'!$T153=$B$8),OR($B$9="(All)",'Master Database'!$M153=$B$9),OR($B$10="(All)",'Master Database'!$V153=$B$10),OR($E$5="(All)",'Master Database'!$F153=$E$5),OR($E$6="(All)",'Master Database'!$G153=$E$6),OR($E$7="(All)",'Master Database'!$O153=$E$7),OR($E$8="(All)",'Master Database'!$P153=$E$8),OR($E$9="(All)",'Master Database'!$S153=$E$9),OR($E$10="(All)",'Master Database'!$Y153&amp;""=$E$10&amp;""),OR($H$5="(All)",'Master Database'!$BG153=$H$5),OR($H$6&lt;&gt;"Y",ISNUMBER('Master Database'!$AG153)),OR($H$7="",AND(ISNUMBER('Master Database'!$H153),N('Master Database'!$H153)&gt;=$H$7)),OR($I$7="",AND(ISNUMBER('Master Database'!$H153),N('Master Database'!$H153)&lt;=$I$7)),OR($H$8="",AND(ISNUMBER('Master Database'!$I153),N('Master Database'!$I153)&gt;=$H$8)),OR($I$8="",AND(ISNUMBER('Master Database'!$I153),N('Master Database'!$I153)&lt;=$I$8)),OR($H$9="",AND(ISNUMBER('Master Database'!$K153),N('Master Database'!$K153)&gt;=$H$9)),OR($I$9="",AND(ISNUMBER('Master Database'!$K153),N('Master Database'!$K153)&lt;=$I$9))),1,0))</f>
        <v>0</v>
      </c>
      <c r="BB153" t="str">
        <f>IF(BA153=1,COUNTIF($BA$5:BA153,1),"")</f>
        <v/>
      </c>
    </row>
    <row r="154" spans="1:54">
      <c r="A154" s="20">
        <f>IF(139&lt;=SUM($BA$5:$BA$600),139,"")</f>
        <v>139</v>
      </c>
      <c r="B154" s="20">
        <f t="shared" si="4"/>
        <v>143</v>
      </c>
      <c r="C154" s="20">
        <f>IF($B154="","",IF(INDEX('Master Database'!$A$1:$A$600,$B154)="","",INDEX('Master Database'!$A$1:$A$600,$B154)))</f>
        <v>139</v>
      </c>
      <c r="D154" s="19" t="str">
        <f>IF($B154="","",IF(INDEX('Master Database'!$B$1:$B$600,$B154)="","",INDEX('Master Database'!$B$1:$B$600,$B154)))</f>
        <v>C. D. Drum / Flare K.O. Drum Sump Pump</v>
      </c>
      <c r="E154" s="19" t="str">
        <f>IF($B154="","",IF(INDEX('Master Database'!$C$1:$C$600,$B154)="","",INDEX('Master Database'!$C$1:$C$600,$B154)))</f>
        <v>Pazanan 2</v>
      </c>
      <c r="F154" s="19" t="str">
        <f>IF($B154="","",IF(INDEX('Master Database'!$D$1:$D$600,$B154)="","",INDEX('Master Database'!$D$1:$D$600,$B154)))</f>
        <v>P-162</v>
      </c>
      <c r="G154" s="19" t="str">
        <f>IF($B154="","",IF(INDEX('Master Database'!$E$1:$E$600,$B154)="","",INDEX('Master Database'!$E$1:$E$600,$B154)))</f>
        <v>ROT-DRN</v>
      </c>
      <c r="H154" s="19" t="str">
        <f>IF($B154="","",IF(INDEX('Master Database'!$F$1:$F$600,$B154)="","",INDEX('Master Database'!$F$1:$F$600,$B154)))</f>
        <v>VS4</v>
      </c>
      <c r="I154" s="19" t="str">
        <f>IF($B154="","",IF(INDEX('Master Database'!$G$1:$G$600,$B154)="","",INDEX('Master Database'!$G$1:$G$600,$B154)))</f>
        <v>S-6</v>
      </c>
      <c r="J154" s="46">
        <f>IF($B154="","",IF(INDEX('Master Database'!$H$1:$H$600,$B154)="","",INDEX('Master Database'!$H$1:$H$600,$B154)))</f>
        <v>5</v>
      </c>
      <c r="K154" s="46">
        <f>IF($B154="","",IF(INDEX('Master Database'!$I$1:$I$600,$B154)="","",INDEX('Master Database'!$I$1:$I$600,$B154)))</f>
        <v>21.4</v>
      </c>
      <c r="L154" s="46">
        <f>IF($B154="","",IF(INDEX('Master Database'!$K$1:$K$600,$B154)="","",INDEX('Master Database'!$K$1:$K$600,$B154)))</f>
        <v>0.48592188919164397</v>
      </c>
      <c r="M154" s="19" t="str">
        <f>IF($B154="","",IF(INDEX('Master Database'!$L$1:$L$600,$B154)="","",INDEX('Master Database'!$L$1:$L$600,$B154)))</f>
        <v>API 610 + IPS-G-PM-105</v>
      </c>
      <c r="N154" s="19" t="str">
        <f>IF($B154="","",IF(INDEX('Master Database'!$P$1:$P$600,$B154)="","",INDEX('Master Database'!$P$1:$P$600,$B154)))</f>
        <v>Not stated</v>
      </c>
      <c r="O154" s="19" t="str">
        <f>IF($B154="","",IF(INDEX('Master Database'!$S$1:$S$600,$B154)="","",INDEX('Master Database'!$S$1:$S$600,$B154)))</f>
        <v>Electric Motor</v>
      </c>
      <c r="P154" s="19" t="str">
        <f>IF($B154="","",IF(INDEX('Master Database'!$T$1:$T$600,$B154)="","",INDEX('Master Database'!$T$1:$T$600,$B154)))</f>
        <v>Oily Water / Drain</v>
      </c>
      <c r="Q154" s="19">
        <f>IF($B154="","",IF(INDEX('Master Database'!$Y$1:$Y$600,$B154)="","",INDEX('Master Database'!$Y$1:$Y$600,$B154)))</f>
        <v>1393</v>
      </c>
      <c r="R154" s="19" t="str">
        <f>IF($B154="","",IF(INDEX('Master Database'!$Z$1:$Z$600,$B154)="","",INDEX('Master Database'!$Z$1:$Z$600,$B154)))</f>
        <v>EUR</v>
      </c>
      <c r="S154" s="47">
        <f>IF($B154="","",IF(INDEX('Master Database'!$AA$1:$AA$600,$B154)="","",INDEX('Master Database'!$AA$1:$AA$600,$B154)))</f>
        <v>15000</v>
      </c>
      <c r="T154" s="19" t="str">
        <f>IF($B154="","",IF(INDEX('Master Database'!$AE$1:$AE$600,$B154)="","",INDEX('Master Database'!$AE$1:$AE$600,$B154)))</f>
        <v>Consultant basic MTO estimate R02 (Feb 2015), PC-ME sheet PUMPS col. AR (FOB EUR)</v>
      </c>
      <c r="U154" s="47">
        <f>IF($B154="","",IF(INDEX('Master Database'!$AG$1:$AG$600,$B154)="","",INDEX('Master Database'!$AG$1:$AG$600,$B154)))</f>
        <v>25000</v>
      </c>
      <c r="V154" s="47">
        <f>IF($B154="","",IF(INDEX('Master Database'!$AH$1:$AH$600,$B154)="","",INDEX('Master Database'!$AH$1:$AH$600,$B154)))</f>
        <v>26394.577037141647</v>
      </c>
      <c r="W154" s="47">
        <f>IF($B154="","",IF(INDEX('Master Database'!$AI$1:$AI$600,$B154)="","",INDEX('Master Database'!$AI$1:$AI$600,$B154)))</f>
        <v>17381700000</v>
      </c>
      <c r="X154" s="19" t="str">
        <f>IF($B154="","",IF(INDEX('Master Database'!$BG$1:$BG$600,$B154)="","",INDEX('Master Database'!$BG$1:$BG$600,$B154)))</f>
        <v>Y</v>
      </c>
      <c r="BA154">
        <f>IF('Master Database'!$A154="",0,IF(AND(OR($B$5="",ISNUMBER(SEARCH($B$5,'Master Database'!$B154&amp;" "&amp;'Master Database'!$D154))),OR($B$6="(All)",'Master Database'!$C154=$B$6),OR($B$7="(All)",'Master Database'!$E154=$B$7),OR($B$8="(All)",'Master Database'!$T154=$B$8),OR($B$9="(All)",'Master Database'!$M154=$B$9),OR($B$10="(All)",'Master Database'!$V154=$B$10),OR($E$5="(All)",'Master Database'!$F154=$E$5),OR($E$6="(All)",'Master Database'!$G154=$E$6),OR($E$7="(All)",'Master Database'!$O154=$E$7),OR($E$8="(All)",'Master Database'!$P154=$E$8),OR($E$9="(All)",'Master Database'!$S154=$E$9),OR($E$10="(All)",'Master Database'!$Y154&amp;""=$E$10&amp;""),OR($H$5="(All)",'Master Database'!$BG154=$H$5),OR($H$6&lt;&gt;"Y",ISNUMBER('Master Database'!$AG154)),OR($H$7="",AND(ISNUMBER('Master Database'!$H154),N('Master Database'!$H154)&gt;=$H$7)),OR($I$7="",AND(ISNUMBER('Master Database'!$H154),N('Master Database'!$H154)&lt;=$I$7)),OR($H$8="",AND(ISNUMBER('Master Database'!$I154),N('Master Database'!$I154)&gt;=$H$8)),OR($I$8="",AND(ISNUMBER('Master Database'!$I154),N('Master Database'!$I154)&lt;=$I$8)),OR($H$9="",AND(ISNUMBER('Master Database'!$K154),N('Master Database'!$K154)&gt;=$H$9)),OR($I$9="",AND(ISNUMBER('Master Database'!$K154),N('Master Database'!$K154)&lt;=$I$9))),1,0))</f>
        <v>0</v>
      </c>
      <c r="BB154" t="str">
        <f>IF(BA154=1,COUNTIF($BA$5:BA154,1),"")</f>
        <v/>
      </c>
    </row>
    <row r="155" spans="1:54">
      <c r="A155" s="20">
        <f>IF(140&lt;=SUM($BA$5:$BA$600),140,"")</f>
        <v>140</v>
      </c>
      <c r="B155" s="20">
        <f t="shared" si="4"/>
        <v>144</v>
      </c>
      <c r="C155" s="20">
        <f>IF($B155="","",IF(INDEX('Master Database'!$A$1:$A$600,$B155)="","",INDEX('Master Database'!$A$1:$A$600,$B155)))</f>
        <v>140</v>
      </c>
      <c r="D155" s="19" t="str">
        <f>IF($B155="","",IF(INDEX('Master Database'!$B$1:$B$600,$B155)="","",INDEX('Master Database'!$B$1:$B$600,$B155)))</f>
        <v>O.W.S. Water Pumps</v>
      </c>
      <c r="E155" s="19" t="str">
        <f>IF($B155="","",IF(INDEX('Master Database'!$C$1:$C$600,$B155)="","",INDEX('Master Database'!$C$1:$C$600,$B155)))</f>
        <v>Pazanan 2</v>
      </c>
      <c r="F155" s="19" t="str">
        <f>IF($B155="","",IF(INDEX('Master Database'!$D$1:$D$600,$B155)="","",INDEX('Master Database'!$D$1:$D$600,$B155)))</f>
        <v>P-164 A/B</v>
      </c>
      <c r="G155" s="19" t="str">
        <f>IF($B155="","",IF(INDEX('Master Database'!$E$1:$E$600,$B155)="","",INDEX('Master Database'!$E$1:$E$600,$B155)))</f>
        <v>ROT-WAT</v>
      </c>
      <c r="H155" s="19" t="str">
        <f>IF($B155="","",IF(INDEX('Master Database'!$F$1:$F$600,$B155)="","",INDEX('Master Database'!$F$1:$F$600,$B155)))</f>
        <v>OH2</v>
      </c>
      <c r="I155" s="19" t="str">
        <f>IF($B155="","",IF(INDEX('Master Database'!$G$1:$G$600,$B155)="","",INDEX('Master Database'!$G$1:$G$600,$B155)))</f>
        <v>D-2</v>
      </c>
      <c r="J155" s="46">
        <f>IF($B155="","",IF(INDEX('Master Database'!$H$1:$H$600,$B155)="","",INDEX('Master Database'!$H$1:$H$600,$B155)))</f>
        <v>15</v>
      </c>
      <c r="K155" s="46">
        <f>IF($B155="","",IF(INDEX('Master Database'!$I$1:$I$600,$B155)="","",INDEX('Master Database'!$I$1:$I$600,$B155)))</f>
        <v>50</v>
      </c>
      <c r="L155" s="46">
        <f>IF($B155="","",IF(INDEX('Master Database'!$K$1:$K$600,$B155)="","",INDEX('Master Database'!$K$1:$K$600,$B155)))</f>
        <v>3.4059945504087197</v>
      </c>
      <c r="M155" s="19" t="str">
        <f>IF($B155="","",IF(INDEX('Master Database'!$L$1:$L$600,$B155)="","",INDEX('Master Database'!$L$1:$L$600,$B155)))</f>
        <v>API 610 + IPS-G-PM-105 + NACE MR0175</v>
      </c>
      <c r="N155" s="19" t="str">
        <f>IF($B155="","",IF(INDEX('Master Database'!$P$1:$P$600,$B155)="","",INDEX('Master Database'!$P$1:$P$600,$B155)))</f>
        <v>Not stated</v>
      </c>
      <c r="O155" s="19" t="str">
        <f>IF($B155="","",IF(INDEX('Master Database'!$S$1:$S$600,$B155)="","",INDEX('Master Database'!$S$1:$S$600,$B155)))</f>
        <v>Electric Motor</v>
      </c>
      <c r="P155" s="19" t="str">
        <f>IF($B155="","",IF(INDEX('Master Database'!$T$1:$T$600,$B155)="","",INDEX('Master Database'!$T$1:$T$600,$B155)))</f>
        <v>Oily Water / Drain</v>
      </c>
      <c r="Q155" s="19">
        <f>IF($B155="","",IF(INDEX('Master Database'!$Y$1:$Y$600,$B155)="","",INDEX('Master Database'!$Y$1:$Y$600,$B155)))</f>
        <v>1393</v>
      </c>
      <c r="R155" s="19" t="str">
        <f>IF($B155="","",IF(INDEX('Master Database'!$Z$1:$Z$600,$B155)="","",INDEX('Master Database'!$Z$1:$Z$600,$B155)))</f>
        <v>EUR</v>
      </c>
      <c r="S155" s="47">
        <f>IF($B155="","",IF(INDEX('Master Database'!$AA$1:$AA$600,$B155)="","",INDEX('Master Database'!$AA$1:$AA$600,$B155)))</f>
        <v>15000</v>
      </c>
      <c r="T155" s="19" t="str">
        <f>IF($B155="","",IF(INDEX('Master Database'!$AE$1:$AE$600,$B155)="","",INDEX('Master Database'!$AE$1:$AE$600,$B155)))</f>
        <v>Consultant basic MTO estimate R02 (Feb 2015), PC-ME sheet PUMPS col. AR (FOB EUR)</v>
      </c>
      <c r="U155" s="47">
        <f>IF($B155="","",IF(INDEX('Master Database'!$AG$1:$AG$600,$B155)="","",INDEX('Master Database'!$AG$1:$AG$600,$B155)))</f>
        <v>25000</v>
      </c>
      <c r="V155" s="47">
        <f>IF($B155="","",IF(INDEX('Master Database'!$AH$1:$AH$600,$B155)="","",INDEX('Master Database'!$AH$1:$AH$600,$B155)))</f>
        <v>26394.577037141647</v>
      </c>
      <c r="W155" s="47">
        <f>IF($B155="","",IF(INDEX('Master Database'!$AI$1:$AI$600,$B155)="","",INDEX('Master Database'!$AI$1:$AI$600,$B155)))</f>
        <v>17381700000</v>
      </c>
      <c r="X155" s="19" t="str">
        <f>IF($B155="","",IF(INDEX('Master Database'!$BG$1:$BG$600,$B155)="","",INDEX('Master Database'!$BG$1:$BG$600,$B155)))</f>
        <v>Y</v>
      </c>
      <c r="BA155">
        <f>IF('Master Database'!$A155="",0,IF(AND(OR($B$5="",ISNUMBER(SEARCH($B$5,'Master Database'!$B155&amp;" "&amp;'Master Database'!$D155))),OR($B$6="(All)",'Master Database'!$C155=$B$6),OR($B$7="(All)",'Master Database'!$E155=$B$7),OR($B$8="(All)",'Master Database'!$T155=$B$8),OR($B$9="(All)",'Master Database'!$M155=$B$9),OR($B$10="(All)",'Master Database'!$V155=$B$10),OR($E$5="(All)",'Master Database'!$F155=$E$5),OR($E$6="(All)",'Master Database'!$G155=$E$6),OR($E$7="(All)",'Master Database'!$O155=$E$7),OR($E$8="(All)",'Master Database'!$P155=$E$8),OR($E$9="(All)",'Master Database'!$S155=$E$9),OR($E$10="(All)",'Master Database'!$Y155&amp;""=$E$10&amp;""),OR($H$5="(All)",'Master Database'!$BG155=$H$5),OR($H$6&lt;&gt;"Y",ISNUMBER('Master Database'!$AG155)),OR($H$7="",AND(ISNUMBER('Master Database'!$H155),N('Master Database'!$H155)&gt;=$H$7)),OR($I$7="",AND(ISNUMBER('Master Database'!$H155),N('Master Database'!$H155)&lt;=$I$7)),OR($H$8="",AND(ISNUMBER('Master Database'!$I155),N('Master Database'!$I155)&gt;=$H$8)),OR($I$8="",AND(ISNUMBER('Master Database'!$I155),N('Master Database'!$I155)&lt;=$I$8)),OR($H$9="",AND(ISNUMBER('Master Database'!$K155),N('Master Database'!$K155)&gt;=$H$9)),OR($I$9="",AND(ISNUMBER('Master Database'!$K155),N('Master Database'!$K155)&lt;=$I$9))),1,0))</f>
        <v>0</v>
      </c>
      <c r="BB155" t="str">
        <f>IF(BA155=1,COUNTIF($BA$5:BA155,1),"")</f>
        <v/>
      </c>
    </row>
    <row r="156" spans="1:54">
      <c r="A156" s="20">
        <f>IF(141&lt;=SUM($BA$5:$BA$600),141,"")</f>
        <v>141</v>
      </c>
      <c r="B156" s="20">
        <f t="shared" si="4"/>
        <v>145</v>
      </c>
      <c r="C156" s="20">
        <f>IF($B156="","",IF(INDEX('Master Database'!$A$1:$A$600,$B156)="","",INDEX('Master Database'!$A$1:$A$600,$B156)))</f>
        <v>141</v>
      </c>
      <c r="D156" s="19" t="str">
        <f>IF($B156="","",IF(INDEX('Master Database'!$B$1:$B$600,$B156)="","",INDEX('Master Database'!$B$1:$B$600,$B156)))</f>
        <v>Oily Water Basin Pumps</v>
      </c>
      <c r="E156" s="19" t="str">
        <f>IF($B156="","",IF(INDEX('Master Database'!$C$1:$C$600,$B156)="","",INDEX('Master Database'!$C$1:$C$600,$B156)))</f>
        <v>Pazanan 2</v>
      </c>
      <c r="F156" s="19" t="str">
        <f>IF($B156="","",IF(INDEX('Master Database'!$D$1:$D$600,$B156)="","",INDEX('Master Database'!$D$1:$D$600,$B156)))</f>
        <v>P-165 A/B</v>
      </c>
      <c r="G156" s="19" t="str">
        <f>IF($B156="","",IF(INDEX('Master Database'!$E$1:$E$600,$B156)="","",INDEX('Master Database'!$E$1:$E$600,$B156)))</f>
        <v>ROT-DRN</v>
      </c>
      <c r="H156" s="19" t="str">
        <f>IF($B156="","",IF(INDEX('Master Database'!$F$1:$F$600,$B156)="","",INDEX('Master Database'!$F$1:$F$600,$B156)))</f>
        <v>OH2</v>
      </c>
      <c r="I156" s="19" t="str">
        <f>IF($B156="","",IF(INDEX('Master Database'!$G$1:$G$600,$B156)="","",INDEX('Master Database'!$G$1:$G$600,$B156)))</f>
        <v>S-6</v>
      </c>
      <c r="J156" s="46">
        <f>IF($B156="","",IF(INDEX('Master Database'!$H$1:$H$600,$B156)="","",INDEX('Master Database'!$H$1:$H$600,$B156)))</f>
        <v>15</v>
      </c>
      <c r="K156" s="46">
        <f>IF($B156="","",IF(INDEX('Master Database'!$I$1:$I$600,$B156)="","",INDEX('Master Database'!$I$1:$I$600,$B156)))</f>
        <v>20</v>
      </c>
      <c r="L156" s="46">
        <f>IF($B156="","",IF(INDEX('Master Database'!$K$1:$K$600,$B156)="","",INDEX('Master Database'!$K$1:$K$600,$B156)))</f>
        <v>1.3623978201634879</v>
      </c>
      <c r="M156" s="19" t="str">
        <f>IF($B156="","",IF(INDEX('Master Database'!$L$1:$L$600,$B156)="","",INDEX('Master Database'!$L$1:$L$600,$B156)))</f>
        <v>API 610 + IPS-G-PM-105</v>
      </c>
      <c r="N156" s="19" t="str">
        <f>IF($B156="","",IF(INDEX('Master Database'!$P$1:$P$600,$B156)="","",INDEX('Master Database'!$P$1:$P$600,$B156)))</f>
        <v>Not stated</v>
      </c>
      <c r="O156" s="19" t="str">
        <f>IF($B156="","",IF(INDEX('Master Database'!$S$1:$S$600,$B156)="","",INDEX('Master Database'!$S$1:$S$600,$B156)))</f>
        <v>Electric Motor</v>
      </c>
      <c r="P156" s="19" t="str">
        <f>IF($B156="","",IF(INDEX('Master Database'!$T$1:$T$600,$B156)="","",INDEX('Master Database'!$T$1:$T$600,$B156)))</f>
        <v>Oily Water / Drain</v>
      </c>
      <c r="Q156" s="19">
        <f>IF($B156="","",IF(INDEX('Master Database'!$Y$1:$Y$600,$B156)="","",INDEX('Master Database'!$Y$1:$Y$600,$B156)))</f>
        <v>1393</v>
      </c>
      <c r="R156" s="19" t="str">
        <f>IF($B156="","",IF(INDEX('Master Database'!$Z$1:$Z$600,$B156)="","",INDEX('Master Database'!$Z$1:$Z$600,$B156)))</f>
        <v>EUR</v>
      </c>
      <c r="S156" s="47">
        <f>IF($B156="","",IF(INDEX('Master Database'!$AA$1:$AA$600,$B156)="","",INDEX('Master Database'!$AA$1:$AA$600,$B156)))</f>
        <v>15000</v>
      </c>
      <c r="T156" s="19" t="str">
        <f>IF($B156="","",IF(INDEX('Master Database'!$AE$1:$AE$600,$B156)="","",INDEX('Master Database'!$AE$1:$AE$600,$B156)))</f>
        <v>Consultant basic MTO estimate R02 (Feb 2015), PC-ME sheet PUMPS col. AR (FOB EUR)</v>
      </c>
      <c r="U156" s="47">
        <f>IF($B156="","",IF(INDEX('Master Database'!$AG$1:$AG$600,$B156)="","",INDEX('Master Database'!$AG$1:$AG$600,$B156)))</f>
        <v>25000</v>
      </c>
      <c r="V156" s="47">
        <f>IF($B156="","",IF(INDEX('Master Database'!$AH$1:$AH$600,$B156)="","",INDEX('Master Database'!$AH$1:$AH$600,$B156)))</f>
        <v>26394.577037141647</v>
      </c>
      <c r="W156" s="47">
        <f>IF($B156="","",IF(INDEX('Master Database'!$AI$1:$AI$600,$B156)="","",INDEX('Master Database'!$AI$1:$AI$600,$B156)))</f>
        <v>17381700000</v>
      </c>
      <c r="X156" s="19" t="str">
        <f>IF($B156="","",IF(INDEX('Master Database'!$BG$1:$BG$600,$B156)="","",INDEX('Master Database'!$BG$1:$BG$600,$B156)))</f>
        <v>Y</v>
      </c>
      <c r="BA156">
        <f>IF('Master Database'!$A156="",0,IF(AND(OR($B$5="",ISNUMBER(SEARCH($B$5,'Master Database'!$B156&amp;" "&amp;'Master Database'!$D156))),OR($B$6="(All)",'Master Database'!$C156=$B$6),OR($B$7="(All)",'Master Database'!$E156=$B$7),OR($B$8="(All)",'Master Database'!$T156=$B$8),OR($B$9="(All)",'Master Database'!$M156=$B$9),OR($B$10="(All)",'Master Database'!$V156=$B$10),OR($E$5="(All)",'Master Database'!$F156=$E$5),OR($E$6="(All)",'Master Database'!$G156=$E$6),OR($E$7="(All)",'Master Database'!$O156=$E$7),OR($E$8="(All)",'Master Database'!$P156=$E$8),OR($E$9="(All)",'Master Database'!$S156=$E$9),OR($E$10="(All)",'Master Database'!$Y156&amp;""=$E$10&amp;""),OR($H$5="(All)",'Master Database'!$BG156=$H$5),OR($H$6&lt;&gt;"Y",ISNUMBER('Master Database'!$AG156)),OR($H$7="",AND(ISNUMBER('Master Database'!$H156),N('Master Database'!$H156)&gt;=$H$7)),OR($I$7="",AND(ISNUMBER('Master Database'!$H156),N('Master Database'!$H156)&lt;=$I$7)),OR($H$8="",AND(ISNUMBER('Master Database'!$I156),N('Master Database'!$I156)&gt;=$H$8)),OR($I$8="",AND(ISNUMBER('Master Database'!$I156),N('Master Database'!$I156)&lt;=$I$8)),OR($H$9="",AND(ISNUMBER('Master Database'!$K156),N('Master Database'!$K156)&gt;=$H$9)),OR($I$9="",AND(ISNUMBER('Master Database'!$K156),N('Master Database'!$K156)&lt;=$I$9))),1,0))</f>
        <v>0</v>
      </c>
      <c r="BB156" t="str">
        <f>IF(BA156=1,COUNTIF($BA$5:BA156,1),"")</f>
        <v/>
      </c>
    </row>
    <row r="157" spans="1:54">
      <c r="A157" s="20">
        <f>IF(142&lt;=SUM($BA$5:$BA$600),142,"")</f>
        <v>142</v>
      </c>
      <c r="B157" s="20">
        <f t="shared" si="4"/>
        <v>146</v>
      </c>
      <c r="C157" s="20">
        <f>IF($B157="","",IF(INDEX('Master Database'!$A$1:$A$600,$B157)="","",INDEX('Master Database'!$A$1:$A$600,$B157)))</f>
        <v>142</v>
      </c>
      <c r="D157" s="19" t="str">
        <f>IF($B157="","",IF(INDEX('Master Database'!$B$1:$B$600,$B157)="","",INDEX('Master Database'!$B$1:$B$600,$B157)))</f>
        <v>Fuel Oil Pump</v>
      </c>
      <c r="E157" s="19" t="str">
        <f>IF($B157="","",IF(INDEX('Master Database'!$C$1:$C$600,$B157)="","",INDEX('Master Database'!$C$1:$C$600,$B157)))</f>
        <v>Pazanan 2</v>
      </c>
      <c r="F157" s="19" t="str">
        <f>IF($B157="","",IF(INDEX('Master Database'!$D$1:$D$600,$B157)="","",INDEX('Master Database'!$D$1:$D$600,$B157)))</f>
        <v>P-171</v>
      </c>
      <c r="G157" s="19" t="str">
        <f>IF($B157="","",IF(INDEX('Master Database'!$E$1:$E$600,$B157)="","",INDEX('Master Database'!$E$1:$E$600,$B157)))</f>
        <v>ROT-AUX</v>
      </c>
      <c r="H157" s="19" t="str">
        <f>IF($B157="","",IF(INDEX('Master Database'!$F$1:$F$600,$B157)="","",INDEX('Master Database'!$F$1:$F$600,$B157)))</f>
        <v>N/A (non-API 610)</v>
      </c>
      <c r="I157" s="19" t="str">
        <f>IF($B157="","",IF(INDEX('Master Database'!$G$1:$G$600,$B157)="","",INDEX('Master Database'!$G$1:$G$600,$B157)))</f>
        <v>S-1</v>
      </c>
      <c r="J157" s="46">
        <f>IF($B157="","",IF(INDEX('Master Database'!$H$1:$H$600,$B157)="","",INDEX('Master Database'!$H$1:$H$600,$B157)))</f>
        <v>10</v>
      </c>
      <c r="K157" s="46">
        <f>IF($B157="","",IF(INDEX('Master Database'!$I$1:$I$600,$B157)="","",INDEX('Master Database'!$I$1:$I$600,$B157)))</f>
        <v>21</v>
      </c>
      <c r="L157" s="46">
        <f>IF($B157="","",IF(INDEX('Master Database'!$K$1:$K$600,$B157)="","",INDEX('Master Database'!$K$1:$K$600,$B157)))</f>
        <v>0.95367847411444151</v>
      </c>
      <c r="M157" s="19" t="str">
        <f>IF($B157="","",IF(INDEX('Master Database'!$L$1:$L$600,$B157)="","",INDEX('Master Database'!$L$1:$L$600,$B157)))</f>
        <v>ISO 5199 + IPS-M-PM-115</v>
      </c>
      <c r="N157" s="19" t="str">
        <f>IF($B157="","",IF(INDEX('Master Database'!$P$1:$P$600,$B157)="","",INDEX('Master Database'!$P$1:$P$600,$B157)))</f>
        <v>Not stated</v>
      </c>
      <c r="O157" s="19" t="str">
        <f>IF($B157="","",IF(INDEX('Master Database'!$S$1:$S$600,$B157)="","",INDEX('Master Database'!$S$1:$S$600,$B157)))</f>
        <v>Electric Motor</v>
      </c>
      <c r="P157" s="19" t="str">
        <f>IF($B157="","",IF(INDEX('Master Database'!$T$1:$T$600,$B157)="","",INDEX('Master Database'!$T$1:$T$600,$B157)))</f>
        <v>Diesel / Fuel Oil</v>
      </c>
      <c r="Q157" s="19">
        <f>IF($B157="","",IF(INDEX('Master Database'!$Y$1:$Y$600,$B157)="","",INDEX('Master Database'!$Y$1:$Y$600,$B157)))</f>
        <v>1393</v>
      </c>
      <c r="R157" s="19" t="str">
        <f>IF($B157="","",IF(INDEX('Master Database'!$Z$1:$Z$600,$B157)="","",INDEX('Master Database'!$Z$1:$Z$600,$B157)))</f>
        <v>EUR</v>
      </c>
      <c r="S157" s="47">
        <f>IF($B157="","",IF(INDEX('Master Database'!$AA$1:$AA$600,$B157)="","",INDEX('Master Database'!$AA$1:$AA$600,$B157)))</f>
        <v>10000</v>
      </c>
      <c r="T157" s="19" t="str">
        <f>IF($B157="","",IF(INDEX('Master Database'!$AE$1:$AE$600,$B157)="","",INDEX('Master Database'!$AE$1:$AE$600,$B157)))</f>
        <v>Consultant basic MTO estimate R02 (Feb 2015), PC-ME sheet PUMPS col. AR (FOB EUR)</v>
      </c>
      <c r="U157" s="47">
        <f>IF($B157="","",IF(INDEX('Master Database'!$AG$1:$AG$600,$B157)="","",INDEX('Master Database'!$AG$1:$AG$600,$B157)))</f>
        <v>13510.679058972928</v>
      </c>
      <c r="V157" s="47">
        <f>IF($B157="","",IF(INDEX('Master Database'!$AH$1:$AH$600,$B157)="","",INDEX('Master Database'!$AH$1:$AH$600,$B157)))</f>
        <v>14264.346369846295</v>
      </c>
      <c r="W157" s="47">
        <f>IF($B157="","",IF(INDEX('Master Database'!$AI$1:$AI$600,$B157)="","",INDEX('Master Database'!$AI$1:$AI$600,$B157)))</f>
        <v>9393542807.9739895</v>
      </c>
      <c r="X157" s="19" t="str">
        <f>IF($B157="","",IF(INDEX('Master Database'!$BG$1:$BG$600,$B157)="","",INDEX('Master Database'!$BG$1:$BG$600,$B157)))</f>
        <v>Y</v>
      </c>
      <c r="BA157">
        <f>IF('Master Database'!$A157="",0,IF(AND(OR($B$5="",ISNUMBER(SEARCH($B$5,'Master Database'!$B157&amp;" "&amp;'Master Database'!$D157))),OR($B$6="(All)",'Master Database'!$C157=$B$6),OR($B$7="(All)",'Master Database'!$E157=$B$7),OR($B$8="(All)",'Master Database'!$T157=$B$8),OR($B$9="(All)",'Master Database'!$M157=$B$9),OR($B$10="(All)",'Master Database'!$V157=$B$10),OR($E$5="(All)",'Master Database'!$F157=$E$5),OR($E$6="(All)",'Master Database'!$G157=$E$6),OR($E$7="(All)",'Master Database'!$O157=$E$7),OR($E$8="(All)",'Master Database'!$P157=$E$8),OR($E$9="(All)",'Master Database'!$S157=$E$9),OR($E$10="(All)",'Master Database'!$Y157&amp;""=$E$10&amp;""),OR($H$5="(All)",'Master Database'!$BG157=$H$5),OR($H$6&lt;&gt;"Y",ISNUMBER('Master Database'!$AG157)),OR($H$7="",AND(ISNUMBER('Master Database'!$H157),N('Master Database'!$H157)&gt;=$H$7)),OR($I$7="",AND(ISNUMBER('Master Database'!$H157),N('Master Database'!$H157)&lt;=$I$7)),OR($H$8="",AND(ISNUMBER('Master Database'!$I157),N('Master Database'!$I157)&gt;=$H$8)),OR($I$8="",AND(ISNUMBER('Master Database'!$I157),N('Master Database'!$I157)&lt;=$I$8)),OR($H$9="",AND(ISNUMBER('Master Database'!$K157),N('Master Database'!$K157)&gt;=$H$9)),OR($I$9="",AND(ISNUMBER('Master Database'!$K157),N('Master Database'!$K157)&lt;=$I$9))),1,0))</f>
        <v>0</v>
      </c>
      <c r="BB157" t="str">
        <f>IF(BA157=1,COUNTIF($BA$5:BA157,1),"")</f>
        <v/>
      </c>
    </row>
    <row r="158" spans="1:54">
      <c r="A158" s="20">
        <f>IF(143&lt;=SUM($BA$5:$BA$600),143,"")</f>
        <v>143</v>
      </c>
      <c r="B158" s="20">
        <f t="shared" si="4"/>
        <v>147</v>
      </c>
      <c r="C158" s="20">
        <f>IF($B158="","",IF(INDEX('Master Database'!$A$1:$A$600,$B158)="","",INDEX('Master Database'!$A$1:$A$600,$B158)))</f>
        <v>143</v>
      </c>
      <c r="D158" s="19" t="str">
        <f>IF($B158="","",IF(INDEX('Master Database'!$B$1:$B$600,$B158)="","",INDEX('Master Database'!$B$1:$B$600,$B158)))</f>
        <v>Fire Water Loading Pump</v>
      </c>
      <c r="E158" s="19" t="str">
        <f>IF($B158="","",IF(INDEX('Master Database'!$C$1:$C$600,$B158)="","",INDEX('Master Database'!$C$1:$C$600,$B158)))</f>
        <v>Pazanan 2</v>
      </c>
      <c r="F158" s="19" t="str">
        <f>IF($B158="","",IF(INDEX('Master Database'!$D$1:$D$600,$B158)="","",INDEX('Master Database'!$D$1:$D$600,$B158)))</f>
        <v>P-191</v>
      </c>
      <c r="G158" s="19" t="str">
        <f>IF($B158="","",IF(INDEX('Master Database'!$E$1:$E$600,$B158)="","",INDEX('Master Database'!$E$1:$E$600,$B158)))</f>
        <v>ROT-FIR</v>
      </c>
      <c r="H158" s="19" t="str">
        <f>IF($B158="","",IF(INDEX('Master Database'!$F$1:$F$600,$B158)="","",INDEX('Master Database'!$F$1:$F$600,$B158)))</f>
        <v>N/A (non-API 610)</v>
      </c>
      <c r="I158" s="19" t="str">
        <f>IF($B158="","",IF(INDEX('Master Database'!$G$1:$G$600,$B158)="","",INDEX('Master Database'!$G$1:$G$600,$B158)))</f>
        <v>I-2</v>
      </c>
      <c r="J158" s="46">
        <f>IF($B158="","",IF(INDEX('Master Database'!$H$1:$H$600,$B158)="","",INDEX('Master Database'!$H$1:$H$600,$B158)))</f>
        <v>33</v>
      </c>
      <c r="K158" s="46">
        <f>IF($B158="","",IF(INDEX('Master Database'!$I$1:$I$600,$B158)="","",INDEX('Master Database'!$I$1:$I$600,$B158)))</f>
        <v>31</v>
      </c>
      <c r="L158" s="46">
        <f>IF($B158="","",IF(INDEX('Master Database'!$K$1:$K$600,$B158)="","",INDEX('Master Database'!$K$1:$K$600,$B158)))</f>
        <v>4.6457765667574931</v>
      </c>
      <c r="M158" s="19" t="str">
        <f>IF($B158="","",IF(INDEX('Master Database'!$L$1:$L$600,$B158)="","",INDEX('Master Database'!$L$1:$L$600,$B158)))</f>
        <v>ISO 5199 + IPS-M-PM-115</v>
      </c>
      <c r="N158" s="19" t="str">
        <f>IF($B158="","",IF(INDEX('Master Database'!$P$1:$P$600,$B158)="","",INDEX('Master Database'!$P$1:$P$600,$B158)))</f>
        <v>Not stated</v>
      </c>
      <c r="O158" s="19" t="str">
        <f>IF($B158="","",IF(INDEX('Master Database'!$S$1:$S$600,$B158)="","",INDEX('Master Database'!$S$1:$S$600,$B158)))</f>
        <v>Electric Motor</v>
      </c>
      <c r="P158" s="19" t="str">
        <f>IF($B158="","",IF(INDEX('Master Database'!$T$1:$T$600,$B158)="","",INDEX('Master Database'!$T$1:$T$600,$B158)))</f>
        <v>Fire Water</v>
      </c>
      <c r="Q158" s="19">
        <f>IF($B158="","",IF(INDEX('Master Database'!$Y$1:$Y$600,$B158)="","",INDEX('Master Database'!$Y$1:$Y$600,$B158)))</f>
        <v>1393</v>
      </c>
      <c r="R158" s="19" t="str">
        <f>IF($B158="","",IF(INDEX('Master Database'!$Z$1:$Z$600,$B158)="","",INDEX('Master Database'!$Z$1:$Z$600,$B158)))</f>
        <v>EUR</v>
      </c>
      <c r="S158" s="47">
        <f>IF($B158="","",IF(INDEX('Master Database'!$AA$1:$AA$600,$B158)="","",INDEX('Master Database'!$AA$1:$AA$600,$B158)))</f>
        <v>6500</v>
      </c>
      <c r="T158" s="19" t="str">
        <f>IF($B158="","",IF(INDEX('Master Database'!$AE$1:$AE$600,$B158)="","",INDEX('Master Database'!$AE$1:$AE$600,$B158)))</f>
        <v>Consultant basic MTO estimate R02 (Feb 2015), PC-ME sheet PUMPS col. AR (FOB EUR)</v>
      </c>
      <c r="U158" s="47">
        <f>IF($B158="","",IF(INDEX('Master Database'!$AG$1:$AG$600,$B158)="","",INDEX('Master Database'!$AG$1:$AG$600,$B158)))</f>
        <v>8781.9413883324032</v>
      </c>
      <c r="V158" s="47">
        <f>IF($B158="","",IF(INDEX('Master Database'!$AH$1:$AH$600,$B158)="","",INDEX('Master Database'!$AH$1:$AH$600,$B158)))</f>
        <v>9271.8251404000912</v>
      </c>
      <c r="W158" s="47">
        <f>IF($B158="","",IF(INDEX('Master Database'!$AI$1:$AI$600,$B158)="","",INDEX('Master Database'!$AI$1:$AI$600,$B158)))</f>
        <v>6105802825.1830931</v>
      </c>
      <c r="X158" s="19" t="str">
        <f>IF($B158="","",IF(INDEX('Master Database'!$BG$1:$BG$600,$B158)="","",INDEX('Master Database'!$BG$1:$BG$600,$B158)))</f>
        <v>Y</v>
      </c>
      <c r="BA158">
        <f>IF('Master Database'!$A158="",0,IF(AND(OR($B$5="",ISNUMBER(SEARCH($B$5,'Master Database'!$B158&amp;" "&amp;'Master Database'!$D158))),OR($B$6="(All)",'Master Database'!$C158=$B$6),OR($B$7="(All)",'Master Database'!$E158=$B$7),OR($B$8="(All)",'Master Database'!$T158=$B$8),OR($B$9="(All)",'Master Database'!$M158=$B$9),OR($B$10="(All)",'Master Database'!$V158=$B$10),OR($E$5="(All)",'Master Database'!$F158=$E$5),OR($E$6="(All)",'Master Database'!$G158=$E$6),OR($E$7="(All)",'Master Database'!$O158=$E$7),OR($E$8="(All)",'Master Database'!$P158=$E$8),OR($E$9="(All)",'Master Database'!$S158=$E$9),OR($E$10="(All)",'Master Database'!$Y158&amp;""=$E$10&amp;""),OR($H$5="(All)",'Master Database'!$BG158=$H$5),OR($H$6&lt;&gt;"Y",ISNUMBER('Master Database'!$AG158)),OR($H$7="",AND(ISNUMBER('Master Database'!$H158),N('Master Database'!$H158)&gt;=$H$7)),OR($I$7="",AND(ISNUMBER('Master Database'!$H158),N('Master Database'!$H158)&lt;=$I$7)),OR($H$8="",AND(ISNUMBER('Master Database'!$I158),N('Master Database'!$I158)&gt;=$H$8)),OR($I$8="",AND(ISNUMBER('Master Database'!$I158),N('Master Database'!$I158)&lt;=$I$8)),OR($H$9="",AND(ISNUMBER('Master Database'!$K158),N('Master Database'!$K158)&gt;=$H$9)),OR($I$9="",AND(ISNUMBER('Master Database'!$K158),N('Master Database'!$K158)&lt;=$I$9))),1,0))</f>
        <v>0</v>
      </c>
      <c r="BB158" t="str">
        <f>IF(BA158=1,COUNTIF($BA$5:BA158,1),"")</f>
        <v/>
      </c>
    </row>
    <row r="159" spans="1:54">
      <c r="A159" s="20">
        <f>IF(144&lt;=SUM($BA$5:$BA$600),144,"")</f>
        <v>144</v>
      </c>
      <c r="B159" s="20">
        <f t="shared" si="4"/>
        <v>148</v>
      </c>
      <c r="C159" s="20">
        <f>IF($B159="","",IF(INDEX('Master Database'!$A$1:$A$600,$B159)="","",INDEX('Master Database'!$A$1:$A$600,$B159)))</f>
        <v>144</v>
      </c>
      <c r="D159" s="19" t="str">
        <f>IF($B159="","",IF(INDEX('Master Database'!$B$1:$B$600,$B159)="","",INDEX('Master Database'!$B$1:$B$600,$B159)))</f>
        <v>Fire Water Pump-Elect. Motor Driven</v>
      </c>
      <c r="E159" s="19" t="str">
        <f>IF($B159="","",IF(INDEX('Master Database'!$C$1:$C$600,$B159)="","",INDEX('Master Database'!$C$1:$C$600,$B159)))</f>
        <v>Pazanan 2</v>
      </c>
      <c r="F159" s="19" t="str">
        <f>IF($B159="","",IF(INDEX('Master Database'!$D$1:$D$600,$B159)="","",INDEX('Master Database'!$D$1:$D$600,$B159)))</f>
        <v>P-192</v>
      </c>
      <c r="G159" s="19" t="str">
        <f>IF($B159="","",IF(INDEX('Master Database'!$E$1:$E$600,$B159)="","",INDEX('Master Database'!$E$1:$E$600,$B159)))</f>
        <v>ROT-FIR</v>
      </c>
      <c r="H159" s="19" t="str">
        <f>IF($B159="","",IF(INDEX('Master Database'!$F$1:$F$600,$B159)="","",INDEX('Master Database'!$F$1:$F$600,$B159)))</f>
        <v>BB (unspecified)</v>
      </c>
      <c r="I159" s="19" t="str">
        <f>IF($B159="","",IF(INDEX('Master Database'!$G$1:$G$600,$B159)="","",INDEX('Master Database'!$G$1:$G$600,$B159)))</f>
        <v>I-2</v>
      </c>
      <c r="J159" s="46">
        <f>IF($B159="","",IF(INDEX('Master Database'!$H$1:$H$600,$B159)="","",INDEX('Master Database'!$H$1:$H$600,$B159)))</f>
        <v>825</v>
      </c>
      <c r="K159" s="46">
        <f>IF($B159="","",IF(INDEX('Master Database'!$I$1:$I$600,$B159)="","",INDEX('Master Database'!$I$1:$I$600,$B159)))</f>
        <v>107</v>
      </c>
      <c r="L159" s="46">
        <f>IF($B159="","",IF(INDEX('Master Database'!$K$1:$K$600,$B159)="","",INDEX('Master Database'!$K$1:$K$600,$B159)))</f>
        <v>400.88555858310627</v>
      </c>
      <c r="M159" s="19" t="str">
        <f>IF($B159="","",IF(INDEX('Master Database'!$L$1:$L$600,$B159)="","",INDEX('Master Database'!$L$1:$L$600,$B159)))</f>
        <v>NFPA 20 + IPS-M-PM-125</v>
      </c>
      <c r="N159" s="19" t="str">
        <f>IF($B159="","",IF(INDEX('Master Database'!$P$1:$P$600,$B159)="","",INDEX('Master Database'!$P$1:$P$600,$B159)))</f>
        <v>Not stated</v>
      </c>
      <c r="O159" s="19" t="str">
        <f>IF($B159="","",IF(INDEX('Master Database'!$S$1:$S$600,$B159)="","",INDEX('Master Database'!$S$1:$S$600,$B159)))</f>
        <v>Electric Motor</v>
      </c>
      <c r="P159" s="19" t="str">
        <f>IF($B159="","",IF(INDEX('Master Database'!$T$1:$T$600,$B159)="","",INDEX('Master Database'!$T$1:$T$600,$B159)))</f>
        <v>Fire Water</v>
      </c>
      <c r="Q159" s="19">
        <f>IF($B159="","",IF(INDEX('Master Database'!$Y$1:$Y$600,$B159)="","",INDEX('Master Database'!$Y$1:$Y$600,$B159)))</f>
        <v>1393</v>
      </c>
      <c r="R159" s="19" t="str">
        <f>IF($B159="","",IF(INDEX('Master Database'!$Z$1:$Z$600,$B159)="","",INDEX('Master Database'!$Z$1:$Z$600,$B159)))</f>
        <v>EUR</v>
      </c>
      <c r="S159" s="47">
        <f>IF($B159="","",IF(INDEX('Master Database'!$AA$1:$AA$600,$B159)="","",INDEX('Master Database'!$AA$1:$AA$600,$B159)))</f>
        <v>80000</v>
      </c>
      <c r="T159" s="19" t="str">
        <f>IF($B159="","",IF(INDEX('Master Database'!$AE$1:$AE$600,$B159)="","",INDEX('Master Database'!$AE$1:$AE$600,$B159)))</f>
        <v>Consultant basic MTO estimate R02 (Feb 2015), PC-ME sheet PUMPS col. AR (FOB EUR)</v>
      </c>
      <c r="U159" s="47">
        <f>IF($B159="","",IF(INDEX('Master Database'!$AG$1:$AG$600,$B159)="","",INDEX('Master Database'!$AG$1:$AG$600,$B159)))</f>
        <v>108085.43247178342</v>
      </c>
      <c r="V159" s="47">
        <f>IF($B159="","",IF(INDEX('Master Database'!$AH$1:$AH$600,$B159)="","",INDEX('Master Database'!$AH$1:$AH$600,$B159)))</f>
        <v>114114.77095877036</v>
      </c>
      <c r="W159" s="47">
        <f>IF($B159="","",IF(INDEX('Master Database'!$AI$1:$AI$600,$B159)="","",INDEX('Master Database'!$AI$1:$AI$600,$B159)))</f>
        <v>75148342463.791916</v>
      </c>
      <c r="X159" s="19" t="str">
        <f>IF($B159="","",IF(INDEX('Master Database'!$BG$1:$BG$600,$B159)="","",INDEX('Master Database'!$BG$1:$BG$600,$B159)))</f>
        <v>Y</v>
      </c>
      <c r="BA159">
        <f>IF('Master Database'!$A159="",0,IF(AND(OR($B$5="",ISNUMBER(SEARCH($B$5,'Master Database'!$B159&amp;" "&amp;'Master Database'!$D159))),OR($B$6="(All)",'Master Database'!$C159=$B$6),OR($B$7="(All)",'Master Database'!$E159=$B$7),OR($B$8="(All)",'Master Database'!$T159=$B$8),OR($B$9="(All)",'Master Database'!$M159=$B$9),OR($B$10="(All)",'Master Database'!$V159=$B$10),OR($E$5="(All)",'Master Database'!$F159=$E$5),OR($E$6="(All)",'Master Database'!$G159=$E$6),OR($E$7="(All)",'Master Database'!$O159=$E$7),OR($E$8="(All)",'Master Database'!$P159=$E$8),OR($E$9="(All)",'Master Database'!$S159=$E$9),OR($E$10="(All)",'Master Database'!$Y159&amp;""=$E$10&amp;""),OR($H$5="(All)",'Master Database'!$BG159=$H$5),OR($H$6&lt;&gt;"Y",ISNUMBER('Master Database'!$AG159)),OR($H$7="",AND(ISNUMBER('Master Database'!$H159),N('Master Database'!$H159)&gt;=$H$7)),OR($I$7="",AND(ISNUMBER('Master Database'!$H159),N('Master Database'!$H159)&lt;=$I$7)),OR($H$8="",AND(ISNUMBER('Master Database'!$I159),N('Master Database'!$I159)&gt;=$H$8)),OR($I$8="",AND(ISNUMBER('Master Database'!$I159),N('Master Database'!$I159)&lt;=$I$8)),OR($H$9="",AND(ISNUMBER('Master Database'!$K159),N('Master Database'!$K159)&gt;=$H$9)),OR($I$9="",AND(ISNUMBER('Master Database'!$K159),N('Master Database'!$K159)&lt;=$I$9))),1,0))</f>
        <v>0</v>
      </c>
      <c r="BB159" t="str">
        <f>IF(BA159=1,COUNTIF($BA$5:BA159,1),"")</f>
        <v/>
      </c>
    </row>
    <row r="160" spans="1:54">
      <c r="A160" s="20">
        <f>IF(145&lt;=SUM($BA$5:$BA$600),145,"")</f>
        <v>145</v>
      </c>
      <c r="B160" s="20">
        <f t="shared" si="4"/>
        <v>149</v>
      </c>
      <c r="C160" s="20">
        <f>IF($B160="","",IF(INDEX('Master Database'!$A$1:$A$600,$B160)="","",INDEX('Master Database'!$A$1:$A$600,$B160)))</f>
        <v>145</v>
      </c>
      <c r="D160" s="19" t="str">
        <f>IF($B160="","",IF(INDEX('Master Database'!$B$1:$B$600,$B160)="","",INDEX('Master Database'!$B$1:$B$600,$B160)))</f>
        <v>Fire Water Pump-Diesel Engine Driven</v>
      </c>
      <c r="E160" s="19" t="str">
        <f>IF($B160="","",IF(INDEX('Master Database'!$C$1:$C$600,$B160)="","",INDEX('Master Database'!$C$1:$C$600,$B160)))</f>
        <v>Pazanan 2</v>
      </c>
      <c r="F160" s="19" t="str">
        <f>IF($B160="","",IF(INDEX('Master Database'!$D$1:$D$600,$B160)="","",INDEX('Master Database'!$D$1:$D$600,$B160)))</f>
        <v>P-193</v>
      </c>
      <c r="G160" s="19" t="str">
        <f>IF($B160="","",IF(INDEX('Master Database'!$E$1:$E$600,$B160)="","",INDEX('Master Database'!$E$1:$E$600,$B160)))</f>
        <v>ROT-FIR</v>
      </c>
      <c r="H160" s="19" t="str">
        <f>IF($B160="","",IF(INDEX('Master Database'!$F$1:$F$600,$B160)="","",INDEX('Master Database'!$F$1:$F$600,$B160)))</f>
        <v>BB (unspecified)</v>
      </c>
      <c r="I160" s="19" t="str">
        <f>IF($B160="","",IF(INDEX('Master Database'!$G$1:$G$600,$B160)="","",INDEX('Master Database'!$G$1:$G$600,$B160)))</f>
        <v>I-2</v>
      </c>
      <c r="J160" s="46">
        <f>IF($B160="","",IF(INDEX('Master Database'!$H$1:$H$600,$B160)="","",INDEX('Master Database'!$H$1:$H$600,$B160)))</f>
        <v>825</v>
      </c>
      <c r="K160" s="46">
        <f>IF($B160="","",IF(INDEX('Master Database'!$I$1:$I$600,$B160)="","",INDEX('Master Database'!$I$1:$I$600,$B160)))</f>
        <v>107</v>
      </c>
      <c r="L160" s="46">
        <f>IF($B160="","",IF(INDEX('Master Database'!$K$1:$K$600,$B160)="","",INDEX('Master Database'!$K$1:$K$600,$B160)))</f>
        <v>400.88555858310627</v>
      </c>
      <c r="M160" s="19" t="str">
        <f>IF($B160="","",IF(INDEX('Master Database'!$L$1:$L$600,$B160)="","",INDEX('Master Database'!$L$1:$L$600,$B160)))</f>
        <v>NFPA 20 + IPS-M-PM-125</v>
      </c>
      <c r="N160" s="19" t="str">
        <f>IF($B160="","",IF(INDEX('Master Database'!$P$1:$P$600,$B160)="","",INDEX('Master Database'!$P$1:$P$600,$B160)))</f>
        <v>Not stated</v>
      </c>
      <c r="O160" s="19" t="str">
        <f>IF($B160="","",IF(INDEX('Master Database'!$S$1:$S$600,$B160)="","",INDEX('Master Database'!$S$1:$S$600,$B160)))</f>
        <v>Diesel Engine</v>
      </c>
      <c r="P160" s="19" t="str">
        <f>IF($B160="","",IF(INDEX('Master Database'!$T$1:$T$600,$B160)="","",INDEX('Master Database'!$T$1:$T$600,$B160)))</f>
        <v>Fire Water</v>
      </c>
      <c r="Q160" s="19">
        <f>IF($B160="","",IF(INDEX('Master Database'!$Y$1:$Y$600,$B160)="","",INDEX('Master Database'!$Y$1:$Y$600,$B160)))</f>
        <v>1393</v>
      </c>
      <c r="R160" s="19" t="str">
        <f>IF($B160="","",IF(INDEX('Master Database'!$Z$1:$Z$600,$B160)="","",INDEX('Master Database'!$Z$1:$Z$600,$B160)))</f>
        <v>EUR</v>
      </c>
      <c r="S160" s="47">
        <f>IF($B160="","",IF(INDEX('Master Database'!$AA$1:$AA$600,$B160)="","",INDEX('Master Database'!$AA$1:$AA$600,$B160)))</f>
        <v>100000</v>
      </c>
      <c r="T160" s="19" t="str">
        <f>IF($B160="","",IF(INDEX('Master Database'!$AE$1:$AE$600,$B160)="","",INDEX('Master Database'!$AE$1:$AE$600,$B160)))</f>
        <v>Consultant basic MTO estimate R02 (Feb 2015), PC-ME sheet PUMPS col. AR (FOB EUR)</v>
      </c>
      <c r="U160" s="47">
        <f>IF($B160="","",IF(INDEX('Master Database'!$AG$1:$AG$600,$B160)="","",INDEX('Master Database'!$AG$1:$AG$600,$B160)))</f>
        <v>135106.79058972929</v>
      </c>
      <c r="V160" s="47">
        <f>IF($B160="","",IF(INDEX('Master Database'!$AH$1:$AH$600,$B160)="","",INDEX('Master Database'!$AH$1:$AH$600,$B160)))</f>
        <v>142643.46369846296</v>
      </c>
      <c r="W160" s="47">
        <f>IF($B160="","",IF(INDEX('Master Database'!$AI$1:$AI$600,$B160)="","",INDEX('Master Database'!$AI$1:$AI$600,$B160)))</f>
        <v>93935428079.739914</v>
      </c>
      <c r="X160" s="19" t="str">
        <f>IF($B160="","",IF(INDEX('Master Database'!$BG$1:$BG$600,$B160)="","",INDEX('Master Database'!$BG$1:$BG$600,$B160)))</f>
        <v>Y</v>
      </c>
      <c r="BA160">
        <f>IF('Master Database'!$A160="",0,IF(AND(OR($B$5="",ISNUMBER(SEARCH($B$5,'Master Database'!$B160&amp;" "&amp;'Master Database'!$D160))),OR($B$6="(All)",'Master Database'!$C160=$B$6),OR($B$7="(All)",'Master Database'!$E160=$B$7),OR($B$8="(All)",'Master Database'!$T160=$B$8),OR($B$9="(All)",'Master Database'!$M160=$B$9),OR($B$10="(All)",'Master Database'!$V160=$B$10),OR($E$5="(All)",'Master Database'!$F160=$E$5),OR($E$6="(All)",'Master Database'!$G160=$E$6),OR($E$7="(All)",'Master Database'!$O160=$E$7),OR($E$8="(All)",'Master Database'!$P160=$E$8),OR($E$9="(All)",'Master Database'!$S160=$E$9),OR($E$10="(All)",'Master Database'!$Y160&amp;""=$E$10&amp;""),OR($H$5="(All)",'Master Database'!$BG160=$H$5),OR($H$6&lt;&gt;"Y",ISNUMBER('Master Database'!$AG160)),OR($H$7="",AND(ISNUMBER('Master Database'!$H160),N('Master Database'!$H160)&gt;=$H$7)),OR($I$7="",AND(ISNUMBER('Master Database'!$H160),N('Master Database'!$H160)&lt;=$I$7)),OR($H$8="",AND(ISNUMBER('Master Database'!$I160),N('Master Database'!$I160)&gt;=$H$8)),OR($I$8="",AND(ISNUMBER('Master Database'!$I160),N('Master Database'!$I160)&lt;=$I$8)),OR($H$9="",AND(ISNUMBER('Master Database'!$K160),N('Master Database'!$K160)&gt;=$H$9)),OR($I$9="",AND(ISNUMBER('Master Database'!$K160),N('Master Database'!$K160)&lt;=$I$9))),1,0))</f>
        <v>0</v>
      </c>
      <c r="BB160" t="str">
        <f>IF(BA160=1,COUNTIF($BA$5:BA160,1),"")</f>
        <v/>
      </c>
    </row>
    <row r="161" spans="1:54">
      <c r="A161" s="20">
        <f>IF(146&lt;=SUM($BA$5:$BA$600),146,"")</f>
        <v>146</v>
      </c>
      <c r="B161" s="20">
        <f t="shared" si="4"/>
        <v>150</v>
      </c>
      <c r="C161" s="20">
        <f>IF($B161="","",IF(INDEX('Master Database'!$A$1:$A$600,$B161)="","",INDEX('Master Database'!$A$1:$A$600,$B161)))</f>
        <v>146</v>
      </c>
      <c r="D161" s="19" t="str">
        <f>IF($B161="","",IF(INDEX('Master Database'!$B$1:$B$600,$B161)="","",INDEX('Master Database'!$B$1:$B$600,$B161)))</f>
        <v>Fire Water Jockey Pumps</v>
      </c>
      <c r="E161" s="19" t="str">
        <f>IF($B161="","",IF(INDEX('Master Database'!$C$1:$C$600,$B161)="","",INDEX('Master Database'!$C$1:$C$600,$B161)))</f>
        <v>Pazanan 2</v>
      </c>
      <c r="F161" s="19" t="str">
        <f>IF($B161="","",IF(INDEX('Master Database'!$D$1:$D$600,$B161)="","",INDEX('Master Database'!$D$1:$D$600,$B161)))</f>
        <v>P-194 A/B</v>
      </c>
      <c r="G161" s="19" t="str">
        <f>IF($B161="","",IF(INDEX('Master Database'!$E$1:$E$600,$B161)="","",INDEX('Master Database'!$E$1:$E$600,$B161)))</f>
        <v>ROT-FIR</v>
      </c>
      <c r="H161" s="19" t="str">
        <f>IF($B161="","",IF(INDEX('Master Database'!$F$1:$F$600,$B161)="","",INDEX('Master Database'!$F$1:$F$600,$B161)))</f>
        <v>OH (unspecified)</v>
      </c>
      <c r="I161" s="19" t="str">
        <f>IF($B161="","",IF(INDEX('Master Database'!$G$1:$G$600,$B161)="","",INDEX('Master Database'!$G$1:$G$600,$B161)))</f>
        <v>I-2</v>
      </c>
      <c r="J161" s="46">
        <f>IF($B161="","",IF(INDEX('Master Database'!$H$1:$H$600,$B161)="","",INDEX('Master Database'!$H$1:$H$600,$B161)))</f>
        <v>16.5</v>
      </c>
      <c r="K161" s="46">
        <f>IF($B161="","",IF(INDEX('Master Database'!$I$1:$I$600,$B161)="","",INDEX('Master Database'!$I$1:$I$600,$B161)))</f>
        <v>107</v>
      </c>
      <c r="L161" s="46">
        <f>IF($B161="","",IF(INDEX('Master Database'!$K$1:$K$600,$B161)="","",INDEX('Master Database'!$K$1:$K$600,$B161)))</f>
        <v>8.0177111716621265</v>
      </c>
      <c r="M161" s="19" t="str">
        <f>IF($B161="","",IF(INDEX('Master Database'!$L$1:$L$600,$B161)="","",INDEX('Master Database'!$L$1:$L$600,$B161)))</f>
        <v>NFPA 20 + IPS-M-PM-125</v>
      </c>
      <c r="N161" s="19" t="str">
        <f>IF($B161="","",IF(INDEX('Master Database'!$P$1:$P$600,$B161)="","",INDEX('Master Database'!$P$1:$P$600,$B161)))</f>
        <v>Not stated</v>
      </c>
      <c r="O161" s="19" t="str">
        <f>IF($B161="","",IF(INDEX('Master Database'!$S$1:$S$600,$B161)="","",INDEX('Master Database'!$S$1:$S$600,$B161)))</f>
        <v>Electric Motor</v>
      </c>
      <c r="P161" s="19" t="str">
        <f>IF($B161="","",IF(INDEX('Master Database'!$T$1:$T$600,$B161)="","",INDEX('Master Database'!$T$1:$T$600,$B161)))</f>
        <v>Fire Water</v>
      </c>
      <c r="Q161" s="19">
        <f>IF($B161="","",IF(INDEX('Master Database'!$Y$1:$Y$600,$B161)="","",INDEX('Master Database'!$Y$1:$Y$600,$B161)))</f>
        <v>1393</v>
      </c>
      <c r="R161" s="19" t="str">
        <f>IF($B161="","",IF(INDEX('Master Database'!$Z$1:$Z$600,$B161)="","",INDEX('Master Database'!$Z$1:$Z$600,$B161)))</f>
        <v>EUR</v>
      </c>
      <c r="S161" s="47">
        <f>IF($B161="","",IF(INDEX('Master Database'!$AA$1:$AA$600,$B161)="","",INDEX('Master Database'!$AA$1:$AA$600,$B161)))</f>
        <v>15000</v>
      </c>
      <c r="T161" s="19" t="str">
        <f>IF($B161="","",IF(INDEX('Master Database'!$AE$1:$AE$600,$B161)="","",INDEX('Master Database'!$AE$1:$AE$600,$B161)))</f>
        <v>Consultant basic MTO estimate R02 (Feb 2015), PC-ME sheet PUMPS col. AR (FOB EUR)</v>
      </c>
      <c r="U161" s="47">
        <f>IF($B161="","",IF(INDEX('Master Database'!$AG$1:$AG$600,$B161)="","",INDEX('Master Database'!$AG$1:$AG$600,$B161)))</f>
        <v>20266.018588459392</v>
      </c>
      <c r="V161" s="47">
        <f>IF($B161="","",IF(INDEX('Master Database'!$AH$1:$AH$600,$B161)="","",INDEX('Master Database'!$AH$1:$AH$600,$B161)))</f>
        <v>21396.519554769442</v>
      </c>
      <c r="W161" s="47">
        <f>IF($B161="","",IF(INDEX('Master Database'!$AI$1:$AI$600,$B161)="","",INDEX('Master Database'!$AI$1:$AI$600,$B161)))</f>
        <v>14090314211.960985</v>
      </c>
      <c r="X161" s="19" t="str">
        <f>IF($B161="","",IF(INDEX('Master Database'!$BG$1:$BG$600,$B161)="","",INDEX('Master Database'!$BG$1:$BG$600,$B161)))</f>
        <v>Y</v>
      </c>
      <c r="BA161">
        <f>IF('Master Database'!$A161="",0,IF(AND(OR($B$5="",ISNUMBER(SEARCH($B$5,'Master Database'!$B161&amp;" "&amp;'Master Database'!$D161))),OR($B$6="(All)",'Master Database'!$C161=$B$6),OR($B$7="(All)",'Master Database'!$E161=$B$7),OR($B$8="(All)",'Master Database'!$T161=$B$8),OR($B$9="(All)",'Master Database'!$M161=$B$9),OR($B$10="(All)",'Master Database'!$V161=$B$10),OR($E$5="(All)",'Master Database'!$F161=$E$5),OR($E$6="(All)",'Master Database'!$G161=$E$6),OR($E$7="(All)",'Master Database'!$O161=$E$7),OR($E$8="(All)",'Master Database'!$P161=$E$8),OR($E$9="(All)",'Master Database'!$S161=$E$9),OR($E$10="(All)",'Master Database'!$Y161&amp;""=$E$10&amp;""),OR($H$5="(All)",'Master Database'!$BG161=$H$5),OR($H$6&lt;&gt;"Y",ISNUMBER('Master Database'!$AG161)),OR($H$7="",AND(ISNUMBER('Master Database'!$H161),N('Master Database'!$H161)&gt;=$H$7)),OR($I$7="",AND(ISNUMBER('Master Database'!$H161),N('Master Database'!$H161)&lt;=$I$7)),OR($H$8="",AND(ISNUMBER('Master Database'!$I161),N('Master Database'!$I161)&gt;=$H$8)),OR($I$8="",AND(ISNUMBER('Master Database'!$I161),N('Master Database'!$I161)&lt;=$I$8)),OR($H$9="",AND(ISNUMBER('Master Database'!$K161),N('Master Database'!$K161)&gt;=$H$9)),OR($I$9="",AND(ISNUMBER('Master Database'!$K161),N('Master Database'!$K161)&lt;=$I$9))),1,0))</f>
        <v>0</v>
      </c>
      <c r="BB161" t="str">
        <f>IF(BA161=1,COUNTIF($BA$5:BA161,1),"")</f>
        <v/>
      </c>
    </row>
    <row r="162" spans="1:54">
      <c r="A162" s="20" t="str">
        <f>IF(147&lt;=SUM($BA$5:$BA$600),147,"")</f>
        <v/>
      </c>
      <c r="B162" s="20" t="str">
        <f t="shared" si="4"/>
        <v/>
      </c>
      <c r="C162" s="20" t="str">
        <f>IF($B162="","",IF(INDEX('Master Database'!$A$1:$A$600,$B162)="","",INDEX('Master Database'!$A$1:$A$600,$B162)))</f>
        <v/>
      </c>
      <c r="D162" s="19" t="str">
        <f>IF($B162="","",IF(INDEX('Master Database'!$B$1:$B$600,$B162)="","",INDEX('Master Database'!$B$1:$B$600,$B162)))</f>
        <v/>
      </c>
      <c r="E162" s="19" t="str">
        <f>IF($B162="","",IF(INDEX('Master Database'!$C$1:$C$600,$B162)="","",INDEX('Master Database'!$C$1:$C$600,$B162)))</f>
        <v/>
      </c>
      <c r="F162" s="19" t="str">
        <f>IF($B162="","",IF(INDEX('Master Database'!$D$1:$D$600,$B162)="","",INDEX('Master Database'!$D$1:$D$600,$B162)))</f>
        <v/>
      </c>
      <c r="G162" s="19" t="str">
        <f>IF($B162="","",IF(INDEX('Master Database'!$E$1:$E$600,$B162)="","",INDEX('Master Database'!$E$1:$E$600,$B162)))</f>
        <v/>
      </c>
      <c r="H162" s="19" t="str">
        <f>IF($B162="","",IF(INDEX('Master Database'!$F$1:$F$600,$B162)="","",INDEX('Master Database'!$F$1:$F$600,$B162)))</f>
        <v/>
      </c>
      <c r="I162" s="19" t="str">
        <f>IF($B162="","",IF(INDEX('Master Database'!$G$1:$G$600,$B162)="","",INDEX('Master Database'!$G$1:$G$600,$B162)))</f>
        <v/>
      </c>
      <c r="J162" s="46" t="str">
        <f>IF($B162="","",IF(INDEX('Master Database'!$H$1:$H$600,$B162)="","",INDEX('Master Database'!$H$1:$H$600,$B162)))</f>
        <v/>
      </c>
      <c r="K162" s="46" t="str">
        <f>IF($B162="","",IF(INDEX('Master Database'!$I$1:$I$600,$B162)="","",INDEX('Master Database'!$I$1:$I$600,$B162)))</f>
        <v/>
      </c>
      <c r="L162" s="46" t="str">
        <f>IF($B162="","",IF(INDEX('Master Database'!$K$1:$K$600,$B162)="","",INDEX('Master Database'!$K$1:$K$600,$B162)))</f>
        <v/>
      </c>
      <c r="M162" s="19" t="str">
        <f>IF($B162="","",IF(INDEX('Master Database'!$L$1:$L$600,$B162)="","",INDEX('Master Database'!$L$1:$L$600,$B162)))</f>
        <v/>
      </c>
      <c r="N162" s="19" t="str">
        <f>IF($B162="","",IF(INDEX('Master Database'!$P$1:$P$600,$B162)="","",INDEX('Master Database'!$P$1:$P$600,$B162)))</f>
        <v/>
      </c>
      <c r="O162" s="19" t="str">
        <f>IF($B162="","",IF(INDEX('Master Database'!$S$1:$S$600,$B162)="","",INDEX('Master Database'!$S$1:$S$600,$B162)))</f>
        <v/>
      </c>
      <c r="P162" s="19" t="str">
        <f>IF($B162="","",IF(INDEX('Master Database'!$T$1:$T$600,$B162)="","",INDEX('Master Database'!$T$1:$T$600,$B162)))</f>
        <v/>
      </c>
      <c r="Q162" s="19" t="str">
        <f>IF($B162="","",IF(INDEX('Master Database'!$Y$1:$Y$600,$B162)="","",INDEX('Master Database'!$Y$1:$Y$600,$B162)))</f>
        <v/>
      </c>
      <c r="R162" s="19" t="str">
        <f>IF($B162="","",IF(INDEX('Master Database'!$Z$1:$Z$600,$B162)="","",INDEX('Master Database'!$Z$1:$Z$600,$B162)))</f>
        <v/>
      </c>
      <c r="S162" s="47" t="str">
        <f>IF($B162="","",IF(INDEX('Master Database'!$AA$1:$AA$600,$B162)="","",INDEX('Master Database'!$AA$1:$AA$600,$B162)))</f>
        <v/>
      </c>
      <c r="T162" s="19" t="str">
        <f>IF($B162="","",IF(INDEX('Master Database'!$AE$1:$AE$600,$B162)="","",INDEX('Master Database'!$AE$1:$AE$600,$B162)))</f>
        <v/>
      </c>
      <c r="U162" s="47" t="str">
        <f>IF($B162="","",IF(INDEX('Master Database'!$AG$1:$AG$600,$B162)="","",INDEX('Master Database'!$AG$1:$AG$600,$B162)))</f>
        <v/>
      </c>
      <c r="V162" s="47" t="str">
        <f>IF($B162="","",IF(INDEX('Master Database'!$AH$1:$AH$600,$B162)="","",INDEX('Master Database'!$AH$1:$AH$600,$B162)))</f>
        <v/>
      </c>
      <c r="W162" s="47" t="str">
        <f>IF($B162="","",IF(INDEX('Master Database'!$AI$1:$AI$600,$B162)="","",INDEX('Master Database'!$AI$1:$AI$600,$B162)))</f>
        <v/>
      </c>
      <c r="X162" s="19" t="str">
        <f>IF($B162="","",IF(INDEX('Master Database'!$BG$1:$BG$600,$B162)="","",INDEX('Master Database'!$BG$1:$BG$600,$B162)))</f>
        <v/>
      </c>
      <c r="BA162">
        <f>IF('Master Database'!$A162="",0,IF(AND(OR($B$5="",ISNUMBER(SEARCH($B$5,'Master Database'!$B162&amp;" "&amp;'Master Database'!$D162))),OR($B$6="(All)",'Master Database'!$C162=$B$6),OR($B$7="(All)",'Master Database'!$E162=$B$7),OR($B$8="(All)",'Master Database'!$T162=$B$8),OR($B$9="(All)",'Master Database'!$M162=$B$9),OR($B$10="(All)",'Master Database'!$V162=$B$10),OR($E$5="(All)",'Master Database'!$F162=$E$5),OR($E$6="(All)",'Master Database'!$G162=$E$6),OR($E$7="(All)",'Master Database'!$O162=$E$7),OR($E$8="(All)",'Master Database'!$P162=$E$8),OR($E$9="(All)",'Master Database'!$S162=$E$9),OR($E$10="(All)",'Master Database'!$Y162&amp;""=$E$10&amp;""),OR($H$5="(All)",'Master Database'!$BG162=$H$5),OR($H$6&lt;&gt;"Y",ISNUMBER('Master Database'!$AG162)),OR($H$7="",AND(ISNUMBER('Master Database'!$H162),N('Master Database'!$H162)&gt;=$H$7)),OR($I$7="",AND(ISNUMBER('Master Database'!$H162),N('Master Database'!$H162)&lt;=$I$7)),OR($H$8="",AND(ISNUMBER('Master Database'!$I162),N('Master Database'!$I162)&gt;=$H$8)),OR($I$8="",AND(ISNUMBER('Master Database'!$I162),N('Master Database'!$I162)&lt;=$I$8)),OR($H$9="",AND(ISNUMBER('Master Database'!$K162),N('Master Database'!$K162)&gt;=$H$9)),OR($I$9="",AND(ISNUMBER('Master Database'!$K162),N('Master Database'!$K162)&lt;=$I$9))),1,0))</f>
        <v>0</v>
      </c>
      <c r="BB162" t="str">
        <f>IF(BA162=1,COUNTIF($BA$5:BA162,1),"")</f>
        <v/>
      </c>
    </row>
    <row r="163" spans="1:54">
      <c r="A163" s="20" t="str">
        <f>IF(148&lt;=SUM($BA$5:$BA$600),148,"")</f>
        <v/>
      </c>
      <c r="B163" s="20" t="str">
        <f t="shared" si="4"/>
        <v/>
      </c>
      <c r="C163" s="20" t="str">
        <f>IF($B163="","",IF(INDEX('Master Database'!$A$1:$A$600,$B163)="","",INDEX('Master Database'!$A$1:$A$600,$B163)))</f>
        <v/>
      </c>
      <c r="D163" s="19" t="str">
        <f>IF($B163="","",IF(INDEX('Master Database'!$B$1:$B$600,$B163)="","",INDEX('Master Database'!$B$1:$B$600,$B163)))</f>
        <v/>
      </c>
      <c r="E163" s="19" t="str">
        <f>IF($B163="","",IF(INDEX('Master Database'!$C$1:$C$600,$B163)="","",INDEX('Master Database'!$C$1:$C$600,$B163)))</f>
        <v/>
      </c>
      <c r="F163" s="19" t="str">
        <f>IF($B163="","",IF(INDEX('Master Database'!$D$1:$D$600,$B163)="","",INDEX('Master Database'!$D$1:$D$600,$B163)))</f>
        <v/>
      </c>
      <c r="G163" s="19" t="str">
        <f>IF($B163="","",IF(INDEX('Master Database'!$E$1:$E$600,$B163)="","",INDEX('Master Database'!$E$1:$E$600,$B163)))</f>
        <v/>
      </c>
      <c r="H163" s="19" t="str">
        <f>IF($B163="","",IF(INDEX('Master Database'!$F$1:$F$600,$B163)="","",INDEX('Master Database'!$F$1:$F$600,$B163)))</f>
        <v/>
      </c>
      <c r="I163" s="19" t="str">
        <f>IF($B163="","",IF(INDEX('Master Database'!$G$1:$G$600,$B163)="","",INDEX('Master Database'!$G$1:$G$600,$B163)))</f>
        <v/>
      </c>
      <c r="J163" s="46" t="str">
        <f>IF($B163="","",IF(INDEX('Master Database'!$H$1:$H$600,$B163)="","",INDEX('Master Database'!$H$1:$H$600,$B163)))</f>
        <v/>
      </c>
      <c r="K163" s="46" t="str">
        <f>IF($B163="","",IF(INDEX('Master Database'!$I$1:$I$600,$B163)="","",INDEX('Master Database'!$I$1:$I$600,$B163)))</f>
        <v/>
      </c>
      <c r="L163" s="46" t="str">
        <f>IF($B163="","",IF(INDEX('Master Database'!$K$1:$K$600,$B163)="","",INDEX('Master Database'!$K$1:$K$600,$B163)))</f>
        <v/>
      </c>
      <c r="M163" s="19" t="str">
        <f>IF($B163="","",IF(INDEX('Master Database'!$L$1:$L$600,$B163)="","",INDEX('Master Database'!$L$1:$L$600,$B163)))</f>
        <v/>
      </c>
      <c r="N163" s="19" t="str">
        <f>IF($B163="","",IF(INDEX('Master Database'!$P$1:$P$600,$B163)="","",INDEX('Master Database'!$P$1:$P$600,$B163)))</f>
        <v/>
      </c>
      <c r="O163" s="19" t="str">
        <f>IF($B163="","",IF(INDEX('Master Database'!$S$1:$S$600,$B163)="","",INDEX('Master Database'!$S$1:$S$600,$B163)))</f>
        <v/>
      </c>
      <c r="P163" s="19" t="str">
        <f>IF($B163="","",IF(INDEX('Master Database'!$T$1:$T$600,$B163)="","",INDEX('Master Database'!$T$1:$T$600,$B163)))</f>
        <v/>
      </c>
      <c r="Q163" s="19" t="str">
        <f>IF($B163="","",IF(INDEX('Master Database'!$Y$1:$Y$600,$B163)="","",INDEX('Master Database'!$Y$1:$Y$600,$B163)))</f>
        <v/>
      </c>
      <c r="R163" s="19" t="str">
        <f>IF($B163="","",IF(INDEX('Master Database'!$Z$1:$Z$600,$B163)="","",INDEX('Master Database'!$Z$1:$Z$600,$B163)))</f>
        <v/>
      </c>
      <c r="S163" s="47" t="str">
        <f>IF($B163="","",IF(INDEX('Master Database'!$AA$1:$AA$600,$B163)="","",INDEX('Master Database'!$AA$1:$AA$600,$B163)))</f>
        <v/>
      </c>
      <c r="T163" s="19" t="str">
        <f>IF($B163="","",IF(INDEX('Master Database'!$AE$1:$AE$600,$B163)="","",INDEX('Master Database'!$AE$1:$AE$600,$B163)))</f>
        <v/>
      </c>
      <c r="U163" s="47" t="str">
        <f>IF($B163="","",IF(INDEX('Master Database'!$AG$1:$AG$600,$B163)="","",INDEX('Master Database'!$AG$1:$AG$600,$B163)))</f>
        <v/>
      </c>
      <c r="V163" s="47" t="str">
        <f>IF($B163="","",IF(INDEX('Master Database'!$AH$1:$AH$600,$B163)="","",INDEX('Master Database'!$AH$1:$AH$600,$B163)))</f>
        <v/>
      </c>
      <c r="W163" s="47" t="str">
        <f>IF($B163="","",IF(INDEX('Master Database'!$AI$1:$AI$600,$B163)="","",INDEX('Master Database'!$AI$1:$AI$600,$B163)))</f>
        <v/>
      </c>
      <c r="X163" s="19" t="str">
        <f>IF($B163="","",IF(INDEX('Master Database'!$BG$1:$BG$600,$B163)="","",INDEX('Master Database'!$BG$1:$BG$600,$B163)))</f>
        <v/>
      </c>
      <c r="BA163">
        <f>IF('Master Database'!$A163="",0,IF(AND(OR($B$5="",ISNUMBER(SEARCH($B$5,'Master Database'!$B163&amp;" "&amp;'Master Database'!$D163))),OR($B$6="(All)",'Master Database'!$C163=$B$6),OR($B$7="(All)",'Master Database'!$E163=$B$7),OR($B$8="(All)",'Master Database'!$T163=$B$8),OR($B$9="(All)",'Master Database'!$M163=$B$9),OR($B$10="(All)",'Master Database'!$V163=$B$10),OR($E$5="(All)",'Master Database'!$F163=$E$5),OR($E$6="(All)",'Master Database'!$G163=$E$6),OR($E$7="(All)",'Master Database'!$O163=$E$7),OR($E$8="(All)",'Master Database'!$P163=$E$8),OR($E$9="(All)",'Master Database'!$S163=$E$9),OR($E$10="(All)",'Master Database'!$Y163&amp;""=$E$10&amp;""),OR($H$5="(All)",'Master Database'!$BG163=$H$5),OR($H$6&lt;&gt;"Y",ISNUMBER('Master Database'!$AG163)),OR($H$7="",AND(ISNUMBER('Master Database'!$H163),N('Master Database'!$H163)&gt;=$H$7)),OR($I$7="",AND(ISNUMBER('Master Database'!$H163),N('Master Database'!$H163)&lt;=$I$7)),OR($H$8="",AND(ISNUMBER('Master Database'!$I163),N('Master Database'!$I163)&gt;=$H$8)),OR($I$8="",AND(ISNUMBER('Master Database'!$I163),N('Master Database'!$I163)&lt;=$I$8)),OR($H$9="",AND(ISNUMBER('Master Database'!$K163),N('Master Database'!$K163)&gt;=$H$9)),OR($I$9="",AND(ISNUMBER('Master Database'!$K163),N('Master Database'!$K163)&lt;=$I$9))),1,0))</f>
        <v>0</v>
      </c>
      <c r="BB163" t="str">
        <f>IF(BA163=1,COUNTIF($BA$5:BA163,1),"")</f>
        <v/>
      </c>
    </row>
    <row r="164" spans="1:54">
      <c r="A164" s="20" t="str">
        <f>IF(149&lt;=SUM($BA$5:$BA$600),149,"")</f>
        <v/>
      </c>
      <c r="B164" s="20" t="str">
        <f t="shared" si="4"/>
        <v/>
      </c>
      <c r="C164" s="20" t="str">
        <f>IF($B164="","",IF(INDEX('Master Database'!$A$1:$A$600,$B164)="","",INDEX('Master Database'!$A$1:$A$600,$B164)))</f>
        <v/>
      </c>
      <c r="D164" s="19" t="str">
        <f>IF($B164="","",IF(INDEX('Master Database'!$B$1:$B$600,$B164)="","",INDEX('Master Database'!$B$1:$B$600,$B164)))</f>
        <v/>
      </c>
      <c r="E164" s="19" t="str">
        <f>IF($B164="","",IF(INDEX('Master Database'!$C$1:$C$600,$B164)="","",INDEX('Master Database'!$C$1:$C$600,$B164)))</f>
        <v/>
      </c>
      <c r="F164" s="19" t="str">
        <f>IF($B164="","",IF(INDEX('Master Database'!$D$1:$D$600,$B164)="","",INDEX('Master Database'!$D$1:$D$600,$B164)))</f>
        <v/>
      </c>
      <c r="G164" s="19" t="str">
        <f>IF($B164="","",IF(INDEX('Master Database'!$E$1:$E$600,$B164)="","",INDEX('Master Database'!$E$1:$E$600,$B164)))</f>
        <v/>
      </c>
      <c r="H164" s="19" t="str">
        <f>IF($B164="","",IF(INDEX('Master Database'!$F$1:$F$600,$B164)="","",INDEX('Master Database'!$F$1:$F$600,$B164)))</f>
        <v/>
      </c>
      <c r="I164" s="19" t="str">
        <f>IF($B164="","",IF(INDEX('Master Database'!$G$1:$G$600,$B164)="","",INDEX('Master Database'!$G$1:$G$600,$B164)))</f>
        <v/>
      </c>
      <c r="J164" s="46" t="str">
        <f>IF($B164="","",IF(INDEX('Master Database'!$H$1:$H$600,$B164)="","",INDEX('Master Database'!$H$1:$H$600,$B164)))</f>
        <v/>
      </c>
      <c r="K164" s="46" t="str">
        <f>IF($B164="","",IF(INDEX('Master Database'!$I$1:$I$600,$B164)="","",INDEX('Master Database'!$I$1:$I$600,$B164)))</f>
        <v/>
      </c>
      <c r="L164" s="46" t="str">
        <f>IF($B164="","",IF(INDEX('Master Database'!$K$1:$K$600,$B164)="","",INDEX('Master Database'!$K$1:$K$600,$B164)))</f>
        <v/>
      </c>
      <c r="M164" s="19" t="str">
        <f>IF($B164="","",IF(INDEX('Master Database'!$L$1:$L$600,$B164)="","",INDEX('Master Database'!$L$1:$L$600,$B164)))</f>
        <v/>
      </c>
      <c r="N164" s="19" t="str">
        <f>IF($B164="","",IF(INDEX('Master Database'!$P$1:$P$600,$B164)="","",INDEX('Master Database'!$P$1:$P$600,$B164)))</f>
        <v/>
      </c>
      <c r="O164" s="19" t="str">
        <f>IF($B164="","",IF(INDEX('Master Database'!$S$1:$S$600,$B164)="","",INDEX('Master Database'!$S$1:$S$600,$B164)))</f>
        <v/>
      </c>
      <c r="P164" s="19" t="str">
        <f>IF($B164="","",IF(INDEX('Master Database'!$T$1:$T$600,$B164)="","",INDEX('Master Database'!$T$1:$T$600,$B164)))</f>
        <v/>
      </c>
      <c r="Q164" s="19" t="str">
        <f>IF($B164="","",IF(INDEX('Master Database'!$Y$1:$Y$600,$B164)="","",INDEX('Master Database'!$Y$1:$Y$600,$B164)))</f>
        <v/>
      </c>
      <c r="R164" s="19" t="str">
        <f>IF($B164="","",IF(INDEX('Master Database'!$Z$1:$Z$600,$B164)="","",INDEX('Master Database'!$Z$1:$Z$600,$B164)))</f>
        <v/>
      </c>
      <c r="S164" s="47" t="str">
        <f>IF($B164="","",IF(INDEX('Master Database'!$AA$1:$AA$600,$B164)="","",INDEX('Master Database'!$AA$1:$AA$600,$B164)))</f>
        <v/>
      </c>
      <c r="T164" s="19" t="str">
        <f>IF($B164="","",IF(INDEX('Master Database'!$AE$1:$AE$600,$B164)="","",INDEX('Master Database'!$AE$1:$AE$600,$B164)))</f>
        <v/>
      </c>
      <c r="U164" s="47" t="str">
        <f>IF($B164="","",IF(INDEX('Master Database'!$AG$1:$AG$600,$B164)="","",INDEX('Master Database'!$AG$1:$AG$600,$B164)))</f>
        <v/>
      </c>
      <c r="V164" s="47" t="str">
        <f>IF($B164="","",IF(INDEX('Master Database'!$AH$1:$AH$600,$B164)="","",INDEX('Master Database'!$AH$1:$AH$600,$B164)))</f>
        <v/>
      </c>
      <c r="W164" s="47" t="str">
        <f>IF($B164="","",IF(INDEX('Master Database'!$AI$1:$AI$600,$B164)="","",INDEX('Master Database'!$AI$1:$AI$600,$B164)))</f>
        <v/>
      </c>
      <c r="X164" s="19" t="str">
        <f>IF($B164="","",IF(INDEX('Master Database'!$BG$1:$BG$600,$B164)="","",INDEX('Master Database'!$BG$1:$BG$600,$B164)))</f>
        <v/>
      </c>
      <c r="BA164">
        <f>IF('Master Database'!$A164="",0,IF(AND(OR($B$5="",ISNUMBER(SEARCH($B$5,'Master Database'!$B164&amp;" "&amp;'Master Database'!$D164))),OR($B$6="(All)",'Master Database'!$C164=$B$6),OR($B$7="(All)",'Master Database'!$E164=$B$7),OR($B$8="(All)",'Master Database'!$T164=$B$8),OR($B$9="(All)",'Master Database'!$M164=$B$9),OR($B$10="(All)",'Master Database'!$V164=$B$10),OR($E$5="(All)",'Master Database'!$F164=$E$5),OR($E$6="(All)",'Master Database'!$G164=$E$6),OR($E$7="(All)",'Master Database'!$O164=$E$7),OR($E$8="(All)",'Master Database'!$P164=$E$8),OR($E$9="(All)",'Master Database'!$S164=$E$9),OR($E$10="(All)",'Master Database'!$Y164&amp;""=$E$10&amp;""),OR($H$5="(All)",'Master Database'!$BG164=$H$5),OR($H$6&lt;&gt;"Y",ISNUMBER('Master Database'!$AG164)),OR($H$7="",AND(ISNUMBER('Master Database'!$H164),N('Master Database'!$H164)&gt;=$H$7)),OR($I$7="",AND(ISNUMBER('Master Database'!$H164),N('Master Database'!$H164)&lt;=$I$7)),OR($H$8="",AND(ISNUMBER('Master Database'!$I164),N('Master Database'!$I164)&gt;=$H$8)),OR($I$8="",AND(ISNUMBER('Master Database'!$I164),N('Master Database'!$I164)&lt;=$I$8)),OR($H$9="",AND(ISNUMBER('Master Database'!$K164),N('Master Database'!$K164)&gt;=$H$9)),OR($I$9="",AND(ISNUMBER('Master Database'!$K164),N('Master Database'!$K164)&lt;=$I$9))),1,0))</f>
        <v>0</v>
      </c>
      <c r="BB164" t="str">
        <f>IF(BA164=1,COUNTIF($BA$5:BA164,1),"")</f>
        <v/>
      </c>
    </row>
    <row r="165" spans="1:54">
      <c r="A165" s="20" t="str">
        <f>IF(150&lt;=SUM($BA$5:$BA$600),150,"")</f>
        <v/>
      </c>
      <c r="B165" s="20" t="str">
        <f t="shared" si="4"/>
        <v/>
      </c>
      <c r="C165" s="20" t="str">
        <f>IF($B165="","",IF(INDEX('Master Database'!$A$1:$A$600,$B165)="","",INDEX('Master Database'!$A$1:$A$600,$B165)))</f>
        <v/>
      </c>
      <c r="D165" s="19" t="str">
        <f>IF($B165="","",IF(INDEX('Master Database'!$B$1:$B$600,$B165)="","",INDEX('Master Database'!$B$1:$B$600,$B165)))</f>
        <v/>
      </c>
      <c r="E165" s="19" t="str">
        <f>IF($B165="","",IF(INDEX('Master Database'!$C$1:$C$600,$B165)="","",INDEX('Master Database'!$C$1:$C$600,$B165)))</f>
        <v/>
      </c>
      <c r="F165" s="19" t="str">
        <f>IF($B165="","",IF(INDEX('Master Database'!$D$1:$D$600,$B165)="","",INDEX('Master Database'!$D$1:$D$600,$B165)))</f>
        <v/>
      </c>
      <c r="G165" s="19" t="str">
        <f>IF($B165="","",IF(INDEX('Master Database'!$E$1:$E$600,$B165)="","",INDEX('Master Database'!$E$1:$E$600,$B165)))</f>
        <v/>
      </c>
      <c r="H165" s="19" t="str">
        <f>IF($B165="","",IF(INDEX('Master Database'!$F$1:$F$600,$B165)="","",INDEX('Master Database'!$F$1:$F$600,$B165)))</f>
        <v/>
      </c>
      <c r="I165" s="19" t="str">
        <f>IF($B165="","",IF(INDEX('Master Database'!$G$1:$G$600,$B165)="","",INDEX('Master Database'!$G$1:$G$600,$B165)))</f>
        <v/>
      </c>
      <c r="J165" s="46" t="str">
        <f>IF($B165="","",IF(INDEX('Master Database'!$H$1:$H$600,$B165)="","",INDEX('Master Database'!$H$1:$H$600,$B165)))</f>
        <v/>
      </c>
      <c r="K165" s="46" t="str">
        <f>IF($B165="","",IF(INDEX('Master Database'!$I$1:$I$600,$B165)="","",INDEX('Master Database'!$I$1:$I$600,$B165)))</f>
        <v/>
      </c>
      <c r="L165" s="46" t="str">
        <f>IF($B165="","",IF(INDEX('Master Database'!$K$1:$K$600,$B165)="","",INDEX('Master Database'!$K$1:$K$600,$B165)))</f>
        <v/>
      </c>
      <c r="M165" s="19" t="str">
        <f>IF($B165="","",IF(INDEX('Master Database'!$L$1:$L$600,$B165)="","",INDEX('Master Database'!$L$1:$L$600,$B165)))</f>
        <v/>
      </c>
      <c r="N165" s="19" t="str">
        <f>IF($B165="","",IF(INDEX('Master Database'!$P$1:$P$600,$B165)="","",INDEX('Master Database'!$P$1:$P$600,$B165)))</f>
        <v/>
      </c>
      <c r="O165" s="19" t="str">
        <f>IF($B165="","",IF(INDEX('Master Database'!$S$1:$S$600,$B165)="","",INDEX('Master Database'!$S$1:$S$600,$B165)))</f>
        <v/>
      </c>
      <c r="P165" s="19" t="str">
        <f>IF($B165="","",IF(INDEX('Master Database'!$T$1:$T$600,$B165)="","",INDEX('Master Database'!$T$1:$T$600,$B165)))</f>
        <v/>
      </c>
      <c r="Q165" s="19" t="str">
        <f>IF($B165="","",IF(INDEX('Master Database'!$Y$1:$Y$600,$B165)="","",INDEX('Master Database'!$Y$1:$Y$600,$B165)))</f>
        <v/>
      </c>
      <c r="R165" s="19" t="str">
        <f>IF($B165="","",IF(INDEX('Master Database'!$Z$1:$Z$600,$B165)="","",INDEX('Master Database'!$Z$1:$Z$600,$B165)))</f>
        <v/>
      </c>
      <c r="S165" s="47" t="str">
        <f>IF($B165="","",IF(INDEX('Master Database'!$AA$1:$AA$600,$B165)="","",INDEX('Master Database'!$AA$1:$AA$600,$B165)))</f>
        <v/>
      </c>
      <c r="T165" s="19" t="str">
        <f>IF($B165="","",IF(INDEX('Master Database'!$AE$1:$AE$600,$B165)="","",INDEX('Master Database'!$AE$1:$AE$600,$B165)))</f>
        <v/>
      </c>
      <c r="U165" s="47" t="str">
        <f>IF($B165="","",IF(INDEX('Master Database'!$AG$1:$AG$600,$B165)="","",INDEX('Master Database'!$AG$1:$AG$600,$B165)))</f>
        <v/>
      </c>
      <c r="V165" s="47" t="str">
        <f>IF($B165="","",IF(INDEX('Master Database'!$AH$1:$AH$600,$B165)="","",INDEX('Master Database'!$AH$1:$AH$600,$B165)))</f>
        <v/>
      </c>
      <c r="W165" s="47" t="str">
        <f>IF($B165="","",IF(INDEX('Master Database'!$AI$1:$AI$600,$B165)="","",INDEX('Master Database'!$AI$1:$AI$600,$B165)))</f>
        <v/>
      </c>
      <c r="X165" s="19" t="str">
        <f>IF($B165="","",IF(INDEX('Master Database'!$BG$1:$BG$600,$B165)="","",INDEX('Master Database'!$BG$1:$BG$600,$B165)))</f>
        <v/>
      </c>
      <c r="BA165">
        <f>IF('Master Database'!$A165="",0,IF(AND(OR($B$5="",ISNUMBER(SEARCH($B$5,'Master Database'!$B165&amp;" "&amp;'Master Database'!$D165))),OR($B$6="(All)",'Master Database'!$C165=$B$6),OR($B$7="(All)",'Master Database'!$E165=$B$7),OR($B$8="(All)",'Master Database'!$T165=$B$8),OR($B$9="(All)",'Master Database'!$M165=$B$9),OR($B$10="(All)",'Master Database'!$V165=$B$10),OR($E$5="(All)",'Master Database'!$F165=$E$5),OR($E$6="(All)",'Master Database'!$G165=$E$6),OR($E$7="(All)",'Master Database'!$O165=$E$7),OR($E$8="(All)",'Master Database'!$P165=$E$8),OR($E$9="(All)",'Master Database'!$S165=$E$9),OR($E$10="(All)",'Master Database'!$Y165&amp;""=$E$10&amp;""),OR($H$5="(All)",'Master Database'!$BG165=$H$5),OR($H$6&lt;&gt;"Y",ISNUMBER('Master Database'!$AG165)),OR($H$7="",AND(ISNUMBER('Master Database'!$H165),N('Master Database'!$H165)&gt;=$H$7)),OR($I$7="",AND(ISNUMBER('Master Database'!$H165),N('Master Database'!$H165)&lt;=$I$7)),OR($H$8="",AND(ISNUMBER('Master Database'!$I165),N('Master Database'!$I165)&gt;=$H$8)),OR($I$8="",AND(ISNUMBER('Master Database'!$I165),N('Master Database'!$I165)&lt;=$I$8)),OR($H$9="",AND(ISNUMBER('Master Database'!$K165),N('Master Database'!$K165)&gt;=$H$9)),OR($I$9="",AND(ISNUMBER('Master Database'!$K165),N('Master Database'!$K165)&lt;=$I$9))),1,0))</f>
        <v>0</v>
      </c>
      <c r="BB165" t="str">
        <f>IF(BA165=1,COUNTIF($BA$5:BA165,1),"")</f>
        <v/>
      </c>
    </row>
    <row r="166" spans="1:54">
      <c r="A166" s="20" t="str">
        <f>IF(151&lt;=SUM($BA$5:$BA$600),151,"")</f>
        <v/>
      </c>
      <c r="B166" s="20" t="str">
        <f t="shared" si="4"/>
        <v/>
      </c>
      <c r="C166" s="20" t="str">
        <f>IF($B166="","",IF(INDEX('Master Database'!$A$1:$A$600,$B166)="","",INDEX('Master Database'!$A$1:$A$600,$B166)))</f>
        <v/>
      </c>
      <c r="D166" s="19" t="str">
        <f>IF($B166="","",IF(INDEX('Master Database'!$B$1:$B$600,$B166)="","",INDEX('Master Database'!$B$1:$B$600,$B166)))</f>
        <v/>
      </c>
      <c r="E166" s="19" t="str">
        <f>IF($B166="","",IF(INDEX('Master Database'!$C$1:$C$600,$B166)="","",INDEX('Master Database'!$C$1:$C$600,$B166)))</f>
        <v/>
      </c>
      <c r="F166" s="19" t="str">
        <f>IF($B166="","",IF(INDEX('Master Database'!$D$1:$D$600,$B166)="","",INDEX('Master Database'!$D$1:$D$600,$B166)))</f>
        <v/>
      </c>
      <c r="G166" s="19" t="str">
        <f>IF($B166="","",IF(INDEX('Master Database'!$E$1:$E$600,$B166)="","",INDEX('Master Database'!$E$1:$E$600,$B166)))</f>
        <v/>
      </c>
      <c r="H166" s="19" t="str">
        <f>IF($B166="","",IF(INDEX('Master Database'!$F$1:$F$600,$B166)="","",INDEX('Master Database'!$F$1:$F$600,$B166)))</f>
        <v/>
      </c>
      <c r="I166" s="19" t="str">
        <f>IF($B166="","",IF(INDEX('Master Database'!$G$1:$G$600,$B166)="","",INDEX('Master Database'!$G$1:$G$600,$B166)))</f>
        <v/>
      </c>
      <c r="J166" s="46" t="str">
        <f>IF($B166="","",IF(INDEX('Master Database'!$H$1:$H$600,$B166)="","",INDEX('Master Database'!$H$1:$H$600,$B166)))</f>
        <v/>
      </c>
      <c r="K166" s="46" t="str">
        <f>IF($B166="","",IF(INDEX('Master Database'!$I$1:$I$600,$B166)="","",INDEX('Master Database'!$I$1:$I$600,$B166)))</f>
        <v/>
      </c>
      <c r="L166" s="46" t="str">
        <f>IF($B166="","",IF(INDEX('Master Database'!$K$1:$K$600,$B166)="","",INDEX('Master Database'!$K$1:$K$600,$B166)))</f>
        <v/>
      </c>
      <c r="M166" s="19" t="str">
        <f>IF($B166="","",IF(INDEX('Master Database'!$L$1:$L$600,$B166)="","",INDEX('Master Database'!$L$1:$L$600,$B166)))</f>
        <v/>
      </c>
      <c r="N166" s="19" t="str">
        <f>IF($B166="","",IF(INDEX('Master Database'!$P$1:$P$600,$B166)="","",INDEX('Master Database'!$P$1:$P$600,$B166)))</f>
        <v/>
      </c>
      <c r="O166" s="19" t="str">
        <f>IF($B166="","",IF(INDEX('Master Database'!$S$1:$S$600,$B166)="","",INDEX('Master Database'!$S$1:$S$600,$B166)))</f>
        <v/>
      </c>
      <c r="P166" s="19" t="str">
        <f>IF($B166="","",IF(INDEX('Master Database'!$T$1:$T$600,$B166)="","",INDEX('Master Database'!$T$1:$T$600,$B166)))</f>
        <v/>
      </c>
      <c r="Q166" s="19" t="str">
        <f>IF($B166="","",IF(INDEX('Master Database'!$Y$1:$Y$600,$B166)="","",INDEX('Master Database'!$Y$1:$Y$600,$B166)))</f>
        <v/>
      </c>
      <c r="R166" s="19" t="str">
        <f>IF($B166="","",IF(INDEX('Master Database'!$Z$1:$Z$600,$B166)="","",INDEX('Master Database'!$Z$1:$Z$600,$B166)))</f>
        <v/>
      </c>
      <c r="S166" s="47" t="str">
        <f>IF($B166="","",IF(INDEX('Master Database'!$AA$1:$AA$600,$B166)="","",INDEX('Master Database'!$AA$1:$AA$600,$B166)))</f>
        <v/>
      </c>
      <c r="T166" s="19" t="str">
        <f>IF($B166="","",IF(INDEX('Master Database'!$AE$1:$AE$600,$B166)="","",INDEX('Master Database'!$AE$1:$AE$600,$B166)))</f>
        <v/>
      </c>
      <c r="U166" s="47" t="str">
        <f>IF($B166="","",IF(INDEX('Master Database'!$AG$1:$AG$600,$B166)="","",INDEX('Master Database'!$AG$1:$AG$600,$B166)))</f>
        <v/>
      </c>
      <c r="V166" s="47" t="str">
        <f>IF($B166="","",IF(INDEX('Master Database'!$AH$1:$AH$600,$B166)="","",INDEX('Master Database'!$AH$1:$AH$600,$B166)))</f>
        <v/>
      </c>
      <c r="W166" s="47" t="str">
        <f>IF($B166="","",IF(INDEX('Master Database'!$AI$1:$AI$600,$B166)="","",INDEX('Master Database'!$AI$1:$AI$600,$B166)))</f>
        <v/>
      </c>
      <c r="X166" s="19" t="str">
        <f>IF($B166="","",IF(INDEX('Master Database'!$BG$1:$BG$600,$B166)="","",INDEX('Master Database'!$BG$1:$BG$600,$B166)))</f>
        <v/>
      </c>
      <c r="BA166">
        <f>IF('Master Database'!$A166="",0,IF(AND(OR($B$5="",ISNUMBER(SEARCH($B$5,'Master Database'!$B166&amp;" "&amp;'Master Database'!$D166))),OR($B$6="(All)",'Master Database'!$C166=$B$6),OR($B$7="(All)",'Master Database'!$E166=$B$7),OR($B$8="(All)",'Master Database'!$T166=$B$8),OR($B$9="(All)",'Master Database'!$M166=$B$9),OR($B$10="(All)",'Master Database'!$V166=$B$10),OR($E$5="(All)",'Master Database'!$F166=$E$5),OR($E$6="(All)",'Master Database'!$G166=$E$6),OR($E$7="(All)",'Master Database'!$O166=$E$7),OR($E$8="(All)",'Master Database'!$P166=$E$8),OR($E$9="(All)",'Master Database'!$S166=$E$9),OR($E$10="(All)",'Master Database'!$Y166&amp;""=$E$10&amp;""),OR($H$5="(All)",'Master Database'!$BG166=$H$5),OR($H$6&lt;&gt;"Y",ISNUMBER('Master Database'!$AG166)),OR($H$7="",AND(ISNUMBER('Master Database'!$H166),N('Master Database'!$H166)&gt;=$H$7)),OR($I$7="",AND(ISNUMBER('Master Database'!$H166),N('Master Database'!$H166)&lt;=$I$7)),OR($H$8="",AND(ISNUMBER('Master Database'!$I166),N('Master Database'!$I166)&gt;=$H$8)),OR($I$8="",AND(ISNUMBER('Master Database'!$I166),N('Master Database'!$I166)&lt;=$I$8)),OR($H$9="",AND(ISNUMBER('Master Database'!$K166),N('Master Database'!$K166)&gt;=$H$9)),OR($I$9="",AND(ISNUMBER('Master Database'!$K166),N('Master Database'!$K166)&lt;=$I$9))),1,0))</f>
        <v>0</v>
      </c>
      <c r="BB166" t="str">
        <f>IF(BA166=1,COUNTIF($BA$5:BA166,1),"")</f>
        <v/>
      </c>
    </row>
    <row r="167" spans="1:54">
      <c r="A167" s="20" t="str">
        <f>IF(152&lt;=SUM($BA$5:$BA$600),152,"")</f>
        <v/>
      </c>
      <c r="B167" s="20" t="str">
        <f t="shared" si="4"/>
        <v/>
      </c>
      <c r="C167" s="20" t="str">
        <f>IF($B167="","",IF(INDEX('Master Database'!$A$1:$A$600,$B167)="","",INDEX('Master Database'!$A$1:$A$600,$B167)))</f>
        <v/>
      </c>
      <c r="D167" s="19" t="str">
        <f>IF($B167="","",IF(INDEX('Master Database'!$B$1:$B$600,$B167)="","",INDEX('Master Database'!$B$1:$B$600,$B167)))</f>
        <v/>
      </c>
      <c r="E167" s="19" t="str">
        <f>IF($B167="","",IF(INDEX('Master Database'!$C$1:$C$600,$B167)="","",INDEX('Master Database'!$C$1:$C$600,$B167)))</f>
        <v/>
      </c>
      <c r="F167" s="19" t="str">
        <f>IF($B167="","",IF(INDEX('Master Database'!$D$1:$D$600,$B167)="","",INDEX('Master Database'!$D$1:$D$600,$B167)))</f>
        <v/>
      </c>
      <c r="G167" s="19" t="str">
        <f>IF($B167="","",IF(INDEX('Master Database'!$E$1:$E$600,$B167)="","",INDEX('Master Database'!$E$1:$E$600,$B167)))</f>
        <v/>
      </c>
      <c r="H167" s="19" t="str">
        <f>IF($B167="","",IF(INDEX('Master Database'!$F$1:$F$600,$B167)="","",INDEX('Master Database'!$F$1:$F$600,$B167)))</f>
        <v/>
      </c>
      <c r="I167" s="19" t="str">
        <f>IF($B167="","",IF(INDEX('Master Database'!$G$1:$G$600,$B167)="","",INDEX('Master Database'!$G$1:$G$600,$B167)))</f>
        <v/>
      </c>
      <c r="J167" s="46" t="str">
        <f>IF($B167="","",IF(INDEX('Master Database'!$H$1:$H$600,$B167)="","",INDEX('Master Database'!$H$1:$H$600,$B167)))</f>
        <v/>
      </c>
      <c r="K167" s="46" t="str">
        <f>IF($B167="","",IF(INDEX('Master Database'!$I$1:$I$600,$B167)="","",INDEX('Master Database'!$I$1:$I$600,$B167)))</f>
        <v/>
      </c>
      <c r="L167" s="46" t="str">
        <f>IF($B167="","",IF(INDEX('Master Database'!$K$1:$K$600,$B167)="","",INDEX('Master Database'!$K$1:$K$600,$B167)))</f>
        <v/>
      </c>
      <c r="M167" s="19" t="str">
        <f>IF($B167="","",IF(INDEX('Master Database'!$L$1:$L$600,$B167)="","",INDEX('Master Database'!$L$1:$L$600,$B167)))</f>
        <v/>
      </c>
      <c r="N167" s="19" t="str">
        <f>IF($B167="","",IF(INDEX('Master Database'!$P$1:$P$600,$B167)="","",INDEX('Master Database'!$P$1:$P$600,$B167)))</f>
        <v/>
      </c>
      <c r="O167" s="19" t="str">
        <f>IF($B167="","",IF(INDEX('Master Database'!$S$1:$S$600,$B167)="","",INDEX('Master Database'!$S$1:$S$600,$B167)))</f>
        <v/>
      </c>
      <c r="P167" s="19" t="str">
        <f>IF($B167="","",IF(INDEX('Master Database'!$T$1:$T$600,$B167)="","",INDEX('Master Database'!$T$1:$T$600,$B167)))</f>
        <v/>
      </c>
      <c r="Q167" s="19" t="str">
        <f>IF($B167="","",IF(INDEX('Master Database'!$Y$1:$Y$600,$B167)="","",INDEX('Master Database'!$Y$1:$Y$600,$B167)))</f>
        <v/>
      </c>
      <c r="R167" s="19" t="str">
        <f>IF($B167="","",IF(INDEX('Master Database'!$Z$1:$Z$600,$B167)="","",INDEX('Master Database'!$Z$1:$Z$600,$B167)))</f>
        <v/>
      </c>
      <c r="S167" s="47" t="str">
        <f>IF($B167="","",IF(INDEX('Master Database'!$AA$1:$AA$600,$B167)="","",INDEX('Master Database'!$AA$1:$AA$600,$B167)))</f>
        <v/>
      </c>
      <c r="T167" s="19" t="str">
        <f>IF($B167="","",IF(INDEX('Master Database'!$AE$1:$AE$600,$B167)="","",INDEX('Master Database'!$AE$1:$AE$600,$B167)))</f>
        <v/>
      </c>
      <c r="U167" s="47" t="str">
        <f>IF($B167="","",IF(INDEX('Master Database'!$AG$1:$AG$600,$B167)="","",INDEX('Master Database'!$AG$1:$AG$600,$B167)))</f>
        <v/>
      </c>
      <c r="V167" s="47" t="str">
        <f>IF($B167="","",IF(INDEX('Master Database'!$AH$1:$AH$600,$B167)="","",INDEX('Master Database'!$AH$1:$AH$600,$B167)))</f>
        <v/>
      </c>
      <c r="W167" s="47" t="str">
        <f>IF($B167="","",IF(INDEX('Master Database'!$AI$1:$AI$600,$B167)="","",INDEX('Master Database'!$AI$1:$AI$600,$B167)))</f>
        <v/>
      </c>
      <c r="X167" s="19" t="str">
        <f>IF($B167="","",IF(INDEX('Master Database'!$BG$1:$BG$600,$B167)="","",INDEX('Master Database'!$BG$1:$BG$600,$B167)))</f>
        <v/>
      </c>
      <c r="BA167">
        <f>IF('Master Database'!$A167="",0,IF(AND(OR($B$5="",ISNUMBER(SEARCH($B$5,'Master Database'!$B167&amp;" "&amp;'Master Database'!$D167))),OR($B$6="(All)",'Master Database'!$C167=$B$6),OR($B$7="(All)",'Master Database'!$E167=$B$7),OR($B$8="(All)",'Master Database'!$T167=$B$8),OR($B$9="(All)",'Master Database'!$M167=$B$9),OR($B$10="(All)",'Master Database'!$V167=$B$10),OR($E$5="(All)",'Master Database'!$F167=$E$5),OR($E$6="(All)",'Master Database'!$G167=$E$6),OR($E$7="(All)",'Master Database'!$O167=$E$7),OR($E$8="(All)",'Master Database'!$P167=$E$8),OR($E$9="(All)",'Master Database'!$S167=$E$9),OR($E$10="(All)",'Master Database'!$Y167&amp;""=$E$10&amp;""),OR($H$5="(All)",'Master Database'!$BG167=$H$5),OR($H$6&lt;&gt;"Y",ISNUMBER('Master Database'!$AG167)),OR($H$7="",AND(ISNUMBER('Master Database'!$H167),N('Master Database'!$H167)&gt;=$H$7)),OR($I$7="",AND(ISNUMBER('Master Database'!$H167),N('Master Database'!$H167)&lt;=$I$7)),OR($H$8="",AND(ISNUMBER('Master Database'!$I167),N('Master Database'!$I167)&gt;=$H$8)),OR($I$8="",AND(ISNUMBER('Master Database'!$I167),N('Master Database'!$I167)&lt;=$I$8)),OR($H$9="",AND(ISNUMBER('Master Database'!$K167),N('Master Database'!$K167)&gt;=$H$9)),OR($I$9="",AND(ISNUMBER('Master Database'!$K167),N('Master Database'!$K167)&lt;=$I$9))),1,0))</f>
        <v>0</v>
      </c>
      <c r="BB167" t="str">
        <f>IF(BA167=1,COUNTIF($BA$5:BA167,1),"")</f>
        <v/>
      </c>
    </row>
    <row r="168" spans="1:54">
      <c r="A168" s="20" t="str">
        <f>IF(153&lt;=SUM($BA$5:$BA$600),153,"")</f>
        <v/>
      </c>
      <c r="B168" s="20" t="str">
        <f t="shared" si="4"/>
        <v/>
      </c>
      <c r="C168" s="20" t="str">
        <f>IF($B168="","",IF(INDEX('Master Database'!$A$1:$A$600,$B168)="","",INDEX('Master Database'!$A$1:$A$600,$B168)))</f>
        <v/>
      </c>
      <c r="D168" s="19" t="str">
        <f>IF($B168="","",IF(INDEX('Master Database'!$B$1:$B$600,$B168)="","",INDEX('Master Database'!$B$1:$B$600,$B168)))</f>
        <v/>
      </c>
      <c r="E168" s="19" t="str">
        <f>IF($B168="","",IF(INDEX('Master Database'!$C$1:$C$600,$B168)="","",INDEX('Master Database'!$C$1:$C$600,$B168)))</f>
        <v/>
      </c>
      <c r="F168" s="19" t="str">
        <f>IF($B168="","",IF(INDEX('Master Database'!$D$1:$D$600,$B168)="","",INDEX('Master Database'!$D$1:$D$600,$B168)))</f>
        <v/>
      </c>
      <c r="G168" s="19" t="str">
        <f>IF($B168="","",IF(INDEX('Master Database'!$E$1:$E$600,$B168)="","",INDEX('Master Database'!$E$1:$E$600,$B168)))</f>
        <v/>
      </c>
      <c r="H168" s="19" t="str">
        <f>IF($B168="","",IF(INDEX('Master Database'!$F$1:$F$600,$B168)="","",INDEX('Master Database'!$F$1:$F$600,$B168)))</f>
        <v/>
      </c>
      <c r="I168" s="19" t="str">
        <f>IF($B168="","",IF(INDEX('Master Database'!$G$1:$G$600,$B168)="","",INDEX('Master Database'!$G$1:$G$600,$B168)))</f>
        <v/>
      </c>
      <c r="J168" s="46" t="str">
        <f>IF($B168="","",IF(INDEX('Master Database'!$H$1:$H$600,$B168)="","",INDEX('Master Database'!$H$1:$H$600,$B168)))</f>
        <v/>
      </c>
      <c r="K168" s="46" t="str">
        <f>IF($B168="","",IF(INDEX('Master Database'!$I$1:$I$600,$B168)="","",INDEX('Master Database'!$I$1:$I$600,$B168)))</f>
        <v/>
      </c>
      <c r="L168" s="46" t="str">
        <f>IF($B168="","",IF(INDEX('Master Database'!$K$1:$K$600,$B168)="","",INDEX('Master Database'!$K$1:$K$600,$B168)))</f>
        <v/>
      </c>
      <c r="M168" s="19" t="str">
        <f>IF($B168="","",IF(INDEX('Master Database'!$L$1:$L$600,$B168)="","",INDEX('Master Database'!$L$1:$L$600,$B168)))</f>
        <v/>
      </c>
      <c r="N168" s="19" t="str">
        <f>IF($B168="","",IF(INDEX('Master Database'!$P$1:$P$600,$B168)="","",INDEX('Master Database'!$P$1:$P$600,$B168)))</f>
        <v/>
      </c>
      <c r="O168" s="19" t="str">
        <f>IF($B168="","",IF(INDEX('Master Database'!$S$1:$S$600,$B168)="","",INDEX('Master Database'!$S$1:$S$600,$B168)))</f>
        <v/>
      </c>
      <c r="P168" s="19" t="str">
        <f>IF($B168="","",IF(INDEX('Master Database'!$T$1:$T$600,$B168)="","",INDEX('Master Database'!$T$1:$T$600,$B168)))</f>
        <v/>
      </c>
      <c r="Q168" s="19" t="str">
        <f>IF($B168="","",IF(INDEX('Master Database'!$Y$1:$Y$600,$B168)="","",INDEX('Master Database'!$Y$1:$Y$600,$B168)))</f>
        <v/>
      </c>
      <c r="R168" s="19" t="str">
        <f>IF($B168="","",IF(INDEX('Master Database'!$Z$1:$Z$600,$B168)="","",INDEX('Master Database'!$Z$1:$Z$600,$B168)))</f>
        <v/>
      </c>
      <c r="S168" s="47" t="str">
        <f>IF($B168="","",IF(INDEX('Master Database'!$AA$1:$AA$600,$B168)="","",INDEX('Master Database'!$AA$1:$AA$600,$B168)))</f>
        <v/>
      </c>
      <c r="T168" s="19" t="str">
        <f>IF($B168="","",IF(INDEX('Master Database'!$AE$1:$AE$600,$B168)="","",INDEX('Master Database'!$AE$1:$AE$600,$B168)))</f>
        <v/>
      </c>
      <c r="U168" s="47" t="str">
        <f>IF($B168="","",IF(INDEX('Master Database'!$AG$1:$AG$600,$B168)="","",INDEX('Master Database'!$AG$1:$AG$600,$B168)))</f>
        <v/>
      </c>
      <c r="V168" s="47" t="str">
        <f>IF($B168="","",IF(INDEX('Master Database'!$AH$1:$AH$600,$B168)="","",INDEX('Master Database'!$AH$1:$AH$600,$B168)))</f>
        <v/>
      </c>
      <c r="W168" s="47" t="str">
        <f>IF($B168="","",IF(INDEX('Master Database'!$AI$1:$AI$600,$B168)="","",INDEX('Master Database'!$AI$1:$AI$600,$B168)))</f>
        <v/>
      </c>
      <c r="X168" s="19" t="str">
        <f>IF($B168="","",IF(INDEX('Master Database'!$BG$1:$BG$600,$B168)="","",INDEX('Master Database'!$BG$1:$BG$600,$B168)))</f>
        <v/>
      </c>
      <c r="BA168">
        <f>IF('Master Database'!$A168="",0,IF(AND(OR($B$5="",ISNUMBER(SEARCH($B$5,'Master Database'!$B168&amp;" "&amp;'Master Database'!$D168))),OR($B$6="(All)",'Master Database'!$C168=$B$6),OR($B$7="(All)",'Master Database'!$E168=$B$7),OR($B$8="(All)",'Master Database'!$T168=$B$8),OR($B$9="(All)",'Master Database'!$M168=$B$9),OR($B$10="(All)",'Master Database'!$V168=$B$10),OR($E$5="(All)",'Master Database'!$F168=$E$5),OR($E$6="(All)",'Master Database'!$G168=$E$6),OR($E$7="(All)",'Master Database'!$O168=$E$7),OR($E$8="(All)",'Master Database'!$P168=$E$8),OR($E$9="(All)",'Master Database'!$S168=$E$9),OR($E$10="(All)",'Master Database'!$Y168&amp;""=$E$10&amp;""),OR($H$5="(All)",'Master Database'!$BG168=$H$5),OR($H$6&lt;&gt;"Y",ISNUMBER('Master Database'!$AG168)),OR($H$7="",AND(ISNUMBER('Master Database'!$H168),N('Master Database'!$H168)&gt;=$H$7)),OR($I$7="",AND(ISNUMBER('Master Database'!$H168),N('Master Database'!$H168)&lt;=$I$7)),OR($H$8="",AND(ISNUMBER('Master Database'!$I168),N('Master Database'!$I168)&gt;=$H$8)),OR($I$8="",AND(ISNUMBER('Master Database'!$I168),N('Master Database'!$I168)&lt;=$I$8)),OR($H$9="",AND(ISNUMBER('Master Database'!$K168),N('Master Database'!$K168)&gt;=$H$9)),OR($I$9="",AND(ISNUMBER('Master Database'!$K168),N('Master Database'!$K168)&lt;=$I$9))),1,0))</f>
        <v>0</v>
      </c>
      <c r="BB168" t="str">
        <f>IF(BA168=1,COUNTIF($BA$5:BA168,1),"")</f>
        <v/>
      </c>
    </row>
    <row r="169" spans="1:54">
      <c r="A169" s="20" t="str">
        <f>IF(154&lt;=SUM($BA$5:$BA$600),154,"")</f>
        <v/>
      </c>
      <c r="B169" s="20" t="str">
        <f t="shared" si="4"/>
        <v/>
      </c>
      <c r="C169" s="20" t="str">
        <f>IF($B169="","",IF(INDEX('Master Database'!$A$1:$A$600,$B169)="","",INDEX('Master Database'!$A$1:$A$600,$B169)))</f>
        <v/>
      </c>
      <c r="D169" s="19" t="str">
        <f>IF($B169="","",IF(INDEX('Master Database'!$B$1:$B$600,$B169)="","",INDEX('Master Database'!$B$1:$B$600,$B169)))</f>
        <v/>
      </c>
      <c r="E169" s="19" t="str">
        <f>IF($B169="","",IF(INDEX('Master Database'!$C$1:$C$600,$B169)="","",INDEX('Master Database'!$C$1:$C$600,$B169)))</f>
        <v/>
      </c>
      <c r="F169" s="19" t="str">
        <f>IF($B169="","",IF(INDEX('Master Database'!$D$1:$D$600,$B169)="","",INDEX('Master Database'!$D$1:$D$600,$B169)))</f>
        <v/>
      </c>
      <c r="G169" s="19" t="str">
        <f>IF($B169="","",IF(INDEX('Master Database'!$E$1:$E$600,$B169)="","",INDEX('Master Database'!$E$1:$E$600,$B169)))</f>
        <v/>
      </c>
      <c r="H169" s="19" t="str">
        <f>IF($B169="","",IF(INDEX('Master Database'!$F$1:$F$600,$B169)="","",INDEX('Master Database'!$F$1:$F$600,$B169)))</f>
        <v/>
      </c>
      <c r="I169" s="19" t="str">
        <f>IF($B169="","",IF(INDEX('Master Database'!$G$1:$G$600,$B169)="","",INDEX('Master Database'!$G$1:$G$600,$B169)))</f>
        <v/>
      </c>
      <c r="J169" s="46" t="str">
        <f>IF($B169="","",IF(INDEX('Master Database'!$H$1:$H$600,$B169)="","",INDEX('Master Database'!$H$1:$H$600,$B169)))</f>
        <v/>
      </c>
      <c r="K169" s="46" t="str">
        <f>IF($B169="","",IF(INDEX('Master Database'!$I$1:$I$600,$B169)="","",INDEX('Master Database'!$I$1:$I$600,$B169)))</f>
        <v/>
      </c>
      <c r="L169" s="46" t="str">
        <f>IF($B169="","",IF(INDEX('Master Database'!$K$1:$K$600,$B169)="","",INDEX('Master Database'!$K$1:$K$600,$B169)))</f>
        <v/>
      </c>
      <c r="M169" s="19" t="str">
        <f>IF($B169="","",IF(INDEX('Master Database'!$L$1:$L$600,$B169)="","",INDEX('Master Database'!$L$1:$L$600,$B169)))</f>
        <v/>
      </c>
      <c r="N169" s="19" t="str">
        <f>IF($B169="","",IF(INDEX('Master Database'!$P$1:$P$600,$B169)="","",INDEX('Master Database'!$P$1:$P$600,$B169)))</f>
        <v/>
      </c>
      <c r="O169" s="19" t="str">
        <f>IF($B169="","",IF(INDEX('Master Database'!$S$1:$S$600,$B169)="","",INDEX('Master Database'!$S$1:$S$600,$B169)))</f>
        <v/>
      </c>
      <c r="P169" s="19" t="str">
        <f>IF($B169="","",IF(INDEX('Master Database'!$T$1:$T$600,$B169)="","",INDEX('Master Database'!$T$1:$T$600,$B169)))</f>
        <v/>
      </c>
      <c r="Q169" s="19" t="str">
        <f>IF($B169="","",IF(INDEX('Master Database'!$Y$1:$Y$600,$B169)="","",INDEX('Master Database'!$Y$1:$Y$600,$B169)))</f>
        <v/>
      </c>
      <c r="R169" s="19" t="str">
        <f>IF($B169="","",IF(INDEX('Master Database'!$Z$1:$Z$600,$B169)="","",INDEX('Master Database'!$Z$1:$Z$600,$B169)))</f>
        <v/>
      </c>
      <c r="S169" s="47" t="str">
        <f>IF($B169="","",IF(INDEX('Master Database'!$AA$1:$AA$600,$B169)="","",INDEX('Master Database'!$AA$1:$AA$600,$B169)))</f>
        <v/>
      </c>
      <c r="T169" s="19" t="str">
        <f>IF($B169="","",IF(INDEX('Master Database'!$AE$1:$AE$600,$B169)="","",INDEX('Master Database'!$AE$1:$AE$600,$B169)))</f>
        <v/>
      </c>
      <c r="U169" s="47" t="str">
        <f>IF($B169="","",IF(INDEX('Master Database'!$AG$1:$AG$600,$B169)="","",INDEX('Master Database'!$AG$1:$AG$600,$B169)))</f>
        <v/>
      </c>
      <c r="V169" s="47" t="str">
        <f>IF($B169="","",IF(INDEX('Master Database'!$AH$1:$AH$600,$B169)="","",INDEX('Master Database'!$AH$1:$AH$600,$B169)))</f>
        <v/>
      </c>
      <c r="W169" s="47" t="str">
        <f>IF($B169="","",IF(INDEX('Master Database'!$AI$1:$AI$600,$B169)="","",INDEX('Master Database'!$AI$1:$AI$600,$B169)))</f>
        <v/>
      </c>
      <c r="X169" s="19" t="str">
        <f>IF($B169="","",IF(INDEX('Master Database'!$BG$1:$BG$600,$B169)="","",INDEX('Master Database'!$BG$1:$BG$600,$B169)))</f>
        <v/>
      </c>
      <c r="BA169">
        <f>IF('Master Database'!$A169="",0,IF(AND(OR($B$5="",ISNUMBER(SEARCH($B$5,'Master Database'!$B169&amp;" "&amp;'Master Database'!$D169))),OR($B$6="(All)",'Master Database'!$C169=$B$6),OR($B$7="(All)",'Master Database'!$E169=$B$7),OR($B$8="(All)",'Master Database'!$T169=$B$8),OR($B$9="(All)",'Master Database'!$M169=$B$9),OR($B$10="(All)",'Master Database'!$V169=$B$10),OR($E$5="(All)",'Master Database'!$F169=$E$5),OR($E$6="(All)",'Master Database'!$G169=$E$6),OR($E$7="(All)",'Master Database'!$O169=$E$7),OR($E$8="(All)",'Master Database'!$P169=$E$8),OR($E$9="(All)",'Master Database'!$S169=$E$9),OR($E$10="(All)",'Master Database'!$Y169&amp;""=$E$10&amp;""),OR($H$5="(All)",'Master Database'!$BG169=$H$5),OR($H$6&lt;&gt;"Y",ISNUMBER('Master Database'!$AG169)),OR($H$7="",AND(ISNUMBER('Master Database'!$H169),N('Master Database'!$H169)&gt;=$H$7)),OR($I$7="",AND(ISNUMBER('Master Database'!$H169),N('Master Database'!$H169)&lt;=$I$7)),OR($H$8="",AND(ISNUMBER('Master Database'!$I169),N('Master Database'!$I169)&gt;=$H$8)),OR($I$8="",AND(ISNUMBER('Master Database'!$I169),N('Master Database'!$I169)&lt;=$I$8)),OR($H$9="",AND(ISNUMBER('Master Database'!$K169),N('Master Database'!$K169)&gt;=$H$9)),OR($I$9="",AND(ISNUMBER('Master Database'!$K169),N('Master Database'!$K169)&lt;=$I$9))),1,0))</f>
        <v>0</v>
      </c>
      <c r="BB169" t="str">
        <f>IF(BA169=1,COUNTIF($BA$5:BA169,1),"")</f>
        <v/>
      </c>
    </row>
    <row r="170" spans="1:54">
      <c r="A170" s="20" t="str">
        <f>IF(155&lt;=SUM($BA$5:$BA$600),155,"")</f>
        <v/>
      </c>
      <c r="B170" s="20" t="str">
        <f t="shared" si="4"/>
        <v/>
      </c>
      <c r="C170" s="20" t="str">
        <f>IF($B170="","",IF(INDEX('Master Database'!$A$1:$A$600,$B170)="","",INDEX('Master Database'!$A$1:$A$600,$B170)))</f>
        <v/>
      </c>
      <c r="D170" s="19" t="str">
        <f>IF($B170="","",IF(INDEX('Master Database'!$B$1:$B$600,$B170)="","",INDEX('Master Database'!$B$1:$B$600,$B170)))</f>
        <v/>
      </c>
      <c r="E170" s="19" t="str">
        <f>IF($B170="","",IF(INDEX('Master Database'!$C$1:$C$600,$B170)="","",INDEX('Master Database'!$C$1:$C$600,$B170)))</f>
        <v/>
      </c>
      <c r="F170" s="19" t="str">
        <f>IF($B170="","",IF(INDEX('Master Database'!$D$1:$D$600,$B170)="","",INDEX('Master Database'!$D$1:$D$600,$B170)))</f>
        <v/>
      </c>
      <c r="G170" s="19" t="str">
        <f>IF($B170="","",IF(INDEX('Master Database'!$E$1:$E$600,$B170)="","",INDEX('Master Database'!$E$1:$E$600,$B170)))</f>
        <v/>
      </c>
      <c r="H170" s="19" t="str">
        <f>IF($B170="","",IF(INDEX('Master Database'!$F$1:$F$600,$B170)="","",INDEX('Master Database'!$F$1:$F$600,$B170)))</f>
        <v/>
      </c>
      <c r="I170" s="19" t="str">
        <f>IF($B170="","",IF(INDEX('Master Database'!$G$1:$G$600,$B170)="","",INDEX('Master Database'!$G$1:$G$600,$B170)))</f>
        <v/>
      </c>
      <c r="J170" s="46" t="str">
        <f>IF($B170="","",IF(INDEX('Master Database'!$H$1:$H$600,$B170)="","",INDEX('Master Database'!$H$1:$H$600,$B170)))</f>
        <v/>
      </c>
      <c r="K170" s="46" t="str">
        <f>IF($B170="","",IF(INDEX('Master Database'!$I$1:$I$600,$B170)="","",INDEX('Master Database'!$I$1:$I$600,$B170)))</f>
        <v/>
      </c>
      <c r="L170" s="46" t="str">
        <f>IF($B170="","",IF(INDEX('Master Database'!$K$1:$K$600,$B170)="","",INDEX('Master Database'!$K$1:$K$600,$B170)))</f>
        <v/>
      </c>
      <c r="M170" s="19" t="str">
        <f>IF($B170="","",IF(INDEX('Master Database'!$L$1:$L$600,$B170)="","",INDEX('Master Database'!$L$1:$L$600,$B170)))</f>
        <v/>
      </c>
      <c r="N170" s="19" t="str">
        <f>IF($B170="","",IF(INDEX('Master Database'!$P$1:$P$600,$B170)="","",INDEX('Master Database'!$P$1:$P$600,$B170)))</f>
        <v/>
      </c>
      <c r="O170" s="19" t="str">
        <f>IF($B170="","",IF(INDEX('Master Database'!$S$1:$S$600,$B170)="","",INDEX('Master Database'!$S$1:$S$600,$B170)))</f>
        <v/>
      </c>
      <c r="P170" s="19" t="str">
        <f>IF($B170="","",IF(INDEX('Master Database'!$T$1:$T$600,$B170)="","",INDEX('Master Database'!$T$1:$T$600,$B170)))</f>
        <v/>
      </c>
      <c r="Q170" s="19" t="str">
        <f>IF($B170="","",IF(INDEX('Master Database'!$Y$1:$Y$600,$B170)="","",INDEX('Master Database'!$Y$1:$Y$600,$B170)))</f>
        <v/>
      </c>
      <c r="R170" s="19" t="str">
        <f>IF($B170="","",IF(INDEX('Master Database'!$Z$1:$Z$600,$B170)="","",INDEX('Master Database'!$Z$1:$Z$600,$B170)))</f>
        <v/>
      </c>
      <c r="S170" s="47" t="str">
        <f>IF($B170="","",IF(INDEX('Master Database'!$AA$1:$AA$600,$B170)="","",INDEX('Master Database'!$AA$1:$AA$600,$B170)))</f>
        <v/>
      </c>
      <c r="T170" s="19" t="str">
        <f>IF($B170="","",IF(INDEX('Master Database'!$AE$1:$AE$600,$B170)="","",INDEX('Master Database'!$AE$1:$AE$600,$B170)))</f>
        <v/>
      </c>
      <c r="U170" s="47" t="str">
        <f>IF($B170="","",IF(INDEX('Master Database'!$AG$1:$AG$600,$B170)="","",INDEX('Master Database'!$AG$1:$AG$600,$B170)))</f>
        <v/>
      </c>
      <c r="V170" s="47" t="str">
        <f>IF($B170="","",IF(INDEX('Master Database'!$AH$1:$AH$600,$B170)="","",INDEX('Master Database'!$AH$1:$AH$600,$B170)))</f>
        <v/>
      </c>
      <c r="W170" s="47" t="str">
        <f>IF($B170="","",IF(INDEX('Master Database'!$AI$1:$AI$600,$B170)="","",INDEX('Master Database'!$AI$1:$AI$600,$B170)))</f>
        <v/>
      </c>
      <c r="X170" s="19" t="str">
        <f>IF($B170="","",IF(INDEX('Master Database'!$BG$1:$BG$600,$B170)="","",INDEX('Master Database'!$BG$1:$BG$600,$B170)))</f>
        <v/>
      </c>
      <c r="BA170">
        <f>IF('Master Database'!$A170="",0,IF(AND(OR($B$5="",ISNUMBER(SEARCH($B$5,'Master Database'!$B170&amp;" "&amp;'Master Database'!$D170))),OR($B$6="(All)",'Master Database'!$C170=$B$6),OR($B$7="(All)",'Master Database'!$E170=$B$7),OR($B$8="(All)",'Master Database'!$T170=$B$8),OR($B$9="(All)",'Master Database'!$M170=$B$9),OR($B$10="(All)",'Master Database'!$V170=$B$10),OR($E$5="(All)",'Master Database'!$F170=$E$5),OR($E$6="(All)",'Master Database'!$G170=$E$6),OR($E$7="(All)",'Master Database'!$O170=$E$7),OR($E$8="(All)",'Master Database'!$P170=$E$8),OR($E$9="(All)",'Master Database'!$S170=$E$9),OR($E$10="(All)",'Master Database'!$Y170&amp;""=$E$10&amp;""),OR($H$5="(All)",'Master Database'!$BG170=$H$5),OR($H$6&lt;&gt;"Y",ISNUMBER('Master Database'!$AG170)),OR($H$7="",AND(ISNUMBER('Master Database'!$H170),N('Master Database'!$H170)&gt;=$H$7)),OR($I$7="",AND(ISNUMBER('Master Database'!$H170),N('Master Database'!$H170)&lt;=$I$7)),OR($H$8="",AND(ISNUMBER('Master Database'!$I170),N('Master Database'!$I170)&gt;=$H$8)),OR($I$8="",AND(ISNUMBER('Master Database'!$I170),N('Master Database'!$I170)&lt;=$I$8)),OR($H$9="",AND(ISNUMBER('Master Database'!$K170),N('Master Database'!$K170)&gt;=$H$9)),OR($I$9="",AND(ISNUMBER('Master Database'!$K170),N('Master Database'!$K170)&lt;=$I$9))),1,0))</f>
        <v>0</v>
      </c>
      <c r="BB170" t="str">
        <f>IF(BA170=1,COUNTIF($BA$5:BA170,1),"")</f>
        <v/>
      </c>
    </row>
    <row r="171" spans="1:54">
      <c r="A171" s="20" t="str">
        <f>IF(156&lt;=SUM($BA$5:$BA$600),156,"")</f>
        <v/>
      </c>
      <c r="B171" s="20" t="str">
        <f t="shared" si="4"/>
        <v/>
      </c>
      <c r="C171" s="20" t="str">
        <f>IF($B171="","",IF(INDEX('Master Database'!$A$1:$A$600,$B171)="","",INDEX('Master Database'!$A$1:$A$600,$B171)))</f>
        <v/>
      </c>
      <c r="D171" s="19" t="str">
        <f>IF($B171="","",IF(INDEX('Master Database'!$B$1:$B$600,$B171)="","",INDEX('Master Database'!$B$1:$B$600,$B171)))</f>
        <v/>
      </c>
      <c r="E171" s="19" t="str">
        <f>IF($B171="","",IF(INDEX('Master Database'!$C$1:$C$600,$B171)="","",INDEX('Master Database'!$C$1:$C$600,$B171)))</f>
        <v/>
      </c>
      <c r="F171" s="19" t="str">
        <f>IF($B171="","",IF(INDEX('Master Database'!$D$1:$D$600,$B171)="","",INDEX('Master Database'!$D$1:$D$600,$B171)))</f>
        <v/>
      </c>
      <c r="G171" s="19" t="str">
        <f>IF($B171="","",IF(INDEX('Master Database'!$E$1:$E$600,$B171)="","",INDEX('Master Database'!$E$1:$E$600,$B171)))</f>
        <v/>
      </c>
      <c r="H171" s="19" t="str">
        <f>IF($B171="","",IF(INDEX('Master Database'!$F$1:$F$600,$B171)="","",INDEX('Master Database'!$F$1:$F$600,$B171)))</f>
        <v/>
      </c>
      <c r="I171" s="19" t="str">
        <f>IF($B171="","",IF(INDEX('Master Database'!$G$1:$G$600,$B171)="","",INDEX('Master Database'!$G$1:$G$600,$B171)))</f>
        <v/>
      </c>
      <c r="J171" s="46" t="str">
        <f>IF($B171="","",IF(INDEX('Master Database'!$H$1:$H$600,$B171)="","",INDEX('Master Database'!$H$1:$H$600,$B171)))</f>
        <v/>
      </c>
      <c r="K171" s="46" t="str">
        <f>IF($B171="","",IF(INDEX('Master Database'!$I$1:$I$600,$B171)="","",INDEX('Master Database'!$I$1:$I$600,$B171)))</f>
        <v/>
      </c>
      <c r="L171" s="46" t="str">
        <f>IF($B171="","",IF(INDEX('Master Database'!$K$1:$K$600,$B171)="","",INDEX('Master Database'!$K$1:$K$600,$B171)))</f>
        <v/>
      </c>
      <c r="M171" s="19" t="str">
        <f>IF($B171="","",IF(INDEX('Master Database'!$L$1:$L$600,$B171)="","",INDEX('Master Database'!$L$1:$L$600,$B171)))</f>
        <v/>
      </c>
      <c r="N171" s="19" t="str">
        <f>IF($B171="","",IF(INDEX('Master Database'!$P$1:$P$600,$B171)="","",INDEX('Master Database'!$P$1:$P$600,$B171)))</f>
        <v/>
      </c>
      <c r="O171" s="19" t="str">
        <f>IF($B171="","",IF(INDEX('Master Database'!$S$1:$S$600,$B171)="","",INDEX('Master Database'!$S$1:$S$600,$B171)))</f>
        <v/>
      </c>
      <c r="P171" s="19" t="str">
        <f>IF($B171="","",IF(INDEX('Master Database'!$T$1:$T$600,$B171)="","",INDEX('Master Database'!$T$1:$T$600,$B171)))</f>
        <v/>
      </c>
      <c r="Q171" s="19" t="str">
        <f>IF($B171="","",IF(INDEX('Master Database'!$Y$1:$Y$600,$B171)="","",INDEX('Master Database'!$Y$1:$Y$600,$B171)))</f>
        <v/>
      </c>
      <c r="R171" s="19" t="str">
        <f>IF($B171="","",IF(INDEX('Master Database'!$Z$1:$Z$600,$B171)="","",INDEX('Master Database'!$Z$1:$Z$600,$B171)))</f>
        <v/>
      </c>
      <c r="S171" s="47" t="str">
        <f>IF($B171="","",IF(INDEX('Master Database'!$AA$1:$AA$600,$B171)="","",INDEX('Master Database'!$AA$1:$AA$600,$B171)))</f>
        <v/>
      </c>
      <c r="T171" s="19" t="str">
        <f>IF($B171="","",IF(INDEX('Master Database'!$AE$1:$AE$600,$B171)="","",INDEX('Master Database'!$AE$1:$AE$600,$B171)))</f>
        <v/>
      </c>
      <c r="U171" s="47" t="str">
        <f>IF($B171="","",IF(INDEX('Master Database'!$AG$1:$AG$600,$B171)="","",INDEX('Master Database'!$AG$1:$AG$600,$B171)))</f>
        <v/>
      </c>
      <c r="V171" s="47" t="str">
        <f>IF($B171="","",IF(INDEX('Master Database'!$AH$1:$AH$600,$B171)="","",INDEX('Master Database'!$AH$1:$AH$600,$B171)))</f>
        <v/>
      </c>
      <c r="W171" s="47" t="str">
        <f>IF($B171="","",IF(INDEX('Master Database'!$AI$1:$AI$600,$B171)="","",INDEX('Master Database'!$AI$1:$AI$600,$B171)))</f>
        <v/>
      </c>
      <c r="X171" s="19" t="str">
        <f>IF($B171="","",IF(INDEX('Master Database'!$BG$1:$BG$600,$B171)="","",INDEX('Master Database'!$BG$1:$BG$600,$B171)))</f>
        <v/>
      </c>
      <c r="BA171">
        <f>IF('Master Database'!$A171="",0,IF(AND(OR($B$5="",ISNUMBER(SEARCH($B$5,'Master Database'!$B171&amp;" "&amp;'Master Database'!$D171))),OR($B$6="(All)",'Master Database'!$C171=$B$6),OR($B$7="(All)",'Master Database'!$E171=$B$7),OR($B$8="(All)",'Master Database'!$T171=$B$8),OR($B$9="(All)",'Master Database'!$M171=$B$9),OR($B$10="(All)",'Master Database'!$V171=$B$10),OR($E$5="(All)",'Master Database'!$F171=$E$5),OR($E$6="(All)",'Master Database'!$G171=$E$6),OR($E$7="(All)",'Master Database'!$O171=$E$7),OR($E$8="(All)",'Master Database'!$P171=$E$8),OR($E$9="(All)",'Master Database'!$S171=$E$9),OR($E$10="(All)",'Master Database'!$Y171&amp;""=$E$10&amp;""),OR($H$5="(All)",'Master Database'!$BG171=$H$5),OR($H$6&lt;&gt;"Y",ISNUMBER('Master Database'!$AG171)),OR($H$7="",AND(ISNUMBER('Master Database'!$H171),N('Master Database'!$H171)&gt;=$H$7)),OR($I$7="",AND(ISNUMBER('Master Database'!$H171),N('Master Database'!$H171)&lt;=$I$7)),OR($H$8="",AND(ISNUMBER('Master Database'!$I171),N('Master Database'!$I171)&gt;=$H$8)),OR($I$8="",AND(ISNUMBER('Master Database'!$I171),N('Master Database'!$I171)&lt;=$I$8)),OR($H$9="",AND(ISNUMBER('Master Database'!$K171),N('Master Database'!$K171)&gt;=$H$9)),OR($I$9="",AND(ISNUMBER('Master Database'!$K171),N('Master Database'!$K171)&lt;=$I$9))),1,0))</f>
        <v>0</v>
      </c>
      <c r="BB171" t="str">
        <f>IF(BA171=1,COUNTIF($BA$5:BA171,1),"")</f>
        <v/>
      </c>
    </row>
    <row r="172" spans="1:54">
      <c r="A172" s="20" t="str">
        <f>IF(157&lt;=SUM($BA$5:$BA$600),157,"")</f>
        <v/>
      </c>
      <c r="B172" s="20" t="str">
        <f t="shared" si="4"/>
        <v/>
      </c>
      <c r="C172" s="20" t="str">
        <f>IF($B172="","",IF(INDEX('Master Database'!$A$1:$A$600,$B172)="","",INDEX('Master Database'!$A$1:$A$600,$B172)))</f>
        <v/>
      </c>
      <c r="D172" s="19" t="str">
        <f>IF($B172="","",IF(INDEX('Master Database'!$B$1:$B$600,$B172)="","",INDEX('Master Database'!$B$1:$B$600,$B172)))</f>
        <v/>
      </c>
      <c r="E172" s="19" t="str">
        <f>IF($B172="","",IF(INDEX('Master Database'!$C$1:$C$600,$B172)="","",INDEX('Master Database'!$C$1:$C$600,$B172)))</f>
        <v/>
      </c>
      <c r="F172" s="19" t="str">
        <f>IF($B172="","",IF(INDEX('Master Database'!$D$1:$D$600,$B172)="","",INDEX('Master Database'!$D$1:$D$600,$B172)))</f>
        <v/>
      </c>
      <c r="G172" s="19" t="str">
        <f>IF($B172="","",IF(INDEX('Master Database'!$E$1:$E$600,$B172)="","",INDEX('Master Database'!$E$1:$E$600,$B172)))</f>
        <v/>
      </c>
      <c r="H172" s="19" t="str">
        <f>IF($B172="","",IF(INDEX('Master Database'!$F$1:$F$600,$B172)="","",INDEX('Master Database'!$F$1:$F$600,$B172)))</f>
        <v/>
      </c>
      <c r="I172" s="19" t="str">
        <f>IF($B172="","",IF(INDEX('Master Database'!$G$1:$G$600,$B172)="","",INDEX('Master Database'!$G$1:$G$600,$B172)))</f>
        <v/>
      </c>
      <c r="J172" s="46" t="str">
        <f>IF($B172="","",IF(INDEX('Master Database'!$H$1:$H$600,$B172)="","",INDEX('Master Database'!$H$1:$H$600,$B172)))</f>
        <v/>
      </c>
      <c r="K172" s="46" t="str">
        <f>IF($B172="","",IF(INDEX('Master Database'!$I$1:$I$600,$B172)="","",INDEX('Master Database'!$I$1:$I$600,$B172)))</f>
        <v/>
      </c>
      <c r="L172" s="46" t="str">
        <f>IF($B172="","",IF(INDEX('Master Database'!$K$1:$K$600,$B172)="","",INDEX('Master Database'!$K$1:$K$600,$B172)))</f>
        <v/>
      </c>
      <c r="M172" s="19" t="str">
        <f>IF($B172="","",IF(INDEX('Master Database'!$L$1:$L$600,$B172)="","",INDEX('Master Database'!$L$1:$L$600,$B172)))</f>
        <v/>
      </c>
      <c r="N172" s="19" t="str">
        <f>IF($B172="","",IF(INDEX('Master Database'!$P$1:$P$600,$B172)="","",INDEX('Master Database'!$P$1:$P$600,$B172)))</f>
        <v/>
      </c>
      <c r="O172" s="19" t="str">
        <f>IF($B172="","",IF(INDEX('Master Database'!$S$1:$S$600,$B172)="","",INDEX('Master Database'!$S$1:$S$600,$B172)))</f>
        <v/>
      </c>
      <c r="P172" s="19" t="str">
        <f>IF($B172="","",IF(INDEX('Master Database'!$T$1:$T$600,$B172)="","",INDEX('Master Database'!$T$1:$T$600,$B172)))</f>
        <v/>
      </c>
      <c r="Q172" s="19" t="str">
        <f>IF($B172="","",IF(INDEX('Master Database'!$Y$1:$Y$600,$B172)="","",INDEX('Master Database'!$Y$1:$Y$600,$B172)))</f>
        <v/>
      </c>
      <c r="R172" s="19" t="str">
        <f>IF($B172="","",IF(INDEX('Master Database'!$Z$1:$Z$600,$B172)="","",INDEX('Master Database'!$Z$1:$Z$600,$B172)))</f>
        <v/>
      </c>
      <c r="S172" s="47" t="str">
        <f>IF($B172="","",IF(INDEX('Master Database'!$AA$1:$AA$600,$B172)="","",INDEX('Master Database'!$AA$1:$AA$600,$B172)))</f>
        <v/>
      </c>
      <c r="T172" s="19" t="str">
        <f>IF($B172="","",IF(INDEX('Master Database'!$AE$1:$AE$600,$B172)="","",INDEX('Master Database'!$AE$1:$AE$600,$B172)))</f>
        <v/>
      </c>
      <c r="U172" s="47" t="str">
        <f>IF($B172="","",IF(INDEX('Master Database'!$AG$1:$AG$600,$B172)="","",INDEX('Master Database'!$AG$1:$AG$600,$B172)))</f>
        <v/>
      </c>
      <c r="V172" s="47" t="str">
        <f>IF($B172="","",IF(INDEX('Master Database'!$AH$1:$AH$600,$B172)="","",INDEX('Master Database'!$AH$1:$AH$600,$B172)))</f>
        <v/>
      </c>
      <c r="W172" s="47" t="str">
        <f>IF($B172="","",IF(INDEX('Master Database'!$AI$1:$AI$600,$B172)="","",INDEX('Master Database'!$AI$1:$AI$600,$B172)))</f>
        <v/>
      </c>
      <c r="X172" s="19" t="str">
        <f>IF($B172="","",IF(INDEX('Master Database'!$BG$1:$BG$600,$B172)="","",INDEX('Master Database'!$BG$1:$BG$600,$B172)))</f>
        <v/>
      </c>
      <c r="BA172">
        <f>IF('Master Database'!$A172="",0,IF(AND(OR($B$5="",ISNUMBER(SEARCH($B$5,'Master Database'!$B172&amp;" "&amp;'Master Database'!$D172))),OR($B$6="(All)",'Master Database'!$C172=$B$6),OR($B$7="(All)",'Master Database'!$E172=$B$7),OR($B$8="(All)",'Master Database'!$T172=$B$8),OR($B$9="(All)",'Master Database'!$M172=$B$9),OR($B$10="(All)",'Master Database'!$V172=$B$10),OR($E$5="(All)",'Master Database'!$F172=$E$5),OR($E$6="(All)",'Master Database'!$G172=$E$6),OR($E$7="(All)",'Master Database'!$O172=$E$7),OR($E$8="(All)",'Master Database'!$P172=$E$8),OR($E$9="(All)",'Master Database'!$S172=$E$9),OR($E$10="(All)",'Master Database'!$Y172&amp;""=$E$10&amp;""),OR($H$5="(All)",'Master Database'!$BG172=$H$5),OR($H$6&lt;&gt;"Y",ISNUMBER('Master Database'!$AG172)),OR($H$7="",AND(ISNUMBER('Master Database'!$H172),N('Master Database'!$H172)&gt;=$H$7)),OR($I$7="",AND(ISNUMBER('Master Database'!$H172),N('Master Database'!$H172)&lt;=$I$7)),OR($H$8="",AND(ISNUMBER('Master Database'!$I172),N('Master Database'!$I172)&gt;=$H$8)),OR($I$8="",AND(ISNUMBER('Master Database'!$I172),N('Master Database'!$I172)&lt;=$I$8)),OR($H$9="",AND(ISNUMBER('Master Database'!$K172),N('Master Database'!$K172)&gt;=$H$9)),OR($I$9="",AND(ISNUMBER('Master Database'!$K172),N('Master Database'!$K172)&lt;=$I$9))),1,0))</f>
        <v>0</v>
      </c>
      <c r="BB172" t="str">
        <f>IF(BA172=1,COUNTIF($BA$5:BA172,1),"")</f>
        <v/>
      </c>
    </row>
    <row r="173" spans="1:54">
      <c r="A173" s="20" t="str">
        <f>IF(158&lt;=SUM($BA$5:$BA$600),158,"")</f>
        <v/>
      </c>
      <c r="B173" s="20" t="str">
        <f t="shared" si="4"/>
        <v/>
      </c>
      <c r="C173" s="20" t="str">
        <f>IF($B173="","",IF(INDEX('Master Database'!$A$1:$A$600,$B173)="","",INDEX('Master Database'!$A$1:$A$600,$B173)))</f>
        <v/>
      </c>
      <c r="D173" s="19" t="str">
        <f>IF($B173="","",IF(INDEX('Master Database'!$B$1:$B$600,$B173)="","",INDEX('Master Database'!$B$1:$B$600,$B173)))</f>
        <v/>
      </c>
      <c r="E173" s="19" t="str">
        <f>IF($B173="","",IF(INDEX('Master Database'!$C$1:$C$600,$B173)="","",INDEX('Master Database'!$C$1:$C$600,$B173)))</f>
        <v/>
      </c>
      <c r="F173" s="19" t="str">
        <f>IF($B173="","",IF(INDEX('Master Database'!$D$1:$D$600,$B173)="","",INDEX('Master Database'!$D$1:$D$600,$B173)))</f>
        <v/>
      </c>
      <c r="G173" s="19" t="str">
        <f>IF($B173="","",IF(INDEX('Master Database'!$E$1:$E$600,$B173)="","",INDEX('Master Database'!$E$1:$E$600,$B173)))</f>
        <v/>
      </c>
      <c r="H173" s="19" t="str">
        <f>IF($B173="","",IF(INDEX('Master Database'!$F$1:$F$600,$B173)="","",INDEX('Master Database'!$F$1:$F$600,$B173)))</f>
        <v/>
      </c>
      <c r="I173" s="19" t="str">
        <f>IF($B173="","",IF(INDEX('Master Database'!$G$1:$G$600,$B173)="","",INDEX('Master Database'!$G$1:$G$600,$B173)))</f>
        <v/>
      </c>
      <c r="J173" s="46" t="str">
        <f>IF($B173="","",IF(INDEX('Master Database'!$H$1:$H$600,$B173)="","",INDEX('Master Database'!$H$1:$H$600,$B173)))</f>
        <v/>
      </c>
      <c r="K173" s="46" t="str">
        <f>IF($B173="","",IF(INDEX('Master Database'!$I$1:$I$600,$B173)="","",INDEX('Master Database'!$I$1:$I$600,$B173)))</f>
        <v/>
      </c>
      <c r="L173" s="46" t="str">
        <f>IF($B173="","",IF(INDEX('Master Database'!$K$1:$K$600,$B173)="","",INDEX('Master Database'!$K$1:$K$600,$B173)))</f>
        <v/>
      </c>
      <c r="M173" s="19" t="str">
        <f>IF($B173="","",IF(INDEX('Master Database'!$L$1:$L$600,$B173)="","",INDEX('Master Database'!$L$1:$L$600,$B173)))</f>
        <v/>
      </c>
      <c r="N173" s="19" t="str">
        <f>IF($B173="","",IF(INDEX('Master Database'!$P$1:$P$600,$B173)="","",INDEX('Master Database'!$P$1:$P$600,$B173)))</f>
        <v/>
      </c>
      <c r="O173" s="19" t="str">
        <f>IF($B173="","",IF(INDEX('Master Database'!$S$1:$S$600,$B173)="","",INDEX('Master Database'!$S$1:$S$600,$B173)))</f>
        <v/>
      </c>
      <c r="P173" s="19" t="str">
        <f>IF($B173="","",IF(INDEX('Master Database'!$T$1:$T$600,$B173)="","",INDEX('Master Database'!$T$1:$T$600,$B173)))</f>
        <v/>
      </c>
      <c r="Q173" s="19" t="str">
        <f>IF($B173="","",IF(INDEX('Master Database'!$Y$1:$Y$600,$B173)="","",INDEX('Master Database'!$Y$1:$Y$600,$B173)))</f>
        <v/>
      </c>
      <c r="R173" s="19" t="str">
        <f>IF($B173="","",IF(INDEX('Master Database'!$Z$1:$Z$600,$B173)="","",INDEX('Master Database'!$Z$1:$Z$600,$B173)))</f>
        <v/>
      </c>
      <c r="S173" s="47" t="str">
        <f>IF($B173="","",IF(INDEX('Master Database'!$AA$1:$AA$600,$B173)="","",INDEX('Master Database'!$AA$1:$AA$600,$B173)))</f>
        <v/>
      </c>
      <c r="T173" s="19" t="str">
        <f>IF($B173="","",IF(INDEX('Master Database'!$AE$1:$AE$600,$B173)="","",INDEX('Master Database'!$AE$1:$AE$600,$B173)))</f>
        <v/>
      </c>
      <c r="U173" s="47" t="str">
        <f>IF($B173="","",IF(INDEX('Master Database'!$AG$1:$AG$600,$B173)="","",INDEX('Master Database'!$AG$1:$AG$600,$B173)))</f>
        <v/>
      </c>
      <c r="V173" s="47" t="str">
        <f>IF($B173="","",IF(INDEX('Master Database'!$AH$1:$AH$600,$B173)="","",INDEX('Master Database'!$AH$1:$AH$600,$B173)))</f>
        <v/>
      </c>
      <c r="W173" s="47" t="str">
        <f>IF($B173="","",IF(INDEX('Master Database'!$AI$1:$AI$600,$B173)="","",INDEX('Master Database'!$AI$1:$AI$600,$B173)))</f>
        <v/>
      </c>
      <c r="X173" s="19" t="str">
        <f>IF($B173="","",IF(INDEX('Master Database'!$BG$1:$BG$600,$B173)="","",INDEX('Master Database'!$BG$1:$BG$600,$B173)))</f>
        <v/>
      </c>
      <c r="BA173">
        <f>IF('Master Database'!$A173="",0,IF(AND(OR($B$5="",ISNUMBER(SEARCH($B$5,'Master Database'!$B173&amp;" "&amp;'Master Database'!$D173))),OR($B$6="(All)",'Master Database'!$C173=$B$6),OR($B$7="(All)",'Master Database'!$E173=$B$7),OR($B$8="(All)",'Master Database'!$T173=$B$8),OR($B$9="(All)",'Master Database'!$M173=$B$9),OR($B$10="(All)",'Master Database'!$V173=$B$10),OR($E$5="(All)",'Master Database'!$F173=$E$5),OR($E$6="(All)",'Master Database'!$G173=$E$6),OR($E$7="(All)",'Master Database'!$O173=$E$7),OR($E$8="(All)",'Master Database'!$P173=$E$8),OR($E$9="(All)",'Master Database'!$S173=$E$9),OR($E$10="(All)",'Master Database'!$Y173&amp;""=$E$10&amp;""),OR($H$5="(All)",'Master Database'!$BG173=$H$5),OR($H$6&lt;&gt;"Y",ISNUMBER('Master Database'!$AG173)),OR($H$7="",AND(ISNUMBER('Master Database'!$H173),N('Master Database'!$H173)&gt;=$H$7)),OR($I$7="",AND(ISNUMBER('Master Database'!$H173),N('Master Database'!$H173)&lt;=$I$7)),OR($H$8="",AND(ISNUMBER('Master Database'!$I173),N('Master Database'!$I173)&gt;=$H$8)),OR($I$8="",AND(ISNUMBER('Master Database'!$I173),N('Master Database'!$I173)&lt;=$I$8)),OR($H$9="",AND(ISNUMBER('Master Database'!$K173),N('Master Database'!$K173)&gt;=$H$9)),OR($I$9="",AND(ISNUMBER('Master Database'!$K173),N('Master Database'!$K173)&lt;=$I$9))),1,0))</f>
        <v>0</v>
      </c>
      <c r="BB173" t="str">
        <f>IF(BA173=1,COUNTIF($BA$5:BA173,1),"")</f>
        <v/>
      </c>
    </row>
    <row r="174" spans="1:54">
      <c r="A174" s="20" t="str">
        <f>IF(159&lt;=SUM($BA$5:$BA$600),159,"")</f>
        <v/>
      </c>
      <c r="B174" s="20" t="str">
        <f t="shared" si="4"/>
        <v/>
      </c>
      <c r="C174" s="20" t="str">
        <f>IF($B174="","",IF(INDEX('Master Database'!$A$1:$A$600,$B174)="","",INDEX('Master Database'!$A$1:$A$600,$B174)))</f>
        <v/>
      </c>
      <c r="D174" s="19" t="str">
        <f>IF($B174="","",IF(INDEX('Master Database'!$B$1:$B$600,$B174)="","",INDEX('Master Database'!$B$1:$B$600,$B174)))</f>
        <v/>
      </c>
      <c r="E174" s="19" t="str">
        <f>IF($B174="","",IF(INDEX('Master Database'!$C$1:$C$600,$B174)="","",INDEX('Master Database'!$C$1:$C$600,$B174)))</f>
        <v/>
      </c>
      <c r="F174" s="19" t="str">
        <f>IF($B174="","",IF(INDEX('Master Database'!$D$1:$D$600,$B174)="","",INDEX('Master Database'!$D$1:$D$600,$B174)))</f>
        <v/>
      </c>
      <c r="G174" s="19" t="str">
        <f>IF($B174="","",IF(INDEX('Master Database'!$E$1:$E$600,$B174)="","",INDEX('Master Database'!$E$1:$E$600,$B174)))</f>
        <v/>
      </c>
      <c r="H174" s="19" t="str">
        <f>IF($B174="","",IF(INDEX('Master Database'!$F$1:$F$600,$B174)="","",INDEX('Master Database'!$F$1:$F$600,$B174)))</f>
        <v/>
      </c>
      <c r="I174" s="19" t="str">
        <f>IF($B174="","",IF(INDEX('Master Database'!$G$1:$G$600,$B174)="","",INDEX('Master Database'!$G$1:$G$600,$B174)))</f>
        <v/>
      </c>
      <c r="J174" s="46" t="str">
        <f>IF($B174="","",IF(INDEX('Master Database'!$H$1:$H$600,$B174)="","",INDEX('Master Database'!$H$1:$H$600,$B174)))</f>
        <v/>
      </c>
      <c r="K174" s="46" t="str">
        <f>IF($B174="","",IF(INDEX('Master Database'!$I$1:$I$600,$B174)="","",INDEX('Master Database'!$I$1:$I$600,$B174)))</f>
        <v/>
      </c>
      <c r="L174" s="46" t="str">
        <f>IF($B174="","",IF(INDEX('Master Database'!$K$1:$K$600,$B174)="","",INDEX('Master Database'!$K$1:$K$600,$B174)))</f>
        <v/>
      </c>
      <c r="M174" s="19" t="str">
        <f>IF($B174="","",IF(INDEX('Master Database'!$L$1:$L$600,$B174)="","",INDEX('Master Database'!$L$1:$L$600,$B174)))</f>
        <v/>
      </c>
      <c r="N174" s="19" t="str">
        <f>IF($B174="","",IF(INDEX('Master Database'!$P$1:$P$600,$B174)="","",INDEX('Master Database'!$P$1:$P$600,$B174)))</f>
        <v/>
      </c>
      <c r="O174" s="19" t="str">
        <f>IF($B174="","",IF(INDEX('Master Database'!$S$1:$S$600,$B174)="","",INDEX('Master Database'!$S$1:$S$600,$B174)))</f>
        <v/>
      </c>
      <c r="P174" s="19" t="str">
        <f>IF($B174="","",IF(INDEX('Master Database'!$T$1:$T$600,$B174)="","",INDEX('Master Database'!$T$1:$T$600,$B174)))</f>
        <v/>
      </c>
      <c r="Q174" s="19" t="str">
        <f>IF($B174="","",IF(INDEX('Master Database'!$Y$1:$Y$600,$B174)="","",INDEX('Master Database'!$Y$1:$Y$600,$B174)))</f>
        <v/>
      </c>
      <c r="R174" s="19" t="str">
        <f>IF($B174="","",IF(INDEX('Master Database'!$Z$1:$Z$600,$B174)="","",INDEX('Master Database'!$Z$1:$Z$600,$B174)))</f>
        <v/>
      </c>
      <c r="S174" s="47" t="str">
        <f>IF($B174="","",IF(INDEX('Master Database'!$AA$1:$AA$600,$B174)="","",INDEX('Master Database'!$AA$1:$AA$600,$B174)))</f>
        <v/>
      </c>
      <c r="T174" s="19" t="str">
        <f>IF($B174="","",IF(INDEX('Master Database'!$AE$1:$AE$600,$B174)="","",INDEX('Master Database'!$AE$1:$AE$600,$B174)))</f>
        <v/>
      </c>
      <c r="U174" s="47" t="str">
        <f>IF($B174="","",IF(INDEX('Master Database'!$AG$1:$AG$600,$B174)="","",INDEX('Master Database'!$AG$1:$AG$600,$B174)))</f>
        <v/>
      </c>
      <c r="V174" s="47" t="str">
        <f>IF($B174="","",IF(INDEX('Master Database'!$AH$1:$AH$600,$B174)="","",INDEX('Master Database'!$AH$1:$AH$600,$B174)))</f>
        <v/>
      </c>
      <c r="W174" s="47" t="str">
        <f>IF($B174="","",IF(INDEX('Master Database'!$AI$1:$AI$600,$B174)="","",INDEX('Master Database'!$AI$1:$AI$600,$B174)))</f>
        <v/>
      </c>
      <c r="X174" s="19" t="str">
        <f>IF($B174="","",IF(INDEX('Master Database'!$BG$1:$BG$600,$B174)="","",INDEX('Master Database'!$BG$1:$BG$600,$B174)))</f>
        <v/>
      </c>
      <c r="BA174">
        <f>IF('Master Database'!$A174="",0,IF(AND(OR($B$5="",ISNUMBER(SEARCH($B$5,'Master Database'!$B174&amp;" "&amp;'Master Database'!$D174))),OR($B$6="(All)",'Master Database'!$C174=$B$6),OR($B$7="(All)",'Master Database'!$E174=$B$7),OR($B$8="(All)",'Master Database'!$T174=$B$8),OR($B$9="(All)",'Master Database'!$M174=$B$9),OR($B$10="(All)",'Master Database'!$V174=$B$10),OR($E$5="(All)",'Master Database'!$F174=$E$5),OR($E$6="(All)",'Master Database'!$G174=$E$6),OR($E$7="(All)",'Master Database'!$O174=$E$7),OR($E$8="(All)",'Master Database'!$P174=$E$8),OR($E$9="(All)",'Master Database'!$S174=$E$9),OR($E$10="(All)",'Master Database'!$Y174&amp;""=$E$10&amp;""),OR($H$5="(All)",'Master Database'!$BG174=$H$5),OR($H$6&lt;&gt;"Y",ISNUMBER('Master Database'!$AG174)),OR($H$7="",AND(ISNUMBER('Master Database'!$H174),N('Master Database'!$H174)&gt;=$H$7)),OR($I$7="",AND(ISNUMBER('Master Database'!$H174),N('Master Database'!$H174)&lt;=$I$7)),OR($H$8="",AND(ISNUMBER('Master Database'!$I174),N('Master Database'!$I174)&gt;=$H$8)),OR($I$8="",AND(ISNUMBER('Master Database'!$I174),N('Master Database'!$I174)&lt;=$I$8)),OR($H$9="",AND(ISNUMBER('Master Database'!$K174),N('Master Database'!$K174)&gt;=$H$9)),OR($I$9="",AND(ISNUMBER('Master Database'!$K174),N('Master Database'!$K174)&lt;=$I$9))),1,0))</f>
        <v>0</v>
      </c>
      <c r="BB174" t="str">
        <f>IF(BA174=1,COUNTIF($BA$5:BA174,1),"")</f>
        <v/>
      </c>
    </row>
    <row r="175" spans="1:54">
      <c r="A175" s="20" t="str">
        <f>IF(160&lt;=SUM($BA$5:$BA$600),160,"")</f>
        <v/>
      </c>
      <c r="B175" s="20" t="str">
        <f t="shared" si="4"/>
        <v/>
      </c>
      <c r="C175" s="20" t="str">
        <f>IF($B175="","",IF(INDEX('Master Database'!$A$1:$A$600,$B175)="","",INDEX('Master Database'!$A$1:$A$600,$B175)))</f>
        <v/>
      </c>
      <c r="D175" s="19" t="str">
        <f>IF($B175="","",IF(INDEX('Master Database'!$B$1:$B$600,$B175)="","",INDEX('Master Database'!$B$1:$B$600,$B175)))</f>
        <v/>
      </c>
      <c r="E175" s="19" t="str">
        <f>IF($B175="","",IF(INDEX('Master Database'!$C$1:$C$600,$B175)="","",INDEX('Master Database'!$C$1:$C$600,$B175)))</f>
        <v/>
      </c>
      <c r="F175" s="19" t="str">
        <f>IF($B175="","",IF(INDEX('Master Database'!$D$1:$D$600,$B175)="","",INDEX('Master Database'!$D$1:$D$600,$B175)))</f>
        <v/>
      </c>
      <c r="G175" s="19" t="str">
        <f>IF($B175="","",IF(INDEX('Master Database'!$E$1:$E$600,$B175)="","",INDEX('Master Database'!$E$1:$E$600,$B175)))</f>
        <v/>
      </c>
      <c r="H175" s="19" t="str">
        <f>IF($B175="","",IF(INDEX('Master Database'!$F$1:$F$600,$B175)="","",INDEX('Master Database'!$F$1:$F$600,$B175)))</f>
        <v/>
      </c>
      <c r="I175" s="19" t="str">
        <f>IF($B175="","",IF(INDEX('Master Database'!$G$1:$G$600,$B175)="","",INDEX('Master Database'!$G$1:$G$600,$B175)))</f>
        <v/>
      </c>
      <c r="J175" s="46" t="str">
        <f>IF($B175="","",IF(INDEX('Master Database'!$H$1:$H$600,$B175)="","",INDEX('Master Database'!$H$1:$H$600,$B175)))</f>
        <v/>
      </c>
      <c r="K175" s="46" t="str">
        <f>IF($B175="","",IF(INDEX('Master Database'!$I$1:$I$600,$B175)="","",INDEX('Master Database'!$I$1:$I$600,$B175)))</f>
        <v/>
      </c>
      <c r="L175" s="46" t="str">
        <f>IF($B175="","",IF(INDEX('Master Database'!$K$1:$K$600,$B175)="","",INDEX('Master Database'!$K$1:$K$600,$B175)))</f>
        <v/>
      </c>
      <c r="M175" s="19" t="str">
        <f>IF($B175="","",IF(INDEX('Master Database'!$L$1:$L$600,$B175)="","",INDEX('Master Database'!$L$1:$L$600,$B175)))</f>
        <v/>
      </c>
      <c r="N175" s="19" t="str">
        <f>IF($B175="","",IF(INDEX('Master Database'!$P$1:$P$600,$B175)="","",INDEX('Master Database'!$P$1:$P$600,$B175)))</f>
        <v/>
      </c>
      <c r="O175" s="19" t="str">
        <f>IF($B175="","",IF(INDEX('Master Database'!$S$1:$S$600,$B175)="","",INDEX('Master Database'!$S$1:$S$600,$B175)))</f>
        <v/>
      </c>
      <c r="P175" s="19" t="str">
        <f>IF($B175="","",IF(INDEX('Master Database'!$T$1:$T$600,$B175)="","",INDEX('Master Database'!$T$1:$T$600,$B175)))</f>
        <v/>
      </c>
      <c r="Q175" s="19" t="str">
        <f>IF($B175="","",IF(INDEX('Master Database'!$Y$1:$Y$600,$B175)="","",INDEX('Master Database'!$Y$1:$Y$600,$B175)))</f>
        <v/>
      </c>
      <c r="R175" s="19" t="str">
        <f>IF($B175="","",IF(INDEX('Master Database'!$Z$1:$Z$600,$B175)="","",INDEX('Master Database'!$Z$1:$Z$600,$B175)))</f>
        <v/>
      </c>
      <c r="S175" s="47" t="str">
        <f>IF($B175="","",IF(INDEX('Master Database'!$AA$1:$AA$600,$B175)="","",INDEX('Master Database'!$AA$1:$AA$600,$B175)))</f>
        <v/>
      </c>
      <c r="T175" s="19" t="str">
        <f>IF($B175="","",IF(INDEX('Master Database'!$AE$1:$AE$600,$B175)="","",INDEX('Master Database'!$AE$1:$AE$600,$B175)))</f>
        <v/>
      </c>
      <c r="U175" s="47" t="str">
        <f>IF($B175="","",IF(INDEX('Master Database'!$AG$1:$AG$600,$B175)="","",INDEX('Master Database'!$AG$1:$AG$600,$B175)))</f>
        <v/>
      </c>
      <c r="V175" s="47" t="str">
        <f>IF($B175="","",IF(INDEX('Master Database'!$AH$1:$AH$600,$B175)="","",INDEX('Master Database'!$AH$1:$AH$600,$B175)))</f>
        <v/>
      </c>
      <c r="W175" s="47" t="str">
        <f>IF($B175="","",IF(INDEX('Master Database'!$AI$1:$AI$600,$B175)="","",INDEX('Master Database'!$AI$1:$AI$600,$B175)))</f>
        <v/>
      </c>
      <c r="X175" s="19" t="str">
        <f>IF($B175="","",IF(INDEX('Master Database'!$BG$1:$BG$600,$B175)="","",INDEX('Master Database'!$BG$1:$BG$600,$B175)))</f>
        <v/>
      </c>
      <c r="BA175">
        <f>IF('Master Database'!$A175="",0,IF(AND(OR($B$5="",ISNUMBER(SEARCH($B$5,'Master Database'!$B175&amp;" "&amp;'Master Database'!$D175))),OR($B$6="(All)",'Master Database'!$C175=$B$6),OR($B$7="(All)",'Master Database'!$E175=$B$7),OR($B$8="(All)",'Master Database'!$T175=$B$8),OR($B$9="(All)",'Master Database'!$M175=$B$9),OR($B$10="(All)",'Master Database'!$V175=$B$10),OR($E$5="(All)",'Master Database'!$F175=$E$5),OR($E$6="(All)",'Master Database'!$G175=$E$6),OR($E$7="(All)",'Master Database'!$O175=$E$7),OR($E$8="(All)",'Master Database'!$P175=$E$8),OR($E$9="(All)",'Master Database'!$S175=$E$9),OR($E$10="(All)",'Master Database'!$Y175&amp;""=$E$10&amp;""),OR($H$5="(All)",'Master Database'!$BG175=$H$5),OR($H$6&lt;&gt;"Y",ISNUMBER('Master Database'!$AG175)),OR($H$7="",AND(ISNUMBER('Master Database'!$H175),N('Master Database'!$H175)&gt;=$H$7)),OR($I$7="",AND(ISNUMBER('Master Database'!$H175),N('Master Database'!$H175)&lt;=$I$7)),OR($H$8="",AND(ISNUMBER('Master Database'!$I175),N('Master Database'!$I175)&gt;=$H$8)),OR($I$8="",AND(ISNUMBER('Master Database'!$I175),N('Master Database'!$I175)&lt;=$I$8)),OR($H$9="",AND(ISNUMBER('Master Database'!$K175),N('Master Database'!$K175)&gt;=$H$9)),OR($I$9="",AND(ISNUMBER('Master Database'!$K175),N('Master Database'!$K175)&lt;=$I$9))),1,0))</f>
        <v>0</v>
      </c>
      <c r="BB175" t="str">
        <f>IF(BA175=1,COUNTIF($BA$5:BA175,1),"")</f>
        <v/>
      </c>
    </row>
    <row r="176" spans="1:54">
      <c r="A176" s="20" t="str">
        <f>IF(161&lt;=SUM($BA$5:$BA$600),161,"")</f>
        <v/>
      </c>
      <c r="B176" s="20" t="str">
        <f t="shared" ref="B176:B207" si="5">IF(A176="","",MATCH(A176,$BB$5:$BB$600,0)+4)</f>
        <v/>
      </c>
      <c r="C176" s="20" t="str">
        <f>IF($B176="","",IF(INDEX('Master Database'!$A$1:$A$600,$B176)="","",INDEX('Master Database'!$A$1:$A$600,$B176)))</f>
        <v/>
      </c>
      <c r="D176" s="19" t="str">
        <f>IF($B176="","",IF(INDEX('Master Database'!$B$1:$B$600,$B176)="","",INDEX('Master Database'!$B$1:$B$600,$B176)))</f>
        <v/>
      </c>
      <c r="E176" s="19" t="str">
        <f>IF($B176="","",IF(INDEX('Master Database'!$C$1:$C$600,$B176)="","",INDEX('Master Database'!$C$1:$C$600,$B176)))</f>
        <v/>
      </c>
      <c r="F176" s="19" t="str">
        <f>IF($B176="","",IF(INDEX('Master Database'!$D$1:$D$600,$B176)="","",INDEX('Master Database'!$D$1:$D$600,$B176)))</f>
        <v/>
      </c>
      <c r="G176" s="19" t="str">
        <f>IF($B176="","",IF(INDEX('Master Database'!$E$1:$E$600,$B176)="","",INDEX('Master Database'!$E$1:$E$600,$B176)))</f>
        <v/>
      </c>
      <c r="H176" s="19" t="str">
        <f>IF($B176="","",IF(INDEX('Master Database'!$F$1:$F$600,$B176)="","",INDEX('Master Database'!$F$1:$F$600,$B176)))</f>
        <v/>
      </c>
      <c r="I176" s="19" t="str">
        <f>IF($B176="","",IF(INDEX('Master Database'!$G$1:$G$600,$B176)="","",INDEX('Master Database'!$G$1:$G$600,$B176)))</f>
        <v/>
      </c>
      <c r="J176" s="46" t="str">
        <f>IF($B176="","",IF(INDEX('Master Database'!$H$1:$H$600,$B176)="","",INDEX('Master Database'!$H$1:$H$600,$B176)))</f>
        <v/>
      </c>
      <c r="K176" s="46" t="str">
        <f>IF($B176="","",IF(INDEX('Master Database'!$I$1:$I$600,$B176)="","",INDEX('Master Database'!$I$1:$I$600,$B176)))</f>
        <v/>
      </c>
      <c r="L176" s="46" t="str">
        <f>IF($B176="","",IF(INDEX('Master Database'!$K$1:$K$600,$B176)="","",INDEX('Master Database'!$K$1:$K$600,$B176)))</f>
        <v/>
      </c>
      <c r="M176" s="19" t="str">
        <f>IF($B176="","",IF(INDEX('Master Database'!$L$1:$L$600,$B176)="","",INDEX('Master Database'!$L$1:$L$600,$B176)))</f>
        <v/>
      </c>
      <c r="N176" s="19" t="str">
        <f>IF($B176="","",IF(INDEX('Master Database'!$P$1:$P$600,$B176)="","",INDEX('Master Database'!$P$1:$P$600,$B176)))</f>
        <v/>
      </c>
      <c r="O176" s="19" t="str">
        <f>IF($B176="","",IF(INDEX('Master Database'!$S$1:$S$600,$B176)="","",INDEX('Master Database'!$S$1:$S$600,$B176)))</f>
        <v/>
      </c>
      <c r="P176" s="19" t="str">
        <f>IF($B176="","",IF(INDEX('Master Database'!$T$1:$T$600,$B176)="","",INDEX('Master Database'!$T$1:$T$600,$B176)))</f>
        <v/>
      </c>
      <c r="Q176" s="19" t="str">
        <f>IF($B176="","",IF(INDEX('Master Database'!$Y$1:$Y$600,$B176)="","",INDEX('Master Database'!$Y$1:$Y$600,$B176)))</f>
        <v/>
      </c>
      <c r="R176" s="19" t="str">
        <f>IF($B176="","",IF(INDEX('Master Database'!$Z$1:$Z$600,$B176)="","",INDEX('Master Database'!$Z$1:$Z$600,$B176)))</f>
        <v/>
      </c>
      <c r="S176" s="47" t="str">
        <f>IF($B176="","",IF(INDEX('Master Database'!$AA$1:$AA$600,$B176)="","",INDEX('Master Database'!$AA$1:$AA$600,$B176)))</f>
        <v/>
      </c>
      <c r="T176" s="19" t="str">
        <f>IF($B176="","",IF(INDEX('Master Database'!$AE$1:$AE$600,$B176)="","",INDEX('Master Database'!$AE$1:$AE$600,$B176)))</f>
        <v/>
      </c>
      <c r="U176" s="47" t="str">
        <f>IF($B176="","",IF(INDEX('Master Database'!$AG$1:$AG$600,$B176)="","",INDEX('Master Database'!$AG$1:$AG$600,$B176)))</f>
        <v/>
      </c>
      <c r="V176" s="47" t="str">
        <f>IF($B176="","",IF(INDEX('Master Database'!$AH$1:$AH$600,$B176)="","",INDEX('Master Database'!$AH$1:$AH$600,$B176)))</f>
        <v/>
      </c>
      <c r="W176" s="47" t="str">
        <f>IF($B176="","",IF(INDEX('Master Database'!$AI$1:$AI$600,$B176)="","",INDEX('Master Database'!$AI$1:$AI$600,$B176)))</f>
        <v/>
      </c>
      <c r="X176" s="19" t="str">
        <f>IF($B176="","",IF(INDEX('Master Database'!$BG$1:$BG$600,$B176)="","",INDEX('Master Database'!$BG$1:$BG$600,$B176)))</f>
        <v/>
      </c>
      <c r="BA176">
        <f>IF('Master Database'!$A176="",0,IF(AND(OR($B$5="",ISNUMBER(SEARCH($B$5,'Master Database'!$B176&amp;" "&amp;'Master Database'!$D176))),OR($B$6="(All)",'Master Database'!$C176=$B$6),OR($B$7="(All)",'Master Database'!$E176=$B$7),OR($B$8="(All)",'Master Database'!$T176=$B$8),OR($B$9="(All)",'Master Database'!$M176=$B$9),OR($B$10="(All)",'Master Database'!$V176=$B$10),OR($E$5="(All)",'Master Database'!$F176=$E$5),OR($E$6="(All)",'Master Database'!$G176=$E$6),OR($E$7="(All)",'Master Database'!$O176=$E$7),OR($E$8="(All)",'Master Database'!$P176=$E$8),OR($E$9="(All)",'Master Database'!$S176=$E$9),OR($E$10="(All)",'Master Database'!$Y176&amp;""=$E$10&amp;""),OR($H$5="(All)",'Master Database'!$BG176=$H$5),OR($H$6&lt;&gt;"Y",ISNUMBER('Master Database'!$AG176)),OR($H$7="",AND(ISNUMBER('Master Database'!$H176),N('Master Database'!$H176)&gt;=$H$7)),OR($I$7="",AND(ISNUMBER('Master Database'!$H176),N('Master Database'!$H176)&lt;=$I$7)),OR($H$8="",AND(ISNUMBER('Master Database'!$I176),N('Master Database'!$I176)&gt;=$H$8)),OR($I$8="",AND(ISNUMBER('Master Database'!$I176),N('Master Database'!$I176)&lt;=$I$8)),OR($H$9="",AND(ISNUMBER('Master Database'!$K176),N('Master Database'!$K176)&gt;=$H$9)),OR($I$9="",AND(ISNUMBER('Master Database'!$K176),N('Master Database'!$K176)&lt;=$I$9))),1,0))</f>
        <v>0</v>
      </c>
      <c r="BB176" t="str">
        <f>IF(BA176=1,COUNTIF($BA$5:BA176,1),"")</f>
        <v/>
      </c>
    </row>
    <row r="177" spans="1:54">
      <c r="A177" s="20" t="str">
        <f>IF(162&lt;=SUM($BA$5:$BA$600),162,"")</f>
        <v/>
      </c>
      <c r="B177" s="20" t="str">
        <f t="shared" si="5"/>
        <v/>
      </c>
      <c r="C177" s="20" t="str">
        <f>IF($B177="","",IF(INDEX('Master Database'!$A$1:$A$600,$B177)="","",INDEX('Master Database'!$A$1:$A$600,$B177)))</f>
        <v/>
      </c>
      <c r="D177" s="19" t="str">
        <f>IF($B177="","",IF(INDEX('Master Database'!$B$1:$B$600,$B177)="","",INDEX('Master Database'!$B$1:$B$600,$B177)))</f>
        <v/>
      </c>
      <c r="E177" s="19" t="str">
        <f>IF($B177="","",IF(INDEX('Master Database'!$C$1:$C$600,$B177)="","",INDEX('Master Database'!$C$1:$C$600,$B177)))</f>
        <v/>
      </c>
      <c r="F177" s="19" t="str">
        <f>IF($B177="","",IF(INDEX('Master Database'!$D$1:$D$600,$B177)="","",INDEX('Master Database'!$D$1:$D$600,$B177)))</f>
        <v/>
      </c>
      <c r="G177" s="19" t="str">
        <f>IF($B177="","",IF(INDEX('Master Database'!$E$1:$E$600,$B177)="","",INDEX('Master Database'!$E$1:$E$600,$B177)))</f>
        <v/>
      </c>
      <c r="H177" s="19" t="str">
        <f>IF($B177="","",IF(INDEX('Master Database'!$F$1:$F$600,$B177)="","",INDEX('Master Database'!$F$1:$F$600,$B177)))</f>
        <v/>
      </c>
      <c r="I177" s="19" t="str">
        <f>IF($B177="","",IF(INDEX('Master Database'!$G$1:$G$600,$B177)="","",INDEX('Master Database'!$G$1:$G$600,$B177)))</f>
        <v/>
      </c>
      <c r="J177" s="46" t="str">
        <f>IF($B177="","",IF(INDEX('Master Database'!$H$1:$H$600,$B177)="","",INDEX('Master Database'!$H$1:$H$600,$B177)))</f>
        <v/>
      </c>
      <c r="K177" s="46" t="str">
        <f>IF($B177="","",IF(INDEX('Master Database'!$I$1:$I$600,$B177)="","",INDEX('Master Database'!$I$1:$I$600,$B177)))</f>
        <v/>
      </c>
      <c r="L177" s="46" t="str">
        <f>IF($B177="","",IF(INDEX('Master Database'!$K$1:$K$600,$B177)="","",INDEX('Master Database'!$K$1:$K$600,$B177)))</f>
        <v/>
      </c>
      <c r="M177" s="19" t="str">
        <f>IF($B177="","",IF(INDEX('Master Database'!$L$1:$L$600,$B177)="","",INDEX('Master Database'!$L$1:$L$600,$B177)))</f>
        <v/>
      </c>
      <c r="N177" s="19" t="str">
        <f>IF($B177="","",IF(INDEX('Master Database'!$P$1:$P$600,$B177)="","",INDEX('Master Database'!$P$1:$P$600,$B177)))</f>
        <v/>
      </c>
      <c r="O177" s="19" t="str">
        <f>IF($B177="","",IF(INDEX('Master Database'!$S$1:$S$600,$B177)="","",INDEX('Master Database'!$S$1:$S$600,$B177)))</f>
        <v/>
      </c>
      <c r="P177" s="19" t="str">
        <f>IF($B177="","",IF(INDEX('Master Database'!$T$1:$T$600,$B177)="","",INDEX('Master Database'!$T$1:$T$600,$B177)))</f>
        <v/>
      </c>
      <c r="Q177" s="19" t="str">
        <f>IF($B177="","",IF(INDEX('Master Database'!$Y$1:$Y$600,$B177)="","",INDEX('Master Database'!$Y$1:$Y$600,$B177)))</f>
        <v/>
      </c>
      <c r="R177" s="19" t="str">
        <f>IF($B177="","",IF(INDEX('Master Database'!$Z$1:$Z$600,$B177)="","",INDEX('Master Database'!$Z$1:$Z$600,$B177)))</f>
        <v/>
      </c>
      <c r="S177" s="47" t="str">
        <f>IF($B177="","",IF(INDEX('Master Database'!$AA$1:$AA$600,$B177)="","",INDEX('Master Database'!$AA$1:$AA$600,$B177)))</f>
        <v/>
      </c>
      <c r="T177" s="19" t="str">
        <f>IF($B177="","",IF(INDEX('Master Database'!$AE$1:$AE$600,$B177)="","",INDEX('Master Database'!$AE$1:$AE$600,$B177)))</f>
        <v/>
      </c>
      <c r="U177" s="47" t="str">
        <f>IF($B177="","",IF(INDEX('Master Database'!$AG$1:$AG$600,$B177)="","",INDEX('Master Database'!$AG$1:$AG$600,$B177)))</f>
        <v/>
      </c>
      <c r="V177" s="47" t="str">
        <f>IF($B177="","",IF(INDEX('Master Database'!$AH$1:$AH$600,$B177)="","",INDEX('Master Database'!$AH$1:$AH$600,$B177)))</f>
        <v/>
      </c>
      <c r="W177" s="47" t="str">
        <f>IF($B177="","",IF(INDEX('Master Database'!$AI$1:$AI$600,$B177)="","",INDEX('Master Database'!$AI$1:$AI$600,$B177)))</f>
        <v/>
      </c>
      <c r="X177" s="19" t="str">
        <f>IF($B177="","",IF(INDEX('Master Database'!$BG$1:$BG$600,$B177)="","",INDEX('Master Database'!$BG$1:$BG$600,$B177)))</f>
        <v/>
      </c>
      <c r="BA177">
        <f>IF('Master Database'!$A177="",0,IF(AND(OR($B$5="",ISNUMBER(SEARCH($B$5,'Master Database'!$B177&amp;" "&amp;'Master Database'!$D177))),OR($B$6="(All)",'Master Database'!$C177=$B$6),OR($B$7="(All)",'Master Database'!$E177=$B$7),OR($B$8="(All)",'Master Database'!$T177=$B$8),OR($B$9="(All)",'Master Database'!$M177=$B$9),OR($B$10="(All)",'Master Database'!$V177=$B$10),OR($E$5="(All)",'Master Database'!$F177=$E$5),OR($E$6="(All)",'Master Database'!$G177=$E$6),OR($E$7="(All)",'Master Database'!$O177=$E$7),OR($E$8="(All)",'Master Database'!$P177=$E$8),OR($E$9="(All)",'Master Database'!$S177=$E$9),OR($E$10="(All)",'Master Database'!$Y177&amp;""=$E$10&amp;""),OR($H$5="(All)",'Master Database'!$BG177=$H$5),OR($H$6&lt;&gt;"Y",ISNUMBER('Master Database'!$AG177)),OR($H$7="",AND(ISNUMBER('Master Database'!$H177),N('Master Database'!$H177)&gt;=$H$7)),OR($I$7="",AND(ISNUMBER('Master Database'!$H177),N('Master Database'!$H177)&lt;=$I$7)),OR($H$8="",AND(ISNUMBER('Master Database'!$I177),N('Master Database'!$I177)&gt;=$H$8)),OR($I$8="",AND(ISNUMBER('Master Database'!$I177),N('Master Database'!$I177)&lt;=$I$8)),OR($H$9="",AND(ISNUMBER('Master Database'!$K177),N('Master Database'!$K177)&gt;=$H$9)),OR($I$9="",AND(ISNUMBER('Master Database'!$K177),N('Master Database'!$K177)&lt;=$I$9))),1,0))</f>
        <v>0</v>
      </c>
      <c r="BB177" t="str">
        <f>IF(BA177=1,COUNTIF($BA$5:BA177,1),"")</f>
        <v/>
      </c>
    </row>
    <row r="178" spans="1:54">
      <c r="A178" s="20" t="str">
        <f>IF(163&lt;=SUM($BA$5:$BA$600),163,"")</f>
        <v/>
      </c>
      <c r="B178" s="20" t="str">
        <f t="shared" si="5"/>
        <v/>
      </c>
      <c r="C178" s="20" t="str">
        <f>IF($B178="","",IF(INDEX('Master Database'!$A$1:$A$600,$B178)="","",INDEX('Master Database'!$A$1:$A$600,$B178)))</f>
        <v/>
      </c>
      <c r="D178" s="19" t="str">
        <f>IF($B178="","",IF(INDEX('Master Database'!$B$1:$B$600,$B178)="","",INDEX('Master Database'!$B$1:$B$600,$B178)))</f>
        <v/>
      </c>
      <c r="E178" s="19" t="str">
        <f>IF($B178="","",IF(INDEX('Master Database'!$C$1:$C$600,$B178)="","",INDEX('Master Database'!$C$1:$C$600,$B178)))</f>
        <v/>
      </c>
      <c r="F178" s="19" t="str">
        <f>IF($B178="","",IF(INDEX('Master Database'!$D$1:$D$600,$B178)="","",INDEX('Master Database'!$D$1:$D$600,$B178)))</f>
        <v/>
      </c>
      <c r="G178" s="19" t="str">
        <f>IF($B178="","",IF(INDEX('Master Database'!$E$1:$E$600,$B178)="","",INDEX('Master Database'!$E$1:$E$600,$B178)))</f>
        <v/>
      </c>
      <c r="H178" s="19" t="str">
        <f>IF($B178="","",IF(INDEX('Master Database'!$F$1:$F$600,$B178)="","",INDEX('Master Database'!$F$1:$F$600,$B178)))</f>
        <v/>
      </c>
      <c r="I178" s="19" t="str">
        <f>IF($B178="","",IF(INDEX('Master Database'!$G$1:$G$600,$B178)="","",INDEX('Master Database'!$G$1:$G$600,$B178)))</f>
        <v/>
      </c>
      <c r="J178" s="46" t="str">
        <f>IF($B178="","",IF(INDEX('Master Database'!$H$1:$H$600,$B178)="","",INDEX('Master Database'!$H$1:$H$600,$B178)))</f>
        <v/>
      </c>
      <c r="K178" s="46" t="str">
        <f>IF($B178="","",IF(INDEX('Master Database'!$I$1:$I$600,$B178)="","",INDEX('Master Database'!$I$1:$I$600,$B178)))</f>
        <v/>
      </c>
      <c r="L178" s="46" t="str">
        <f>IF($B178="","",IF(INDEX('Master Database'!$K$1:$K$600,$B178)="","",INDEX('Master Database'!$K$1:$K$600,$B178)))</f>
        <v/>
      </c>
      <c r="M178" s="19" t="str">
        <f>IF($B178="","",IF(INDEX('Master Database'!$L$1:$L$600,$B178)="","",INDEX('Master Database'!$L$1:$L$600,$B178)))</f>
        <v/>
      </c>
      <c r="N178" s="19" t="str">
        <f>IF($B178="","",IF(INDEX('Master Database'!$P$1:$P$600,$B178)="","",INDEX('Master Database'!$P$1:$P$600,$B178)))</f>
        <v/>
      </c>
      <c r="O178" s="19" t="str">
        <f>IF($B178="","",IF(INDEX('Master Database'!$S$1:$S$600,$B178)="","",INDEX('Master Database'!$S$1:$S$600,$B178)))</f>
        <v/>
      </c>
      <c r="P178" s="19" t="str">
        <f>IF($B178="","",IF(INDEX('Master Database'!$T$1:$T$600,$B178)="","",INDEX('Master Database'!$T$1:$T$600,$B178)))</f>
        <v/>
      </c>
      <c r="Q178" s="19" t="str">
        <f>IF($B178="","",IF(INDEX('Master Database'!$Y$1:$Y$600,$B178)="","",INDEX('Master Database'!$Y$1:$Y$600,$B178)))</f>
        <v/>
      </c>
      <c r="R178" s="19" t="str">
        <f>IF($B178="","",IF(INDEX('Master Database'!$Z$1:$Z$600,$B178)="","",INDEX('Master Database'!$Z$1:$Z$600,$B178)))</f>
        <v/>
      </c>
      <c r="S178" s="47" t="str">
        <f>IF($B178="","",IF(INDEX('Master Database'!$AA$1:$AA$600,$B178)="","",INDEX('Master Database'!$AA$1:$AA$600,$B178)))</f>
        <v/>
      </c>
      <c r="T178" s="19" t="str">
        <f>IF($B178="","",IF(INDEX('Master Database'!$AE$1:$AE$600,$B178)="","",INDEX('Master Database'!$AE$1:$AE$600,$B178)))</f>
        <v/>
      </c>
      <c r="U178" s="47" t="str">
        <f>IF($B178="","",IF(INDEX('Master Database'!$AG$1:$AG$600,$B178)="","",INDEX('Master Database'!$AG$1:$AG$600,$B178)))</f>
        <v/>
      </c>
      <c r="V178" s="47" t="str">
        <f>IF($B178="","",IF(INDEX('Master Database'!$AH$1:$AH$600,$B178)="","",INDEX('Master Database'!$AH$1:$AH$600,$B178)))</f>
        <v/>
      </c>
      <c r="W178" s="47" t="str">
        <f>IF($B178="","",IF(INDEX('Master Database'!$AI$1:$AI$600,$B178)="","",INDEX('Master Database'!$AI$1:$AI$600,$B178)))</f>
        <v/>
      </c>
      <c r="X178" s="19" t="str">
        <f>IF($B178="","",IF(INDEX('Master Database'!$BG$1:$BG$600,$B178)="","",INDEX('Master Database'!$BG$1:$BG$600,$B178)))</f>
        <v/>
      </c>
      <c r="BA178">
        <f>IF('Master Database'!$A178="",0,IF(AND(OR($B$5="",ISNUMBER(SEARCH($B$5,'Master Database'!$B178&amp;" "&amp;'Master Database'!$D178))),OR($B$6="(All)",'Master Database'!$C178=$B$6),OR($B$7="(All)",'Master Database'!$E178=$B$7),OR($B$8="(All)",'Master Database'!$T178=$B$8),OR($B$9="(All)",'Master Database'!$M178=$B$9),OR($B$10="(All)",'Master Database'!$V178=$B$10),OR($E$5="(All)",'Master Database'!$F178=$E$5),OR($E$6="(All)",'Master Database'!$G178=$E$6),OR($E$7="(All)",'Master Database'!$O178=$E$7),OR($E$8="(All)",'Master Database'!$P178=$E$8),OR($E$9="(All)",'Master Database'!$S178=$E$9),OR($E$10="(All)",'Master Database'!$Y178&amp;""=$E$10&amp;""),OR($H$5="(All)",'Master Database'!$BG178=$H$5),OR($H$6&lt;&gt;"Y",ISNUMBER('Master Database'!$AG178)),OR($H$7="",AND(ISNUMBER('Master Database'!$H178),N('Master Database'!$H178)&gt;=$H$7)),OR($I$7="",AND(ISNUMBER('Master Database'!$H178),N('Master Database'!$H178)&lt;=$I$7)),OR($H$8="",AND(ISNUMBER('Master Database'!$I178),N('Master Database'!$I178)&gt;=$H$8)),OR($I$8="",AND(ISNUMBER('Master Database'!$I178),N('Master Database'!$I178)&lt;=$I$8)),OR($H$9="",AND(ISNUMBER('Master Database'!$K178),N('Master Database'!$K178)&gt;=$H$9)),OR($I$9="",AND(ISNUMBER('Master Database'!$K178),N('Master Database'!$K178)&lt;=$I$9))),1,0))</f>
        <v>0</v>
      </c>
      <c r="BB178" t="str">
        <f>IF(BA178=1,COUNTIF($BA$5:BA178,1),"")</f>
        <v/>
      </c>
    </row>
    <row r="179" spans="1:54">
      <c r="A179" s="20" t="str">
        <f>IF(164&lt;=SUM($BA$5:$BA$600),164,"")</f>
        <v/>
      </c>
      <c r="B179" s="20" t="str">
        <f t="shared" si="5"/>
        <v/>
      </c>
      <c r="C179" s="20" t="str">
        <f>IF($B179="","",IF(INDEX('Master Database'!$A$1:$A$600,$B179)="","",INDEX('Master Database'!$A$1:$A$600,$B179)))</f>
        <v/>
      </c>
      <c r="D179" s="19" t="str">
        <f>IF($B179="","",IF(INDEX('Master Database'!$B$1:$B$600,$B179)="","",INDEX('Master Database'!$B$1:$B$600,$B179)))</f>
        <v/>
      </c>
      <c r="E179" s="19" t="str">
        <f>IF($B179="","",IF(INDEX('Master Database'!$C$1:$C$600,$B179)="","",INDEX('Master Database'!$C$1:$C$600,$B179)))</f>
        <v/>
      </c>
      <c r="F179" s="19" t="str">
        <f>IF($B179="","",IF(INDEX('Master Database'!$D$1:$D$600,$B179)="","",INDEX('Master Database'!$D$1:$D$600,$B179)))</f>
        <v/>
      </c>
      <c r="G179" s="19" t="str">
        <f>IF($B179="","",IF(INDEX('Master Database'!$E$1:$E$600,$B179)="","",INDEX('Master Database'!$E$1:$E$600,$B179)))</f>
        <v/>
      </c>
      <c r="H179" s="19" t="str">
        <f>IF($B179="","",IF(INDEX('Master Database'!$F$1:$F$600,$B179)="","",INDEX('Master Database'!$F$1:$F$600,$B179)))</f>
        <v/>
      </c>
      <c r="I179" s="19" t="str">
        <f>IF($B179="","",IF(INDEX('Master Database'!$G$1:$G$600,$B179)="","",INDEX('Master Database'!$G$1:$G$600,$B179)))</f>
        <v/>
      </c>
      <c r="J179" s="46" t="str">
        <f>IF($B179="","",IF(INDEX('Master Database'!$H$1:$H$600,$B179)="","",INDEX('Master Database'!$H$1:$H$600,$B179)))</f>
        <v/>
      </c>
      <c r="K179" s="46" t="str">
        <f>IF($B179="","",IF(INDEX('Master Database'!$I$1:$I$600,$B179)="","",INDEX('Master Database'!$I$1:$I$600,$B179)))</f>
        <v/>
      </c>
      <c r="L179" s="46" t="str">
        <f>IF($B179="","",IF(INDEX('Master Database'!$K$1:$K$600,$B179)="","",INDEX('Master Database'!$K$1:$K$600,$B179)))</f>
        <v/>
      </c>
      <c r="M179" s="19" t="str">
        <f>IF($B179="","",IF(INDEX('Master Database'!$L$1:$L$600,$B179)="","",INDEX('Master Database'!$L$1:$L$600,$B179)))</f>
        <v/>
      </c>
      <c r="N179" s="19" t="str">
        <f>IF($B179="","",IF(INDEX('Master Database'!$P$1:$P$600,$B179)="","",INDEX('Master Database'!$P$1:$P$600,$B179)))</f>
        <v/>
      </c>
      <c r="O179" s="19" t="str">
        <f>IF($B179="","",IF(INDEX('Master Database'!$S$1:$S$600,$B179)="","",INDEX('Master Database'!$S$1:$S$600,$B179)))</f>
        <v/>
      </c>
      <c r="P179" s="19" t="str">
        <f>IF($B179="","",IF(INDEX('Master Database'!$T$1:$T$600,$B179)="","",INDEX('Master Database'!$T$1:$T$600,$B179)))</f>
        <v/>
      </c>
      <c r="Q179" s="19" t="str">
        <f>IF($B179="","",IF(INDEX('Master Database'!$Y$1:$Y$600,$B179)="","",INDEX('Master Database'!$Y$1:$Y$600,$B179)))</f>
        <v/>
      </c>
      <c r="R179" s="19" t="str">
        <f>IF($B179="","",IF(INDEX('Master Database'!$Z$1:$Z$600,$B179)="","",INDEX('Master Database'!$Z$1:$Z$600,$B179)))</f>
        <v/>
      </c>
      <c r="S179" s="47" t="str">
        <f>IF($B179="","",IF(INDEX('Master Database'!$AA$1:$AA$600,$B179)="","",INDEX('Master Database'!$AA$1:$AA$600,$B179)))</f>
        <v/>
      </c>
      <c r="T179" s="19" t="str">
        <f>IF($B179="","",IF(INDEX('Master Database'!$AE$1:$AE$600,$B179)="","",INDEX('Master Database'!$AE$1:$AE$600,$B179)))</f>
        <v/>
      </c>
      <c r="U179" s="47" t="str">
        <f>IF($B179="","",IF(INDEX('Master Database'!$AG$1:$AG$600,$B179)="","",INDEX('Master Database'!$AG$1:$AG$600,$B179)))</f>
        <v/>
      </c>
      <c r="V179" s="47" t="str">
        <f>IF($B179="","",IF(INDEX('Master Database'!$AH$1:$AH$600,$B179)="","",INDEX('Master Database'!$AH$1:$AH$600,$B179)))</f>
        <v/>
      </c>
      <c r="W179" s="47" t="str">
        <f>IF($B179="","",IF(INDEX('Master Database'!$AI$1:$AI$600,$B179)="","",INDEX('Master Database'!$AI$1:$AI$600,$B179)))</f>
        <v/>
      </c>
      <c r="X179" s="19" t="str">
        <f>IF($B179="","",IF(INDEX('Master Database'!$BG$1:$BG$600,$B179)="","",INDEX('Master Database'!$BG$1:$BG$600,$B179)))</f>
        <v/>
      </c>
      <c r="BA179">
        <f>IF('Master Database'!$A179="",0,IF(AND(OR($B$5="",ISNUMBER(SEARCH($B$5,'Master Database'!$B179&amp;" "&amp;'Master Database'!$D179))),OR($B$6="(All)",'Master Database'!$C179=$B$6),OR($B$7="(All)",'Master Database'!$E179=$B$7),OR($B$8="(All)",'Master Database'!$T179=$B$8),OR($B$9="(All)",'Master Database'!$M179=$B$9),OR($B$10="(All)",'Master Database'!$V179=$B$10),OR($E$5="(All)",'Master Database'!$F179=$E$5),OR($E$6="(All)",'Master Database'!$G179=$E$6),OR($E$7="(All)",'Master Database'!$O179=$E$7),OR($E$8="(All)",'Master Database'!$P179=$E$8),OR($E$9="(All)",'Master Database'!$S179=$E$9),OR($E$10="(All)",'Master Database'!$Y179&amp;""=$E$10&amp;""),OR($H$5="(All)",'Master Database'!$BG179=$H$5),OR($H$6&lt;&gt;"Y",ISNUMBER('Master Database'!$AG179)),OR($H$7="",AND(ISNUMBER('Master Database'!$H179),N('Master Database'!$H179)&gt;=$H$7)),OR($I$7="",AND(ISNUMBER('Master Database'!$H179),N('Master Database'!$H179)&lt;=$I$7)),OR($H$8="",AND(ISNUMBER('Master Database'!$I179),N('Master Database'!$I179)&gt;=$H$8)),OR($I$8="",AND(ISNUMBER('Master Database'!$I179),N('Master Database'!$I179)&lt;=$I$8)),OR($H$9="",AND(ISNUMBER('Master Database'!$K179),N('Master Database'!$K179)&gt;=$H$9)),OR($I$9="",AND(ISNUMBER('Master Database'!$K179),N('Master Database'!$K179)&lt;=$I$9))),1,0))</f>
        <v>0</v>
      </c>
      <c r="BB179" t="str">
        <f>IF(BA179=1,COUNTIF($BA$5:BA179,1),"")</f>
        <v/>
      </c>
    </row>
    <row r="180" spans="1:54">
      <c r="A180" s="20" t="str">
        <f>IF(165&lt;=SUM($BA$5:$BA$600),165,"")</f>
        <v/>
      </c>
      <c r="B180" s="20" t="str">
        <f t="shared" si="5"/>
        <v/>
      </c>
      <c r="C180" s="20" t="str">
        <f>IF($B180="","",IF(INDEX('Master Database'!$A$1:$A$600,$B180)="","",INDEX('Master Database'!$A$1:$A$600,$B180)))</f>
        <v/>
      </c>
      <c r="D180" s="19" t="str">
        <f>IF($B180="","",IF(INDEX('Master Database'!$B$1:$B$600,$B180)="","",INDEX('Master Database'!$B$1:$B$600,$B180)))</f>
        <v/>
      </c>
      <c r="E180" s="19" t="str">
        <f>IF($B180="","",IF(INDEX('Master Database'!$C$1:$C$600,$B180)="","",INDEX('Master Database'!$C$1:$C$600,$B180)))</f>
        <v/>
      </c>
      <c r="F180" s="19" t="str">
        <f>IF($B180="","",IF(INDEX('Master Database'!$D$1:$D$600,$B180)="","",INDEX('Master Database'!$D$1:$D$600,$B180)))</f>
        <v/>
      </c>
      <c r="G180" s="19" t="str">
        <f>IF($B180="","",IF(INDEX('Master Database'!$E$1:$E$600,$B180)="","",INDEX('Master Database'!$E$1:$E$600,$B180)))</f>
        <v/>
      </c>
      <c r="H180" s="19" t="str">
        <f>IF($B180="","",IF(INDEX('Master Database'!$F$1:$F$600,$B180)="","",INDEX('Master Database'!$F$1:$F$600,$B180)))</f>
        <v/>
      </c>
      <c r="I180" s="19" t="str">
        <f>IF($B180="","",IF(INDEX('Master Database'!$G$1:$G$600,$B180)="","",INDEX('Master Database'!$G$1:$G$600,$B180)))</f>
        <v/>
      </c>
      <c r="J180" s="46" t="str">
        <f>IF($B180="","",IF(INDEX('Master Database'!$H$1:$H$600,$B180)="","",INDEX('Master Database'!$H$1:$H$600,$B180)))</f>
        <v/>
      </c>
      <c r="K180" s="46" t="str">
        <f>IF($B180="","",IF(INDEX('Master Database'!$I$1:$I$600,$B180)="","",INDEX('Master Database'!$I$1:$I$600,$B180)))</f>
        <v/>
      </c>
      <c r="L180" s="46" t="str">
        <f>IF($B180="","",IF(INDEX('Master Database'!$K$1:$K$600,$B180)="","",INDEX('Master Database'!$K$1:$K$600,$B180)))</f>
        <v/>
      </c>
      <c r="M180" s="19" t="str">
        <f>IF($B180="","",IF(INDEX('Master Database'!$L$1:$L$600,$B180)="","",INDEX('Master Database'!$L$1:$L$600,$B180)))</f>
        <v/>
      </c>
      <c r="N180" s="19" t="str">
        <f>IF($B180="","",IF(INDEX('Master Database'!$P$1:$P$600,$B180)="","",INDEX('Master Database'!$P$1:$P$600,$B180)))</f>
        <v/>
      </c>
      <c r="O180" s="19" t="str">
        <f>IF($B180="","",IF(INDEX('Master Database'!$S$1:$S$600,$B180)="","",INDEX('Master Database'!$S$1:$S$600,$B180)))</f>
        <v/>
      </c>
      <c r="P180" s="19" t="str">
        <f>IF($B180="","",IF(INDEX('Master Database'!$T$1:$T$600,$B180)="","",INDEX('Master Database'!$T$1:$T$600,$B180)))</f>
        <v/>
      </c>
      <c r="Q180" s="19" t="str">
        <f>IF($B180="","",IF(INDEX('Master Database'!$Y$1:$Y$600,$B180)="","",INDEX('Master Database'!$Y$1:$Y$600,$B180)))</f>
        <v/>
      </c>
      <c r="R180" s="19" t="str">
        <f>IF($B180="","",IF(INDEX('Master Database'!$Z$1:$Z$600,$B180)="","",INDEX('Master Database'!$Z$1:$Z$600,$B180)))</f>
        <v/>
      </c>
      <c r="S180" s="47" t="str">
        <f>IF($B180="","",IF(INDEX('Master Database'!$AA$1:$AA$600,$B180)="","",INDEX('Master Database'!$AA$1:$AA$600,$B180)))</f>
        <v/>
      </c>
      <c r="T180" s="19" t="str">
        <f>IF($B180="","",IF(INDEX('Master Database'!$AE$1:$AE$600,$B180)="","",INDEX('Master Database'!$AE$1:$AE$600,$B180)))</f>
        <v/>
      </c>
      <c r="U180" s="47" t="str">
        <f>IF($B180="","",IF(INDEX('Master Database'!$AG$1:$AG$600,$B180)="","",INDEX('Master Database'!$AG$1:$AG$600,$B180)))</f>
        <v/>
      </c>
      <c r="V180" s="47" t="str">
        <f>IF($B180="","",IF(INDEX('Master Database'!$AH$1:$AH$600,$B180)="","",INDEX('Master Database'!$AH$1:$AH$600,$B180)))</f>
        <v/>
      </c>
      <c r="W180" s="47" t="str">
        <f>IF($B180="","",IF(INDEX('Master Database'!$AI$1:$AI$600,$B180)="","",INDEX('Master Database'!$AI$1:$AI$600,$B180)))</f>
        <v/>
      </c>
      <c r="X180" s="19" t="str">
        <f>IF($B180="","",IF(INDEX('Master Database'!$BG$1:$BG$600,$B180)="","",INDEX('Master Database'!$BG$1:$BG$600,$B180)))</f>
        <v/>
      </c>
      <c r="BA180">
        <f>IF('Master Database'!$A180="",0,IF(AND(OR($B$5="",ISNUMBER(SEARCH($B$5,'Master Database'!$B180&amp;" "&amp;'Master Database'!$D180))),OR($B$6="(All)",'Master Database'!$C180=$B$6),OR($B$7="(All)",'Master Database'!$E180=$B$7),OR($B$8="(All)",'Master Database'!$T180=$B$8),OR($B$9="(All)",'Master Database'!$M180=$B$9),OR($B$10="(All)",'Master Database'!$V180=$B$10),OR($E$5="(All)",'Master Database'!$F180=$E$5),OR($E$6="(All)",'Master Database'!$G180=$E$6),OR($E$7="(All)",'Master Database'!$O180=$E$7),OR($E$8="(All)",'Master Database'!$P180=$E$8),OR($E$9="(All)",'Master Database'!$S180=$E$9),OR($E$10="(All)",'Master Database'!$Y180&amp;""=$E$10&amp;""),OR($H$5="(All)",'Master Database'!$BG180=$H$5),OR($H$6&lt;&gt;"Y",ISNUMBER('Master Database'!$AG180)),OR($H$7="",AND(ISNUMBER('Master Database'!$H180),N('Master Database'!$H180)&gt;=$H$7)),OR($I$7="",AND(ISNUMBER('Master Database'!$H180),N('Master Database'!$H180)&lt;=$I$7)),OR($H$8="",AND(ISNUMBER('Master Database'!$I180),N('Master Database'!$I180)&gt;=$H$8)),OR($I$8="",AND(ISNUMBER('Master Database'!$I180),N('Master Database'!$I180)&lt;=$I$8)),OR($H$9="",AND(ISNUMBER('Master Database'!$K180),N('Master Database'!$K180)&gt;=$H$9)),OR($I$9="",AND(ISNUMBER('Master Database'!$K180),N('Master Database'!$K180)&lt;=$I$9))),1,0))</f>
        <v>0</v>
      </c>
      <c r="BB180" t="str">
        <f>IF(BA180=1,COUNTIF($BA$5:BA180,1),"")</f>
        <v/>
      </c>
    </row>
    <row r="181" spans="1:54">
      <c r="A181" s="20" t="str">
        <f>IF(166&lt;=SUM($BA$5:$BA$600),166,"")</f>
        <v/>
      </c>
      <c r="B181" s="20" t="str">
        <f t="shared" si="5"/>
        <v/>
      </c>
      <c r="C181" s="20" t="str">
        <f>IF($B181="","",IF(INDEX('Master Database'!$A$1:$A$600,$B181)="","",INDEX('Master Database'!$A$1:$A$600,$B181)))</f>
        <v/>
      </c>
      <c r="D181" s="19" t="str">
        <f>IF($B181="","",IF(INDEX('Master Database'!$B$1:$B$600,$B181)="","",INDEX('Master Database'!$B$1:$B$600,$B181)))</f>
        <v/>
      </c>
      <c r="E181" s="19" t="str">
        <f>IF($B181="","",IF(INDEX('Master Database'!$C$1:$C$600,$B181)="","",INDEX('Master Database'!$C$1:$C$600,$B181)))</f>
        <v/>
      </c>
      <c r="F181" s="19" t="str">
        <f>IF($B181="","",IF(INDEX('Master Database'!$D$1:$D$600,$B181)="","",INDEX('Master Database'!$D$1:$D$600,$B181)))</f>
        <v/>
      </c>
      <c r="G181" s="19" t="str">
        <f>IF($B181="","",IF(INDEX('Master Database'!$E$1:$E$600,$B181)="","",INDEX('Master Database'!$E$1:$E$600,$B181)))</f>
        <v/>
      </c>
      <c r="H181" s="19" t="str">
        <f>IF($B181="","",IF(INDEX('Master Database'!$F$1:$F$600,$B181)="","",INDEX('Master Database'!$F$1:$F$600,$B181)))</f>
        <v/>
      </c>
      <c r="I181" s="19" t="str">
        <f>IF($B181="","",IF(INDEX('Master Database'!$G$1:$G$600,$B181)="","",INDEX('Master Database'!$G$1:$G$600,$B181)))</f>
        <v/>
      </c>
      <c r="J181" s="46" t="str">
        <f>IF($B181="","",IF(INDEX('Master Database'!$H$1:$H$600,$B181)="","",INDEX('Master Database'!$H$1:$H$600,$B181)))</f>
        <v/>
      </c>
      <c r="K181" s="46" t="str">
        <f>IF($B181="","",IF(INDEX('Master Database'!$I$1:$I$600,$B181)="","",INDEX('Master Database'!$I$1:$I$600,$B181)))</f>
        <v/>
      </c>
      <c r="L181" s="46" t="str">
        <f>IF($B181="","",IF(INDEX('Master Database'!$K$1:$K$600,$B181)="","",INDEX('Master Database'!$K$1:$K$600,$B181)))</f>
        <v/>
      </c>
      <c r="M181" s="19" t="str">
        <f>IF($B181="","",IF(INDEX('Master Database'!$L$1:$L$600,$B181)="","",INDEX('Master Database'!$L$1:$L$600,$B181)))</f>
        <v/>
      </c>
      <c r="N181" s="19" t="str">
        <f>IF($B181="","",IF(INDEX('Master Database'!$P$1:$P$600,$B181)="","",INDEX('Master Database'!$P$1:$P$600,$B181)))</f>
        <v/>
      </c>
      <c r="O181" s="19" t="str">
        <f>IF($B181="","",IF(INDEX('Master Database'!$S$1:$S$600,$B181)="","",INDEX('Master Database'!$S$1:$S$600,$B181)))</f>
        <v/>
      </c>
      <c r="P181" s="19" t="str">
        <f>IF($B181="","",IF(INDEX('Master Database'!$T$1:$T$600,$B181)="","",INDEX('Master Database'!$T$1:$T$600,$B181)))</f>
        <v/>
      </c>
      <c r="Q181" s="19" t="str">
        <f>IF($B181="","",IF(INDEX('Master Database'!$Y$1:$Y$600,$B181)="","",INDEX('Master Database'!$Y$1:$Y$600,$B181)))</f>
        <v/>
      </c>
      <c r="R181" s="19" t="str">
        <f>IF($B181="","",IF(INDEX('Master Database'!$Z$1:$Z$600,$B181)="","",INDEX('Master Database'!$Z$1:$Z$600,$B181)))</f>
        <v/>
      </c>
      <c r="S181" s="47" t="str">
        <f>IF($B181="","",IF(INDEX('Master Database'!$AA$1:$AA$600,$B181)="","",INDEX('Master Database'!$AA$1:$AA$600,$B181)))</f>
        <v/>
      </c>
      <c r="T181" s="19" t="str">
        <f>IF($B181="","",IF(INDEX('Master Database'!$AE$1:$AE$600,$B181)="","",INDEX('Master Database'!$AE$1:$AE$600,$B181)))</f>
        <v/>
      </c>
      <c r="U181" s="47" t="str">
        <f>IF($B181="","",IF(INDEX('Master Database'!$AG$1:$AG$600,$B181)="","",INDEX('Master Database'!$AG$1:$AG$600,$B181)))</f>
        <v/>
      </c>
      <c r="V181" s="47" t="str">
        <f>IF($B181="","",IF(INDEX('Master Database'!$AH$1:$AH$600,$B181)="","",INDEX('Master Database'!$AH$1:$AH$600,$B181)))</f>
        <v/>
      </c>
      <c r="W181" s="47" t="str">
        <f>IF($B181="","",IF(INDEX('Master Database'!$AI$1:$AI$600,$B181)="","",INDEX('Master Database'!$AI$1:$AI$600,$B181)))</f>
        <v/>
      </c>
      <c r="X181" s="19" t="str">
        <f>IF($B181="","",IF(INDEX('Master Database'!$BG$1:$BG$600,$B181)="","",INDEX('Master Database'!$BG$1:$BG$600,$B181)))</f>
        <v/>
      </c>
      <c r="BA181">
        <f>IF('Master Database'!$A181="",0,IF(AND(OR($B$5="",ISNUMBER(SEARCH($B$5,'Master Database'!$B181&amp;" "&amp;'Master Database'!$D181))),OR($B$6="(All)",'Master Database'!$C181=$B$6),OR($B$7="(All)",'Master Database'!$E181=$B$7),OR($B$8="(All)",'Master Database'!$T181=$B$8),OR($B$9="(All)",'Master Database'!$M181=$B$9),OR($B$10="(All)",'Master Database'!$V181=$B$10),OR($E$5="(All)",'Master Database'!$F181=$E$5),OR($E$6="(All)",'Master Database'!$G181=$E$6),OR($E$7="(All)",'Master Database'!$O181=$E$7),OR($E$8="(All)",'Master Database'!$P181=$E$8),OR($E$9="(All)",'Master Database'!$S181=$E$9),OR($E$10="(All)",'Master Database'!$Y181&amp;""=$E$10&amp;""),OR($H$5="(All)",'Master Database'!$BG181=$H$5),OR($H$6&lt;&gt;"Y",ISNUMBER('Master Database'!$AG181)),OR($H$7="",AND(ISNUMBER('Master Database'!$H181),N('Master Database'!$H181)&gt;=$H$7)),OR($I$7="",AND(ISNUMBER('Master Database'!$H181),N('Master Database'!$H181)&lt;=$I$7)),OR($H$8="",AND(ISNUMBER('Master Database'!$I181),N('Master Database'!$I181)&gt;=$H$8)),OR($I$8="",AND(ISNUMBER('Master Database'!$I181),N('Master Database'!$I181)&lt;=$I$8)),OR($H$9="",AND(ISNUMBER('Master Database'!$K181),N('Master Database'!$K181)&gt;=$H$9)),OR($I$9="",AND(ISNUMBER('Master Database'!$K181),N('Master Database'!$K181)&lt;=$I$9))),1,0))</f>
        <v>0</v>
      </c>
      <c r="BB181" t="str">
        <f>IF(BA181=1,COUNTIF($BA$5:BA181,1),"")</f>
        <v/>
      </c>
    </row>
    <row r="182" spans="1:54">
      <c r="A182" s="20" t="str">
        <f>IF(167&lt;=SUM($BA$5:$BA$600),167,"")</f>
        <v/>
      </c>
      <c r="B182" s="20" t="str">
        <f t="shared" si="5"/>
        <v/>
      </c>
      <c r="C182" s="20" t="str">
        <f>IF($B182="","",IF(INDEX('Master Database'!$A$1:$A$600,$B182)="","",INDEX('Master Database'!$A$1:$A$600,$B182)))</f>
        <v/>
      </c>
      <c r="D182" s="19" t="str">
        <f>IF($B182="","",IF(INDEX('Master Database'!$B$1:$B$600,$B182)="","",INDEX('Master Database'!$B$1:$B$600,$B182)))</f>
        <v/>
      </c>
      <c r="E182" s="19" t="str">
        <f>IF($B182="","",IF(INDEX('Master Database'!$C$1:$C$600,$B182)="","",INDEX('Master Database'!$C$1:$C$600,$B182)))</f>
        <v/>
      </c>
      <c r="F182" s="19" t="str">
        <f>IF($B182="","",IF(INDEX('Master Database'!$D$1:$D$600,$B182)="","",INDEX('Master Database'!$D$1:$D$600,$B182)))</f>
        <v/>
      </c>
      <c r="G182" s="19" t="str">
        <f>IF($B182="","",IF(INDEX('Master Database'!$E$1:$E$600,$B182)="","",INDEX('Master Database'!$E$1:$E$600,$B182)))</f>
        <v/>
      </c>
      <c r="H182" s="19" t="str">
        <f>IF($B182="","",IF(INDEX('Master Database'!$F$1:$F$600,$B182)="","",INDEX('Master Database'!$F$1:$F$600,$B182)))</f>
        <v/>
      </c>
      <c r="I182" s="19" t="str">
        <f>IF($B182="","",IF(INDEX('Master Database'!$G$1:$G$600,$B182)="","",INDEX('Master Database'!$G$1:$G$600,$B182)))</f>
        <v/>
      </c>
      <c r="J182" s="46" t="str">
        <f>IF($B182="","",IF(INDEX('Master Database'!$H$1:$H$600,$B182)="","",INDEX('Master Database'!$H$1:$H$600,$B182)))</f>
        <v/>
      </c>
      <c r="K182" s="46" t="str">
        <f>IF($B182="","",IF(INDEX('Master Database'!$I$1:$I$600,$B182)="","",INDEX('Master Database'!$I$1:$I$600,$B182)))</f>
        <v/>
      </c>
      <c r="L182" s="46" t="str">
        <f>IF($B182="","",IF(INDEX('Master Database'!$K$1:$K$600,$B182)="","",INDEX('Master Database'!$K$1:$K$600,$B182)))</f>
        <v/>
      </c>
      <c r="M182" s="19" t="str">
        <f>IF($B182="","",IF(INDEX('Master Database'!$L$1:$L$600,$B182)="","",INDEX('Master Database'!$L$1:$L$600,$B182)))</f>
        <v/>
      </c>
      <c r="N182" s="19" t="str">
        <f>IF($B182="","",IF(INDEX('Master Database'!$P$1:$P$600,$B182)="","",INDEX('Master Database'!$P$1:$P$600,$B182)))</f>
        <v/>
      </c>
      <c r="O182" s="19" t="str">
        <f>IF($B182="","",IF(INDEX('Master Database'!$S$1:$S$600,$B182)="","",INDEX('Master Database'!$S$1:$S$600,$B182)))</f>
        <v/>
      </c>
      <c r="P182" s="19" t="str">
        <f>IF($B182="","",IF(INDEX('Master Database'!$T$1:$T$600,$B182)="","",INDEX('Master Database'!$T$1:$T$600,$B182)))</f>
        <v/>
      </c>
      <c r="Q182" s="19" t="str">
        <f>IF($B182="","",IF(INDEX('Master Database'!$Y$1:$Y$600,$B182)="","",INDEX('Master Database'!$Y$1:$Y$600,$B182)))</f>
        <v/>
      </c>
      <c r="R182" s="19" t="str">
        <f>IF($B182="","",IF(INDEX('Master Database'!$Z$1:$Z$600,$B182)="","",INDEX('Master Database'!$Z$1:$Z$600,$B182)))</f>
        <v/>
      </c>
      <c r="S182" s="47" t="str">
        <f>IF($B182="","",IF(INDEX('Master Database'!$AA$1:$AA$600,$B182)="","",INDEX('Master Database'!$AA$1:$AA$600,$B182)))</f>
        <v/>
      </c>
      <c r="T182" s="19" t="str">
        <f>IF($B182="","",IF(INDEX('Master Database'!$AE$1:$AE$600,$B182)="","",INDEX('Master Database'!$AE$1:$AE$600,$B182)))</f>
        <v/>
      </c>
      <c r="U182" s="47" t="str">
        <f>IF($B182="","",IF(INDEX('Master Database'!$AG$1:$AG$600,$B182)="","",INDEX('Master Database'!$AG$1:$AG$600,$B182)))</f>
        <v/>
      </c>
      <c r="V182" s="47" t="str">
        <f>IF($B182="","",IF(INDEX('Master Database'!$AH$1:$AH$600,$B182)="","",INDEX('Master Database'!$AH$1:$AH$600,$B182)))</f>
        <v/>
      </c>
      <c r="W182" s="47" t="str">
        <f>IF($B182="","",IF(INDEX('Master Database'!$AI$1:$AI$600,$B182)="","",INDEX('Master Database'!$AI$1:$AI$600,$B182)))</f>
        <v/>
      </c>
      <c r="X182" s="19" t="str">
        <f>IF($B182="","",IF(INDEX('Master Database'!$BG$1:$BG$600,$B182)="","",INDEX('Master Database'!$BG$1:$BG$600,$B182)))</f>
        <v/>
      </c>
      <c r="BA182">
        <f>IF('Master Database'!$A182="",0,IF(AND(OR($B$5="",ISNUMBER(SEARCH($B$5,'Master Database'!$B182&amp;" "&amp;'Master Database'!$D182))),OR($B$6="(All)",'Master Database'!$C182=$B$6),OR($B$7="(All)",'Master Database'!$E182=$B$7),OR($B$8="(All)",'Master Database'!$T182=$B$8),OR($B$9="(All)",'Master Database'!$M182=$B$9),OR($B$10="(All)",'Master Database'!$V182=$B$10),OR($E$5="(All)",'Master Database'!$F182=$E$5),OR($E$6="(All)",'Master Database'!$G182=$E$6),OR($E$7="(All)",'Master Database'!$O182=$E$7),OR($E$8="(All)",'Master Database'!$P182=$E$8),OR($E$9="(All)",'Master Database'!$S182=$E$9),OR($E$10="(All)",'Master Database'!$Y182&amp;""=$E$10&amp;""),OR($H$5="(All)",'Master Database'!$BG182=$H$5),OR($H$6&lt;&gt;"Y",ISNUMBER('Master Database'!$AG182)),OR($H$7="",AND(ISNUMBER('Master Database'!$H182),N('Master Database'!$H182)&gt;=$H$7)),OR($I$7="",AND(ISNUMBER('Master Database'!$H182),N('Master Database'!$H182)&lt;=$I$7)),OR($H$8="",AND(ISNUMBER('Master Database'!$I182),N('Master Database'!$I182)&gt;=$H$8)),OR($I$8="",AND(ISNUMBER('Master Database'!$I182),N('Master Database'!$I182)&lt;=$I$8)),OR($H$9="",AND(ISNUMBER('Master Database'!$K182),N('Master Database'!$K182)&gt;=$H$9)),OR($I$9="",AND(ISNUMBER('Master Database'!$K182),N('Master Database'!$K182)&lt;=$I$9))),1,0))</f>
        <v>0</v>
      </c>
      <c r="BB182" t="str">
        <f>IF(BA182=1,COUNTIF($BA$5:BA182,1),"")</f>
        <v/>
      </c>
    </row>
    <row r="183" spans="1:54">
      <c r="A183" s="20" t="str">
        <f>IF(168&lt;=SUM($BA$5:$BA$600),168,"")</f>
        <v/>
      </c>
      <c r="B183" s="20" t="str">
        <f t="shared" si="5"/>
        <v/>
      </c>
      <c r="C183" s="20" t="str">
        <f>IF($B183="","",IF(INDEX('Master Database'!$A$1:$A$600,$B183)="","",INDEX('Master Database'!$A$1:$A$600,$B183)))</f>
        <v/>
      </c>
      <c r="D183" s="19" t="str">
        <f>IF($B183="","",IF(INDEX('Master Database'!$B$1:$B$600,$B183)="","",INDEX('Master Database'!$B$1:$B$600,$B183)))</f>
        <v/>
      </c>
      <c r="E183" s="19" t="str">
        <f>IF($B183="","",IF(INDEX('Master Database'!$C$1:$C$600,$B183)="","",INDEX('Master Database'!$C$1:$C$600,$B183)))</f>
        <v/>
      </c>
      <c r="F183" s="19" t="str">
        <f>IF($B183="","",IF(INDEX('Master Database'!$D$1:$D$600,$B183)="","",INDEX('Master Database'!$D$1:$D$600,$B183)))</f>
        <v/>
      </c>
      <c r="G183" s="19" t="str">
        <f>IF($B183="","",IF(INDEX('Master Database'!$E$1:$E$600,$B183)="","",INDEX('Master Database'!$E$1:$E$600,$B183)))</f>
        <v/>
      </c>
      <c r="H183" s="19" t="str">
        <f>IF($B183="","",IF(INDEX('Master Database'!$F$1:$F$600,$B183)="","",INDEX('Master Database'!$F$1:$F$600,$B183)))</f>
        <v/>
      </c>
      <c r="I183" s="19" t="str">
        <f>IF($B183="","",IF(INDEX('Master Database'!$G$1:$G$600,$B183)="","",INDEX('Master Database'!$G$1:$G$600,$B183)))</f>
        <v/>
      </c>
      <c r="J183" s="46" t="str">
        <f>IF($B183="","",IF(INDEX('Master Database'!$H$1:$H$600,$B183)="","",INDEX('Master Database'!$H$1:$H$600,$B183)))</f>
        <v/>
      </c>
      <c r="K183" s="46" t="str">
        <f>IF($B183="","",IF(INDEX('Master Database'!$I$1:$I$600,$B183)="","",INDEX('Master Database'!$I$1:$I$600,$B183)))</f>
        <v/>
      </c>
      <c r="L183" s="46" t="str">
        <f>IF($B183="","",IF(INDEX('Master Database'!$K$1:$K$600,$B183)="","",INDEX('Master Database'!$K$1:$K$600,$B183)))</f>
        <v/>
      </c>
      <c r="M183" s="19" t="str">
        <f>IF($B183="","",IF(INDEX('Master Database'!$L$1:$L$600,$B183)="","",INDEX('Master Database'!$L$1:$L$600,$B183)))</f>
        <v/>
      </c>
      <c r="N183" s="19" t="str">
        <f>IF($B183="","",IF(INDEX('Master Database'!$P$1:$P$600,$B183)="","",INDEX('Master Database'!$P$1:$P$600,$B183)))</f>
        <v/>
      </c>
      <c r="O183" s="19" t="str">
        <f>IF($B183="","",IF(INDEX('Master Database'!$S$1:$S$600,$B183)="","",INDEX('Master Database'!$S$1:$S$600,$B183)))</f>
        <v/>
      </c>
      <c r="P183" s="19" t="str">
        <f>IF($B183="","",IF(INDEX('Master Database'!$T$1:$T$600,$B183)="","",INDEX('Master Database'!$T$1:$T$600,$B183)))</f>
        <v/>
      </c>
      <c r="Q183" s="19" t="str">
        <f>IF($B183="","",IF(INDEX('Master Database'!$Y$1:$Y$600,$B183)="","",INDEX('Master Database'!$Y$1:$Y$600,$B183)))</f>
        <v/>
      </c>
      <c r="R183" s="19" t="str">
        <f>IF($B183="","",IF(INDEX('Master Database'!$Z$1:$Z$600,$B183)="","",INDEX('Master Database'!$Z$1:$Z$600,$B183)))</f>
        <v/>
      </c>
      <c r="S183" s="47" t="str">
        <f>IF($B183="","",IF(INDEX('Master Database'!$AA$1:$AA$600,$B183)="","",INDEX('Master Database'!$AA$1:$AA$600,$B183)))</f>
        <v/>
      </c>
      <c r="T183" s="19" t="str">
        <f>IF($B183="","",IF(INDEX('Master Database'!$AE$1:$AE$600,$B183)="","",INDEX('Master Database'!$AE$1:$AE$600,$B183)))</f>
        <v/>
      </c>
      <c r="U183" s="47" t="str">
        <f>IF($B183="","",IF(INDEX('Master Database'!$AG$1:$AG$600,$B183)="","",INDEX('Master Database'!$AG$1:$AG$600,$B183)))</f>
        <v/>
      </c>
      <c r="V183" s="47" t="str">
        <f>IF($B183="","",IF(INDEX('Master Database'!$AH$1:$AH$600,$B183)="","",INDEX('Master Database'!$AH$1:$AH$600,$B183)))</f>
        <v/>
      </c>
      <c r="W183" s="47" t="str">
        <f>IF($B183="","",IF(INDEX('Master Database'!$AI$1:$AI$600,$B183)="","",INDEX('Master Database'!$AI$1:$AI$600,$B183)))</f>
        <v/>
      </c>
      <c r="X183" s="19" t="str">
        <f>IF($B183="","",IF(INDEX('Master Database'!$BG$1:$BG$600,$B183)="","",INDEX('Master Database'!$BG$1:$BG$600,$B183)))</f>
        <v/>
      </c>
      <c r="BA183">
        <f>IF('Master Database'!$A183="",0,IF(AND(OR($B$5="",ISNUMBER(SEARCH($B$5,'Master Database'!$B183&amp;" "&amp;'Master Database'!$D183))),OR($B$6="(All)",'Master Database'!$C183=$B$6),OR($B$7="(All)",'Master Database'!$E183=$B$7),OR($B$8="(All)",'Master Database'!$T183=$B$8),OR($B$9="(All)",'Master Database'!$M183=$B$9),OR($B$10="(All)",'Master Database'!$V183=$B$10),OR($E$5="(All)",'Master Database'!$F183=$E$5),OR($E$6="(All)",'Master Database'!$G183=$E$6),OR($E$7="(All)",'Master Database'!$O183=$E$7),OR($E$8="(All)",'Master Database'!$P183=$E$8),OR($E$9="(All)",'Master Database'!$S183=$E$9),OR($E$10="(All)",'Master Database'!$Y183&amp;""=$E$10&amp;""),OR($H$5="(All)",'Master Database'!$BG183=$H$5),OR($H$6&lt;&gt;"Y",ISNUMBER('Master Database'!$AG183)),OR($H$7="",AND(ISNUMBER('Master Database'!$H183),N('Master Database'!$H183)&gt;=$H$7)),OR($I$7="",AND(ISNUMBER('Master Database'!$H183),N('Master Database'!$H183)&lt;=$I$7)),OR($H$8="",AND(ISNUMBER('Master Database'!$I183),N('Master Database'!$I183)&gt;=$H$8)),OR($I$8="",AND(ISNUMBER('Master Database'!$I183),N('Master Database'!$I183)&lt;=$I$8)),OR($H$9="",AND(ISNUMBER('Master Database'!$K183),N('Master Database'!$K183)&gt;=$H$9)),OR($I$9="",AND(ISNUMBER('Master Database'!$K183),N('Master Database'!$K183)&lt;=$I$9))),1,0))</f>
        <v>0</v>
      </c>
      <c r="BB183" t="str">
        <f>IF(BA183=1,COUNTIF($BA$5:BA183,1),"")</f>
        <v/>
      </c>
    </row>
    <row r="184" spans="1:54">
      <c r="A184" s="20" t="str">
        <f>IF(169&lt;=SUM($BA$5:$BA$600),169,"")</f>
        <v/>
      </c>
      <c r="B184" s="20" t="str">
        <f t="shared" si="5"/>
        <v/>
      </c>
      <c r="C184" s="20" t="str">
        <f>IF($B184="","",IF(INDEX('Master Database'!$A$1:$A$600,$B184)="","",INDEX('Master Database'!$A$1:$A$600,$B184)))</f>
        <v/>
      </c>
      <c r="D184" s="19" t="str">
        <f>IF($B184="","",IF(INDEX('Master Database'!$B$1:$B$600,$B184)="","",INDEX('Master Database'!$B$1:$B$600,$B184)))</f>
        <v/>
      </c>
      <c r="E184" s="19" t="str">
        <f>IF($B184="","",IF(INDEX('Master Database'!$C$1:$C$600,$B184)="","",INDEX('Master Database'!$C$1:$C$600,$B184)))</f>
        <v/>
      </c>
      <c r="F184" s="19" t="str">
        <f>IF($B184="","",IF(INDEX('Master Database'!$D$1:$D$600,$B184)="","",INDEX('Master Database'!$D$1:$D$600,$B184)))</f>
        <v/>
      </c>
      <c r="G184" s="19" t="str">
        <f>IF($B184="","",IF(INDEX('Master Database'!$E$1:$E$600,$B184)="","",INDEX('Master Database'!$E$1:$E$600,$B184)))</f>
        <v/>
      </c>
      <c r="H184" s="19" t="str">
        <f>IF($B184="","",IF(INDEX('Master Database'!$F$1:$F$600,$B184)="","",INDEX('Master Database'!$F$1:$F$600,$B184)))</f>
        <v/>
      </c>
      <c r="I184" s="19" t="str">
        <f>IF($B184="","",IF(INDEX('Master Database'!$G$1:$G$600,$B184)="","",INDEX('Master Database'!$G$1:$G$600,$B184)))</f>
        <v/>
      </c>
      <c r="J184" s="46" t="str">
        <f>IF($B184="","",IF(INDEX('Master Database'!$H$1:$H$600,$B184)="","",INDEX('Master Database'!$H$1:$H$600,$B184)))</f>
        <v/>
      </c>
      <c r="K184" s="46" t="str">
        <f>IF($B184="","",IF(INDEX('Master Database'!$I$1:$I$600,$B184)="","",INDEX('Master Database'!$I$1:$I$600,$B184)))</f>
        <v/>
      </c>
      <c r="L184" s="46" t="str">
        <f>IF($B184="","",IF(INDEX('Master Database'!$K$1:$K$600,$B184)="","",INDEX('Master Database'!$K$1:$K$600,$B184)))</f>
        <v/>
      </c>
      <c r="M184" s="19" t="str">
        <f>IF($B184="","",IF(INDEX('Master Database'!$L$1:$L$600,$B184)="","",INDEX('Master Database'!$L$1:$L$600,$B184)))</f>
        <v/>
      </c>
      <c r="N184" s="19" t="str">
        <f>IF($B184="","",IF(INDEX('Master Database'!$P$1:$P$600,$B184)="","",INDEX('Master Database'!$P$1:$P$600,$B184)))</f>
        <v/>
      </c>
      <c r="O184" s="19" t="str">
        <f>IF($B184="","",IF(INDEX('Master Database'!$S$1:$S$600,$B184)="","",INDEX('Master Database'!$S$1:$S$600,$B184)))</f>
        <v/>
      </c>
      <c r="P184" s="19" t="str">
        <f>IF($B184="","",IF(INDEX('Master Database'!$T$1:$T$600,$B184)="","",INDEX('Master Database'!$T$1:$T$600,$B184)))</f>
        <v/>
      </c>
      <c r="Q184" s="19" t="str">
        <f>IF($B184="","",IF(INDEX('Master Database'!$Y$1:$Y$600,$B184)="","",INDEX('Master Database'!$Y$1:$Y$600,$B184)))</f>
        <v/>
      </c>
      <c r="R184" s="19" t="str">
        <f>IF($B184="","",IF(INDEX('Master Database'!$Z$1:$Z$600,$B184)="","",INDEX('Master Database'!$Z$1:$Z$600,$B184)))</f>
        <v/>
      </c>
      <c r="S184" s="47" t="str">
        <f>IF($B184="","",IF(INDEX('Master Database'!$AA$1:$AA$600,$B184)="","",INDEX('Master Database'!$AA$1:$AA$600,$B184)))</f>
        <v/>
      </c>
      <c r="T184" s="19" t="str">
        <f>IF($B184="","",IF(INDEX('Master Database'!$AE$1:$AE$600,$B184)="","",INDEX('Master Database'!$AE$1:$AE$600,$B184)))</f>
        <v/>
      </c>
      <c r="U184" s="47" t="str">
        <f>IF($B184="","",IF(INDEX('Master Database'!$AG$1:$AG$600,$B184)="","",INDEX('Master Database'!$AG$1:$AG$600,$B184)))</f>
        <v/>
      </c>
      <c r="V184" s="47" t="str">
        <f>IF($B184="","",IF(INDEX('Master Database'!$AH$1:$AH$600,$B184)="","",INDEX('Master Database'!$AH$1:$AH$600,$B184)))</f>
        <v/>
      </c>
      <c r="W184" s="47" t="str">
        <f>IF($B184="","",IF(INDEX('Master Database'!$AI$1:$AI$600,$B184)="","",INDEX('Master Database'!$AI$1:$AI$600,$B184)))</f>
        <v/>
      </c>
      <c r="X184" s="19" t="str">
        <f>IF($B184="","",IF(INDEX('Master Database'!$BG$1:$BG$600,$B184)="","",INDEX('Master Database'!$BG$1:$BG$600,$B184)))</f>
        <v/>
      </c>
      <c r="BA184">
        <f>IF('Master Database'!$A184="",0,IF(AND(OR($B$5="",ISNUMBER(SEARCH($B$5,'Master Database'!$B184&amp;" "&amp;'Master Database'!$D184))),OR($B$6="(All)",'Master Database'!$C184=$B$6),OR($B$7="(All)",'Master Database'!$E184=$B$7),OR($B$8="(All)",'Master Database'!$T184=$B$8),OR($B$9="(All)",'Master Database'!$M184=$B$9),OR($B$10="(All)",'Master Database'!$V184=$B$10),OR($E$5="(All)",'Master Database'!$F184=$E$5),OR($E$6="(All)",'Master Database'!$G184=$E$6),OR($E$7="(All)",'Master Database'!$O184=$E$7),OR($E$8="(All)",'Master Database'!$P184=$E$8),OR($E$9="(All)",'Master Database'!$S184=$E$9),OR($E$10="(All)",'Master Database'!$Y184&amp;""=$E$10&amp;""),OR($H$5="(All)",'Master Database'!$BG184=$H$5),OR($H$6&lt;&gt;"Y",ISNUMBER('Master Database'!$AG184)),OR($H$7="",AND(ISNUMBER('Master Database'!$H184),N('Master Database'!$H184)&gt;=$H$7)),OR($I$7="",AND(ISNUMBER('Master Database'!$H184),N('Master Database'!$H184)&lt;=$I$7)),OR($H$8="",AND(ISNUMBER('Master Database'!$I184),N('Master Database'!$I184)&gt;=$H$8)),OR($I$8="",AND(ISNUMBER('Master Database'!$I184),N('Master Database'!$I184)&lt;=$I$8)),OR($H$9="",AND(ISNUMBER('Master Database'!$K184),N('Master Database'!$K184)&gt;=$H$9)),OR($I$9="",AND(ISNUMBER('Master Database'!$K184),N('Master Database'!$K184)&lt;=$I$9))),1,0))</f>
        <v>0</v>
      </c>
      <c r="BB184" t="str">
        <f>IF(BA184=1,COUNTIF($BA$5:BA184,1),"")</f>
        <v/>
      </c>
    </row>
    <row r="185" spans="1:54">
      <c r="A185" s="20" t="str">
        <f>IF(170&lt;=SUM($BA$5:$BA$600),170,"")</f>
        <v/>
      </c>
      <c r="B185" s="20" t="str">
        <f t="shared" si="5"/>
        <v/>
      </c>
      <c r="C185" s="20" t="str">
        <f>IF($B185="","",IF(INDEX('Master Database'!$A$1:$A$600,$B185)="","",INDEX('Master Database'!$A$1:$A$600,$B185)))</f>
        <v/>
      </c>
      <c r="D185" s="19" t="str">
        <f>IF($B185="","",IF(INDEX('Master Database'!$B$1:$B$600,$B185)="","",INDEX('Master Database'!$B$1:$B$600,$B185)))</f>
        <v/>
      </c>
      <c r="E185" s="19" t="str">
        <f>IF($B185="","",IF(INDEX('Master Database'!$C$1:$C$600,$B185)="","",INDEX('Master Database'!$C$1:$C$600,$B185)))</f>
        <v/>
      </c>
      <c r="F185" s="19" t="str">
        <f>IF($B185="","",IF(INDEX('Master Database'!$D$1:$D$600,$B185)="","",INDEX('Master Database'!$D$1:$D$600,$B185)))</f>
        <v/>
      </c>
      <c r="G185" s="19" t="str">
        <f>IF($B185="","",IF(INDEX('Master Database'!$E$1:$E$600,$B185)="","",INDEX('Master Database'!$E$1:$E$600,$B185)))</f>
        <v/>
      </c>
      <c r="H185" s="19" t="str">
        <f>IF($B185="","",IF(INDEX('Master Database'!$F$1:$F$600,$B185)="","",INDEX('Master Database'!$F$1:$F$600,$B185)))</f>
        <v/>
      </c>
      <c r="I185" s="19" t="str">
        <f>IF($B185="","",IF(INDEX('Master Database'!$G$1:$G$600,$B185)="","",INDEX('Master Database'!$G$1:$G$600,$B185)))</f>
        <v/>
      </c>
      <c r="J185" s="46" t="str">
        <f>IF($B185="","",IF(INDEX('Master Database'!$H$1:$H$600,$B185)="","",INDEX('Master Database'!$H$1:$H$600,$B185)))</f>
        <v/>
      </c>
      <c r="K185" s="46" t="str">
        <f>IF($B185="","",IF(INDEX('Master Database'!$I$1:$I$600,$B185)="","",INDEX('Master Database'!$I$1:$I$600,$B185)))</f>
        <v/>
      </c>
      <c r="L185" s="46" t="str">
        <f>IF($B185="","",IF(INDEX('Master Database'!$K$1:$K$600,$B185)="","",INDEX('Master Database'!$K$1:$K$600,$B185)))</f>
        <v/>
      </c>
      <c r="M185" s="19" t="str">
        <f>IF($B185="","",IF(INDEX('Master Database'!$L$1:$L$600,$B185)="","",INDEX('Master Database'!$L$1:$L$600,$B185)))</f>
        <v/>
      </c>
      <c r="N185" s="19" t="str">
        <f>IF($B185="","",IF(INDEX('Master Database'!$P$1:$P$600,$B185)="","",INDEX('Master Database'!$P$1:$P$600,$B185)))</f>
        <v/>
      </c>
      <c r="O185" s="19" t="str">
        <f>IF($B185="","",IF(INDEX('Master Database'!$S$1:$S$600,$B185)="","",INDEX('Master Database'!$S$1:$S$600,$B185)))</f>
        <v/>
      </c>
      <c r="P185" s="19" t="str">
        <f>IF($B185="","",IF(INDEX('Master Database'!$T$1:$T$600,$B185)="","",INDEX('Master Database'!$T$1:$T$600,$B185)))</f>
        <v/>
      </c>
      <c r="Q185" s="19" t="str">
        <f>IF($B185="","",IF(INDEX('Master Database'!$Y$1:$Y$600,$B185)="","",INDEX('Master Database'!$Y$1:$Y$600,$B185)))</f>
        <v/>
      </c>
      <c r="R185" s="19" t="str">
        <f>IF($B185="","",IF(INDEX('Master Database'!$Z$1:$Z$600,$B185)="","",INDEX('Master Database'!$Z$1:$Z$600,$B185)))</f>
        <v/>
      </c>
      <c r="S185" s="47" t="str">
        <f>IF($B185="","",IF(INDEX('Master Database'!$AA$1:$AA$600,$B185)="","",INDEX('Master Database'!$AA$1:$AA$600,$B185)))</f>
        <v/>
      </c>
      <c r="T185" s="19" t="str">
        <f>IF($B185="","",IF(INDEX('Master Database'!$AE$1:$AE$600,$B185)="","",INDEX('Master Database'!$AE$1:$AE$600,$B185)))</f>
        <v/>
      </c>
      <c r="U185" s="47" t="str">
        <f>IF($B185="","",IF(INDEX('Master Database'!$AG$1:$AG$600,$B185)="","",INDEX('Master Database'!$AG$1:$AG$600,$B185)))</f>
        <v/>
      </c>
      <c r="V185" s="47" t="str">
        <f>IF($B185="","",IF(INDEX('Master Database'!$AH$1:$AH$600,$B185)="","",INDEX('Master Database'!$AH$1:$AH$600,$B185)))</f>
        <v/>
      </c>
      <c r="W185" s="47" t="str">
        <f>IF($B185="","",IF(INDEX('Master Database'!$AI$1:$AI$600,$B185)="","",INDEX('Master Database'!$AI$1:$AI$600,$B185)))</f>
        <v/>
      </c>
      <c r="X185" s="19" t="str">
        <f>IF($B185="","",IF(INDEX('Master Database'!$BG$1:$BG$600,$B185)="","",INDEX('Master Database'!$BG$1:$BG$600,$B185)))</f>
        <v/>
      </c>
      <c r="BA185">
        <f>IF('Master Database'!$A185="",0,IF(AND(OR($B$5="",ISNUMBER(SEARCH($B$5,'Master Database'!$B185&amp;" "&amp;'Master Database'!$D185))),OR($B$6="(All)",'Master Database'!$C185=$B$6),OR($B$7="(All)",'Master Database'!$E185=$B$7),OR($B$8="(All)",'Master Database'!$T185=$B$8),OR($B$9="(All)",'Master Database'!$M185=$B$9),OR($B$10="(All)",'Master Database'!$V185=$B$10),OR($E$5="(All)",'Master Database'!$F185=$E$5),OR($E$6="(All)",'Master Database'!$G185=$E$6),OR($E$7="(All)",'Master Database'!$O185=$E$7),OR($E$8="(All)",'Master Database'!$P185=$E$8),OR($E$9="(All)",'Master Database'!$S185=$E$9),OR($E$10="(All)",'Master Database'!$Y185&amp;""=$E$10&amp;""),OR($H$5="(All)",'Master Database'!$BG185=$H$5),OR($H$6&lt;&gt;"Y",ISNUMBER('Master Database'!$AG185)),OR($H$7="",AND(ISNUMBER('Master Database'!$H185),N('Master Database'!$H185)&gt;=$H$7)),OR($I$7="",AND(ISNUMBER('Master Database'!$H185),N('Master Database'!$H185)&lt;=$I$7)),OR($H$8="",AND(ISNUMBER('Master Database'!$I185),N('Master Database'!$I185)&gt;=$H$8)),OR($I$8="",AND(ISNUMBER('Master Database'!$I185),N('Master Database'!$I185)&lt;=$I$8)),OR($H$9="",AND(ISNUMBER('Master Database'!$K185),N('Master Database'!$K185)&gt;=$H$9)),OR($I$9="",AND(ISNUMBER('Master Database'!$K185),N('Master Database'!$K185)&lt;=$I$9))),1,0))</f>
        <v>0</v>
      </c>
      <c r="BB185" t="str">
        <f>IF(BA185=1,COUNTIF($BA$5:BA185,1),"")</f>
        <v/>
      </c>
    </row>
    <row r="186" spans="1:54">
      <c r="A186" s="20" t="str">
        <f>IF(171&lt;=SUM($BA$5:$BA$600),171,"")</f>
        <v/>
      </c>
      <c r="B186" s="20" t="str">
        <f t="shared" si="5"/>
        <v/>
      </c>
      <c r="C186" s="20" t="str">
        <f>IF($B186="","",IF(INDEX('Master Database'!$A$1:$A$600,$B186)="","",INDEX('Master Database'!$A$1:$A$600,$B186)))</f>
        <v/>
      </c>
      <c r="D186" s="19" t="str">
        <f>IF($B186="","",IF(INDEX('Master Database'!$B$1:$B$600,$B186)="","",INDEX('Master Database'!$B$1:$B$600,$B186)))</f>
        <v/>
      </c>
      <c r="E186" s="19" t="str">
        <f>IF($B186="","",IF(INDEX('Master Database'!$C$1:$C$600,$B186)="","",INDEX('Master Database'!$C$1:$C$600,$B186)))</f>
        <v/>
      </c>
      <c r="F186" s="19" t="str">
        <f>IF($B186="","",IF(INDEX('Master Database'!$D$1:$D$600,$B186)="","",INDEX('Master Database'!$D$1:$D$600,$B186)))</f>
        <v/>
      </c>
      <c r="G186" s="19" t="str">
        <f>IF($B186="","",IF(INDEX('Master Database'!$E$1:$E$600,$B186)="","",INDEX('Master Database'!$E$1:$E$600,$B186)))</f>
        <v/>
      </c>
      <c r="H186" s="19" t="str">
        <f>IF($B186="","",IF(INDEX('Master Database'!$F$1:$F$600,$B186)="","",INDEX('Master Database'!$F$1:$F$600,$B186)))</f>
        <v/>
      </c>
      <c r="I186" s="19" t="str">
        <f>IF($B186="","",IF(INDEX('Master Database'!$G$1:$G$600,$B186)="","",INDEX('Master Database'!$G$1:$G$600,$B186)))</f>
        <v/>
      </c>
      <c r="J186" s="46" t="str">
        <f>IF($B186="","",IF(INDEX('Master Database'!$H$1:$H$600,$B186)="","",INDEX('Master Database'!$H$1:$H$600,$B186)))</f>
        <v/>
      </c>
      <c r="K186" s="46" t="str">
        <f>IF($B186="","",IF(INDEX('Master Database'!$I$1:$I$600,$B186)="","",INDEX('Master Database'!$I$1:$I$600,$B186)))</f>
        <v/>
      </c>
      <c r="L186" s="46" t="str">
        <f>IF($B186="","",IF(INDEX('Master Database'!$K$1:$K$600,$B186)="","",INDEX('Master Database'!$K$1:$K$600,$B186)))</f>
        <v/>
      </c>
      <c r="M186" s="19" t="str">
        <f>IF($B186="","",IF(INDEX('Master Database'!$L$1:$L$600,$B186)="","",INDEX('Master Database'!$L$1:$L$600,$B186)))</f>
        <v/>
      </c>
      <c r="N186" s="19" t="str">
        <f>IF($B186="","",IF(INDEX('Master Database'!$P$1:$P$600,$B186)="","",INDEX('Master Database'!$P$1:$P$600,$B186)))</f>
        <v/>
      </c>
      <c r="O186" s="19" t="str">
        <f>IF($B186="","",IF(INDEX('Master Database'!$S$1:$S$600,$B186)="","",INDEX('Master Database'!$S$1:$S$600,$B186)))</f>
        <v/>
      </c>
      <c r="P186" s="19" t="str">
        <f>IF($B186="","",IF(INDEX('Master Database'!$T$1:$T$600,$B186)="","",INDEX('Master Database'!$T$1:$T$600,$B186)))</f>
        <v/>
      </c>
      <c r="Q186" s="19" t="str">
        <f>IF($B186="","",IF(INDEX('Master Database'!$Y$1:$Y$600,$B186)="","",INDEX('Master Database'!$Y$1:$Y$600,$B186)))</f>
        <v/>
      </c>
      <c r="R186" s="19" t="str">
        <f>IF($B186="","",IF(INDEX('Master Database'!$Z$1:$Z$600,$B186)="","",INDEX('Master Database'!$Z$1:$Z$600,$B186)))</f>
        <v/>
      </c>
      <c r="S186" s="47" t="str">
        <f>IF($B186="","",IF(INDEX('Master Database'!$AA$1:$AA$600,$B186)="","",INDEX('Master Database'!$AA$1:$AA$600,$B186)))</f>
        <v/>
      </c>
      <c r="T186" s="19" t="str">
        <f>IF($B186="","",IF(INDEX('Master Database'!$AE$1:$AE$600,$B186)="","",INDEX('Master Database'!$AE$1:$AE$600,$B186)))</f>
        <v/>
      </c>
      <c r="U186" s="47" t="str">
        <f>IF($B186="","",IF(INDEX('Master Database'!$AG$1:$AG$600,$B186)="","",INDEX('Master Database'!$AG$1:$AG$600,$B186)))</f>
        <v/>
      </c>
      <c r="V186" s="47" t="str">
        <f>IF($B186="","",IF(INDEX('Master Database'!$AH$1:$AH$600,$B186)="","",INDEX('Master Database'!$AH$1:$AH$600,$B186)))</f>
        <v/>
      </c>
      <c r="W186" s="47" t="str">
        <f>IF($B186="","",IF(INDEX('Master Database'!$AI$1:$AI$600,$B186)="","",INDEX('Master Database'!$AI$1:$AI$600,$B186)))</f>
        <v/>
      </c>
      <c r="X186" s="19" t="str">
        <f>IF($B186="","",IF(INDEX('Master Database'!$BG$1:$BG$600,$B186)="","",INDEX('Master Database'!$BG$1:$BG$600,$B186)))</f>
        <v/>
      </c>
      <c r="BA186">
        <f>IF('Master Database'!$A186="",0,IF(AND(OR($B$5="",ISNUMBER(SEARCH($B$5,'Master Database'!$B186&amp;" "&amp;'Master Database'!$D186))),OR($B$6="(All)",'Master Database'!$C186=$B$6),OR($B$7="(All)",'Master Database'!$E186=$B$7),OR($B$8="(All)",'Master Database'!$T186=$B$8),OR($B$9="(All)",'Master Database'!$M186=$B$9),OR($B$10="(All)",'Master Database'!$V186=$B$10),OR($E$5="(All)",'Master Database'!$F186=$E$5),OR($E$6="(All)",'Master Database'!$G186=$E$6),OR($E$7="(All)",'Master Database'!$O186=$E$7),OR($E$8="(All)",'Master Database'!$P186=$E$8),OR($E$9="(All)",'Master Database'!$S186=$E$9),OR($E$10="(All)",'Master Database'!$Y186&amp;""=$E$10&amp;""),OR($H$5="(All)",'Master Database'!$BG186=$H$5),OR($H$6&lt;&gt;"Y",ISNUMBER('Master Database'!$AG186)),OR($H$7="",AND(ISNUMBER('Master Database'!$H186),N('Master Database'!$H186)&gt;=$H$7)),OR($I$7="",AND(ISNUMBER('Master Database'!$H186),N('Master Database'!$H186)&lt;=$I$7)),OR($H$8="",AND(ISNUMBER('Master Database'!$I186),N('Master Database'!$I186)&gt;=$H$8)),OR($I$8="",AND(ISNUMBER('Master Database'!$I186),N('Master Database'!$I186)&lt;=$I$8)),OR($H$9="",AND(ISNUMBER('Master Database'!$K186),N('Master Database'!$K186)&gt;=$H$9)),OR($I$9="",AND(ISNUMBER('Master Database'!$K186),N('Master Database'!$K186)&lt;=$I$9))),1,0))</f>
        <v>0</v>
      </c>
      <c r="BB186" t="str">
        <f>IF(BA186=1,COUNTIF($BA$5:BA186,1),"")</f>
        <v/>
      </c>
    </row>
    <row r="187" spans="1:54">
      <c r="A187" s="20" t="str">
        <f>IF(172&lt;=SUM($BA$5:$BA$600),172,"")</f>
        <v/>
      </c>
      <c r="B187" s="20" t="str">
        <f t="shared" si="5"/>
        <v/>
      </c>
      <c r="C187" s="20" t="str">
        <f>IF($B187="","",IF(INDEX('Master Database'!$A$1:$A$600,$B187)="","",INDEX('Master Database'!$A$1:$A$600,$B187)))</f>
        <v/>
      </c>
      <c r="D187" s="19" t="str">
        <f>IF($B187="","",IF(INDEX('Master Database'!$B$1:$B$600,$B187)="","",INDEX('Master Database'!$B$1:$B$600,$B187)))</f>
        <v/>
      </c>
      <c r="E187" s="19" t="str">
        <f>IF($B187="","",IF(INDEX('Master Database'!$C$1:$C$600,$B187)="","",INDEX('Master Database'!$C$1:$C$600,$B187)))</f>
        <v/>
      </c>
      <c r="F187" s="19" t="str">
        <f>IF($B187="","",IF(INDEX('Master Database'!$D$1:$D$600,$B187)="","",INDEX('Master Database'!$D$1:$D$600,$B187)))</f>
        <v/>
      </c>
      <c r="G187" s="19" t="str">
        <f>IF($B187="","",IF(INDEX('Master Database'!$E$1:$E$600,$B187)="","",INDEX('Master Database'!$E$1:$E$600,$B187)))</f>
        <v/>
      </c>
      <c r="H187" s="19" t="str">
        <f>IF($B187="","",IF(INDEX('Master Database'!$F$1:$F$600,$B187)="","",INDEX('Master Database'!$F$1:$F$600,$B187)))</f>
        <v/>
      </c>
      <c r="I187" s="19" t="str">
        <f>IF($B187="","",IF(INDEX('Master Database'!$G$1:$G$600,$B187)="","",INDEX('Master Database'!$G$1:$G$600,$B187)))</f>
        <v/>
      </c>
      <c r="J187" s="46" t="str">
        <f>IF($B187="","",IF(INDEX('Master Database'!$H$1:$H$600,$B187)="","",INDEX('Master Database'!$H$1:$H$600,$B187)))</f>
        <v/>
      </c>
      <c r="K187" s="46" t="str">
        <f>IF($B187="","",IF(INDEX('Master Database'!$I$1:$I$600,$B187)="","",INDEX('Master Database'!$I$1:$I$600,$B187)))</f>
        <v/>
      </c>
      <c r="L187" s="46" t="str">
        <f>IF($B187="","",IF(INDEX('Master Database'!$K$1:$K$600,$B187)="","",INDEX('Master Database'!$K$1:$K$600,$B187)))</f>
        <v/>
      </c>
      <c r="M187" s="19" t="str">
        <f>IF($B187="","",IF(INDEX('Master Database'!$L$1:$L$600,$B187)="","",INDEX('Master Database'!$L$1:$L$600,$B187)))</f>
        <v/>
      </c>
      <c r="N187" s="19" t="str">
        <f>IF($B187="","",IF(INDEX('Master Database'!$P$1:$P$600,$B187)="","",INDEX('Master Database'!$P$1:$P$600,$B187)))</f>
        <v/>
      </c>
      <c r="O187" s="19" t="str">
        <f>IF($B187="","",IF(INDEX('Master Database'!$S$1:$S$600,$B187)="","",INDEX('Master Database'!$S$1:$S$600,$B187)))</f>
        <v/>
      </c>
      <c r="P187" s="19" t="str">
        <f>IF($B187="","",IF(INDEX('Master Database'!$T$1:$T$600,$B187)="","",INDEX('Master Database'!$T$1:$T$600,$B187)))</f>
        <v/>
      </c>
      <c r="Q187" s="19" t="str">
        <f>IF($B187="","",IF(INDEX('Master Database'!$Y$1:$Y$600,$B187)="","",INDEX('Master Database'!$Y$1:$Y$600,$B187)))</f>
        <v/>
      </c>
      <c r="R187" s="19" t="str">
        <f>IF($B187="","",IF(INDEX('Master Database'!$Z$1:$Z$600,$B187)="","",INDEX('Master Database'!$Z$1:$Z$600,$B187)))</f>
        <v/>
      </c>
      <c r="S187" s="47" t="str">
        <f>IF($B187="","",IF(INDEX('Master Database'!$AA$1:$AA$600,$B187)="","",INDEX('Master Database'!$AA$1:$AA$600,$B187)))</f>
        <v/>
      </c>
      <c r="T187" s="19" t="str">
        <f>IF($B187="","",IF(INDEX('Master Database'!$AE$1:$AE$600,$B187)="","",INDEX('Master Database'!$AE$1:$AE$600,$B187)))</f>
        <v/>
      </c>
      <c r="U187" s="47" t="str">
        <f>IF($B187="","",IF(INDEX('Master Database'!$AG$1:$AG$600,$B187)="","",INDEX('Master Database'!$AG$1:$AG$600,$B187)))</f>
        <v/>
      </c>
      <c r="V187" s="47" t="str">
        <f>IF($B187="","",IF(INDEX('Master Database'!$AH$1:$AH$600,$B187)="","",INDEX('Master Database'!$AH$1:$AH$600,$B187)))</f>
        <v/>
      </c>
      <c r="W187" s="47" t="str">
        <f>IF($B187="","",IF(INDEX('Master Database'!$AI$1:$AI$600,$B187)="","",INDEX('Master Database'!$AI$1:$AI$600,$B187)))</f>
        <v/>
      </c>
      <c r="X187" s="19" t="str">
        <f>IF($B187="","",IF(INDEX('Master Database'!$BG$1:$BG$600,$B187)="","",INDEX('Master Database'!$BG$1:$BG$600,$B187)))</f>
        <v/>
      </c>
      <c r="BA187">
        <f>IF('Master Database'!$A187="",0,IF(AND(OR($B$5="",ISNUMBER(SEARCH($B$5,'Master Database'!$B187&amp;" "&amp;'Master Database'!$D187))),OR($B$6="(All)",'Master Database'!$C187=$B$6),OR($B$7="(All)",'Master Database'!$E187=$B$7),OR($B$8="(All)",'Master Database'!$T187=$B$8),OR($B$9="(All)",'Master Database'!$M187=$B$9),OR($B$10="(All)",'Master Database'!$V187=$B$10),OR($E$5="(All)",'Master Database'!$F187=$E$5),OR($E$6="(All)",'Master Database'!$G187=$E$6),OR($E$7="(All)",'Master Database'!$O187=$E$7),OR($E$8="(All)",'Master Database'!$P187=$E$8),OR($E$9="(All)",'Master Database'!$S187=$E$9),OR($E$10="(All)",'Master Database'!$Y187&amp;""=$E$10&amp;""),OR($H$5="(All)",'Master Database'!$BG187=$H$5),OR($H$6&lt;&gt;"Y",ISNUMBER('Master Database'!$AG187)),OR($H$7="",AND(ISNUMBER('Master Database'!$H187),N('Master Database'!$H187)&gt;=$H$7)),OR($I$7="",AND(ISNUMBER('Master Database'!$H187),N('Master Database'!$H187)&lt;=$I$7)),OR($H$8="",AND(ISNUMBER('Master Database'!$I187),N('Master Database'!$I187)&gt;=$H$8)),OR($I$8="",AND(ISNUMBER('Master Database'!$I187),N('Master Database'!$I187)&lt;=$I$8)),OR($H$9="",AND(ISNUMBER('Master Database'!$K187),N('Master Database'!$K187)&gt;=$H$9)),OR($I$9="",AND(ISNUMBER('Master Database'!$K187),N('Master Database'!$K187)&lt;=$I$9))),1,0))</f>
        <v>0</v>
      </c>
      <c r="BB187" t="str">
        <f>IF(BA187=1,COUNTIF($BA$5:BA187,1),"")</f>
        <v/>
      </c>
    </row>
    <row r="188" spans="1:54">
      <c r="A188" s="20" t="str">
        <f>IF(173&lt;=SUM($BA$5:$BA$600),173,"")</f>
        <v/>
      </c>
      <c r="B188" s="20" t="str">
        <f t="shared" si="5"/>
        <v/>
      </c>
      <c r="C188" s="20" t="str">
        <f>IF($B188="","",IF(INDEX('Master Database'!$A$1:$A$600,$B188)="","",INDEX('Master Database'!$A$1:$A$600,$B188)))</f>
        <v/>
      </c>
      <c r="D188" s="19" t="str">
        <f>IF($B188="","",IF(INDEX('Master Database'!$B$1:$B$600,$B188)="","",INDEX('Master Database'!$B$1:$B$600,$B188)))</f>
        <v/>
      </c>
      <c r="E188" s="19" t="str">
        <f>IF($B188="","",IF(INDEX('Master Database'!$C$1:$C$600,$B188)="","",INDEX('Master Database'!$C$1:$C$600,$B188)))</f>
        <v/>
      </c>
      <c r="F188" s="19" t="str">
        <f>IF($B188="","",IF(INDEX('Master Database'!$D$1:$D$600,$B188)="","",INDEX('Master Database'!$D$1:$D$600,$B188)))</f>
        <v/>
      </c>
      <c r="G188" s="19" t="str">
        <f>IF($B188="","",IF(INDEX('Master Database'!$E$1:$E$600,$B188)="","",INDEX('Master Database'!$E$1:$E$600,$B188)))</f>
        <v/>
      </c>
      <c r="H188" s="19" t="str">
        <f>IF($B188="","",IF(INDEX('Master Database'!$F$1:$F$600,$B188)="","",INDEX('Master Database'!$F$1:$F$600,$B188)))</f>
        <v/>
      </c>
      <c r="I188" s="19" t="str">
        <f>IF($B188="","",IF(INDEX('Master Database'!$G$1:$G$600,$B188)="","",INDEX('Master Database'!$G$1:$G$600,$B188)))</f>
        <v/>
      </c>
      <c r="J188" s="46" t="str">
        <f>IF($B188="","",IF(INDEX('Master Database'!$H$1:$H$600,$B188)="","",INDEX('Master Database'!$H$1:$H$600,$B188)))</f>
        <v/>
      </c>
      <c r="K188" s="46" t="str">
        <f>IF($B188="","",IF(INDEX('Master Database'!$I$1:$I$600,$B188)="","",INDEX('Master Database'!$I$1:$I$600,$B188)))</f>
        <v/>
      </c>
      <c r="L188" s="46" t="str">
        <f>IF($B188="","",IF(INDEX('Master Database'!$K$1:$K$600,$B188)="","",INDEX('Master Database'!$K$1:$K$600,$B188)))</f>
        <v/>
      </c>
      <c r="M188" s="19" t="str">
        <f>IF($B188="","",IF(INDEX('Master Database'!$L$1:$L$600,$B188)="","",INDEX('Master Database'!$L$1:$L$600,$B188)))</f>
        <v/>
      </c>
      <c r="N188" s="19" t="str">
        <f>IF($B188="","",IF(INDEX('Master Database'!$P$1:$P$600,$B188)="","",INDEX('Master Database'!$P$1:$P$600,$B188)))</f>
        <v/>
      </c>
      <c r="O188" s="19" t="str">
        <f>IF($B188="","",IF(INDEX('Master Database'!$S$1:$S$600,$B188)="","",INDEX('Master Database'!$S$1:$S$600,$B188)))</f>
        <v/>
      </c>
      <c r="P188" s="19" t="str">
        <f>IF($B188="","",IF(INDEX('Master Database'!$T$1:$T$600,$B188)="","",INDEX('Master Database'!$T$1:$T$600,$B188)))</f>
        <v/>
      </c>
      <c r="Q188" s="19" t="str">
        <f>IF($B188="","",IF(INDEX('Master Database'!$Y$1:$Y$600,$B188)="","",INDEX('Master Database'!$Y$1:$Y$600,$B188)))</f>
        <v/>
      </c>
      <c r="R188" s="19" t="str">
        <f>IF($B188="","",IF(INDEX('Master Database'!$Z$1:$Z$600,$B188)="","",INDEX('Master Database'!$Z$1:$Z$600,$B188)))</f>
        <v/>
      </c>
      <c r="S188" s="47" t="str">
        <f>IF($B188="","",IF(INDEX('Master Database'!$AA$1:$AA$600,$B188)="","",INDEX('Master Database'!$AA$1:$AA$600,$B188)))</f>
        <v/>
      </c>
      <c r="T188" s="19" t="str">
        <f>IF($B188="","",IF(INDEX('Master Database'!$AE$1:$AE$600,$B188)="","",INDEX('Master Database'!$AE$1:$AE$600,$B188)))</f>
        <v/>
      </c>
      <c r="U188" s="47" t="str">
        <f>IF($B188="","",IF(INDEX('Master Database'!$AG$1:$AG$600,$B188)="","",INDEX('Master Database'!$AG$1:$AG$600,$B188)))</f>
        <v/>
      </c>
      <c r="V188" s="47" t="str">
        <f>IF($B188="","",IF(INDEX('Master Database'!$AH$1:$AH$600,$B188)="","",INDEX('Master Database'!$AH$1:$AH$600,$B188)))</f>
        <v/>
      </c>
      <c r="W188" s="47" t="str">
        <f>IF($B188="","",IF(INDEX('Master Database'!$AI$1:$AI$600,$B188)="","",INDEX('Master Database'!$AI$1:$AI$600,$B188)))</f>
        <v/>
      </c>
      <c r="X188" s="19" t="str">
        <f>IF($B188="","",IF(INDEX('Master Database'!$BG$1:$BG$600,$B188)="","",INDEX('Master Database'!$BG$1:$BG$600,$B188)))</f>
        <v/>
      </c>
      <c r="BA188">
        <f>IF('Master Database'!$A188="",0,IF(AND(OR($B$5="",ISNUMBER(SEARCH($B$5,'Master Database'!$B188&amp;" "&amp;'Master Database'!$D188))),OR($B$6="(All)",'Master Database'!$C188=$B$6),OR($B$7="(All)",'Master Database'!$E188=$B$7),OR($B$8="(All)",'Master Database'!$T188=$B$8),OR($B$9="(All)",'Master Database'!$M188=$B$9),OR($B$10="(All)",'Master Database'!$V188=$B$10),OR($E$5="(All)",'Master Database'!$F188=$E$5),OR($E$6="(All)",'Master Database'!$G188=$E$6),OR($E$7="(All)",'Master Database'!$O188=$E$7),OR($E$8="(All)",'Master Database'!$P188=$E$8),OR($E$9="(All)",'Master Database'!$S188=$E$9),OR($E$10="(All)",'Master Database'!$Y188&amp;""=$E$10&amp;""),OR($H$5="(All)",'Master Database'!$BG188=$H$5),OR($H$6&lt;&gt;"Y",ISNUMBER('Master Database'!$AG188)),OR($H$7="",AND(ISNUMBER('Master Database'!$H188),N('Master Database'!$H188)&gt;=$H$7)),OR($I$7="",AND(ISNUMBER('Master Database'!$H188),N('Master Database'!$H188)&lt;=$I$7)),OR($H$8="",AND(ISNUMBER('Master Database'!$I188),N('Master Database'!$I188)&gt;=$H$8)),OR($I$8="",AND(ISNUMBER('Master Database'!$I188),N('Master Database'!$I188)&lt;=$I$8)),OR($H$9="",AND(ISNUMBER('Master Database'!$K188),N('Master Database'!$K188)&gt;=$H$9)),OR($I$9="",AND(ISNUMBER('Master Database'!$K188),N('Master Database'!$K188)&lt;=$I$9))),1,0))</f>
        <v>0</v>
      </c>
      <c r="BB188" t="str">
        <f>IF(BA188=1,COUNTIF($BA$5:BA188,1),"")</f>
        <v/>
      </c>
    </row>
    <row r="189" spans="1:54">
      <c r="A189" s="20" t="str">
        <f>IF(174&lt;=SUM($BA$5:$BA$600),174,"")</f>
        <v/>
      </c>
      <c r="B189" s="20" t="str">
        <f t="shared" si="5"/>
        <v/>
      </c>
      <c r="C189" s="20" t="str">
        <f>IF($B189="","",IF(INDEX('Master Database'!$A$1:$A$600,$B189)="","",INDEX('Master Database'!$A$1:$A$600,$B189)))</f>
        <v/>
      </c>
      <c r="D189" s="19" t="str">
        <f>IF($B189="","",IF(INDEX('Master Database'!$B$1:$B$600,$B189)="","",INDEX('Master Database'!$B$1:$B$600,$B189)))</f>
        <v/>
      </c>
      <c r="E189" s="19" t="str">
        <f>IF($B189="","",IF(INDEX('Master Database'!$C$1:$C$600,$B189)="","",INDEX('Master Database'!$C$1:$C$600,$B189)))</f>
        <v/>
      </c>
      <c r="F189" s="19" t="str">
        <f>IF($B189="","",IF(INDEX('Master Database'!$D$1:$D$600,$B189)="","",INDEX('Master Database'!$D$1:$D$600,$B189)))</f>
        <v/>
      </c>
      <c r="G189" s="19" t="str">
        <f>IF($B189="","",IF(INDEX('Master Database'!$E$1:$E$600,$B189)="","",INDEX('Master Database'!$E$1:$E$600,$B189)))</f>
        <v/>
      </c>
      <c r="H189" s="19" t="str">
        <f>IF($B189="","",IF(INDEX('Master Database'!$F$1:$F$600,$B189)="","",INDEX('Master Database'!$F$1:$F$600,$B189)))</f>
        <v/>
      </c>
      <c r="I189" s="19" t="str">
        <f>IF($B189="","",IF(INDEX('Master Database'!$G$1:$G$600,$B189)="","",INDEX('Master Database'!$G$1:$G$600,$B189)))</f>
        <v/>
      </c>
      <c r="J189" s="46" t="str">
        <f>IF($B189="","",IF(INDEX('Master Database'!$H$1:$H$600,$B189)="","",INDEX('Master Database'!$H$1:$H$600,$B189)))</f>
        <v/>
      </c>
      <c r="K189" s="46" t="str">
        <f>IF($B189="","",IF(INDEX('Master Database'!$I$1:$I$600,$B189)="","",INDEX('Master Database'!$I$1:$I$600,$B189)))</f>
        <v/>
      </c>
      <c r="L189" s="46" t="str">
        <f>IF($B189="","",IF(INDEX('Master Database'!$K$1:$K$600,$B189)="","",INDEX('Master Database'!$K$1:$K$600,$B189)))</f>
        <v/>
      </c>
      <c r="M189" s="19" t="str">
        <f>IF($B189="","",IF(INDEX('Master Database'!$L$1:$L$600,$B189)="","",INDEX('Master Database'!$L$1:$L$600,$B189)))</f>
        <v/>
      </c>
      <c r="N189" s="19" t="str">
        <f>IF($B189="","",IF(INDEX('Master Database'!$P$1:$P$600,$B189)="","",INDEX('Master Database'!$P$1:$P$600,$B189)))</f>
        <v/>
      </c>
      <c r="O189" s="19" t="str">
        <f>IF($B189="","",IF(INDEX('Master Database'!$S$1:$S$600,$B189)="","",INDEX('Master Database'!$S$1:$S$600,$B189)))</f>
        <v/>
      </c>
      <c r="P189" s="19" t="str">
        <f>IF($B189="","",IF(INDEX('Master Database'!$T$1:$T$600,$B189)="","",INDEX('Master Database'!$T$1:$T$600,$B189)))</f>
        <v/>
      </c>
      <c r="Q189" s="19" t="str">
        <f>IF($B189="","",IF(INDEX('Master Database'!$Y$1:$Y$600,$B189)="","",INDEX('Master Database'!$Y$1:$Y$600,$B189)))</f>
        <v/>
      </c>
      <c r="R189" s="19" t="str">
        <f>IF($B189="","",IF(INDEX('Master Database'!$Z$1:$Z$600,$B189)="","",INDEX('Master Database'!$Z$1:$Z$600,$B189)))</f>
        <v/>
      </c>
      <c r="S189" s="47" t="str">
        <f>IF($B189="","",IF(INDEX('Master Database'!$AA$1:$AA$600,$B189)="","",INDEX('Master Database'!$AA$1:$AA$600,$B189)))</f>
        <v/>
      </c>
      <c r="T189" s="19" t="str">
        <f>IF($B189="","",IF(INDEX('Master Database'!$AE$1:$AE$600,$B189)="","",INDEX('Master Database'!$AE$1:$AE$600,$B189)))</f>
        <v/>
      </c>
      <c r="U189" s="47" t="str">
        <f>IF($B189="","",IF(INDEX('Master Database'!$AG$1:$AG$600,$B189)="","",INDEX('Master Database'!$AG$1:$AG$600,$B189)))</f>
        <v/>
      </c>
      <c r="V189" s="47" t="str">
        <f>IF($B189="","",IF(INDEX('Master Database'!$AH$1:$AH$600,$B189)="","",INDEX('Master Database'!$AH$1:$AH$600,$B189)))</f>
        <v/>
      </c>
      <c r="W189" s="47" t="str">
        <f>IF($B189="","",IF(INDEX('Master Database'!$AI$1:$AI$600,$B189)="","",INDEX('Master Database'!$AI$1:$AI$600,$B189)))</f>
        <v/>
      </c>
      <c r="X189" s="19" t="str">
        <f>IF($B189="","",IF(INDEX('Master Database'!$BG$1:$BG$600,$B189)="","",INDEX('Master Database'!$BG$1:$BG$600,$B189)))</f>
        <v/>
      </c>
      <c r="BA189">
        <f>IF('Master Database'!$A189="",0,IF(AND(OR($B$5="",ISNUMBER(SEARCH($B$5,'Master Database'!$B189&amp;" "&amp;'Master Database'!$D189))),OR($B$6="(All)",'Master Database'!$C189=$B$6),OR($B$7="(All)",'Master Database'!$E189=$B$7),OR($B$8="(All)",'Master Database'!$T189=$B$8),OR($B$9="(All)",'Master Database'!$M189=$B$9),OR($B$10="(All)",'Master Database'!$V189=$B$10),OR($E$5="(All)",'Master Database'!$F189=$E$5),OR($E$6="(All)",'Master Database'!$G189=$E$6),OR($E$7="(All)",'Master Database'!$O189=$E$7),OR($E$8="(All)",'Master Database'!$P189=$E$8),OR($E$9="(All)",'Master Database'!$S189=$E$9),OR($E$10="(All)",'Master Database'!$Y189&amp;""=$E$10&amp;""),OR($H$5="(All)",'Master Database'!$BG189=$H$5),OR($H$6&lt;&gt;"Y",ISNUMBER('Master Database'!$AG189)),OR($H$7="",AND(ISNUMBER('Master Database'!$H189),N('Master Database'!$H189)&gt;=$H$7)),OR($I$7="",AND(ISNUMBER('Master Database'!$H189),N('Master Database'!$H189)&lt;=$I$7)),OR($H$8="",AND(ISNUMBER('Master Database'!$I189),N('Master Database'!$I189)&gt;=$H$8)),OR($I$8="",AND(ISNUMBER('Master Database'!$I189),N('Master Database'!$I189)&lt;=$I$8)),OR($H$9="",AND(ISNUMBER('Master Database'!$K189),N('Master Database'!$K189)&gt;=$H$9)),OR($I$9="",AND(ISNUMBER('Master Database'!$K189),N('Master Database'!$K189)&lt;=$I$9))),1,0))</f>
        <v>0</v>
      </c>
      <c r="BB189" t="str">
        <f>IF(BA189=1,COUNTIF($BA$5:BA189,1),"")</f>
        <v/>
      </c>
    </row>
    <row r="190" spans="1:54">
      <c r="A190" s="20" t="str">
        <f>IF(175&lt;=SUM($BA$5:$BA$600),175,"")</f>
        <v/>
      </c>
      <c r="B190" s="20" t="str">
        <f t="shared" si="5"/>
        <v/>
      </c>
      <c r="C190" s="20" t="str">
        <f>IF($B190="","",IF(INDEX('Master Database'!$A$1:$A$600,$B190)="","",INDEX('Master Database'!$A$1:$A$600,$B190)))</f>
        <v/>
      </c>
      <c r="D190" s="19" t="str">
        <f>IF($B190="","",IF(INDEX('Master Database'!$B$1:$B$600,$B190)="","",INDEX('Master Database'!$B$1:$B$600,$B190)))</f>
        <v/>
      </c>
      <c r="E190" s="19" t="str">
        <f>IF($B190="","",IF(INDEX('Master Database'!$C$1:$C$600,$B190)="","",INDEX('Master Database'!$C$1:$C$600,$B190)))</f>
        <v/>
      </c>
      <c r="F190" s="19" t="str">
        <f>IF($B190="","",IF(INDEX('Master Database'!$D$1:$D$600,$B190)="","",INDEX('Master Database'!$D$1:$D$600,$B190)))</f>
        <v/>
      </c>
      <c r="G190" s="19" t="str">
        <f>IF($B190="","",IF(INDEX('Master Database'!$E$1:$E$600,$B190)="","",INDEX('Master Database'!$E$1:$E$600,$B190)))</f>
        <v/>
      </c>
      <c r="H190" s="19" t="str">
        <f>IF($B190="","",IF(INDEX('Master Database'!$F$1:$F$600,$B190)="","",INDEX('Master Database'!$F$1:$F$600,$B190)))</f>
        <v/>
      </c>
      <c r="I190" s="19" t="str">
        <f>IF($B190="","",IF(INDEX('Master Database'!$G$1:$G$600,$B190)="","",INDEX('Master Database'!$G$1:$G$600,$B190)))</f>
        <v/>
      </c>
      <c r="J190" s="46" t="str">
        <f>IF($B190="","",IF(INDEX('Master Database'!$H$1:$H$600,$B190)="","",INDEX('Master Database'!$H$1:$H$600,$B190)))</f>
        <v/>
      </c>
      <c r="K190" s="46" t="str">
        <f>IF($B190="","",IF(INDEX('Master Database'!$I$1:$I$600,$B190)="","",INDEX('Master Database'!$I$1:$I$600,$B190)))</f>
        <v/>
      </c>
      <c r="L190" s="46" t="str">
        <f>IF($B190="","",IF(INDEX('Master Database'!$K$1:$K$600,$B190)="","",INDEX('Master Database'!$K$1:$K$600,$B190)))</f>
        <v/>
      </c>
      <c r="M190" s="19" t="str">
        <f>IF($B190="","",IF(INDEX('Master Database'!$L$1:$L$600,$B190)="","",INDEX('Master Database'!$L$1:$L$600,$B190)))</f>
        <v/>
      </c>
      <c r="N190" s="19" t="str">
        <f>IF($B190="","",IF(INDEX('Master Database'!$P$1:$P$600,$B190)="","",INDEX('Master Database'!$P$1:$P$600,$B190)))</f>
        <v/>
      </c>
      <c r="O190" s="19" t="str">
        <f>IF($B190="","",IF(INDEX('Master Database'!$S$1:$S$600,$B190)="","",INDEX('Master Database'!$S$1:$S$600,$B190)))</f>
        <v/>
      </c>
      <c r="P190" s="19" t="str">
        <f>IF($B190="","",IF(INDEX('Master Database'!$T$1:$T$600,$B190)="","",INDEX('Master Database'!$T$1:$T$600,$B190)))</f>
        <v/>
      </c>
      <c r="Q190" s="19" t="str">
        <f>IF($B190="","",IF(INDEX('Master Database'!$Y$1:$Y$600,$B190)="","",INDEX('Master Database'!$Y$1:$Y$600,$B190)))</f>
        <v/>
      </c>
      <c r="R190" s="19" t="str">
        <f>IF($B190="","",IF(INDEX('Master Database'!$Z$1:$Z$600,$B190)="","",INDEX('Master Database'!$Z$1:$Z$600,$B190)))</f>
        <v/>
      </c>
      <c r="S190" s="47" t="str">
        <f>IF($B190="","",IF(INDEX('Master Database'!$AA$1:$AA$600,$B190)="","",INDEX('Master Database'!$AA$1:$AA$600,$B190)))</f>
        <v/>
      </c>
      <c r="T190" s="19" t="str">
        <f>IF($B190="","",IF(INDEX('Master Database'!$AE$1:$AE$600,$B190)="","",INDEX('Master Database'!$AE$1:$AE$600,$B190)))</f>
        <v/>
      </c>
      <c r="U190" s="47" t="str">
        <f>IF($B190="","",IF(INDEX('Master Database'!$AG$1:$AG$600,$B190)="","",INDEX('Master Database'!$AG$1:$AG$600,$B190)))</f>
        <v/>
      </c>
      <c r="V190" s="47" t="str">
        <f>IF($B190="","",IF(INDEX('Master Database'!$AH$1:$AH$600,$B190)="","",INDEX('Master Database'!$AH$1:$AH$600,$B190)))</f>
        <v/>
      </c>
      <c r="W190" s="47" t="str">
        <f>IF($B190="","",IF(INDEX('Master Database'!$AI$1:$AI$600,$B190)="","",INDEX('Master Database'!$AI$1:$AI$600,$B190)))</f>
        <v/>
      </c>
      <c r="X190" s="19" t="str">
        <f>IF($B190="","",IF(INDEX('Master Database'!$BG$1:$BG$600,$B190)="","",INDEX('Master Database'!$BG$1:$BG$600,$B190)))</f>
        <v/>
      </c>
      <c r="BA190">
        <f>IF('Master Database'!$A190="",0,IF(AND(OR($B$5="",ISNUMBER(SEARCH($B$5,'Master Database'!$B190&amp;" "&amp;'Master Database'!$D190))),OR($B$6="(All)",'Master Database'!$C190=$B$6),OR($B$7="(All)",'Master Database'!$E190=$B$7),OR($B$8="(All)",'Master Database'!$T190=$B$8),OR($B$9="(All)",'Master Database'!$M190=$B$9),OR($B$10="(All)",'Master Database'!$V190=$B$10),OR($E$5="(All)",'Master Database'!$F190=$E$5),OR($E$6="(All)",'Master Database'!$G190=$E$6),OR($E$7="(All)",'Master Database'!$O190=$E$7),OR($E$8="(All)",'Master Database'!$P190=$E$8),OR($E$9="(All)",'Master Database'!$S190=$E$9),OR($E$10="(All)",'Master Database'!$Y190&amp;""=$E$10&amp;""),OR($H$5="(All)",'Master Database'!$BG190=$H$5),OR($H$6&lt;&gt;"Y",ISNUMBER('Master Database'!$AG190)),OR($H$7="",AND(ISNUMBER('Master Database'!$H190),N('Master Database'!$H190)&gt;=$H$7)),OR($I$7="",AND(ISNUMBER('Master Database'!$H190),N('Master Database'!$H190)&lt;=$I$7)),OR($H$8="",AND(ISNUMBER('Master Database'!$I190),N('Master Database'!$I190)&gt;=$H$8)),OR($I$8="",AND(ISNUMBER('Master Database'!$I190),N('Master Database'!$I190)&lt;=$I$8)),OR($H$9="",AND(ISNUMBER('Master Database'!$K190),N('Master Database'!$K190)&gt;=$H$9)),OR($I$9="",AND(ISNUMBER('Master Database'!$K190),N('Master Database'!$K190)&lt;=$I$9))),1,0))</f>
        <v>0</v>
      </c>
      <c r="BB190" t="str">
        <f>IF(BA190=1,COUNTIF($BA$5:BA190,1),"")</f>
        <v/>
      </c>
    </row>
    <row r="191" spans="1:54">
      <c r="A191" s="20" t="str">
        <f>IF(176&lt;=SUM($BA$5:$BA$600),176,"")</f>
        <v/>
      </c>
      <c r="B191" s="20" t="str">
        <f t="shared" si="5"/>
        <v/>
      </c>
      <c r="C191" s="20" t="str">
        <f>IF($B191="","",IF(INDEX('Master Database'!$A$1:$A$600,$B191)="","",INDEX('Master Database'!$A$1:$A$600,$B191)))</f>
        <v/>
      </c>
      <c r="D191" s="19" t="str">
        <f>IF($B191="","",IF(INDEX('Master Database'!$B$1:$B$600,$B191)="","",INDEX('Master Database'!$B$1:$B$600,$B191)))</f>
        <v/>
      </c>
      <c r="E191" s="19" t="str">
        <f>IF($B191="","",IF(INDEX('Master Database'!$C$1:$C$600,$B191)="","",INDEX('Master Database'!$C$1:$C$600,$B191)))</f>
        <v/>
      </c>
      <c r="F191" s="19" t="str">
        <f>IF($B191="","",IF(INDEX('Master Database'!$D$1:$D$600,$B191)="","",INDEX('Master Database'!$D$1:$D$600,$B191)))</f>
        <v/>
      </c>
      <c r="G191" s="19" t="str">
        <f>IF($B191="","",IF(INDEX('Master Database'!$E$1:$E$600,$B191)="","",INDEX('Master Database'!$E$1:$E$600,$B191)))</f>
        <v/>
      </c>
      <c r="H191" s="19" t="str">
        <f>IF($B191="","",IF(INDEX('Master Database'!$F$1:$F$600,$B191)="","",INDEX('Master Database'!$F$1:$F$600,$B191)))</f>
        <v/>
      </c>
      <c r="I191" s="19" t="str">
        <f>IF($B191="","",IF(INDEX('Master Database'!$G$1:$G$600,$B191)="","",INDEX('Master Database'!$G$1:$G$600,$B191)))</f>
        <v/>
      </c>
      <c r="J191" s="46" t="str">
        <f>IF($B191="","",IF(INDEX('Master Database'!$H$1:$H$600,$B191)="","",INDEX('Master Database'!$H$1:$H$600,$B191)))</f>
        <v/>
      </c>
      <c r="K191" s="46" t="str">
        <f>IF($B191="","",IF(INDEX('Master Database'!$I$1:$I$600,$B191)="","",INDEX('Master Database'!$I$1:$I$600,$B191)))</f>
        <v/>
      </c>
      <c r="L191" s="46" t="str">
        <f>IF($B191="","",IF(INDEX('Master Database'!$K$1:$K$600,$B191)="","",INDEX('Master Database'!$K$1:$K$600,$B191)))</f>
        <v/>
      </c>
      <c r="M191" s="19" t="str">
        <f>IF($B191="","",IF(INDEX('Master Database'!$L$1:$L$600,$B191)="","",INDEX('Master Database'!$L$1:$L$600,$B191)))</f>
        <v/>
      </c>
      <c r="N191" s="19" t="str">
        <f>IF($B191="","",IF(INDEX('Master Database'!$P$1:$P$600,$B191)="","",INDEX('Master Database'!$P$1:$P$600,$B191)))</f>
        <v/>
      </c>
      <c r="O191" s="19" t="str">
        <f>IF($B191="","",IF(INDEX('Master Database'!$S$1:$S$600,$B191)="","",INDEX('Master Database'!$S$1:$S$600,$B191)))</f>
        <v/>
      </c>
      <c r="P191" s="19" t="str">
        <f>IF($B191="","",IF(INDEX('Master Database'!$T$1:$T$600,$B191)="","",INDEX('Master Database'!$T$1:$T$600,$B191)))</f>
        <v/>
      </c>
      <c r="Q191" s="19" t="str">
        <f>IF($B191="","",IF(INDEX('Master Database'!$Y$1:$Y$600,$B191)="","",INDEX('Master Database'!$Y$1:$Y$600,$B191)))</f>
        <v/>
      </c>
      <c r="R191" s="19" t="str">
        <f>IF($B191="","",IF(INDEX('Master Database'!$Z$1:$Z$600,$B191)="","",INDEX('Master Database'!$Z$1:$Z$600,$B191)))</f>
        <v/>
      </c>
      <c r="S191" s="47" t="str">
        <f>IF($B191="","",IF(INDEX('Master Database'!$AA$1:$AA$600,$B191)="","",INDEX('Master Database'!$AA$1:$AA$600,$B191)))</f>
        <v/>
      </c>
      <c r="T191" s="19" t="str">
        <f>IF($B191="","",IF(INDEX('Master Database'!$AE$1:$AE$600,$B191)="","",INDEX('Master Database'!$AE$1:$AE$600,$B191)))</f>
        <v/>
      </c>
      <c r="U191" s="47" t="str">
        <f>IF($B191="","",IF(INDEX('Master Database'!$AG$1:$AG$600,$B191)="","",INDEX('Master Database'!$AG$1:$AG$600,$B191)))</f>
        <v/>
      </c>
      <c r="V191" s="47" t="str">
        <f>IF($B191="","",IF(INDEX('Master Database'!$AH$1:$AH$600,$B191)="","",INDEX('Master Database'!$AH$1:$AH$600,$B191)))</f>
        <v/>
      </c>
      <c r="W191" s="47" t="str">
        <f>IF($B191="","",IF(INDEX('Master Database'!$AI$1:$AI$600,$B191)="","",INDEX('Master Database'!$AI$1:$AI$600,$B191)))</f>
        <v/>
      </c>
      <c r="X191" s="19" t="str">
        <f>IF($B191="","",IF(INDEX('Master Database'!$BG$1:$BG$600,$B191)="","",INDEX('Master Database'!$BG$1:$BG$600,$B191)))</f>
        <v/>
      </c>
      <c r="BA191">
        <f>IF('Master Database'!$A191="",0,IF(AND(OR($B$5="",ISNUMBER(SEARCH($B$5,'Master Database'!$B191&amp;" "&amp;'Master Database'!$D191))),OR($B$6="(All)",'Master Database'!$C191=$B$6),OR($B$7="(All)",'Master Database'!$E191=$B$7),OR($B$8="(All)",'Master Database'!$T191=$B$8),OR($B$9="(All)",'Master Database'!$M191=$B$9),OR($B$10="(All)",'Master Database'!$V191=$B$10),OR($E$5="(All)",'Master Database'!$F191=$E$5),OR($E$6="(All)",'Master Database'!$G191=$E$6),OR($E$7="(All)",'Master Database'!$O191=$E$7),OR($E$8="(All)",'Master Database'!$P191=$E$8),OR($E$9="(All)",'Master Database'!$S191=$E$9),OR($E$10="(All)",'Master Database'!$Y191&amp;""=$E$10&amp;""),OR($H$5="(All)",'Master Database'!$BG191=$H$5),OR($H$6&lt;&gt;"Y",ISNUMBER('Master Database'!$AG191)),OR($H$7="",AND(ISNUMBER('Master Database'!$H191),N('Master Database'!$H191)&gt;=$H$7)),OR($I$7="",AND(ISNUMBER('Master Database'!$H191),N('Master Database'!$H191)&lt;=$I$7)),OR($H$8="",AND(ISNUMBER('Master Database'!$I191),N('Master Database'!$I191)&gt;=$H$8)),OR($I$8="",AND(ISNUMBER('Master Database'!$I191),N('Master Database'!$I191)&lt;=$I$8)),OR($H$9="",AND(ISNUMBER('Master Database'!$K191),N('Master Database'!$K191)&gt;=$H$9)),OR($I$9="",AND(ISNUMBER('Master Database'!$K191),N('Master Database'!$K191)&lt;=$I$9))),1,0))</f>
        <v>0</v>
      </c>
      <c r="BB191" t="str">
        <f>IF(BA191=1,COUNTIF($BA$5:BA191,1),"")</f>
        <v/>
      </c>
    </row>
    <row r="192" spans="1:54">
      <c r="A192" s="20" t="str">
        <f>IF(177&lt;=SUM($BA$5:$BA$600),177,"")</f>
        <v/>
      </c>
      <c r="B192" s="20" t="str">
        <f t="shared" si="5"/>
        <v/>
      </c>
      <c r="C192" s="20" t="str">
        <f>IF($B192="","",IF(INDEX('Master Database'!$A$1:$A$600,$B192)="","",INDEX('Master Database'!$A$1:$A$600,$B192)))</f>
        <v/>
      </c>
      <c r="D192" s="19" t="str">
        <f>IF($B192="","",IF(INDEX('Master Database'!$B$1:$B$600,$B192)="","",INDEX('Master Database'!$B$1:$B$600,$B192)))</f>
        <v/>
      </c>
      <c r="E192" s="19" t="str">
        <f>IF($B192="","",IF(INDEX('Master Database'!$C$1:$C$600,$B192)="","",INDEX('Master Database'!$C$1:$C$600,$B192)))</f>
        <v/>
      </c>
      <c r="F192" s="19" t="str">
        <f>IF($B192="","",IF(INDEX('Master Database'!$D$1:$D$600,$B192)="","",INDEX('Master Database'!$D$1:$D$600,$B192)))</f>
        <v/>
      </c>
      <c r="G192" s="19" t="str">
        <f>IF($B192="","",IF(INDEX('Master Database'!$E$1:$E$600,$B192)="","",INDEX('Master Database'!$E$1:$E$600,$B192)))</f>
        <v/>
      </c>
      <c r="H192" s="19" t="str">
        <f>IF($B192="","",IF(INDEX('Master Database'!$F$1:$F$600,$B192)="","",INDEX('Master Database'!$F$1:$F$600,$B192)))</f>
        <v/>
      </c>
      <c r="I192" s="19" t="str">
        <f>IF($B192="","",IF(INDEX('Master Database'!$G$1:$G$600,$B192)="","",INDEX('Master Database'!$G$1:$G$600,$B192)))</f>
        <v/>
      </c>
      <c r="J192" s="46" t="str">
        <f>IF($B192="","",IF(INDEX('Master Database'!$H$1:$H$600,$B192)="","",INDEX('Master Database'!$H$1:$H$600,$B192)))</f>
        <v/>
      </c>
      <c r="K192" s="46" t="str">
        <f>IF($B192="","",IF(INDEX('Master Database'!$I$1:$I$600,$B192)="","",INDEX('Master Database'!$I$1:$I$600,$B192)))</f>
        <v/>
      </c>
      <c r="L192" s="46" t="str">
        <f>IF($B192="","",IF(INDEX('Master Database'!$K$1:$K$600,$B192)="","",INDEX('Master Database'!$K$1:$K$600,$B192)))</f>
        <v/>
      </c>
      <c r="M192" s="19" t="str">
        <f>IF($B192="","",IF(INDEX('Master Database'!$L$1:$L$600,$B192)="","",INDEX('Master Database'!$L$1:$L$600,$B192)))</f>
        <v/>
      </c>
      <c r="N192" s="19" t="str">
        <f>IF($B192="","",IF(INDEX('Master Database'!$P$1:$P$600,$B192)="","",INDEX('Master Database'!$P$1:$P$600,$B192)))</f>
        <v/>
      </c>
      <c r="O192" s="19" t="str">
        <f>IF($B192="","",IF(INDEX('Master Database'!$S$1:$S$600,$B192)="","",INDEX('Master Database'!$S$1:$S$600,$B192)))</f>
        <v/>
      </c>
      <c r="P192" s="19" t="str">
        <f>IF($B192="","",IF(INDEX('Master Database'!$T$1:$T$600,$B192)="","",INDEX('Master Database'!$T$1:$T$600,$B192)))</f>
        <v/>
      </c>
      <c r="Q192" s="19" t="str">
        <f>IF($B192="","",IF(INDEX('Master Database'!$Y$1:$Y$600,$B192)="","",INDEX('Master Database'!$Y$1:$Y$600,$B192)))</f>
        <v/>
      </c>
      <c r="R192" s="19" t="str">
        <f>IF($B192="","",IF(INDEX('Master Database'!$Z$1:$Z$600,$B192)="","",INDEX('Master Database'!$Z$1:$Z$600,$B192)))</f>
        <v/>
      </c>
      <c r="S192" s="47" t="str">
        <f>IF($B192="","",IF(INDEX('Master Database'!$AA$1:$AA$600,$B192)="","",INDEX('Master Database'!$AA$1:$AA$600,$B192)))</f>
        <v/>
      </c>
      <c r="T192" s="19" t="str">
        <f>IF($B192="","",IF(INDEX('Master Database'!$AE$1:$AE$600,$B192)="","",INDEX('Master Database'!$AE$1:$AE$600,$B192)))</f>
        <v/>
      </c>
      <c r="U192" s="47" t="str">
        <f>IF($B192="","",IF(INDEX('Master Database'!$AG$1:$AG$600,$B192)="","",INDEX('Master Database'!$AG$1:$AG$600,$B192)))</f>
        <v/>
      </c>
      <c r="V192" s="47" t="str">
        <f>IF($B192="","",IF(INDEX('Master Database'!$AH$1:$AH$600,$B192)="","",INDEX('Master Database'!$AH$1:$AH$600,$B192)))</f>
        <v/>
      </c>
      <c r="W192" s="47" t="str">
        <f>IF($B192="","",IF(INDEX('Master Database'!$AI$1:$AI$600,$B192)="","",INDEX('Master Database'!$AI$1:$AI$600,$B192)))</f>
        <v/>
      </c>
      <c r="X192" s="19" t="str">
        <f>IF($B192="","",IF(INDEX('Master Database'!$BG$1:$BG$600,$B192)="","",INDEX('Master Database'!$BG$1:$BG$600,$B192)))</f>
        <v/>
      </c>
      <c r="BA192">
        <f>IF('Master Database'!$A192="",0,IF(AND(OR($B$5="",ISNUMBER(SEARCH($B$5,'Master Database'!$B192&amp;" "&amp;'Master Database'!$D192))),OR($B$6="(All)",'Master Database'!$C192=$B$6),OR($B$7="(All)",'Master Database'!$E192=$B$7),OR($B$8="(All)",'Master Database'!$T192=$B$8),OR($B$9="(All)",'Master Database'!$M192=$B$9),OR($B$10="(All)",'Master Database'!$V192=$B$10),OR($E$5="(All)",'Master Database'!$F192=$E$5),OR($E$6="(All)",'Master Database'!$G192=$E$6),OR($E$7="(All)",'Master Database'!$O192=$E$7),OR($E$8="(All)",'Master Database'!$P192=$E$8),OR($E$9="(All)",'Master Database'!$S192=$E$9),OR($E$10="(All)",'Master Database'!$Y192&amp;""=$E$10&amp;""),OR($H$5="(All)",'Master Database'!$BG192=$H$5),OR($H$6&lt;&gt;"Y",ISNUMBER('Master Database'!$AG192)),OR($H$7="",AND(ISNUMBER('Master Database'!$H192),N('Master Database'!$H192)&gt;=$H$7)),OR($I$7="",AND(ISNUMBER('Master Database'!$H192),N('Master Database'!$H192)&lt;=$I$7)),OR($H$8="",AND(ISNUMBER('Master Database'!$I192),N('Master Database'!$I192)&gt;=$H$8)),OR($I$8="",AND(ISNUMBER('Master Database'!$I192),N('Master Database'!$I192)&lt;=$I$8)),OR($H$9="",AND(ISNUMBER('Master Database'!$K192),N('Master Database'!$K192)&gt;=$H$9)),OR($I$9="",AND(ISNUMBER('Master Database'!$K192),N('Master Database'!$K192)&lt;=$I$9))),1,0))</f>
        <v>0</v>
      </c>
      <c r="BB192" t="str">
        <f>IF(BA192=1,COUNTIF($BA$5:BA192,1),"")</f>
        <v/>
      </c>
    </row>
    <row r="193" spans="1:54">
      <c r="A193" s="20" t="str">
        <f>IF(178&lt;=SUM($BA$5:$BA$600),178,"")</f>
        <v/>
      </c>
      <c r="B193" s="20" t="str">
        <f t="shared" si="5"/>
        <v/>
      </c>
      <c r="C193" s="20" t="str">
        <f>IF($B193="","",IF(INDEX('Master Database'!$A$1:$A$600,$B193)="","",INDEX('Master Database'!$A$1:$A$600,$B193)))</f>
        <v/>
      </c>
      <c r="D193" s="19" t="str">
        <f>IF($B193="","",IF(INDEX('Master Database'!$B$1:$B$600,$B193)="","",INDEX('Master Database'!$B$1:$B$600,$B193)))</f>
        <v/>
      </c>
      <c r="E193" s="19" t="str">
        <f>IF($B193="","",IF(INDEX('Master Database'!$C$1:$C$600,$B193)="","",INDEX('Master Database'!$C$1:$C$600,$B193)))</f>
        <v/>
      </c>
      <c r="F193" s="19" t="str">
        <f>IF($B193="","",IF(INDEX('Master Database'!$D$1:$D$600,$B193)="","",INDEX('Master Database'!$D$1:$D$600,$B193)))</f>
        <v/>
      </c>
      <c r="G193" s="19" t="str">
        <f>IF($B193="","",IF(INDEX('Master Database'!$E$1:$E$600,$B193)="","",INDEX('Master Database'!$E$1:$E$600,$B193)))</f>
        <v/>
      </c>
      <c r="H193" s="19" t="str">
        <f>IF($B193="","",IF(INDEX('Master Database'!$F$1:$F$600,$B193)="","",INDEX('Master Database'!$F$1:$F$600,$B193)))</f>
        <v/>
      </c>
      <c r="I193" s="19" t="str">
        <f>IF($B193="","",IF(INDEX('Master Database'!$G$1:$G$600,$B193)="","",INDEX('Master Database'!$G$1:$G$600,$B193)))</f>
        <v/>
      </c>
      <c r="J193" s="46" t="str">
        <f>IF($B193="","",IF(INDEX('Master Database'!$H$1:$H$600,$B193)="","",INDEX('Master Database'!$H$1:$H$600,$B193)))</f>
        <v/>
      </c>
      <c r="K193" s="46" t="str">
        <f>IF($B193="","",IF(INDEX('Master Database'!$I$1:$I$600,$B193)="","",INDEX('Master Database'!$I$1:$I$600,$B193)))</f>
        <v/>
      </c>
      <c r="L193" s="46" t="str">
        <f>IF($B193="","",IF(INDEX('Master Database'!$K$1:$K$600,$B193)="","",INDEX('Master Database'!$K$1:$K$600,$B193)))</f>
        <v/>
      </c>
      <c r="M193" s="19" t="str">
        <f>IF($B193="","",IF(INDEX('Master Database'!$L$1:$L$600,$B193)="","",INDEX('Master Database'!$L$1:$L$600,$B193)))</f>
        <v/>
      </c>
      <c r="N193" s="19" t="str">
        <f>IF($B193="","",IF(INDEX('Master Database'!$P$1:$P$600,$B193)="","",INDEX('Master Database'!$P$1:$P$600,$B193)))</f>
        <v/>
      </c>
      <c r="O193" s="19" t="str">
        <f>IF($B193="","",IF(INDEX('Master Database'!$S$1:$S$600,$B193)="","",INDEX('Master Database'!$S$1:$S$600,$B193)))</f>
        <v/>
      </c>
      <c r="P193" s="19" t="str">
        <f>IF($B193="","",IF(INDEX('Master Database'!$T$1:$T$600,$B193)="","",INDEX('Master Database'!$T$1:$T$600,$B193)))</f>
        <v/>
      </c>
      <c r="Q193" s="19" t="str">
        <f>IF($B193="","",IF(INDEX('Master Database'!$Y$1:$Y$600,$B193)="","",INDEX('Master Database'!$Y$1:$Y$600,$B193)))</f>
        <v/>
      </c>
      <c r="R193" s="19" t="str">
        <f>IF($B193="","",IF(INDEX('Master Database'!$Z$1:$Z$600,$B193)="","",INDEX('Master Database'!$Z$1:$Z$600,$B193)))</f>
        <v/>
      </c>
      <c r="S193" s="47" t="str">
        <f>IF($B193="","",IF(INDEX('Master Database'!$AA$1:$AA$600,$B193)="","",INDEX('Master Database'!$AA$1:$AA$600,$B193)))</f>
        <v/>
      </c>
      <c r="T193" s="19" t="str">
        <f>IF($B193="","",IF(INDEX('Master Database'!$AE$1:$AE$600,$B193)="","",INDEX('Master Database'!$AE$1:$AE$600,$B193)))</f>
        <v/>
      </c>
      <c r="U193" s="47" t="str">
        <f>IF($B193="","",IF(INDEX('Master Database'!$AG$1:$AG$600,$B193)="","",INDEX('Master Database'!$AG$1:$AG$600,$B193)))</f>
        <v/>
      </c>
      <c r="V193" s="47" t="str">
        <f>IF($B193="","",IF(INDEX('Master Database'!$AH$1:$AH$600,$B193)="","",INDEX('Master Database'!$AH$1:$AH$600,$B193)))</f>
        <v/>
      </c>
      <c r="W193" s="47" t="str">
        <f>IF($B193="","",IF(INDEX('Master Database'!$AI$1:$AI$600,$B193)="","",INDEX('Master Database'!$AI$1:$AI$600,$B193)))</f>
        <v/>
      </c>
      <c r="X193" s="19" t="str">
        <f>IF($B193="","",IF(INDEX('Master Database'!$BG$1:$BG$600,$B193)="","",INDEX('Master Database'!$BG$1:$BG$600,$B193)))</f>
        <v/>
      </c>
      <c r="BA193">
        <f>IF('Master Database'!$A193="",0,IF(AND(OR($B$5="",ISNUMBER(SEARCH($B$5,'Master Database'!$B193&amp;" "&amp;'Master Database'!$D193))),OR($B$6="(All)",'Master Database'!$C193=$B$6),OR($B$7="(All)",'Master Database'!$E193=$B$7),OR($B$8="(All)",'Master Database'!$T193=$B$8),OR($B$9="(All)",'Master Database'!$M193=$B$9),OR($B$10="(All)",'Master Database'!$V193=$B$10),OR($E$5="(All)",'Master Database'!$F193=$E$5),OR($E$6="(All)",'Master Database'!$G193=$E$6),OR($E$7="(All)",'Master Database'!$O193=$E$7),OR($E$8="(All)",'Master Database'!$P193=$E$8),OR($E$9="(All)",'Master Database'!$S193=$E$9),OR($E$10="(All)",'Master Database'!$Y193&amp;""=$E$10&amp;""),OR($H$5="(All)",'Master Database'!$BG193=$H$5),OR($H$6&lt;&gt;"Y",ISNUMBER('Master Database'!$AG193)),OR($H$7="",AND(ISNUMBER('Master Database'!$H193),N('Master Database'!$H193)&gt;=$H$7)),OR($I$7="",AND(ISNUMBER('Master Database'!$H193),N('Master Database'!$H193)&lt;=$I$7)),OR($H$8="",AND(ISNUMBER('Master Database'!$I193),N('Master Database'!$I193)&gt;=$H$8)),OR($I$8="",AND(ISNUMBER('Master Database'!$I193),N('Master Database'!$I193)&lt;=$I$8)),OR($H$9="",AND(ISNUMBER('Master Database'!$K193),N('Master Database'!$K193)&gt;=$H$9)),OR($I$9="",AND(ISNUMBER('Master Database'!$K193),N('Master Database'!$K193)&lt;=$I$9))),1,0))</f>
        <v>0</v>
      </c>
      <c r="BB193" t="str">
        <f>IF(BA193=1,COUNTIF($BA$5:BA193,1),"")</f>
        <v/>
      </c>
    </row>
    <row r="194" spans="1:54">
      <c r="A194" s="20" t="str">
        <f>IF(179&lt;=SUM($BA$5:$BA$600),179,"")</f>
        <v/>
      </c>
      <c r="B194" s="20" t="str">
        <f t="shared" si="5"/>
        <v/>
      </c>
      <c r="C194" s="20" t="str">
        <f>IF($B194="","",IF(INDEX('Master Database'!$A$1:$A$600,$B194)="","",INDEX('Master Database'!$A$1:$A$600,$B194)))</f>
        <v/>
      </c>
      <c r="D194" s="19" t="str">
        <f>IF($B194="","",IF(INDEX('Master Database'!$B$1:$B$600,$B194)="","",INDEX('Master Database'!$B$1:$B$600,$B194)))</f>
        <v/>
      </c>
      <c r="E194" s="19" t="str">
        <f>IF($B194="","",IF(INDEX('Master Database'!$C$1:$C$600,$B194)="","",INDEX('Master Database'!$C$1:$C$600,$B194)))</f>
        <v/>
      </c>
      <c r="F194" s="19" t="str">
        <f>IF($B194="","",IF(INDEX('Master Database'!$D$1:$D$600,$B194)="","",INDEX('Master Database'!$D$1:$D$600,$B194)))</f>
        <v/>
      </c>
      <c r="G194" s="19" t="str">
        <f>IF($B194="","",IF(INDEX('Master Database'!$E$1:$E$600,$B194)="","",INDEX('Master Database'!$E$1:$E$600,$B194)))</f>
        <v/>
      </c>
      <c r="H194" s="19" t="str">
        <f>IF($B194="","",IF(INDEX('Master Database'!$F$1:$F$600,$B194)="","",INDEX('Master Database'!$F$1:$F$600,$B194)))</f>
        <v/>
      </c>
      <c r="I194" s="19" t="str">
        <f>IF($B194="","",IF(INDEX('Master Database'!$G$1:$G$600,$B194)="","",INDEX('Master Database'!$G$1:$G$600,$B194)))</f>
        <v/>
      </c>
      <c r="J194" s="46" t="str">
        <f>IF($B194="","",IF(INDEX('Master Database'!$H$1:$H$600,$B194)="","",INDEX('Master Database'!$H$1:$H$600,$B194)))</f>
        <v/>
      </c>
      <c r="K194" s="46" t="str">
        <f>IF($B194="","",IF(INDEX('Master Database'!$I$1:$I$600,$B194)="","",INDEX('Master Database'!$I$1:$I$600,$B194)))</f>
        <v/>
      </c>
      <c r="L194" s="46" t="str">
        <f>IF($B194="","",IF(INDEX('Master Database'!$K$1:$K$600,$B194)="","",INDEX('Master Database'!$K$1:$K$600,$B194)))</f>
        <v/>
      </c>
      <c r="M194" s="19" t="str">
        <f>IF($B194="","",IF(INDEX('Master Database'!$L$1:$L$600,$B194)="","",INDEX('Master Database'!$L$1:$L$600,$B194)))</f>
        <v/>
      </c>
      <c r="N194" s="19" t="str">
        <f>IF($B194="","",IF(INDEX('Master Database'!$P$1:$P$600,$B194)="","",INDEX('Master Database'!$P$1:$P$600,$B194)))</f>
        <v/>
      </c>
      <c r="O194" s="19" t="str">
        <f>IF($B194="","",IF(INDEX('Master Database'!$S$1:$S$600,$B194)="","",INDEX('Master Database'!$S$1:$S$600,$B194)))</f>
        <v/>
      </c>
      <c r="P194" s="19" t="str">
        <f>IF($B194="","",IF(INDEX('Master Database'!$T$1:$T$600,$B194)="","",INDEX('Master Database'!$T$1:$T$600,$B194)))</f>
        <v/>
      </c>
      <c r="Q194" s="19" t="str">
        <f>IF($B194="","",IF(INDEX('Master Database'!$Y$1:$Y$600,$B194)="","",INDEX('Master Database'!$Y$1:$Y$600,$B194)))</f>
        <v/>
      </c>
      <c r="R194" s="19" t="str">
        <f>IF($B194="","",IF(INDEX('Master Database'!$Z$1:$Z$600,$B194)="","",INDEX('Master Database'!$Z$1:$Z$600,$B194)))</f>
        <v/>
      </c>
      <c r="S194" s="47" t="str">
        <f>IF($B194="","",IF(INDEX('Master Database'!$AA$1:$AA$600,$B194)="","",INDEX('Master Database'!$AA$1:$AA$600,$B194)))</f>
        <v/>
      </c>
      <c r="T194" s="19" t="str">
        <f>IF($B194="","",IF(INDEX('Master Database'!$AE$1:$AE$600,$B194)="","",INDEX('Master Database'!$AE$1:$AE$600,$B194)))</f>
        <v/>
      </c>
      <c r="U194" s="47" t="str">
        <f>IF($B194="","",IF(INDEX('Master Database'!$AG$1:$AG$600,$B194)="","",INDEX('Master Database'!$AG$1:$AG$600,$B194)))</f>
        <v/>
      </c>
      <c r="V194" s="47" t="str">
        <f>IF($B194="","",IF(INDEX('Master Database'!$AH$1:$AH$600,$B194)="","",INDEX('Master Database'!$AH$1:$AH$600,$B194)))</f>
        <v/>
      </c>
      <c r="W194" s="47" t="str">
        <f>IF($B194="","",IF(INDEX('Master Database'!$AI$1:$AI$600,$B194)="","",INDEX('Master Database'!$AI$1:$AI$600,$B194)))</f>
        <v/>
      </c>
      <c r="X194" s="19" t="str">
        <f>IF($B194="","",IF(INDEX('Master Database'!$BG$1:$BG$600,$B194)="","",INDEX('Master Database'!$BG$1:$BG$600,$B194)))</f>
        <v/>
      </c>
      <c r="BA194">
        <f>IF('Master Database'!$A194="",0,IF(AND(OR($B$5="",ISNUMBER(SEARCH($B$5,'Master Database'!$B194&amp;" "&amp;'Master Database'!$D194))),OR($B$6="(All)",'Master Database'!$C194=$B$6),OR($B$7="(All)",'Master Database'!$E194=$B$7),OR($B$8="(All)",'Master Database'!$T194=$B$8),OR($B$9="(All)",'Master Database'!$M194=$B$9),OR($B$10="(All)",'Master Database'!$V194=$B$10),OR($E$5="(All)",'Master Database'!$F194=$E$5),OR($E$6="(All)",'Master Database'!$G194=$E$6),OR($E$7="(All)",'Master Database'!$O194=$E$7),OR($E$8="(All)",'Master Database'!$P194=$E$8),OR($E$9="(All)",'Master Database'!$S194=$E$9),OR($E$10="(All)",'Master Database'!$Y194&amp;""=$E$10&amp;""),OR($H$5="(All)",'Master Database'!$BG194=$H$5),OR($H$6&lt;&gt;"Y",ISNUMBER('Master Database'!$AG194)),OR($H$7="",AND(ISNUMBER('Master Database'!$H194),N('Master Database'!$H194)&gt;=$H$7)),OR($I$7="",AND(ISNUMBER('Master Database'!$H194),N('Master Database'!$H194)&lt;=$I$7)),OR($H$8="",AND(ISNUMBER('Master Database'!$I194),N('Master Database'!$I194)&gt;=$H$8)),OR($I$8="",AND(ISNUMBER('Master Database'!$I194),N('Master Database'!$I194)&lt;=$I$8)),OR($H$9="",AND(ISNUMBER('Master Database'!$K194),N('Master Database'!$K194)&gt;=$H$9)),OR($I$9="",AND(ISNUMBER('Master Database'!$K194),N('Master Database'!$K194)&lt;=$I$9))),1,0))</f>
        <v>0</v>
      </c>
      <c r="BB194" t="str">
        <f>IF(BA194=1,COUNTIF($BA$5:BA194,1),"")</f>
        <v/>
      </c>
    </row>
    <row r="195" spans="1:54">
      <c r="A195" s="20" t="str">
        <f>IF(180&lt;=SUM($BA$5:$BA$600),180,"")</f>
        <v/>
      </c>
      <c r="B195" s="20" t="str">
        <f t="shared" si="5"/>
        <v/>
      </c>
      <c r="C195" s="20" t="str">
        <f>IF($B195="","",IF(INDEX('Master Database'!$A$1:$A$600,$B195)="","",INDEX('Master Database'!$A$1:$A$600,$B195)))</f>
        <v/>
      </c>
      <c r="D195" s="19" t="str">
        <f>IF($B195="","",IF(INDEX('Master Database'!$B$1:$B$600,$B195)="","",INDEX('Master Database'!$B$1:$B$600,$B195)))</f>
        <v/>
      </c>
      <c r="E195" s="19" t="str">
        <f>IF($B195="","",IF(INDEX('Master Database'!$C$1:$C$600,$B195)="","",INDEX('Master Database'!$C$1:$C$600,$B195)))</f>
        <v/>
      </c>
      <c r="F195" s="19" t="str">
        <f>IF($B195="","",IF(INDEX('Master Database'!$D$1:$D$600,$B195)="","",INDEX('Master Database'!$D$1:$D$600,$B195)))</f>
        <v/>
      </c>
      <c r="G195" s="19" t="str">
        <f>IF($B195="","",IF(INDEX('Master Database'!$E$1:$E$600,$B195)="","",INDEX('Master Database'!$E$1:$E$600,$B195)))</f>
        <v/>
      </c>
      <c r="H195" s="19" t="str">
        <f>IF($B195="","",IF(INDEX('Master Database'!$F$1:$F$600,$B195)="","",INDEX('Master Database'!$F$1:$F$600,$B195)))</f>
        <v/>
      </c>
      <c r="I195" s="19" t="str">
        <f>IF($B195="","",IF(INDEX('Master Database'!$G$1:$G$600,$B195)="","",INDEX('Master Database'!$G$1:$G$600,$B195)))</f>
        <v/>
      </c>
      <c r="J195" s="46" t="str">
        <f>IF($B195="","",IF(INDEX('Master Database'!$H$1:$H$600,$B195)="","",INDEX('Master Database'!$H$1:$H$600,$B195)))</f>
        <v/>
      </c>
      <c r="K195" s="46" t="str">
        <f>IF($B195="","",IF(INDEX('Master Database'!$I$1:$I$600,$B195)="","",INDEX('Master Database'!$I$1:$I$600,$B195)))</f>
        <v/>
      </c>
      <c r="L195" s="46" t="str">
        <f>IF($B195="","",IF(INDEX('Master Database'!$K$1:$K$600,$B195)="","",INDEX('Master Database'!$K$1:$K$600,$B195)))</f>
        <v/>
      </c>
      <c r="M195" s="19" t="str">
        <f>IF($B195="","",IF(INDEX('Master Database'!$L$1:$L$600,$B195)="","",INDEX('Master Database'!$L$1:$L$600,$B195)))</f>
        <v/>
      </c>
      <c r="N195" s="19" t="str">
        <f>IF($B195="","",IF(INDEX('Master Database'!$P$1:$P$600,$B195)="","",INDEX('Master Database'!$P$1:$P$600,$B195)))</f>
        <v/>
      </c>
      <c r="O195" s="19" t="str">
        <f>IF($B195="","",IF(INDEX('Master Database'!$S$1:$S$600,$B195)="","",INDEX('Master Database'!$S$1:$S$600,$B195)))</f>
        <v/>
      </c>
      <c r="P195" s="19" t="str">
        <f>IF($B195="","",IF(INDEX('Master Database'!$T$1:$T$600,$B195)="","",INDEX('Master Database'!$T$1:$T$600,$B195)))</f>
        <v/>
      </c>
      <c r="Q195" s="19" t="str">
        <f>IF($B195="","",IF(INDEX('Master Database'!$Y$1:$Y$600,$B195)="","",INDEX('Master Database'!$Y$1:$Y$600,$B195)))</f>
        <v/>
      </c>
      <c r="R195" s="19" t="str">
        <f>IF($B195="","",IF(INDEX('Master Database'!$Z$1:$Z$600,$B195)="","",INDEX('Master Database'!$Z$1:$Z$600,$B195)))</f>
        <v/>
      </c>
      <c r="S195" s="47" t="str">
        <f>IF($B195="","",IF(INDEX('Master Database'!$AA$1:$AA$600,$B195)="","",INDEX('Master Database'!$AA$1:$AA$600,$B195)))</f>
        <v/>
      </c>
      <c r="T195" s="19" t="str">
        <f>IF($B195="","",IF(INDEX('Master Database'!$AE$1:$AE$600,$B195)="","",INDEX('Master Database'!$AE$1:$AE$600,$B195)))</f>
        <v/>
      </c>
      <c r="U195" s="47" t="str">
        <f>IF($B195="","",IF(INDEX('Master Database'!$AG$1:$AG$600,$B195)="","",INDEX('Master Database'!$AG$1:$AG$600,$B195)))</f>
        <v/>
      </c>
      <c r="V195" s="47" t="str">
        <f>IF($B195="","",IF(INDEX('Master Database'!$AH$1:$AH$600,$B195)="","",INDEX('Master Database'!$AH$1:$AH$600,$B195)))</f>
        <v/>
      </c>
      <c r="W195" s="47" t="str">
        <f>IF($B195="","",IF(INDEX('Master Database'!$AI$1:$AI$600,$B195)="","",INDEX('Master Database'!$AI$1:$AI$600,$B195)))</f>
        <v/>
      </c>
      <c r="X195" s="19" t="str">
        <f>IF($B195="","",IF(INDEX('Master Database'!$BG$1:$BG$600,$B195)="","",INDEX('Master Database'!$BG$1:$BG$600,$B195)))</f>
        <v/>
      </c>
      <c r="BA195">
        <f>IF('Master Database'!$A195="",0,IF(AND(OR($B$5="",ISNUMBER(SEARCH($B$5,'Master Database'!$B195&amp;" "&amp;'Master Database'!$D195))),OR($B$6="(All)",'Master Database'!$C195=$B$6),OR($B$7="(All)",'Master Database'!$E195=$B$7),OR($B$8="(All)",'Master Database'!$T195=$B$8),OR($B$9="(All)",'Master Database'!$M195=$B$9),OR($B$10="(All)",'Master Database'!$V195=$B$10),OR($E$5="(All)",'Master Database'!$F195=$E$5),OR($E$6="(All)",'Master Database'!$G195=$E$6),OR($E$7="(All)",'Master Database'!$O195=$E$7),OR($E$8="(All)",'Master Database'!$P195=$E$8),OR($E$9="(All)",'Master Database'!$S195=$E$9),OR($E$10="(All)",'Master Database'!$Y195&amp;""=$E$10&amp;""),OR($H$5="(All)",'Master Database'!$BG195=$H$5),OR($H$6&lt;&gt;"Y",ISNUMBER('Master Database'!$AG195)),OR($H$7="",AND(ISNUMBER('Master Database'!$H195),N('Master Database'!$H195)&gt;=$H$7)),OR($I$7="",AND(ISNUMBER('Master Database'!$H195),N('Master Database'!$H195)&lt;=$I$7)),OR($H$8="",AND(ISNUMBER('Master Database'!$I195),N('Master Database'!$I195)&gt;=$H$8)),OR($I$8="",AND(ISNUMBER('Master Database'!$I195),N('Master Database'!$I195)&lt;=$I$8)),OR($H$9="",AND(ISNUMBER('Master Database'!$K195),N('Master Database'!$K195)&gt;=$H$9)),OR($I$9="",AND(ISNUMBER('Master Database'!$K195),N('Master Database'!$K195)&lt;=$I$9))),1,0))</f>
        <v>0</v>
      </c>
      <c r="BB195" t="str">
        <f>IF(BA195=1,COUNTIF($BA$5:BA195,1),"")</f>
        <v/>
      </c>
    </row>
    <row r="196" spans="1:54">
      <c r="A196" s="20" t="str">
        <f>IF(181&lt;=SUM($BA$5:$BA$600),181,"")</f>
        <v/>
      </c>
      <c r="B196" s="20" t="str">
        <f t="shared" si="5"/>
        <v/>
      </c>
      <c r="C196" s="20" t="str">
        <f>IF($B196="","",IF(INDEX('Master Database'!$A$1:$A$600,$B196)="","",INDEX('Master Database'!$A$1:$A$600,$B196)))</f>
        <v/>
      </c>
      <c r="D196" s="19" t="str">
        <f>IF($B196="","",IF(INDEX('Master Database'!$B$1:$B$600,$B196)="","",INDEX('Master Database'!$B$1:$B$600,$B196)))</f>
        <v/>
      </c>
      <c r="E196" s="19" t="str">
        <f>IF($B196="","",IF(INDEX('Master Database'!$C$1:$C$600,$B196)="","",INDEX('Master Database'!$C$1:$C$600,$B196)))</f>
        <v/>
      </c>
      <c r="F196" s="19" t="str">
        <f>IF($B196="","",IF(INDEX('Master Database'!$D$1:$D$600,$B196)="","",INDEX('Master Database'!$D$1:$D$600,$B196)))</f>
        <v/>
      </c>
      <c r="G196" s="19" t="str">
        <f>IF($B196="","",IF(INDEX('Master Database'!$E$1:$E$600,$B196)="","",INDEX('Master Database'!$E$1:$E$600,$B196)))</f>
        <v/>
      </c>
      <c r="H196" s="19" t="str">
        <f>IF($B196="","",IF(INDEX('Master Database'!$F$1:$F$600,$B196)="","",INDEX('Master Database'!$F$1:$F$600,$B196)))</f>
        <v/>
      </c>
      <c r="I196" s="19" t="str">
        <f>IF($B196="","",IF(INDEX('Master Database'!$G$1:$G$600,$B196)="","",INDEX('Master Database'!$G$1:$G$600,$B196)))</f>
        <v/>
      </c>
      <c r="J196" s="46" t="str">
        <f>IF($B196="","",IF(INDEX('Master Database'!$H$1:$H$600,$B196)="","",INDEX('Master Database'!$H$1:$H$600,$B196)))</f>
        <v/>
      </c>
      <c r="K196" s="46" t="str">
        <f>IF($B196="","",IF(INDEX('Master Database'!$I$1:$I$600,$B196)="","",INDEX('Master Database'!$I$1:$I$600,$B196)))</f>
        <v/>
      </c>
      <c r="L196" s="46" t="str">
        <f>IF($B196="","",IF(INDEX('Master Database'!$K$1:$K$600,$B196)="","",INDEX('Master Database'!$K$1:$K$600,$B196)))</f>
        <v/>
      </c>
      <c r="M196" s="19" t="str">
        <f>IF($B196="","",IF(INDEX('Master Database'!$L$1:$L$600,$B196)="","",INDEX('Master Database'!$L$1:$L$600,$B196)))</f>
        <v/>
      </c>
      <c r="N196" s="19" t="str">
        <f>IF($B196="","",IF(INDEX('Master Database'!$P$1:$P$600,$B196)="","",INDEX('Master Database'!$P$1:$P$600,$B196)))</f>
        <v/>
      </c>
      <c r="O196" s="19" t="str">
        <f>IF($B196="","",IF(INDEX('Master Database'!$S$1:$S$600,$B196)="","",INDEX('Master Database'!$S$1:$S$600,$B196)))</f>
        <v/>
      </c>
      <c r="P196" s="19" t="str">
        <f>IF($B196="","",IF(INDEX('Master Database'!$T$1:$T$600,$B196)="","",INDEX('Master Database'!$T$1:$T$600,$B196)))</f>
        <v/>
      </c>
      <c r="Q196" s="19" t="str">
        <f>IF($B196="","",IF(INDEX('Master Database'!$Y$1:$Y$600,$B196)="","",INDEX('Master Database'!$Y$1:$Y$600,$B196)))</f>
        <v/>
      </c>
      <c r="R196" s="19" t="str">
        <f>IF($B196="","",IF(INDEX('Master Database'!$Z$1:$Z$600,$B196)="","",INDEX('Master Database'!$Z$1:$Z$600,$B196)))</f>
        <v/>
      </c>
      <c r="S196" s="47" t="str">
        <f>IF($B196="","",IF(INDEX('Master Database'!$AA$1:$AA$600,$B196)="","",INDEX('Master Database'!$AA$1:$AA$600,$B196)))</f>
        <v/>
      </c>
      <c r="T196" s="19" t="str">
        <f>IF($B196="","",IF(INDEX('Master Database'!$AE$1:$AE$600,$B196)="","",INDEX('Master Database'!$AE$1:$AE$600,$B196)))</f>
        <v/>
      </c>
      <c r="U196" s="47" t="str">
        <f>IF($B196="","",IF(INDEX('Master Database'!$AG$1:$AG$600,$B196)="","",INDEX('Master Database'!$AG$1:$AG$600,$B196)))</f>
        <v/>
      </c>
      <c r="V196" s="47" t="str">
        <f>IF($B196="","",IF(INDEX('Master Database'!$AH$1:$AH$600,$B196)="","",INDEX('Master Database'!$AH$1:$AH$600,$B196)))</f>
        <v/>
      </c>
      <c r="W196" s="47" t="str">
        <f>IF($B196="","",IF(INDEX('Master Database'!$AI$1:$AI$600,$B196)="","",INDEX('Master Database'!$AI$1:$AI$600,$B196)))</f>
        <v/>
      </c>
      <c r="X196" s="19" t="str">
        <f>IF($B196="","",IF(INDEX('Master Database'!$BG$1:$BG$600,$B196)="","",INDEX('Master Database'!$BG$1:$BG$600,$B196)))</f>
        <v/>
      </c>
      <c r="BA196">
        <f>IF('Master Database'!$A196="",0,IF(AND(OR($B$5="",ISNUMBER(SEARCH($B$5,'Master Database'!$B196&amp;" "&amp;'Master Database'!$D196))),OR($B$6="(All)",'Master Database'!$C196=$B$6),OR($B$7="(All)",'Master Database'!$E196=$B$7),OR($B$8="(All)",'Master Database'!$T196=$B$8),OR($B$9="(All)",'Master Database'!$M196=$B$9),OR($B$10="(All)",'Master Database'!$V196=$B$10),OR($E$5="(All)",'Master Database'!$F196=$E$5),OR($E$6="(All)",'Master Database'!$G196=$E$6),OR($E$7="(All)",'Master Database'!$O196=$E$7),OR($E$8="(All)",'Master Database'!$P196=$E$8),OR($E$9="(All)",'Master Database'!$S196=$E$9),OR($E$10="(All)",'Master Database'!$Y196&amp;""=$E$10&amp;""),OR($H$5="(All)",'Master Database'!$BG196=$H$5),OR($H$6&lt;&gt;"Y",ISNUMBER('Master Database'!$AG196)),OR($H$7="",AND(ISNUMBER('Master Database'!$H196),N('Master Database'!$H196)&gt;=$H$7)),OR($I$7="",AND(ISNUMBER('Master Database'!$H196),N('Master Database'!$H196)&lt;=$I$7)),OR($H$8="",AND(ISNUMBER('Master Database'!$I196),N('Master Database'!$I196)&gt;=$H$8)),OR($I$8="",AND(ISNUMBER('Master Database'!$I196),N('Master Database'!$I196)&lt;=$I$8)),OR($H$9="",AND(ISNUMBER('Master Database'!$K196),N('Master Database'!$K196)&gt;=$H$9)),OR($I$9="",AND(ISNUMBER('Master Database'!$K196),N('Master Database'!$K196)&lt;=$I$9))),1,0))</f>
        <v>0</v>
      </c>
      <c r="BB196" t="str">
        <f>IF(BA196=1,COUNTIF($BA$5:BA196,1),"")</f>
        <v/>
      </c>
    </row>
    <row r="197" spans="1:54">
      <c r="A197" s="20" t="str">
        <f>IF(182&lt;=SUM($BA$5:$BA$600),182,"")</f>
        <v/>
      </c>
      <c r="B197" s="20" t="str">
        <f t="shared" si="5"/>
        <v/>
      </c>
      <c r="C197" s="20" t="str">
        <f>IF($B197="","",IF(INDEX('Master Database'!$A$1:$A$600,$B197)="","",INDEX('Master Database'!$A$1:$A$600,$B197)))</f>
        <v/>
      </c>
      <c r="D197" s="19" t="str">
        <f>IF($B197="","",IF(INDEX('Master Database'!$B$1:$B$600,$B197)="","",INDEX('Master Database'!$B$1:$B$600,$B197)))</f>
        <v/>
      </c>
      <c r="E197" s="19" t="str">
        <f>IF($B197="","",IF(INDEX('Master Database'!$C$1:$C$600,$B197)="","",INDEX('Master Database'!$C$1:$C$600,$B197)))</f>
        <v/>
      </c>
      <c r="F197" s="19" t="str">
        <f>IF($B197="","",IF(INDEX('Master Database'!$D$1:$D$600,$B197)="","",INDEX('Master Database'!$D$1:$D$600,$B197)))</f>
        <v/>
      </c>
      <c r="G197" s="19" t="str">
        <f>IF($B197="","",IF(INDEX('Master Database'!$E$1:$E$600,$B197)="","",INDEX('Master Database'!$E$1:$E$600,$B197)))</f>
        <v/>
      </c>
      <c r="H197" s="19" t="str">
        <f>IF($B197="","",IF(INDEX('Master Database'!$F$1:$F$600,$B197)="","",INDEX('Master Database'!$F$1:$F$600,$B197)))</f>
        <v/>
      </c>
      <c r="I197" s="19" t="str">
        <f>IF($B197="","",IF(INDEX('Master Database'!$G$1:$G$600,$B197)="","",INDEX('Master Database'!$G$1:$G$600,$B197)))</f>
        <v/>
      </c>
      <c r="J197" s="46" t="str">
        <f>IF($B197="","",IF(INDEX('Master Database'!$H$1:$H$600,$B197)="","",INDEX('Master Database'!$H$1:$H$600,$B197)))</f>
        <v/>
      </c>
      <c r="K197" s="46" t="str">
        <f>IF($B197="","",IF(INDEX('Master Database'!$I$1:$I$600,$B197)="","",INDEX('Master Database'!$I$1:$I$600,$B197)))</f>
        <v/>
      </c>
      <c r="L197" s="46" t="str">
        <f>IF($B197="","",IF(INDEX('Master Database'!$K$1:$K$600,$B197)="","",INDEX('Master Database'!$K$1:$K$600,$B197)))</f>
        <v/>
      </c>
      <c r="M197" s="19" t="str">
        <f>IF($B197="","",IF(INDEX('Master Database'!$L$1:$L$600,$B197)="","",INDEX('Master Database'!$L$1:$L$600,$B197)))</f>
        <v/>
      </c>
      <c r="N197" s="19" t="str">
        <f>IF($B197="","",IF(INDEX('Master Database'!$P$1:$P$600,$B197)="","",INDEX('Master Database'!$P$1:$P$600,$B197)))</f>
        <v/>
      </c>
      <c r="O197" s="19" t="str">
        <f>IF($B197="","",IF(INDEX('Master Database'!$S$1:$S$600,$B197)="","",INDEX('Master Database'!$S$1:$S$600,$B197)))</f>
        <v/>
      </c>
      <c r="P197" s="19" t="str">
        <f>IF($B197="","",IF(INDEX('Master Database'!$T$1:$T$600,$B197)="","",INDEX('Master Database'!$T$1:$T$600,$B197)))</f>
        <v/>
      </c>
      <c r="Q197" s="19" t="str">
        <f>IF($B197="","",IF(INDEX('Master Database'!$Y$1:$Y$600,$B197)="","",INDEX('Master Database'!$Y$1:$Y$600,$B197)))</f>
        <v/>
      </c>
      <c r="R197" s="19" t="str">
        <f>IF($B197="","",IF(INDEX('Master Database'!$Z$1:$Z$600,$B197)="","",INDEX('Master Database'!$Z$1:$Z$600,$B197)))</f>
        <v/>
      </c>
      <c r="S197" s="47" t="str">
        <f>IF($B197="","",IF(INDEX('Master Database'!$AA$1:$AA$600,$B197)="","",INDEX('Master Database'!$AA$1:$AA$600,$B197)))</f>
        <v/>
      </c>
      <c r="T197" s="19" t="str">
        <f>IF($B197="","",IF(INDEX('Master Database'!$AE$1:$AE$600,$B197)="","",INDEX('Master Database'!$AE$1:$AE$600,$B197)))</f>
        <v/>
      </c>
      <c r="U197" s="47" t="str">
        <f>IF($B197="","",IF(INDEX('Master Database'!$AG$1:$AG$600,$B197)="","",INDEX('Master Database'!$AG$1:$AG$600,$B197)))</f>
        <v/>
      </c>
      <c r="V197" s="47" t="str">
        <f>IF($B197="","",IF(INDEX('Master Database'!$AH$1:$AH$600,$B197)="","",INDEX('Master Database'!$AH$1:$AH$600,$B197)))</f>
        <v/>
      </c>
      <c r="W197" s="47" t="str">
        <f>IF($B197="","",IF(INDEX('Master Database'!$AI$1:$AI$600,$B197)="","",INDEX('Master Database'!$AI$1:$AI$600,$B197)))</f>
        <v/>
      </c>
      <c r="X197" s="19" t="str">
        <f>IF($B197="","",IF(INDEX('Master Database'!$BG$1:$BG$600,$B197)="","",INDEX('Master Database'!$BG$1:$BG$600,$B197)))</f>
        <v/>
      </c>
      <c r="BA197">
        <f>IF('Master Database'!$A197="",0,IF(AND(OR($B$5="",ISNUMBER(SEARCH($B$5,'Master Database'!$B197&amp;" "&amp;'Master Database'!$D197))),OR($B$6="(All)",'Master Database'!$C197=$B$6),OR($B$7="(All)",'Master Database'!$E197=$B$7),OR($B$8="(All)",'Master Database'!$T197=$B$8),OR($B$9="(All)",'Master Database'!$M197=$B$9),OR($B$10="(All)",'Master Database'!$V197=$B$10),OR($E$5="(All)",'Master Database'!$F197=$E$5),OR($E$6="(All)",'Master Database'!$G197=$E$6),OR($E$7="(All)",'Master Database'!$O197=$E$7),OR($E$8="(All)",'Master Database'!$P197=$E$8),OR($E$9="(All)",'Master Database'!$S197=$E$9),OR($E$10="(All)",'Master Database'!$Y197&amp;""=$E$10&amp;""),OR($H$5="(All)",'Master Database'!$BG197=$H$5),OR($H$6&lt;&gt;"Y",ISNUMBER('Master Database'!$AG197)),OR($H$7="",AND(ISNUMBER('Master Database'!$H197),N('Master Database'!$H197)&gt;=$H$7)),OR($I$7="",AND(ISNUMBER('Master Database'!$H197),N('Master Database'!$H197)&lt;=$I$7)),OR($H$8="",AND(ISNUMBER('Master Database'!$I197),N('Master Database'!$I197)&gt;=$H$8)),OR($I$8="",AND(ISNUMBER('Master Database'!$I197),N('Master Database'!$I197)&lt;=$I$8)),OR($H$9="",AND(ISNUMBER('Master Database'!$K197),N('Master Database'!$K197)&gt;=$H$9)),OR($I$9="",AND(ISNUMBER('Master Database'!$K197),N('Master Database'!$K197)&lt;=$I$9))),1,0))</f>
        <v>0</v>
      </c>
      <c r="BB197" t="str">
        <f>IF(BA197=1,COUNTIF($BA$5:BA197,1),"")</f>
        <v/>
      </c>
    </row>
    <row r="198" spans="1:54">
      <c r="A198" s="20" t="str">
        <f>IF(183&lt;=SUM($BA$5:$BA$600),183,"")</f>
        <v/>
      </c>
      <c r="B198" s="20" t="str">
        <f t="shared" si="5"/>
        <v/>
      </c>
      <c r="C198" s="20" t="str">
        <f>IF($B198="","",IF(INDEX('Master Database'!$A$1:$A$600,$B198)="","",INDEX('Master Database'!$A$1:$A$600,$B198)))</f>
        <v/>
      </c>
      <c r="D198" s="19" t="str">
        <f>IF($B198="","",IF(INDEX('Master Database'!$B$1:$B$600,$B198)="","",INDEX('Master Database'!$B$1:$B$600,$B198)))</f>
        <v/>
      </c>
      <c r="E198" s="19" t="str">
        <f>IF($B198="","",IF(INDEX('Master Database'!$C$1:$C$600,$B198)="","",INDEX('Master Database'!$C$1:$C$600,$B198)))</f>
        <v/>
      </c>
      <c r="F198" s="19" t="str">
        <f>IF($B198="","",IF(INDEX('Master Database'!$D$1:$D$600,$B198)="","",INDEX('Master Database'!$D$1:$D$600,$B198)))</f>
        <v/>
      </c>
      <c r="G198" s="19" t="str">
        <f>IF($B198="","",IF(INDEX('Master Database'!$E$1:$E$600,$B198)="","",INDEX('Master Database'!$E$1:$E$600,$B198)))</f>
        <v/>
      </c>
      <c r="H198" s="19" t="str">
        <f>IF($B198="","",IF(INDEX('Master Database'!$F$1:$F$600,$B198)="","",INDEX('Master Database'!$F$1:$F$600,$B198)))</f>
        <v/>
      </c>
      <c r="I198" s="19" t="str">
        <f>IF($B198="","",IF(INDEX('Master Database'!$G$1:$G$600,$B198)="","",INDEX('Master Database'!$G$1:$G$600,$B198)))</f>
        <v/>
      </c>
      <c r="J198" s="46" t="str">
        <f>IF($B198="","",IF(INDEX('Master Database'!$H$1:$H$600,$B198)="","",INDEX('Master Database'!$H$1:$H$600,$B198)))</f>
        <v/>
      </c>
      <c r="K198" s="46" t="str">
        <f>IF($B198="","",IF(INDEX('Master Database'!$I$1:$I$600,$B198)="","",INDEX('Master Database'!$I$1:$I$600,$B198)))</f>
        <v/>
      </c>
      <c r="L198" s="46" t="str">
        <f>IF($B198="","",IF(INDEX('Master Database'!$K$1:$K$600,$B198)="","",INDEX('Master Database'!$K$1:$K$600,$B198)))</f>
        <v/>
      </c>
      <c r="M198" s="19" t="str">
        <f>IF($B198="","",IF(INDEX('Master Database'!$L$1:$L$600,$B198)="","",INDEX('Master Database'!$L$1:$L$600,$B198)))</f>
        <v/>
      </c>
      <c r="N198" s="19" t="str">
        <f>IF($B198="","",IF(INDEX('Master Database'!$P$1:$P$600,$B198)="","",INDEX('Master Database'!$P$1:$P$600,$B198)))</f>
        <v/>
      </c>
      <c r="O198" s="19" t="str">
        <f>IF($B198="","",IF(INDEX('Master Database'!$S$1:$S$600,$B198)="","",INDEX('Master Database'!$S$1:$S$600,$B198)))</f>
        <v/>
      </c>
      <c r="P198" s="19" t="str">
        <f>IF($B198="","",IF(INDEX('Master Database'!$T$1:$T$600,$B198)="","",INDEX('Master Database'!$T$1:$T$600,$B198)))</f>
        <v/>
      </c>
      <c r="Q198" s="19" t="str">
        <f>IF($B198="","",IF(INDEX('Master Database'!$Y$1:$Y$600,$B198)="","",INDEX('Master Database'!$Y$1:$Y$600,$B198)))</f>
        <v/>
      </c>
      <c r="R198" s="19" t="str">
        <f>IF($B198="","",IF(INDEX('Master Database'!$Z$1:$Z$600,$B198)="","",INDEX('Master Database'!$Z$1:$Z$600,$B198)))</f>
        <v/>
      </c>
      <c r="S198" s="47" t="str">
        <f>IF($B198="","",IF(INDEX('Master Database'!$AA$1:$AA$600,$B198)="","",INDEX('Master Database'!$AA$1:$AA$600,$B198)))</f>
        <v/>
      </c>
      <c r="T198" s="19" t="str">
        <f>IF($B198="","",IF(INDEX('Master Database'!$AE$1:$AE$600,$B198)="","",INDEX('Master Database'!$AE$1:$AE$600,$B198)))</f>
        <v/>
      </c>
      <c r="U198" s="47" t="str">
        <f>IF($B198="","",IF(INDEX('Master Database'!$AG$1:$AG$600,$B198)="","",INDEX('Master Database'!$AG$1:$AG$600,$B198)))</f>
        <v/>
      </c>
      <c r="V198" s="47" t="str">
        <f>IF($B198="","",IF(INDEX('Master Database'!$AH$1:$AH$600,$B198)="","",INDEX('Master Database'!$AH$1:$AH$600,$B198)))</f>
        <v/>
      </c>
      <c r="W198" s="47" t="str">
        <f>IF($B198="","",IF(INDEX('Master Database'!$AI$1:$AI$600,$B198)="","",INDEX('Master Database'!$AI$1:$AI$600,$B198)))</f>
        <v/>
      </c>
      <c r="X198" s="19" t="str">
        <f>IF($B198="","",IF(INDEX('Master Database'!$BG$1:$BG$600,$B198)="","",INDEX('Master Database'!$BG$1:$BG$600,$B198)))</f>
        <v/>
      </c>
      <c r="BA198">
        <f>IF('Master Database'!$A198="",0,IF(AND(OR($B$5="",ISNUMBER(SEARCH($B$5,'Master Database'!$B198&amp;" "&amp;'Master Database'!$D198))),OR($B$6="(All)",'Master Database'!$C198=$B$6),OR($B$7="(All)",'Master Database'!$E198=$B$7),OR($B$8="(All)",'Master Database'!$T198=$B$8),OR($B$9="(All)",'Master Database'!$M198=$B$9),OR($B$10="(All)",'Master Database'!$V198=$B$10),OR($E$5="(All)",'Master Database'!$F198=$E$5),OR($E$6="(All)",'Master Database'!$G198=$E$6),OR($E$7="(All)",'Master Database'!$O198=$E$7),OR($E$8="(All)",'Master Database'!$P198=$E$8),OR($E$9="(All)",'Master Database'!$S198=$E$9),OR($E$10="(All)",'Master Database'!$Y198&amp;""=$E$10&amp;""),OR($H$5="(All)",'Master Database'!$BG198=$H$5),OR($H$6&lt;&gt;"Y",ISNUMBER('Master Database'!$AG198)),OR($H$7="",AND(ISNUMBER('Master Database'!$H198),N('Master Database'!$H198)&gt;=$H$7)),OR($I$7="",AND(ISNUMBER('Master Database'!$H198),N('Master Database'!$H198)&lt;=$I$7)),OR($H$8="",AND(ISNUMBER('Master Database'!$I198),N('Master Database'!$I198)&gt;=$H$8)),OR($I$8="",AND(ISNUMBER('Master Database'!$I198),N('Master Database'!$I198)&lt;=$I$8)),OR($H$9="",AND(ISNUMBER('Master Database'!$K198),N('Master Database'!$K198)&gt;=$H$9)),OR($I$9="",AND(ISNUMBER('Master Database'!$K198),N('Master Database'!$K198)&lt;=$I$9))),1,0))</f>
        <v>0</v>
      </c>
      <c r="BB198" t="str">
        <f>IF(BA198=1,COUNTIF($BA$5:BA198,1),"")</f>
        <v/>
      </c>
    </row>
    <row r="199" spans="1:54">
      <c r="A199" s="20" t="str">
        <f>IF(184&lt;=SUM($BA$5:$BA$600),184,"")</f>
        <v/>
      </c>
      <c r="B199" s="20" t="str">
        <f t="shared" si="5"/>
        <v/>
      </c>
      <c r="C199" s="20" t="str">
        <f>IF($B199="","",IF(INDEX('Master Database'!$A$1:$A$600,$B199)="","",INDEX('Master Database'!$A$1:$A$600,$B199)))</f>
        <v/>
      </c>
      <c r="D199" s="19" t="str">
        <f>IF($B199="","",IF(INDEX('Master Database'!$B$1:$B$600,$B199)="","",INDEX('Master Database'!$B$1:$B$600,$B199)))</f>
        <v/>
      </c>
      <c r="E199" s="19" t="str">
        <f>IF($B199="","",IF(INDEX('Master Database'!$C$1:$C$600,$B199)="","",INDEX('Master Database'!$C$1:$C$600,$B199)))</f>
        <v/>
      </c>
      <c r="F199" s="19" t="str">
        <f>IF($B199="","",IF(INDEX('Master Database'!$D$1:$D$600,$B199)="","",INDEX('Master Database'!$D$1:$D$600,$B199)))</f>
        <v/>
      </c>
      <c r="G199" s="19" t="str">
        <f>IF($B199="","",IF(INDEX('Master Database'!$E$1:$E$600,$B199)="","",INDEX('Master Database'!$E$1:$E$600,$B199)))</f>
        <v/>
      </c>
      <c r="H199" s="19" t="str">
        <f>IF($B199="","",IF(INDEX('Master Database'!$F$1:$F$600,$B199)="","",INDEX('Master Database'!$F$1:$F$600,$B199)))</f>
        <v/>
      </c>
      <c r="I199" s="19" t="str">
        <f>IF($B199="","",IF(INDEX('Master Database'!$G$1:$G$600,$B199)="","",INDEX('Master Database'!$G$1:$G$600,$B199)))</f>
        <v/>
      </c>
      <c r="J199" s="46" t="str">
        <f>IF($B199="","",IF(INDEX('Master Database'!$H$1:$H$600,$B199)="","",INDEX('Master Database'!$H$1:$H$600,$B199)))</f>
        <v/>
      </c>
      <c r="K199" s="46" t="str">
        <f>IF($B199="","",IF(INDEX('Master Database'!$I$1:$I$600,$B199)="","",INDEX('Master Database'!$I$1:$I$600,$B199)))</f>
        <v/>
      </c>
      <c r="L199" s="46" t="str">
        <f>IF($B199="","",IF(INDEX('Master Database'!$K$1:$K$600,$B199)="","",INDEX('Master Database'!$K$1:$K$600,$B199)))</f>
        <v/>
      </c>
      <c r="M199" s="19" t="str">
        <f>IF($B199="","",IF(INDEX('Master Database'!$L$1:$L$600,$B199)="","",INDEX('Master Database'!$L$1:$L$600,$B199)))</f>
        <v/>
      </c>
      <c r="N199" s="19" t="str">
        <f>IF($B199="","",IF(INDEX('Master Database'!$P$1:$P$600,$B199)="","",INDEX('Master Database'!$P$1:$P$600,$B199)))</f>
        <v/>
      </c>
      <c r="O199" s="19" t="str">
        <f>IF($B199="","",IF(INDEX('Master Database'!$S$1:$S$600,$B199)="","",INDEX('Master Database'!$S$1:$S$600,$B199)))</f>
        <v/>
      </c>
      <c r="P199" s="19" t="str">
        <f>IF($B199="","",IF(INDEX('Master Database'!$T$1:$T$600,$B199)="","",INDEX('Master Database'!$T$1:$T$600,$B199)))</f>
        <v/>
      </c>
      <c r="Q199" s="19" t="str">
        <f>IF($B199="","",IF(INDEX('Master Database'!$Y$1:$Y$600,$B199)="","",INDEX('Master Database'!$Y$1:$Y$600,$B199)))</f>
        <v/>
      </c>
      <c r="R199" s="19" t="str">
        <f>IF($B199="","",IF(INDEX('Master Database'!$Z$1:$Z$600,$B199)="","",INDEX('Master Database'!$Z$1:$Z$600,$B199)))</f>
        <v/>
      </c>
      <c r="S199" s="47" t="str">
        <f>IF($B199="","",IF(INDEX('Master Database'!$AA$1:$AA$600,$B199)="","",INDEX('Master Database'!$AA$1:$AA$600,$B199)))</f>
        <v/>
      </c>
      <c r="T199" s="19" t="str">
        <f>IF($B199="","",IF(INDEX('Master Database'!$AE$1:$AE$600,$B199)="","",INDEX('Master Database'!$AE$1:$AE$600,$B199)))</f>
        <v/>
      </c>
      <c r="U199" s="47" t="str">
        <f>IF($B199="","",IF(INDEX('Master Database'!$AG$1:$AG$600,$B199)="","",INDEX('Master Database'!$AG$1:$AG$600,$B199)))</f>
        <v/>
      </c>
      <c r="V199" s="47" t="str">
        <f>IF($B199="","",IF(INDEX('Master Database'!$AH$1:$AH$600,$B199)="","",INDEX('Master Database'!$AH$1:$AH$600,$B199)))</f>
        <v/>
      </c>
      <c r="W199" s="47" t="str">
        <f>IF($B199="","",IF(INDEX('Master Database'!$AI$1:$AI$600,$B199)="","",INDEX('Master Database'!$AI$1:$AI$600,$B199)))</f>
        <v/>
      </c>
      <c r="X199" s="19" t="str">
        <f>IF($B199="","",IF(INDEX('Master Database'!$BG$1:$BG$600,$B199)="","",INDEX('Master Database'!$BG$1:$BG$600,$B199)))</f>
        <v/>
      </c>
      <c r="BA199">
        <f>IF('Master Database'!$A199="",0,IF(AND(OR($B$5="",ISNUMBER(SEARCH($B$5,'Master Database'!$B199&amp;" "&amp;'Master Database'!$D199))),OR($B$6="(All)",'Master Database'!$C199=$B$6),OR($B$7="(All)",'Master Database'!$E199=$B$7),OR($B$8="(All)",'Master Database'!$T199=$B$8),OR($B$9="(All)",'Master Database'!$M199=$B$9),OR($B$10="(All)",'Master Database'!$V199=$B$10),OR($E$5="(All)",'Master Database'!$F199=$E$5),OR($E$6="(All)",'Master Database'!$G199=$E$6),OR($E$7="(All)",'Master Database'!$O199=$E$7),OR($E$8="(All)",'Master Database'!$P199=$E$8),OR($E$9="(All)",'Master Database'!$S199=$E$9),OR($E$10="(All)",'Master Database'!$Y199&amp;""=$E$10&amp;""),OR($H$5="(All)",'Master Database'!$BG199=$H$5),OR($H$6&lt;&gt;"Y",ISNUMBER('Master Database'!$AG199)),OR($H$7="",AND(ISNUMBER('Master Database'!$H199),N('Master Database'!$H199)&gt;=$H$7)),OR($I$7="",AND(ISNUMBER('Master Database'!$H199),N('Master Database'!$H199)&lt;=$I$7)),OR($H$8="",AND(ISNUMBER('Master Database'!$I199),N('Master Database'!$I199)&gt;=$H$8)),OR($I$8="",AND(ISNUMBER('Master Database'!$I199),N('Master Database'!$I199)&lt;=$I$8)),OR($H$9="",AND(ISNUMBER('Master Database'!$K199),N('Master Database'!$K199)&gt;=$H$9)),OR($I$9="",AND(ISNUMBER('Master Database'!$K199),N('Master Database'!$K199)&lt;=$I$9))),1,0))</f>
        <v>0</v>
      </c>
      <c r="BB199" t="str">
        <f>IF(BA199=1,COUNTIF($BA$5:BA199,1),"")</f>
        <v/>
      </c>
    </row>
    <row r="200" spans="1:54">
      <c r="A200" s="20" t="str">
        <f>IF(185&lt;=SUM($BA$5:$BA$600),185,"")</f>
        <v/>
      </c>
      <c r="B200" s="20" t="str">
        <f t="shared" si="5"/>
        <v/>
      </c>
      <c r="C200" s="20" t="str">
        <f>IF($B200="","",IF(INDEX('Master Database'!$A$1:$A$600,$B200)="","",INDEX('Master Database'!$A$1:$A$600,$B200)))</f>
        <v/>
      </c>
      <c r="D200" s="19" t="str">
        <f>IF($B200="","",IF(INDEX('Master Database'!$B$1:$B$600,$B200)="","",INDEX('Master Database'!$B$1:$B$600,$B200)))</f>
        <v/>
      </c>
      <c r="E200" s="19" t="str">
        <f>IF($B200="","",IF(INDEX('Master Database'!$C$1:$C$600,$B200)="","",INDEX('Master Database'!$C$1:$C$600,$B200)))</f>
        <v/>
      </c>
      <c r="F200" s="19" t="str">
        <f>IF($B200="","",IF(INDEX('Master Database'!$D$1:$D$600,$B200)="","",INDEX('Master Database'!$D$1:$D$600,$B200)))</f>
        <v/>
      </c>
      <c r="G200" s="19" t="str">
        <f>IF($B200="","",IF(INDEX('Master Database'!$E$1:$E$600,$B200)="","",INDEX('Master Database'!$E$1:$E$600,$B200)))</f>
        <v/>
      </c>
      <c r="H200" s="19" t="str">
        <f>IF($B200="","",IF(INDEX('Master Database'!$F$1:$F$600,$B200)="","",INDEX('Master Database'!$F$1:$F$600,$B200)))</f>
        <v/>
      </c>
      <c r="I200" s="19" t="str">
        <f>IF($B200="","",IF(INDEX('Master Database'!$G$1:$G$600,$B200)="","",INDEX('Master Database'!$G$1:$G$600,$B200)))</f>
        <v/>
      </c>
      <c r="J200" s="46" t="str">
        <f>IF($B200="","",IF(INDEX('Master Database'!$H$1:$H$600,$B200)="","",INDEX('Master Database'!$H$1:$H$600,$B200)))</f>
        <v/>
      </c>
      <c r="K200" s="46" t="str">
        <f>IF($B200="","",IF(INDEX('Master Database'!$I$1:$I$600,$B200)="","",INDEX('Master Database'!$I$1:$I$600,$B200)))</f>
        <v/>
      </c>
      <c r="L200" s="46" t="str">
        <f>IF($B200="","",IF(INDEX('Master Database'!$K$1:$K$600,$B200)="","",INDEX('Master Database'!$K$1:$K$600,$B200)))</f>
        <v/>
      </c>
      <c r="M200" s="19" t="str">
        <f>IF($B200="","",IF(INDEX('Master Database'!$L$1:$L$600,$B200)="","",INDEX('Master Database'!$L$1:$L$600,$B200)))</f>
        <v/>
      </c>
      <c r="N200" s="19" t="str">
        <f>IF($B200="","",IF(INDEX('Master Database'!$P$1:$P$600,$B200)="","",INDEX('Master Database'!$P$1:$P$600,$B200)))</f>
        <v/>
      </c>
      <c r="O200" s="19" t="str">
        <f>IF($B200="","",IF(INDEX('Master Database'!$S$1:$S$600,$B200)="","",INDEX('Master Database'!$S$1:$S$600,$B200)))</f>
        <v/>
      </c>
      <c r="P200" s="19" t="str">
        <f>IF($B200="","",IF(INDEX('Master Database'!$T$1:$T$600,$B200)="","",INDEX('Master Database'!$T$1:$T$600,$B200)))</f>
        <v/>
      </c>
      <c r="Q200" s="19" t="str">
        <f>IF($B200="","",IF(INDEX('Master Database'!$Y$1:$Y$600,$B200)="","",INDEX('Master Database'!$Y$1:$Y$600,$B200)))</f>
        <v/>
      </c>
      <c r="R200" s="19" t="str">
        <f>IF($B200="","",IF(INDEX('Master Database'!$Z$1:$Z$600,$B200)="","",INDEX('Master Database'!$Z$1:$Z$600,$B200)))</f>
        <v/>
      </c>
      <c r="S200" s="47" t="str">
        <f>IF($B200="","",IF(INDEX('Master Database'!$AA$1:$AA$600,$B200)="","",INDEX('Master Database'!$AA$1:$AA$600,$B200)))</f>
        <v/>
      </c>
      <c r="T200" s="19" t="str">
        <f>IF($B200="","",IF(INDEX('Master Database'!$AE$1:$AE$600,$B200)="","",INDEX('Master Database'!$AE$1:$AE$600,$B200)))</f>
        <v/>
      </c>
      <c r="U200" s="47" t="str">
        <f>IF($B200="","",IF(INDEX('Master Database'!$AG$1:$AG$600,$B200)="","",INDEX('Master Database'!$AG$1:$AG$600,$B200)))</f>
        <v/>
      </c>
      <c r="V200" s="47" t="str">
        <f>IF($B200="","",IF(INDEX('Master Database'!$AH$1:$AH$600,$B200)="","",INDEX('Master Database'!$AH$1:$AH$600,$B200)))</f>
        <v/>
      </c>
      <c r="W200" s="47" t="str">
        <f>IF($B200="","",IF(INDEX('Master Database'!$AI$1:$AI$600,$B200)="","",INDEX('Master Database'!$AI$1:$AI$600,$B200)))</f>
        <v/>
      </c>
      <c r="X200" s="19" t="str">
        <f>IF($B200="","",IF(INDEX('Master Database'!$BG$1:$BG$600,$B200)="","",INDEX('Master Database'!$BG$1:$BG$600,$B200)))</f>
        <v/>
      </c>
      <c r="BA200">
        <f>IF('Master Database'!$A200="",0,IF(AND(OR($B$5="",ISNUMBER(SEARCH($B$5,'Master Database'!$B200&amp;" "&amp;'Master Database'!$D200))),OR($B$6="(All)",'Master Database'!$C200=$B$6),OR($B$7="(All)",'Master Database'!$E200=$B$7),OR($B$8="(All)",'Master Database'!$T200=$B$8),OR($B$9="(All)",'Master Database'!$M200=$B$9),OR($B$10="(All)",'Master Database'!$V200=$B$10),OR($E$5="(All)",'Master Database'!$F200=$E$5),OR($E$6="(All)",'Master Database'!$G200=$E$6),OR($E$7="(All)",'Master Database'!$O200=$E$7),OR($E$8="(All)",'Master Database'!$P200=$E$8),OR($E$9="(All)",'Master Database'!$S200=$E$9),OR($E$10="(All)",'Master Database'!$Y200&amp;""=$E$10&amp;""),OR($H$5="(All)",'Master Database'!$BG200=$H$5),OR($H$6&lt;&gt;"Y",ISNUMBER('Master Database'!$AG200)),OR($H$7="",AND(ISNUMBER('Master Database'!$H200),N('Master Database'!$H200)&gt;=$H$7)),OR($I$7="",AND(ISNUMBER('Master Database'!$H200),N('Master Database'!$H200)&lt;=$I$7)),OR($H$8="",AND(ISNUMBER('Master Database'!$I200),N('Master Database'!$I200)&gt;=$H$8)),OR($I$8="",AND(ISNUMBER('Master Database'!$I200),N('Master Database'!$I200)&lt;=$I$8)),OR($H$9="",AND(ISNUMBER('Master Database'!$K200),N('Master Database'!$K200)&gt;=$H$9)),OR($I$9="",AND(ISNUMBER('Master Database'!$K200),N('Master Database'!$K200)&lt;=$I$9))),1,0))</f>
        <v>0</v>
      </c>
      <c r="BB200" t="str">
        <f>IF(BA200=1,COUNTIF($BA$5:BA200,1),"")</f>
        <v/>
      </c>
    </row>
    <row r="201" spans="1:54">
      <c r="A201" s="20" t="str">
        <f>IF(186&lt;=SUM($BA$5:$BA$600),186,"")</f>
        <v/>
      </c>
      <c r="B201" s="20" t="str">
        <f t="shared" si="5"/>
        <v/>
      </c>
      <c r="C201" s="20" t="str">
        <f>IF($B201="","",IF(INDEX('Master Database'!$A$1:$A$600,$B201)="","",INDEX('Master Database'!$A$1:$A$600,$B201)))</f>
        <v/>
      </c>
      <c r="D201" s="19" t="str">
        <f>IF($B201="","",IF(INDEX('Master Database'!$B$1:$B$600,$B201)="","",INDEX('Master Database'!$B$1:$B$600,$B201)))</f>
        <v/>
      </c>
      <c r="E201" s="19" t="str">
        <f>IF($B201="","",IF(INDEX('Master Database'!$C$1:$C$600,$B201)="","",INDEX('Master Database'!$C$1:$C$600,$B201)))</f>
        <v/>
      </c>
      <c r="F201" s="19" t="str">
        <f>IF($B201="","",IF(INDEX('Master Database'!$D$1:$D$600,$B201)="","",INDEX('Master Database'!$D$1:$D$600,$B201)))</f>
        <v/>
      </c>
      <c r="G201" s="19" t="str">
        <f>IF($B201="","",IF(INDEX('Master Database'!$E$1:$E$600,$B201)="","",INDEX('Master Database'!$E$1:$E$600,$B201)))</f>
        <v/>
      </c>
      <c r="H201" s="19" t="str">
        <f>IF($B201="","",IF(INDEX('Master Database'!$F$1:$F$600,$B201)="","",INDEX('Master Database'!$F$1:$F$600,$B201)))</f>
        <v/>
      </c>
      <c r="I201" s="19" t="str">
        <f>IF($B201="","",IF(INDEX('Master Database'!$G$1:$G$600,$B201)="","",INDEX('Master Database'!$G$1:$G$600,$B201)))</f>
        <v/>
      </c>
      <c r="J201" s="46" t="str">
        <f>IF($B201="","",IF(INDEX('Master Database'!$H$1:$H$600,$B201)="","",INDEX('Master Database'!$H$1:$H$600,$B201)))</f>
        <v/>
      </c>
      <c r="K201" s="46" t="str">
        <f>IF($B201="","",IF(INDEX('Master Database'!$I$1:$I$600,$B201)="","",INDEX('Master Database'!$I$1:$I$600,$B201)))</f>
        <v/>
      </c>
      <c r="L201" s="46" t="str">
        <f>IF($B201="","",IF(INDEX('Master Database'!$K$1:$K$600,$B201)="","",INDEX('Master Database'!$K$1:$K$600,$B201)))</f>
        <v/>
      </c>
      <c r="M201" s="19" t="str">
        <f>IF($B201="","",IF(INDEX('Master Database'!$L$1:$L$600,$B201)="","",INDEX('Master Database'!$L$1:$L$600,$B201)))</f>
        <v/>
      </c>
      <c r="N201" s="19" t="str">
        <f>IF($B201="","",IF(INDEX('Master Database'!$P$1:$P$600,$B201)="","",INDEX('Master Database'!$P$1:$P$600,$B201)))</f>
        <v/>
      </c>
      <c r="O201" s="19" t="str">
        <f>IF($B201="","",IF(INDEX('Master Database'!$S$1:$S$600,$B201)="","",INDEX('Master Database'!$S$1:$S$600,$B201)))</f>
        <v/>
      </c>
      <c r="P201" s="19" t="str">
        <f>IF($B201="","",IF(INDEX('Master Database'!$T$1:$T$600,$B201)="","",INDEX('Master Database'!$T$1:$T$600,$B201)))</f>
        <v/>
      </c>
      <c r="Q201" s="19" t="str">
        <f>IF($B201="","",IF(INDEX('Master Database'!$Y$1:$Y$600,$B201)="","",INDEX('Master Database'!$Y$1:$Y$600,$B201)))</f>
        <v/>
      </c>
      <c r="R201" s="19" t="str">
        <f>IF($B201="","",IF(INDEX('Master Database'!$Z$1:$Z$600,$B201)="","",INDEX('Master Database'!$Z$1:$Z$600,$B201)))</f>
        <v/>
      </c>
      <c r="S201" s="47" t="str">
        <f>IF($B201="","",IF(INDEX('Master Database'!$AA$1:$AA$600,$B201)="","",INDEX('Master Database'!$AA$1:$AA$600,$B201)))</f>
        <v/>
      </c>
      <c r="T201" s="19" t="str">
        <f>IF($B201="","",IF(INDEX('Master Database'!$AE$1:$AE$600,$B201)="","",INDEX('Master Database'!$AE$1:$AE$600,$B201)))</f>
        <v/>
      </c>
      <c r="U201" s="47" t="str">
        <f>IF($B201="","",IF(INDEX('Master Database'!$AG$1:$AG$600,$B201)="","",INDEX('Master Database'!$AG$1:$AG$600,$B201)))</f>
        <v/>
      </c>
      <c r="V201" s="47" t="str">
        <f>IF($B201="","",IF(INDEX('Master Database'!$AH$1:$AH$600,$B201)="","",INDEX('Master Database'!$AH$1:$AH$600,$B201)))</f>
        <v/>
      </c>
      <c r="W201" s="47" t="str">
        <f>IF($B201="","",IF(INDEX('Master Database'!$AI$1:$AI$600,$B201)="","",INDEX('Master Database'!$AI$1:$AI$600,$B201)))</f>
        <v/>
      </c>
      <c r="X201" s="19" t="str">
        <f>IF($B201="","",IF(INDEX('Master Database'!$BG$1:$BG$600,$B201)="","",INDEX('Master Database'!$BG$1:$BG$600,$B201)))</f>
        <v/>
      </c>
      <c r="BA201">
        <f>IF('Master Database'!$A201="",0,IF(AND(OR($B$5="",ISNUMBER(SEARCH($B$5,'Master Database'!$B201&amp;" "&amp;'Master Database'!$D201))),OR($B$6="(All)",'Master Database'!$C201=$B$6),OR($B$7="(All)",'Master Database'!$E201=$B$7),OR($B$8="(All)",'Master Database'!$T201=$B$8),OR($B$9="(All)",'Master Database'!$M201=$B$9),OR($B$10="(All)",'Master Database'!$V201=$B$10),OR($E$5="(All)",'Master Database'!$F201=$E$5),OR($E$6="(All)",'Master Database'!$G201=$E$6),OR($E$7="(All)",'Master Database'!$O201=$E$7),OR($E$8="(All)",'Master Database'!$P201=$E$8),OR($E$9="(All)",'Master Database'!$S201=$E$9),OR($E$10="(All)",'Master Database'!$Y201&amp;""=$E$10&amp;""),OR($H$5="(All)",'Master Database'!$BG201=$H$5),OR($H$6&lt;&gt;"Y",ISNUMBER('Master Database'!$AG201)),OR($H$7="",AND(ISNUMBER('Master Database'!$H201),N('Master Database'!$H201)&gt;=$H$7)),OR($I$7="",AND(ISNUMBER('Master Database'!$H201),N('Master Database'!$H201)&lt;=$I$7)),OR($H$8="",AND(ISNUMBER('Master Database'!$I201),N('Master Database'!$I201)&gt;=$H$8)),OR($I$8="",AND(ISNUMBER('Master Database'!$I201),N('Master Database'!$I201)&lt;=$I$8)),OR($H$9="",AND(ISNUMBER('Master Database'!$K201),N('Master Database'!$K201)&gt;=$H$9)),OR($I$9="",AND(ISNUMBER('Master Database'!$K201),N('Master Database'!$K201)&lt;=$I$9))),1,0))</f>
        <v>0</v>
      </c>
      <c r="BB201" t="str">
        <f>IF(BA201=1,COUNTIF($BA$5:BA201,1),"")</f>
        <v/>
      </c>
    </row>
    <row r="202" spans="1:54">
      <c r="A202" s="20" t="str">
        <f>IF(187&lt;=SUM($BA$5:$BA$600),187,"")</f>
        <v/>
      </c>
      <c r="B202" s="20" t="str">
        <f t="shared" si="5"/>
        <v/>
      </c>
      <c r="C202" s="20" t="str">
        <f>IF($B202="","",IF(INDEX('Master Database'!$A$1:$A$600,$B202)="","",INDEX('Master Database'!$A$1:$A$600,$B202)))</f>
        <v/>
      </c>
      <c r="D202" s="19" t="str">
        <f>IF($B202="","",IF(INDEX('Master Database'!$B$1:$B$600,$B202)="","",INDEX('Master Database'!$B$1:$B$600,$B202)))</f>
        <v/>
      </c>
      <c r="E202" s="19" t="str">
        <f>IF($B202="","",IF(INDEX('Master Database'!$C$1:$C$600,$B202)="","",INDEX('Master Database'!$C$1:$C$600,$B202)))</f>
        <v/>
      </c>
      <c r="F202" s="19" t="str">
        <f>IF($B202="","",IF(INDEX('Master Database'!$D$1:$D$600,$B202)="","",INDEX('Master Database'!$D$1:$D$600,$B202)))</f>
        <v/>
      </c>
      <c r="G202" s="19" t="str">
        <f>IF($B202="","",IF(INDEX('Master Database'!$E$1:$E$600,$B202)="","",INDEX('Master Database'!$E$1:$E$600,$B202)))</f>
        <v/>
      </c>
      <c r="H202" s="19" t="str">
        <f>IF($B202="","",IF(INDEX('Master Database'!$F$1:$F$600,$B202)="","",INDEX('Master Database'!$F$1:$F$600,$B202)))</f>
        <v/>
      </c>
      <c r="I202" s="19" t="str">
        <f>IF($B202="","",IF(INDEX('Master Database'!$G$1:$G$600,$B202)="","",INDEX('Master Database'!$G$1:$G$600,$B202)))</f>
        <v/>
      </c>
      <c r="J202" s="46" t="str">
        <f>IF($B202="","",IF(INDEX('Master Database'!$H$1:$H$600,$B202)="","",INDEX('Master Database'!$H$1:$H$600,$B202)))</f>
        <v/>
      </c>
      <c r="K202" s="46" t="str">
        <f>IF($B202="","",IF(INDEX('Master Database'!$I$1:$I$600,$B202)="","",INDEX('Master Database'!$I$1:$I$600,$B202)))</f>
        <v/>
      </c>
      <c r="L202" s="46" t="str">
        <f>IF($B202="","",IF(INDEX('Master Database'!$K$1:$K$600,$B202)="","",INDEX('Master Database'!$K$1:$K$600,$B202)))</f>
        <v/>
      </c>
      <c r="M202" s="19" t="str">
        <f>IF($B202="","",IF(INDEX('Master Database'!$L$1:$L$600,$B202)="","",INDEX('Master Database'!$L$1:$L$600,$B202)))</f>
        <v/>
      </c>
      <c r="N202" s="19" t="str">
        <f>IF($B202="","",IF(INDEX('Master Database'!$P$1:$P$600,$B202)="","",INDEX('Master Database'!$P$1:$P$600,$B202)))</f>
        <v/>
      </c>
      <c r="O202" s="19" t="str">
        <f>IF($B202="","",IF(INDEX('Master Database'!$S$1:$S$600,$B202)="","",INDEX('Master Database'!$S$1:$S$600,$B202)))</f>
        <v/>
      </c>
      <c r="P202" s="19" t="str">
        <f>IF($B202="","",IF(INDEX('Master Database'!$T$1:$T$600,$B202)="","",INDEX('Master Database'!$T$1:$T$600,$B202)))</f>
        <v/>
      </c>
      <c r="Q202" s="19" t="str">
        <f>IF($B202="","",IF(INDEX('Master Database'!$Y$1:$Y$600,$B202)="","",INDEX('Master Database'!$Y$1:$Y$600,$B202)))</f>
        <v/>
      </c>
      <c r="R202" s="19" t="str">
        <f>IF($B202="","",IF(INDEX('Master Database'!$Z$1:$Z$600,$B202)="","",INDEX('Master Database'!$Z$1:$Z$600,$B202)))</f>
        <v/>
      </c>
      <c r="S202" s="47" t="str">
        <f>IF($B202="","",IF(INDEX('Master Database'!$AA$1:$AA$600,$B202)="","",INDEX('Master Database'!$AA$1:$AA$600,$B202)))</f>
        <v/>
      </c>
      <c r="T202" s="19" t="str">
        <f>IF($B202="","",IF(INDEX('Master Database'!$AE$1:$AE$600,$B202)="","",INDEX('Master Database'!$AE$1:$AE$600,$B202)))</f>
        <v/>
      </c>
      <c r="U202" s="47" t="str">
        <f>IF($B202="","",IF(INDEX('Master Database'!$AG$1:$AG$600,$B202)="","",INDEX('Master Database'!$AG$1:$AG$600,$B202)))</f>
        <v/>
      </c>
      <c r="V202" s="47" t="str">
        <f>IF($B202="","",IF(INDEX('Master Database'!$AH$1:$AH$600,$B202)="","",INDEX('Master Database'!$AH$1:$AH$600,$B202)))</f>
        <v/>
      </c>
      <c r="W202" s="47" t="str">
        <f>IF($B202="","",IF(INDEX('Master Database'!$AI$1:$AI$600,$B202)="","",INDEX('Master Database'!$AI$1:$AI$600,$B202)))</f>
        <v/>
      </c>
      <c r="X202" s="19" t="str">
        <f>IF($B202="","",IF(INDEX('Master Database'!$BG$1:$BG$600,$B202)="","",INDEX('Master Database'!$BG$1:$BG$600,$B202)))</f>
        <v/>
      </c>
      <c r="BA202">
        <f>IF('Master Database'!$A202="",0,IF(AND(OR($B$5="",ISNUMBER(SEARCH($B$5,'Master Database'!$B202&amp;" "&amp;'Master Database'!$D202))),OR($B$6="(All)",'Master Database'!$C202=$B$6),OR($B$7="(All)",'Master Database'!$E202=$B$7),OR($B$8="(All)",'Master Database'!$T202=$B$8),OR($B$9="(All)",'Master Database'!$M202=$B$9),OR($B$10="(All)",'Master Database'!$V202=$B$10),OR($E$5="(All)",'Master Database'!$F202=$E$5),OR($E$6="(All)",'Master Database'!$G202=$E$6),OR($E$7="(All)",'Master Database'!$O202=$E$7),OR($E$8="(All)",'Master Database'!$P202=$E$8),OR($E$9="(All)",'Master Database'!$S202=$E$9),OR($E$10="(All)",'Master Database'!$Y202&amp;""=$E$10&amp;""),OR($H$5="(All)",'Master Database'!$BG202=$H$5),OR($H$6&lt;&gt;"Y",ISNUMBER('Master Database'!$AG202)),OR($H$7="",AND(ISNUMBER('Master Database'!$H202),N('Master Database'!$H202)&gt;=$H$7)),OR($I$7="",AND(ISNUMBER('Master Database'!$H202),N('Master Database'!$H202)&lt;=$I$7)),OR($H$8="",AND(ISNUMBER('Master Database'!$I202),N('Master Database'!$I202)&gt;=$H$8)),OR($I$8="",AND(ISNUMBER('Master Database'!$I202),N('Master Database'!$I202)&lt;=$I$8)),OR($H$9="",AND(ISNUMBER('Master Database'!$K202),N('Master Database'!$K202)&gt;=$H$9)),OR($I$9="",AND(ISNUMBER('Master Database'!$K202),N('Master Database'!$K202)&lt;=$I$9))),1,0))</f>
        <v>0</v>
      </c>
      <c r="BB202" t="str">
        <f>IF(BA202=1,COUNTIF($BA$5:BA202,1),"")</f>
        <v/>
      </c>
    </row>
    <row r="203" spans="1:54">
      <c r="A203" s="20" t="str">
        <f>IF(188&lt;=SUM($BA$5:$BA$600),188,"")</f>
        <v/>
      </c>
      <c r="B203" s="20" t="str">
        <f t="shared" si="5"/>
        <v/>
      </c>
      <c r="C203" s="20" t="str">
        <f>IF($B203="","",IF(INDEX('Master Database'!$A$1:$A$600,$B203)="","",INDEX('Master Database'!$A$1:$A$600,$B203)))</f>
        <v/>
      </c>
      <c r="D203" s="19" t="str">
        <f>IF($B203="","",IF(INDEX('Master Database'!$B$1:$B$600,$B203)="","",INDEX('Master Database'!$B$1:$B$600,$B203)))</f>
        <v/>
      </c>
      <c r="E203" s="19" t="str">
        <f>IF($B203="","",IF(INDEX('Master Database'!$C$1:$C$600,$B203)="","",INDEX('Master Database'!$C$1:$C$600,$B203)))</f>
        <v/>
      </c>
      <c r="F203" s="19" t="str">
        <f>IF($B203="","",IF(INDEX('Master Database'!$D$1:$D$600,$B203)="","",INDEX('Master Database'!$D$1:$D$600,$B203)))</f>
        <v/>
      </c>
      <c r="G203" s="19" t="str">
        <f>IF($B203="","",IF(INDEX('Master Database'!$E$1:$E$600,$B203)="","",INDEX('Master Database'!$E$1:$E$600,$B203)))</f>
        <v/>
      </c>
      <c r="H203" s="19" t="str">
        <f>IF($B203="","",IF(INDEX('Master Database'!$F$1:$F$600,$B203)="","",INDEX('Master Database'!$F$1:$F$600,$B203)))</f>
        <v/>
      </c>
      <c r="I203" s="19" t="str">
        <f>IF($B203="","",IF(INDEX('Master Database'!$G$1:$G$600,$B203)="","",INDEX('Master Database'!$G$1:$G$600,$B203)))</f>
        <v/>
      </c>
      <c r="J203" s="46" t="str">
        <f>IF($B203="","",IF(INDEX('Master Database'!$H$1:$H$600,$B203)="","",INDEX('Master Database'!$H$1:$H$600,$B203)))</f>
        <v/>
      </c>
      <c r="K203" s="46" t="str">
        <f>IF($B203="","",IF(INDEX('Master Database'!$I$1:$I$600,$B203)="","",INDEX('Master Database'!$I$1:$I$600,$B203)))</f>
        <v/>
      </c>
      <c r="L203" s="46" t="str">
        <f>IF($B203="","",IF(INDEX('Master Database'!$K$1:$K$600,$B203)="","",INDEX('Master Database'!$K$1:$K$600,$B203)))</f>
        <v/>
      </c>
      <c r="M203" s="19" t="str">
        <f>IF($B203="","",IF(INDEX('Master Database'!$L$1:$L$600,$B203)="","",INDEX('Master Database'!$L$1:$L$600,$B203)))</f>
        <v/>
      </c>
      <c r="N203" s="19" t="str">
        <f>IF($B203="","",IF(INDEX('Master Database'!$P$1:$P$600,$B203)="","",INDEX('Master Database'!$P$1:$P$600,$B203)))</f>
        <v/>
      </c>
      <c r="O203" s="19" t="str">
        <f>IF($B203="","",IF(INDEX('Master Database'!$S$1:$S$600,$B203)="","",INDEX('Master Database'!$S$1:$S$600,$B203)))</f>
        <v/>
      </c>
      <c r="P203" s="19" t="str">
        <f>IF($B203="","",IF(INDEX('Master Database'!$T$1:$T$600,$B203)="","",INDEX('Master Database'!$T$1:$T$600,$B203)))</f>
        <v/>
      </c>
      <c r="Q203" s="19" t="str">
        <f>IF($B203="","",IF(INDEX('Master Database'!$Y$1:$Y$600,$B203)="","",INDEX('Master Database'!$Y$1:$Y$600,$B203)))</f>
        <v/>
      </c>
      <c r="R203" s="19" t="str">
        <f>IF($B203="","",IF(INDEX('Master Database'!$Z$1:$Z$600,$B203)="","",INDEX('Master Database'!$Z$1:$Z$600,$B203)))</f>
        <v/>
      </c>
      <c r="S203" s="47" t="str">
        <f>IF($B203="","",IF(INDEX('Master Database'!$AA$1:$AA$600,$B203)="","",INDEX('Master Database'!$AA$1:$AA$600,$B203)))</f>
        <v/>
      </c>
      <c r="T203" s="19" t="str">
        <f>IF($B203="","",IF(INDEX('Master Database'!$AE$1:$AE$600,$B203)="","",INDEX('Master Database'!$AE$1:$AE$600,$B203)))</f>
        <v/>
      </c>
      <c r="U203" s="47" t="str">
        <f>IF($B203="","",IF(INDEX('Master Database'!$AG$1:$AG$600,$B203)="","",INDEX('Master Database'!$AG$1:$AG$600,$B203)))</f>
        <v/>
      </c>
      <c r="V203" s="47" t="str">
        <f>IF($B203="","",IF(INDEX('Master Database'!$AH$1:$AH$600,$B203)="","",INDEX('Master Database'!$AH$1:$AH$600,$B203)))</f>
        <v/>
      </c>
      <c r="W203" s="47" t="str">
        <f>IF($B203="","",IF(INDEX('Master Database'!$AI$1:$AI$600,$B203)="","",INDEX('Master Database'!$AI$1:$AI$600,$B203)))</f>
        <v/>
      </c>
      <c r="X203" s="19" t="str">
        <f>IF($B203="","",IF(INDEX('Master Database'!$BG$1:$BG$600,$B203)="","",INDEX('Master Database'!$BG$1:$BG$600,$B203)))</f>
        <v/>
      </c>
      <c r="BA203">
        <f>IF('Master Database'!$A203="",0,IF(AND(OR($B$5="",ISNUMBER(SEARCH($B$5,'Master Database'!$B203&amp;" "&amp;'Master Database'!$D203))),OR($B$6="(All)",'Master Database'!$C203=$B$6),OR($B$7="(All)",'Master Database'!$E203=$B$7),OR($B$8="(All)",'Master Database'!$T203=$B$8),OR($B$9="(All)",'Master Database'!$M203=$B$9),OR($B$10="(All)",'Master Database'!$V203=$B$10),OR($E$5="(All)",'Master Database'!$F203=$E$5),OR($E$6="(All)",'Master Database'!$G203=$E$6),OR($E$7="(All)",'Master Database'!$O203=$E$7),OR($E$8="(All)",'Master Database'!$P203=$E$8),OR($E$9="(All)",'Master Database'!$S203=$E$9),OR($E$10="(All)",'Master Database'!$Y203&amp;""=$E$10&amp;""),OR($H$5="(All)",'Master Database'!$BG203=$H$5),OR($H$6&lt;&gt;"Y",ISNUMBER('Master Database'!$AG203)),OR($H$7="",AND(ISNUMBER('Master Database'!$H203),N('Master Database'!$H203)&gt;=$H$7)),OR($I$7="",AND(ISNUMBER('Master Database'!$H203),N('Master Database'!$H203)&lt;=$I$7)),OR($H$8="",AND(ISNUMBER('Master Database'!$I203),N('Master Database'!$I203)&gt;=$H$8)),OR($I$8="",AND(ISNUMBER('Master Database'!$I203),N('Master Database'!$I203)&lt;=$I$8)),OR($H$9="",AND(ISNUMBER('Master Database'!$K203),N('Master Database'!$K203)&gt;=$H$9)),OR($I$9="",AND(ISNUMBER('Master Database'!$K203),N('Master Database'!$K203)&lt;=$I$9))),1,0))</f>
        <v>0</v>
      </c>
      <c r="BB203" t="str">
        <f>IF(BA203=1,COUNTIF($BA$5:BA203,1),"")</f>
        <v/>
      </c>
    </row>
    <row r="204" spans="1:54">
      <c r="A204" s="20" t="str">
        <f>IF(189&lt;=SUM($BA$5:$BA$600),189,"")</f>
        <v/>
      </c>
      <c r="B204" s="20" t="str">
        <f t="shared" si="5"/>
        <v/>
      </c>
      <c r="C204" s="20" t="str">
        <f>IF($B204="","",IF(INDEX('Master Database'!$A$1:$A$600,$B204)="","",INDEX('Master Database'!$A$1:$A$600,$B204)))</f>
        <v/>
      </c>
      <c r="D204" s="19" t="str">
        <f>IF($B204="","",IF(INDEX('Master Database'!$B$1:$B$600,$B204)="","",INDEX('Master Database'!$B$1:$B$600,$B204)))</f>
        <v/>
      </c>
      <c r="E204" s="19" t="str">
        <f>IF($B204="","",IF(INDEX('Master Database'!$C$1:$C$600,$B204)="","",INDEX('Master Database'!$C$1:$C$600,$B204)))</f>
        <v/>
      </c>
      <c r="F204" s="19" t="str">
        <f>IF($B204="","",IF(INDEX('Master Database'!$D$1:$D$600,$B204)="","",INDEX('Master Database'!$D$1:$D$600,$B204)))</f>
        <v/>
      </c>
      <c r="G204" s="19" t="str">
        <f>IF($B204="","",IF(INDEX('Master Database'!$E$1:$E$600,$B204)="","",INDEX('Master Database'!$E$1:$E$600,$B204)))</f>
        <v/>
      </c>
      <c r="H204" s="19" t="str">
        <f>IF($B204="","",IF(INDEX('Master Database'!$F$1:$F$600,$B204)="","",INDEX('Master Database'!$F$1:$F$600,$B204)))</f>
        <v/>
      </c>
      <c r="I204" s="19" t="str">
        <f>IF($B204="","",IF(INDEX('Master Database'!$G$1:$G$600,$B204)="","",INDEX('Master Database'!$G$1:$G$600,$B204)))</f>
        <v/>
      </c>
      <c r="J204" s="46" t="str">
        <f>IF($B204="","",IF(INDEX('Master Database'!$H$1:$H$600,$B204)="","",INDEX('Master Database'!$H$1:$H$600,$B204)))</f>
        <v/>
      </c>
      <c r="K204" s="46" t="str">
        <f>IF($B204="","",IF(INDEX('Master Database'!$I$1:$I$600,$B204)="","",INDEX('Master Database'!$I$1:$I$600,$B204)))</f>
        <v/>
      </c>
      <c r="L204" s="46" t="str">
        <f>IF($B204="","",IF(INDEX('Master Database'!$K$1:$K$600,$B204)="","",INDEX('Master Database'!$K$1:$K$600,$B204)))</f>
        <v/>
      </c>
      <c r="M204" s="19" t="str">
        <f>IF($B204="","",IF(INDEX('Master Database'!$L$1:$L$600,$B204)="","",INDEX('Master Database'!$L$1:$L$600,$B204)))</f>
        <v/>
      </c>
      <c r="N204" s="19" t="str">
        <f>IF($B204="","",IF(INDEX('Master Database'!$P$1:$P$600,$B204)="","",INDEX('Master Database'!$P$1:$P$600,$B204)))</f>
        <v/>
      </c>
      <c r="O204" s="19" t="str">
        <f>IF($B204="","",IF(INDEX('Master Database'!$S$1:$S$600,$B204)="","",INDEX('Master Database'!$S$1:$S$600,$B204)))</f>
        <v/>
      </c>
      <c r="P204" s="19" t="str">
        <f>IF($B204="","",IF(INDEX('Master Database'!$T$1:$T$600,$B204)="","",INDEX('Master Database'!$T$1:$T$600,$B204)))</f>
        <v/>
      </c>
      <c r="Q204" s="19" t="str">
        <f>IF($B204="","",IF(INDEX('Master Database'!$Y$1:$Y$600,$B204)="","",INDEX('Master Database'!$Y$1:$Y$600,$B204)))</f>
        <v/>
      </c>
      <c r="R204" s="19" t="str">
        <f>IF($B204="","",IF(INDEX('Master Database'!$Z$1:$Z$600,$B204)="","",INDEX('Master Database'!$Z$1:$Z$600,$B204)))</f>
        <v/>
      </c>
      <c r="S204" s="47" t="str">
        <f>IF($B204="","",IF(INDEX('Master Database'!$AA$1:$AA$600,$B204)="","",INDEX('Master Database'!$AA$1:$AA$600,$B204)))</f>
        <v/>
      </c>
      <c r="T204" s="19" t="str">
        <f>IF($B204="","",IF(INDEX('Master Database'!$AE$1:$AE$600,$B204)="","",INDEX('Master Database'!$AE$1:$AE$600,$B204)))</f>
        <v/>
      </c>
      <c r="U204" s="47" t="str">
        <f>IF($B204="","",IF(INDEX('Master Database'!$AG$1:$AG$600,$B204)="","",INDEX('Master Database'!$AG$1:$AG$600,$B204)))</f>
        <v/>
      </c>
      <c r="V204" s="47" t="str">
        <f>IF($B204="","",IF(INDEX('Master Database'!$AH$1:$AH$600,$B204)="","",INDEX('Master Database'!$AH$1:$AH$600,$B204)))</f>
        <v/>
      </c>
      <c r="W204" s="47" t="str">
        <f>IF($B204="","",IF(INDEX('Master Database'!$AI$1:$AI$600,$B204)="","",INDEX('Master Database'!$AI$1:$AI$600,$B204)))</f>
        <v/>
      </c>
      <c r="X204" s="19" t="str">
        <f>IF($B204="","",IF(INDEX('Master Database'!$BG$1:$BG$600,$B204)="","",INDEX('Master Database'!$BG$1:$BG$600,$B204)))</f>
        <v/>
      </c>
      <c r="BA204">
        <f>IF('Master Database'!$A204="",0,IF(AND(OR($B$5="",ISNUMBER(SEARCH($B$5,'Master Database'!$B204&amp;" "&amp;'Master Database'!$D204))),OR($B$6="(All)",'Master Database'!$C204=$B$6),OR($B$7="(All)",'Master Database'!$E204=$B$7),OR($B$8="(All)",'Master Database'!$T204=$B$8),OR($B$9="(All)",'Master Database'!$M204=$B$9),OR($B$10="(All)",'Master Database'!$V204=$B$10),OR($E$5="(All)",'Master Database'!$F204=$E$5),OR($E$6="(All)",'Master Database'!$G204=$E$6),OR($E$7="(All)",'Master Database'!$O204=$E$7),OR($E$8="(All)",'Master Database'!$P204=$E$8),OR($E$9="(All)",'Master Database'!$S204=$E$9),OR($E$10="(All)",'Master Database'!$Y204&amp;""=$E$10&amp;""),OR($H$5="(All)",'Master Database'!$BG204=$H$5),OR($H$6&lt;&gt;"Y",ISNUMBER('Master Database'!$AG204)),OR($H$7="",AND(ISNUMBER('Master Database'!$H204),N('Master Database'!$H204)&gt;=$H$7)),OR($I$7="",AND(ISNUMBER('Master Database'!$H204),N('Master Database'!$H204)&lt;=$I$7)),OR($H$8="",AND(ISNUMBER('Master Database'!$I204),N('Master Database'!$I204)&gt;=$H$8)),OR($I$8="",AND(ISNUMBER('Master Database'!$I204),N('Master Database'!$I204)&lt;=$I$8)),OR($H$9="",AND(ISNUMBER('Master Database'!$K204),N('Master Database'!$K204)&gt;=$H$9)),OR($I$9="",AND(ISNUMBER('Master Database'!$K204),N('Master Database'!$K204)&lt;=$I$9))),1,0))</f>
        <v>0</v>
      </c>
      <c r="BB204" t="str">
        <f>IF(BA204=1,COUNTIF($BA$5:BA204,1),"")</f>
        <v/>
      </c>
    </row>
    <row r="205" spans="1:54">
      <c r="A205" s="20" t="str">
        <f>IF(190&lt;=SUM($BA$5:$BA$600),190,"")</f>
        <v/>
      </c>
      <c r="B205" s="20" t="str">
        <f t="shared" si="5"/>
        <v/>
      </c>
      <c r="C205" s="20" t="str">
        <f>IF($B205="","",IF(INDEX('Master Database'!$A$1:$A$600,$B205)="","",INDEX('Master Database'!$A$1:$A$600,$B205)))</f>
        <v/>
      </c>
      <c r="D205" s="19" t="str">
        <f>IF($B205="","",IF(INDEX('Master Database'!$B$1:$B$600,$B205)="","",INDEX('Master Database'!$B$1:$B$600,$B205)))</f>
        <v/>
      </c>
      <c r="E205" s="19" t="str">
        <f>IF($B205="","",IF(INDEX('Master Database'!$C$1:$C$600,$B205)="","",INDEX('Master Database'!$C$1:$C$600,$B205)))</f>
        <v/>
      </c>
      <c r="F205" s="19" t="str">
        <f>IF($B205="","",IF(INDEX('Master Database'!$D$1:$D$600,$B205)="","",INDEX('Master Database'!$D$1:$D$600,$B205)))</f>
        <v/>
      </c>
      <c r="G205" s="19" t="str">
        <f>IF($B205="","",IF(INDEX('Master Database'!$E$1:$E$600,$B205)="","",INDEX('Master Database'!$E$1:$E$600,$B205)))</f>
        <v/>
      </c>
      <c r="H205" s="19" t="str">
        <f>IF($B205="","",IF(INDEX('Master Database'!$F$1:$F$600,$B205)="","",INDEX('Master Database'!$F$1:$F$600,$B205)))</f>
        <v/>
      </c>
      <c r="I205" s="19" t="str">
        <f>IF($B205="","",IF(INDEX('Master Database'!$G$1:$G$600,$B205)="","",INDEX('Master Database'!$G$1:$G$600,$B205)))</f>
        <v/>
      </c>
      <c r="J205" s="46" t="str">
        <f>IF($B205="","",IF(INDEX('Master Database'!$H$1:$H$600,$B205)="","",INDEX('Master Database'!$H$1:$H$600,$B205)))</f>
        <v/>
      </c>
      <c r="K205" s="46" t="str">
        <f>IF($B205="","",IF(INDEX('Master Database'!$I$1:$I$600,$B205)="","",INDEX('Master Database'!$I$1:$I$600,$B205)))</f>
        <v/>
      </c>
      <c r="L205" s="46" t="str">
        <f>IF($B205="","",IF(INDEX('Master Database'!$K$1:$K$600,$B205)="","",INDEX('Master Database'!$K$1:$K$600,$B205)))</f>
        <v/>
      </c>
      <c r="M205" s="19" t="str">
        <f>IF($B205="","",IF(INDEX('Master Database'!$L$1:$L$600,$B205)="","",INDEX('Master Database'!$L$1:$L$600,$B205)))</f>
        <v/>
      </c>
      <c r="N205" s="19" t="str">
        <f>IF($B205="","",IF(INDEX('Master Database'!$P$1:$P$600,$B205)="","",INDEX('Master Database'!$P$1:$P$600,$B205)))</f>
        <v/>
      </c>
      <c r="O205" s="19" t="str">
        <f>IF($B205="","",IF(INDEX('Master Database'!$S$1:$S$600,$B205)="","",INDEX('Master Database'!$S$1:$S$600,$B205)))</f>
        <v/>
      </c>
      <c r="P205" s="19" t="str">
        <f>IF($B205="","",IF(INDEX('Master Database'!$T$1:$T$600,$B205)="","",INDEX('Master Database'!$T$1:$T$600,$B205)))</f>
        <v/>
      </c>
      <c r="Q205" s="19" t="str">
        <f>IF($B205="","",IF(INDEX('Master Database'!$Y$1:$Y$600,$B205)="","",INDEX('Master Database'!$Y$1:$Y$600,$B205)))</f>
        <v/>
      </c>
      <c r="R205" s="19" t="str">
        <f>IF($B205="","",IF(INDEX('Master Database'!$Z$1:$Z$600,$B205)="","",INDEX('Master Database'!$Z$1:$Z$600,$B205)))</f>
        <v/>
      </c>
      <c r="S205" s="47" t="str">
        <f>IF($B205="","",IF(INDEX('Master Database'!$AA$1:$AA$600,$B205)="","",INDEX('Master Database'!$AA$1:$AA$600,$B205)))</f>
        <v/>
      </c>
      <c r="T205" s="19" t="str">
        <f>IF($B205="","",IF(INDEX('Master Database'!$AE$1:$AE$600,$B205)="","",INDEX('Master Database'!$AE$1:$AE$600,$B205)))</f>
        <v/>
      </c>
      <c r="U205" s="47" t="str">
        <f>IF($B205="","",IF(INDEX('Master Database'!$AG$1:$AG$600,$B205)="","",INDEX('Master Database'!$AG$1:$AG$600,$B205)))</f>
        <v/>
      </c>
      <c r="V205" s="47" t="str">
        <f>IF($B205="","",IF(INDEX('Master Database'!$AH$1:$AH$600,$B205)="","",INDEX('Master Database'!$AH$1:$AH$600,$B205)))</f>
        <v/>
      </c>
      <c r="W205" s="47" t="str">
        <f>IF($B205="","",IF(INDEX('Master Database'!$AI$1:$AI$600,$B205)="","",INDEX('Master Database'!$AI$1:$AI$600,$B205)))</f>
        <v/>
      </c>
      <c r="X205" s="19" t="str">
        <f>IF($B205="","",IF(INDEX('Master Database'!$BG$1:$BG$600,$B205)="","",INDEX('Master Database'!$BG$1:$BG$600,$B205)))</f>
        <v/>
      </c>
      <c r="BA205">
        <f>IF('Master Database'!$A205="",0,IF(AND(OR($B$5="",ISNUMBER(SEARCH($B$5,'Master Database'!$B205&amp;" "&amp;'Master Database'!$D205))),OR($B$6="(All)",'Master Database'!$C205=$B$6),OR($B$7="(All)",'Master Database'!$E205=$B$7),OR($B$8="(All)",'Master Database'!$T205=$B$8),OR($B$9="(All)",'Master Database'!$M205=$B$9),OR($B$10="(All)",'Master Database'!$V205=$B$10),OR($E$5="(All)",'Master Database'!$F205=$E$5),OR($E$6="(All)",'Master Database'!$G205=$E$6),OR($E$7="(All)",'Master Database'!$O205=$E$7),OR($E$8="(All)",'Master Database'!$P205=$E$8),OR($E$9="(All)",'Master Database'!$S205=$E$9),OR($E$10="(All)",'Master Database'!$Y205&amp;""=$E$10&amp;""),OR($H$5="(All)",'Master Database'!$BG205=$H$5),OR($H$6&lt;&gt;"Y",ISNUMBER('Master Database'!$AG205)),OR($H$7="",AND(ISNUMBER('Master Database'!$H205),N('Master Database'!$H205)&gt;=$H$7)),OR($I$7="",AND(ISNUMBER('Master Database'!$H205),N('Master Database'!$H205)&lt;=$I$7)),OR($H$8="",AND(ISNUMBER('Master Database'!$I205),N('Master Database'!$I205)&gt;=$H$8)),OR($I$8="",AND(ISNUMBER('Master Database'!$I205),N('Master Database'!$I205)&lt;=$I$8)),OR($H$9="",AND(ISNUMBER('Master Database'!$K205),N('Master Database'!$K205)&gt;=$H$9)),OR($I$9="",AND(ISNUMBER('Master Database'!$K205),N('Master Database'!$K205)&lt;=$I$9))),1,0))</f>
        <v>0</v>
      </c>
      <c r="BB205" t="str">
        <f>IF(BA205=1,COUNTIF($BA$5:BA205,1),"")</f>
        <v/>
      </c>
    </row>
    <row r="206" spans="1:54">
      <c r="A206" s="20" t="str">
        <f>IF(191&lt;=SUM($BA$5:$BA$600),191,"")</f>
        <v/>
      </c>
      <c r="B206" s="20" t="str">
        <f t="shared" si="5"/>
        <v/>
      </c>
      <c r="C206" s="20" t="str">
        <f>IF($B206="","",IF(INDEX('Master Database'!$A$1:$A$600,$B206)="","",INDEX('Master Database'!$A$1:$A$600,$B206)))</f>
        <v/>
      </c>
      <c r="D206" s="19" t="str">
        <f>IF($B206="","",IF(INDEX('Master Database'!$B$1:$B$600,$B206)="","",INDEX('Master Database'!$B$1:$B$600,$B206)))</f>
        <v/>
      </c>
      <c r="E206" s="19" t="str">
        <f>IF($B206="","",IF(INDEX('Master Database'!$C$1:$C$600,$B206)="","",INDEX('Master Database'!$C$1:$C$600,$B206)))</f>
        <v/>
      </c>
      <c r="F206" s="19" t="str">
        <f>IF($B206="","",IF(INDEX('Master Database'!$D$1:$D$600,$B206)="","",INDEX('Master Database'!$D$1:$D$600,$B206)))</f>
        <v/>
      </c>
      <c r="G206" s="19" t="str">
        <f>IF($B206="","",IF(INDEX('Master Database'!$E$1:$E$600,$B206)="","",INDEX('Master Database'!$E$1:$E$600,$B206)))</f>
        <v/>
      </c>
      <c r="H206" s="19" t="str">
        <f>IF($B206="","",IF(INDEX('Master Database'!$F$1:$F$600,$B206)="","",INDEX('Master Database'!$F$1:$F$600,$B206)))</f>
        <v/>
      </c>
      <c r="I206" s="19" t="str">
        <f>IF($B206="","",IF(INDEX('Master Database'!$G$1:$G$600,$B206)="","",INDEX('Master Database'!$G$1:$G$600,$B206)))</f>
        <v/>
      </c>
      <c r="J206" s="46" t="str">
        <f>IF($B206="","",IF(INDEX('Master Database'!$H$1:$H$600,$B206)="","",INDEX('Master Database'!$H$1:$H$600,$B206)))</f>
        <v/>
      </c>
      <c r="K206" s="46" t="str">
        <f>IF($B206="","",IF(INDEX('Master Database'!$I$1:$I$600,$B206)="","",INDEX('Master Database'!$I$1:$I$600,$B206)))</f>
        <v/>
      </c>
      <c r="L206" s="46" t="str">
        <f>IF($B206="","",IF(INDEX('Master Database'!$K$1:$K$600,$B206)="","",INDEX('Master Database'!$K$1:$K$600,$B206)))</f>
        <v/>
      </c>
      <c r="M206" s="19" t="str">
        <f>IF($B206="","",IF(INDEX('Master Database'!$L$1:$L$600,$B206)="","",INDEX('Master Database'!$L$1:$L$600,$B206)))</f>
        <v/>
      </c>
      <c r="N206" s="19" t="str">
        <f>IF($B206="","",IF(INDEX('Master Database'!$P$1:$P$600,$B206)="","",INDEX('Master Database'!$P$1:$P$600,$B206)))</f>
        <v/>
      </c>
      <c r="O206" s="19" t="str">
        <f>IF($B206="","",IF(INDEX('Master Database'!$S$1:$S$600,$B206)="","",INDEX('Master Database'!$S$1:$S$600,$B206)))</f>
        <v/>
      </c>
      <c r="P206" s="19" t="str">
        <f>IF($B206="","",IF(INDEX('Master Database'!$T$1:$T$600,$B206)="","",INDEX('Master Database'!$T$1:$T$600,$B206)))</f>
        <v/>
      </c>
      <c r="Q206" s="19" t="str">
        <f>IF($B206="","",IF(INDEX('Master Database'!$Y$1:$Y$600,$B206)="","",INDEX('Master Database'!$Y$1:$Y$600,$B206)))</f>
        <v/>
      </c>
      <c r="R206" s="19" t="str">
        <f>IF($B206="","",IF(INDEX('Master Database'!$Z$1:$Z$600,$B206)="","",INDEX('Master Database'!$Z$1:$Z$600,$B206)))</f>
        <v/>
      </c>
      <c r="S206" s="47" t="str">
        <f>IF($B206="","",IF(INDEX('Master Database'!$AA$1:$AA$600,$B206)="","",INDEX('Master Database'!$AA$1:$AA$600,$B206)))</f>
        <v/>
      </c>
      <c r="T206" s="19" t="str">
        <f>IF($B206="","",IF(INDEX('Master Database'!$AE$1:$AE$600,$B206)="","",INDEX('Master Database'!$AE$1:$AE$600,$B206)))</f>
        <v/>
      </c>
      <c r="U206" s="47" t="str">
        <f>IF($B206="","",IF(INDEX('Master Database'!$AG$1:$AG$600,$B206)="","",INDEX('Master Database'!$AG$1:$AG$600,$B206)))</f>
        <v/>
      </c>
      <c r="V206" s="47" t="str">
        <f>IF($B206="","",IF(INDEX('Master Database'!$AH$1:$AH$600,$B206)="","",INDEX('Master Database'!$AH$1:$AH$600,$B206)))</f>
        <v/>
      </c>
      <c r="W206" s="47" t="str">
        <f>IF($B206="","",IF(INDEX('Master Database'!$AI$1:$AI$600,$B206)="","",INDEX('Master Database'!$AI$1:$AI$600,$B206)))</f>
        <v/>
      </c>
      <c r="X206" s="19" t="str">
        <f>IF($B206="","",IF(INDEX('Master Database'!$BG$1:$BG$600,$B206)="","",INDEX('Master Database'!$BG$1:$BG$600,$B206)))</f>
        <v/>
      </c>
      <c r="BA206">
        <f>IF('Master Database'!$A206="",0,IF(AND(OR($B$5="",ISNUMBER(SEARCH($B$5,'Master Database'!$B206&amp;" "&amp;'Master Database'!$D206))),OR($B$6="(All)",'Master Database'!$C206=$B$6),OR($B$7="(All)",'Master Database'!$E206=$B$7),OR($B$8="(All)",'Master Database'!$T206=$B$8),OR($B$9="(All)",'Master Database'!$M206=$B$9),OR($B$10="(All)",'Master Database'!$V206=$B$10),OR($E$5="(All)",'Master Database'!$F206=$E$5),OR($E$6="(All)",'Master Database'!$G206=$E$6),OR($E$7="(All)",'Master Database'!$O206=$E$7),OR($E$8="(All)",'Master Database'!$P206=$E$8),OR($E$9="(All)",'Master Database'!$S206=$E$9),OR($E$10="(All)",'Master Database'!$Y206&amp;""=$E$10&amp;""),OR($H$5="(All)",'Master Database'!$BG206=$H$5),OR($H$6&lt;&gt;"Y",ISNUMBER('Master Database'!$AG206)),OR($H$7="",AND(ISNUMBER('Master Database'!$H206),N('Master Database'!$H206)&gt;=$H$7)),OR($I$7="",AND(ISNUMBER('Master Database'!$H206),N('Master Database'!$H206)&lt;=$I$7)),OR($H$8="",AND(ISNUMBER('Master Database'!$I206),N('Master Database'!$I206)&gt;=$H$8)),OR($I$8="",AND(ISNUMBER('Master Database'!$I206),N('Master Database'!$I206)&lt;=$I$8)),OR($H$9="",AND(ISNUMBER('Master Database'!$K206),N('Master Database'!$K206)&gt;=$H$9)),OR($I$9="",AND(ISNUMBER('Master Database'!$K206),N('Master Database'!$K206)&lt;=$I$9))),1,0))</f>
        <v>0</v>
      </c>
      <c r="BB206" t="str">
        <f>IF(BA206=1,COUNTIF($BA$5:BA206,1),"")</f>
        <v/>
      </c>
    </row>
    <row r="207" spans="1:54">
      <c r="A207" s="20" t="str">
        <f>IF(192&lt;=SUM($BA$5:$BA$600),192,"")</f>
        <v/>
      </c>
      <c r="B207" s="20" t="str">
        <f t="shared" si="5"/>
        <v/>
      </c>
      <c r="C207" s="20" t="str">
        <f>IF($B207="","",IF(INDEX('Master Database'!$A$1:$A$600,$B207)="","",INDEX('Master Database'!$A$1:$A$600,$B207)))</f>
        <v/>
      </c>
      <c r="D207" s="19" t="str">
        <f>IF($B207="","",IF(INDEX('Master Database'!$B$1:$B$600,$B207)="","",INDEX('Master Database'!$B$1:$B$600,$B207)))</f>
        <v/>
      </c>
      <c r="E207" s="19" t="str">
        <f>IF($B207="","",IF(INDEX('Master Database'!$C$1:$C$600,$B207)="","",INDEX('Master Database'!$C$1:$C$600,$B207)))</f>
        <v/>
      </c>
      <c r="F207" s="19" t="str">
        <f>IF($B207="","",IF(INDEX('Master Database'!$D$1:$D$600,$B207)="","",INDEX('Master Database'!$D$1:$D$600,$B207)))</f>
        <v/>
      </c>
      <c r="G207" s="19" t="str">
        <f>IF($B207="","",IF(INDEX('Master Database'!$E$1:$E$600,$B207)="","",INDEX('Master Database'!$E$1:$E$600,$B207)))</f>
        <v/>
      </c>
      <c r="H207" s="19" t="str">
        <f>IF($B207="","",IF(INDEX('Master Database'!$F$1:$F$600,$B207)="","",INDEX('Master Database'!$F$1:$F$600,$B207)))</f>
        <v/>
      </c>
      <c r="I207" s="19" t="str">
        <f>IF($B207="","",IF(INDEX('Master Database'!$G$1:$G$600,$B207)="","",INDEX('Master Database'!$G$1:$G$600,$B207)))</f>
        <v/>
      </c>
      <c r="J207" s="46" t="str">
        <f>IF($B207="","",IF(INDEX('Master Database'!$H$1:$H$600,$B207)="","",INDEX('Master Database'!$H$1:$H$600,$B207)))</f>
        <v/>
      </c>
      <c r="K207" s="46" t="str">
        <f>IF($B207="","",IF(INDEX('Master Database'!$I$1:$I$600,$B207)="","",INDEX('Master Database'!$I$1:$I$600,$B207)))</f>
        <v/>
      </c>
      <c r="L207" s="46" t="str">
        <f>IF($B207="","",IF(INDEX('Master Database'!$K$1:$K$600,$B207)="","",INDEX('Master Database'!$K$1:$K$600,$B207)))</f>
        <v/>
      </c>
      <c r="M207" s="19" t="str">
        <f>IF($B207="","",IF(INDEX('Master Database'!$L$1:$L$600,$B207)="","",INDEX('Master Database'!$L$1:$L$600,$B207)))</f>
        <v/>
      </c>
      <c r="N207" s="19" t="str">
        <f>IF($B207="","",IF(INDEX('Master Database'!$P$1:$P$600,$B207)="","",INDEX('Master Database'!$P$1:$P$600,$B207)))</f>
        <v/>
      </c>
      <c r="O207" s="19" t="str">
        <f>IF($B207="","",IF(INDEX('Master Database'!$S$1:$S$600,$B207)="","",INDEX('Master Database'!$S$1:$S$600,$B207)))</f>
        <v/>
      </c>
      <c r="P207" s="19" t="str">
        <f>IF($B207="","",IF(INDEX('Master Database'!$T$1:$T$600,$B207)="","",INDEX('Master Database'!$T$1:$T$600,$B207)))</f>
        <v/>
      </c>
      <c r="Q207" s="19" t="str">
        <f>IF($B207="","",IF(INDEX('Master Database'!$Y$1:$Y$600,$B207)="","",INDEX('Master Database'!$Y$1:$Y$600,$B207)))</f>
        <v/>
      </c>
      <c r="R207" s="19" t="str">
        <f>IF($B207="","",IF(INDEX('Master Database'!$Z$1:$Z$600,$B207)="","",INDEX('Master Database'!$Z$1:$Z$600,$B207)))</f>
        <v/>
      </c>
      <c r="S207" s="47" t="str">
        <f>IF($B207="","",IF(INDEX('Master Database'!$AA$1:$AA$600,$B207)="","",INDEX('Master Database'!$AA$1:$AA$600,$B207)))</f>
        <v/>
      </c>
      <c r="T207" s="19" t="str">
        <f>IF($B207="","",IF(INDEX('Master Database'!$AE$1:$AE$600,$B207)="","",INDEX('Master Database'!$AE$1:$AE$600,$B207)))</f>
        <v/>
      </c>
      <c r="U207" s="47" t="str">
        <f>IF($B207="","",IF(INDEX('Master Database'!$AG$1:$AG$600,$B207)="","",INDEX('Master Database'!$AG$1:$AG$600,$B207)))</f>
        <v/>
      </c>
      <c r="V207" s="47" t="str">
        <f>IF($B207="","",IF(INDEX('Master Database'!$AH$1:$AH$600,$B207)="","",INDEX('Master Database'!$AH$1:$AH$600,$B207)))</f>
        <v/>
      </c>
      <c r="W207" s="47" t="str">
        <f>IF($B207="","",IF(INDEX('Master Database'!$AI$1:$AI$600,$B207)="","",INDEX('Master Database'!$AI$1:$AI$600,$B207)))</f>
        <v/>
      </c>
      <c r="X207" s="19" t="str">
        <f>IF($B207="","",IF(INDEX('Master Database'!$BG$1:$BG$600,$B207)="","",INDEX('Master Database'!$BG$1:$BG$600,$B207)))</f>
        <v/>
      </c>
      <c r="BA207">
        <f>IF('Master Database'!$A207="",0,IF(AND(OR($B$5="",ISNUMBER(SEARCH($B$5,'Master Database'!$B207&amp;" "&amp;'Master Database'!$D207))),OR($B$6="(All)",'Master Database'!$C207=$B$6),OR($B$7="(All)",'Master Database'!$E207=$B$7),OR($B$8="(All)",'Master Database'!$T207=$B$8),OR($B$9="(All)",'Master Database'!$M207=$B$9),OR($B$10="(All)",'Master Database'!$V207=$B$10),OR($E$5="(All)",'Master Database'!$F207=$E$5),OR($E$6="(All)",'Master Database'!$G207=$E$6),OR($E$7="(All)",'Master Database'!$O207=$E$7),OR($E$8="(All)",'Master Database'!$P207=$E$8),OR($E$9="(All)",'Master Database'!$S207=$E$9),OR($E$10="(All)",'Master Database'!$Y207&amp;""=$E$10&amp;""),OR($H$5="(All)",'Master Database'!$BG207=$H$5),OR($H$6&lt;&gt;"Y",ISNUMBER('Master Database'!$AG207)),OR($H$7="",AND(ISNUMBER('Master Database'!$H207),N('Master Database'!$H207)&gt;=$H$7)),OR($I$7="",AND(ISNUMBER('Master Database'!$H207),N('Master Database'!$H207)&lt;=$I$7)),OR($H$8="",AND(ISNUMBER('Master Database'!$I207),N('Master Database'!$I207)&gt;=$H$8)),OR($I$8="",AND(ISNUMBER('Master Database'!$I207),N('Master Database'!$I207)&lt;=$I$8)),OR($H$9="",AND(ISNUMBER('Master Database'!$K207),N('Master Database'!$K207)&gt;=$H$9)),OR($I$9="",AND(ISNUMBER('Master Database'!$K207),N('Master Database'!$K207)&lt;=$I$9))),1,0))</f>
        <v>0</v>
      </c>
      <c r="BB207" t="str">
        <f>IF(BA207=1,COUNTIF($BA$5:BA207,1),"")</f>
        <v/>
      </c>
    </row>
    <row r="208" spans="1:54">
      <c r="A208" s="20" t="str">
        <f>IF(193&lt;=SUM($BA$5:$BA$600),193,"")</f>
        <v/>
      </c>
      <c r="B208" s="20" t="str">
        <f t="shared" ref="B208:B239" si="6">IF(A208="","",MATCH(A208,$BB$5:$BB$600,0)+4)</f>
        <v/>
      </c>
      <c r="C208" s="20" t="str">
        <f>IF($B208="","",IF(INDEX('Master Database'!$A$1:$A$600,$B208)="","",INDEX('Master Database'!$A$1:$A$600,$B208)))</f>
        <v/>
      </c>
      <c r="D208" s="19" t="str">
        <f>IF($B208="","",IF(INDEX('Master Database'!$B$1:$B$600,$B208)="","",INDEX('Master Database'!$B$1:$B$600,$B208)))</f>
        <v/>
      </c>
      <c r="E208" s="19" t="str">
        <f>IF($B208="","",IF(INDEX('Master Database'!$C$1:$C$600,$B208)="","",INDEX('Master Database'!$C$1:$C$600,$B208)))</f>
        <v/>
      </c>
      <c r="F208" s="19" t="str">
        <f>IF($B208="","",IF(INDEX('Master Database'!$D$1:$D$600,$B208)="","",INDEX('Master Database'!$D$1:$D$600,$B208)))</f>
        <v/>
      </c>
      <c r="G208" s="19" t="str">
        <f>IF($B208="","",IF(INDEX('Master Database'!$E$1:$E$600,$B208)="","",INDEX('Master Database'!$E$1:$E$600,$B208)))</f>
        <v/>
      </c>
      <c r="H208" s="19" t="str">
        <f>IF($B208="","",IF(INDEX('Master Database'!$F$1:$F$600,$B208)="","",INDEX('Master Database'!$F$1:$F$600,$B208)))</f>
        <v/>
      </c>
      <c r="I208" s="19" t="str">
        <f>IF($B208="","",IF(INDEX('Master Database'!$G$1:$G$600,$B208)="","",INDEX('Master Database'!$G$1:$G$600,$B208)))</f>
        <v/>
      </c>
      <c r="J208" s="46" t="str">
        <f>IF($B208="","",IF(INDEX('Master Database'!$H$1:$H$600,$B208)="","",INDEX('Master Database'!$H$1:$H$600,$B208)))</f>
        <v/>
      </c>
      <c r="K208" s="46" t="str">
        <f>IF($B208="","",IF(INDEX('Master Database'!$I$1:$I$600,$B208)="","",INDEX('Master Database'!$I$1:$I$600,$B208)))</f>
        <v/>
      </c>
      <c r="L208" s="46" t="str">
        <f>IF($B208="","",IF(INDEX('Master Database'!$K$1:$K$600,$B208)="","",INDEX('Master Database'!$K$1:$K$600,$B208)))</f>
        <v/>
      </c>
      <c r="M208" s="19" t="str">
        <f>IF($B208="","",IF(INDEX('Master Database'!$L$1:$L$600,$B208)="","",INDEX('Master Database'!$L$1:$L$600,$B208)))</f>
        <v/>
      </c>
      <c r="N208" s="19" t="str">
        <f>IF($B208="","",IF(INDEX('Master Database'!$P$1:$P$600,$B208)="","",INDEX('Master Database'!$P$1:$P$600,$B208)))</f>
        <v/>
      </c>
      <c r="O208" s="19" t="str">
        <f>IF($B208="","",IF(INDEX('Master Database'!$S$1:$S$600,$B208)="","",INDEX('Master Database'!$S$1:$S$600,$B208)))</f>
        <v/>
      </c>
      <c r="P208" s="19" t="str">
        <f>IF($B208="","",IF(INDEX('Master Database'!$T$1:$T$600,$B208)="","",INDEX('Master Database'!$T$1:$T$600,$B208)))</f>
        <v/>
      </c>
      <c r="Q208" s="19" t="str">
        <f>IF($B208="","",IF(INDEX('Master Database'!$Y$1:$Y$600,$B208)="","",INDEX('Master Database'!$Y$1:$Y$600,$B208)))</f>
        <v/>
      </c>
      <c r="R208" s="19" t="str">
        <f>IF($B208="","",IF(INDEX('Master Database'!$Z$1:$Z$600,$B208)="","",INDEX('Master Database'!$Z$1:$Z$600,$B208)))</f>
        <v/>
      </c>
      <c r="S208" s="47" t="str">
        <f>IF($B208="","",IF(INDEX('Master Database'!$AA$1:$AA$600,$B208)="","",INDEX('Master Database'!$AA$1:$AA$600,$B208)))</f>
        <v/>
      </c>
      <c r="T208" s="19" t="str">
        <f>IF($B208="","",IF(INDEX('Master Database'!$AE$1:$AE$600,$B208)="","",INDEX('Master Database'!$AE$1:$AE$600,$B208)))</f>
        <v/>
      </c>
      <c r="U208" s="47" t="str">
        <f>IF($B208="","",IF(INDEX('Master Database'!$AG$1:$AG$600,$B208)="","",INDEX('Master Database'!$AG$1:$AG$600,$B208)))</f>
        <v/>
      </c>
      <c r="V208" s="47" t="str">
        <f>IF($B208="","",IF(INDEX('Master Database'!$AH$1:$AH$600,$B208)="","",INDEX('Master Database'!$AH$1:$AH$600,$B208)))</f>
        <v/>
      </c>
      <c r="W208" s="47" t="str">
        <f>IF($B208="","",IF(INDEX('Master Database'!$AI$1:$AI$600,$B208)="","",INDEX('Master Database'!$AI$1:$AI$600,$B208)))</f>
        <v/>
      </c>
      <c r="X208" s="19" t="str">
        <f>IF($B208="","",IF(INDEX('Master Database'!$BG$1:$BG$600,$B208)="","",INDEX('Master Database'!$BG$1:$BG$600,$B208)))</f>
        <v/>
      </c>
      <c r="BA208">
        <f>IF('Master Database'!$A208="",0,IF(AND(OR($B$5="",ISNUMBER(SEARCH($B$5,'Master Database'!$B208&amp;" "&amp;'Master Database'!$D208))),OR($B$6="(All)",'Master Database'!$C208=$B$6),OR($B$7="(All)",'Master Database'!$E208=$B$7),OR($B$8="(All)",'Master Database'!$T208=$B$8),OR($B$9="(All)",'Master Database'!$M208=$B$9),OR($B$10="(All)",'Master Database'!$V208=$B$10),OR($E$5="(All)",'Master Database'!$F208=$E$5),OR($E$6="(All)",'Master Database'!$G208=$E$6),OR($E$7="(All)",'Master Database'!$O208=$E$7),OR($E$8="(All)",'Master Database'!$P208=$E$8),OR($E$9="(All)",'Master Database'!$S208=$E$9),OR($E$10="(All)",'Master Database'!$Y208&amp;""=$E$10&amp;""),OR($H$5="(All)",'Master Database'!$BG208=$H$5),OR($H$6&lt;&gt;"Y",ISNUMBER('Master Database'!$AG208)),OR($H$7="",AND(ISNUMBER('Master Database'!$H208),N('Master Database'!$H208)&gt;=$H$7)),OR($I$7="",AND(ISNUMBER('Master Database'!$H208),N('Master Database'!$H208)&lt;=$I$7)),OR($H$8="",AND(ISNUMBER('Master Database'!$I208),N('Master Database'!$I208)&gt;=$H$8)),OR($I$8="",AND(ISNUMBER('Master Database'!$I208),N('Master Database'!$I208)&lt;=$I$8)),OR($H$9="",AND(ISNUMBER('Master Database'!$K208),N('Master Database'!$K208)&gt;=$H$9)),OR($I$9="",AND(ISNUMBER('Master Database'!$K208),N('Master Database'!$K208)&lt;=$I$9))),1,0))</f>
        <v>0</v>
      </c>
      <c r="BB208" t="str">
        <f>IF(BA208=1,COUNTIF($BA$5:BA208,1),"")</f>
        <v/>
      </c>
    </row>
    <row r="209" spans="1:54">
      <c r="A209" s="20" t="str">
        <f>IF(194&lt;=SUM($BA$5:$BA$600),194,"")</f>
        <v/>
      </c>
      <c r="B209" s="20" t="str">
        <f t="shared" si="6"/>
        <v/>
      </c>
      <c r="C209" s="20" t="str">
        <f>IF($B209="","",IF(INDEX('Master Database'!$A$1:$A$600,$B209)="","",INDEX('Master Database'!$A$1:$A$600,$B209)))</f>
        <v/>
      </c>
      <c r="D209" s="19" t="str">
        <f>IF($B209="","",IF(INDEX('Master Database'!$B$1:$B$600,$B209)="","",INDEX('Master Database'!$B$1:$B$600,$B209)))</f>
        <v/>
      </c>
      <c r="E209" s="19" t="str">
        <f>IF($B209="","",IF(INDEX('Master Database'!$C$1:$C$600,$B209)="","",INDEX('Master Database'!$C$1:$C$600,$B209)))</f>
        <v/>
      </c>
      <c r="F209" s="19" t="str">
        <f>IF($B209="","",IF(INDEX('Master Database'!$D$1:$D$600,$B209)="","",INDEX('Master Database'!$D$1:$D$600,$B209)))</f>
        <v/>
      </c>
      <c r="G209" s="19" t="str">
        <f>IF($B209="","",IF(INDEX('Master Database'!$E$1:$E$600,$B209)="","",INDEX('Master Database'!$E$1:$E$600,$B209)))</f>
        <v/>
      </c>
      <c r="H209" s="19" t="str">
        <f>IF($B209="","",IF(INDEX('Master Database'!$F$1:$F$600,$B209)="","",INDEX('Master Database'!$F$1:$F$600,$B209)))</f>
        <v/>
      </c>
      <c r="I209" s="19" t="str">
        <f>IF($B209="","",IF(INDEX('Master Database'!$G$1:$G$600,$B209)="","",INDEX('Master Database'!$G$1:$G$600,$B209)))</f>
        <v/>
      </c>
      <c r="J209" s="46" t="str">
        <f>IF($B209="","",IF(INDEX('Master Database'!$H$1:$H$600,$B209)="","",INDEX('Master Database'!$H$1:$H$600,$B209)))</f>
        <v/>
      </c>
      <c r="K209" s="46" t="str">
        <f>IF($B209="","",IF(INDEX('Master Database'!$I$1:$I$600,$B209)="","",INDEX('Master Database'!$I$1:$I$600,$B209)))</f>
        <v/>
      </c>
      <c r="L209" s="46" t="str">
        <f>IF($B209="","",IF(INDEX('Master Database'!$K$1:$K$600,$B209)="","",INDEX('Master Database'!$K$1:$K$600,$B209)))</f>
        <v/>
      </c>
      <c r="M209" s="19" t="str">
        <f>IF($B209="","",IF(INDEX('Master Database'!$L$1:$L$600,$B209)="","",INDEX('Master Database'!$L$1:$L$600,$B209)))</f>
        <v/>
      </c>
      <c r="N209" s="19" t="str">
        <f>IF($B209="","",IF(INDEX('Master Database'!$P$1:$P$600,$B209)="","",INDEX('Master Database'!$P$1:$P$600,$B209)))</f>
        <v/>
      </c>
      <c r="O209" s="19" t="str">
        <f>IF($B209="","",IF(INDEX('Master Database'!$S$1:$S$600,$B209)="","",INDEX('Master Database'!$S$1:$S$600,$B209)))</f>
        <v/>
      </c>
      <c r="P209" s="19" t="str">
        <f>IF($B209="","",IF(INDEX('Master Database'!$T$1:$T$600,$B209)="","",INDEX('Master Database'!$T$1:$T$600,$B209)))</f>
        <v/>
      </c>
      <c r="Q209" s="19" t="str">
        <f>IF($B209="","",IF(INDEX('Master Database'!$Y$1:$Y$600,$B209)="","",INDEX('Master Database'!$Y$1:$Y$600,$B209)))</f>
        <v/>
      </c>
      <c r="R209" s="19" t="str">
        <f>IF($B209="","",IF(INDEX('Master Database'!$Z$1:$Z$600,$B209)="","",INDEX('Master Database'!$Z$1:$Z$600,$B209)))</f>
        <v/>
      </c>
      <c r="S209" s="47" t="str">
        <f>IF($B209="","",IF(INDEX('Master Database'!$AA$1:$AA$600,$B209)="","",INDEX('Master Database'!$AA$1:$AA$600,$B209)))</f>
        <v/>
      </c>
      <c r="T209" s="19" t="str">
        <f>IF($B209="","",IF(INDEX('Master Database'!$AE$1:$AE$600,$B209)="","",INDEX('Master Database'!$AE$1:$AE$600,$B209)))</f>
        <v/>
      </c>
      <c r="U209" s="47" t="str">
        <f>IF($B209="","",IF(INDEX('Master Database'!$AG$1:$AG$600,$B209)="","",INDEX('Master Database'!$AG$1:$AG$600,$B209)))</f>
        <v/>
      </c>
      <c r="V209" s="47" t="str">
        <f>IF($B209="","",IF(INDEX('Master Database'!$AH$1:$AH$600,$B209)="","",INDEX('Master Database'!$AH$1:$AH$600,$B209)))</f>
        <v/>
      </c>
      <c r="W209" s="47" t="str">
        <f>IF($B209="","",IF(INDEX('Master Database'!$AI$1:$AI$600,$B209)="","",INDEX('Master Database'!$AI$1:$AI$600,$B209)))</f>
        <v/>
      </c>
      <c r="X209" s="19" t="str">
        <f>IF($B209="","",IF(INDEX('Master Database'!$BG$1:$BG$600,$B209)="","",INDEX('Master Database'!$BG$1:$BG$600,$B209)))</f>
        <v/>
      </c>
      <c r="BA209">
        <f>IF('Master Database'!$A209="",0,IF(AND(OR($B$5="",ISNUMBER(SEARCH($B$5,'Master Database'!$B209&amp;" "&amp;'Master Database'!$D209))),OR($B$6="(All)",'Master Database'!$C209=$B$6),OR($B$7="(All)",'Master Database'!$E209=$B$7),OR($B$8="(All)",'Master Database'!$T209=$B$8),OR($B$9="(All)",'Master Database'!$M209=$B$9),OR($B$10="(All)",'Master Database'!$V209=$B$10),OR($E$5="(All)",'Master Database'!$F209=$E$5),OR($E$6="(All)",'Master Database'!$G209=$E$6),OR($E$7="(All)",'Master Database'!$O209=$E$7),OR($E$8="(All)",'Master Database'!$P209=$E$8),OR($E$9="(All)",'Master Database'!$S209=$E$9),OR($E$10="(All)",'Master Database'!$Y209&amp;""=$E$10&amp;""),OR($H$5="(All)",'Master Database'!$BG209=$H$5),OR($H$6&lt;&gt;"Y",ISNUMBER('Master Database'!$AG209)),OR($H$7="",AND(ISNUMBER('Master Database'!$H209),N('Master Database'!$H209)&gt;=$H$7)),OR($I$7="",AND(ISNUMBER('Master Database'!$H209),N('Master Database'!$H209)&lt;=$I$7)),OR($H$8="",AND(ISNUMBER('Master Database'!$I209),N('Master Database'!$I209)&gt;=$H$8)),OR($I$8="",AND(ISNUMBER('Master Database'!$I209),N('Master Database'!$I209)&lt;=$I$8)),OR($H$9="",AND(ISNUMBER('Master Database'!$K209),N('Master Database'!$K209)&gt;=$H$9)),OR($I$9="",AND(ISNUMBER('Master Database'!$K209),N('Master Database'!$K209)&lt;=$I$9))),1,0))</f>
        <v>0</v>
      </c>
      <c r="BB209" t="str">
        <f>IF(BA209=1,COUNTIF($BA$5:BA209,1),"")</f>
        <v/>
      </c>
    </row>
    <row r="210" spans="1:54">
      <c r="A210" s="20" t="str">
        <f>IF(195&lt;=SUM($BA$5:$BA$600),195,"")</f>
        <v/>
      </c>
      <c r="B210" s="20" t="str">
        <f t="shared" si="6"/>
        <v/>
      </c>
      <c r="C210" s="20" t="str">
        <f>IF($B210="","",IF(INDEX('Master Database'!$A$1:$A$600,$B210)="","",INDEX('Master Database'!$A$1:$A$600,$B210)))</f>
        <v/>
      </c>
      <c r="D210" s="19" t="str">
        <f>IF($B210="","",IF(INDEX('Master Database'!$B$1:$B$600,$B210)="","",INDEX('Master Database'!$B$1:$B$600,$B210)))</f>
        <v/>
      </c>
      <c r="E210" s="19" t="str">
        <f>IF($B210="","",IF(INDEX('Master Database'!$C$1:$C$600,$B210)="","",INDEX('Master Database'!$C$1:$C$600,$B210)))</f>
        <v/>
      </c>
      <c r="F210" s="19" t="str">
        <f>IF($B210="","",IF(INDEX('Master Database'!$D$1:$D$600,$B210)="","",INDEX('Master Database'!$D$1:$D$600,$B210)))</f>
        <v/>
      </c>
      <c r="G210" s="19" t="str">
        <f>IF($B210="","",IF(INDEX('Master Database'!$E$1:$E$600,$B210)="","",INDEX('Master Database'!$E$1:$E$600,$B210)))</f>
        <v/>
      </c>
      <c r="H210" s="19" t="str">
        <f>IF($B210="","",IF(INDEX('Master Database'!$F$1:$F$600,$B210)="","",INDEX('Master Database'!$F$1:$F$600,$B210)))</f>
        <v/>
      </c>
      <c r="I210" s="19" t="str">
        <f>IF($B210="","",IF(INDEX('Master Database'!$G$1:$G$600,$B210)="","",INDEX('Master Database'!$G$1:$G$600,$B210)))</f>
        <v/>
      </c>
      <c r="J210" s="46" t="str">
        <f>IF($B210="","",IF(INDEX('Master Database'!$H$1:$H$600,$B210)="","",INDEX('Master Database'!$H$1:$H$600,$B210)))</f>
        <v/>
      </c>
      <c r="K210" s="46" t="str">
        <f>IF($B210="","",IF(INDEX('Master Database'!$I$1:$I$600,$B210)="","",INDEX('Master Database'!$I$1:$I$600,$B210)))</f>
        <v/>
      </c>
      <c r="L210" s="46" t="str">
        <f>IF($B210="","",IF(INDEX('Master Database'!$K$1:$K$600,$B210)="","",INDEX('Master Database'!$K$1:$K$600,$B210)))</f>
        <v/>
      </c>
      <c r="M210" s="19" t="str">
        <f>IF($B210="","",IF(INDEX('Master Database'!$L$1:$L$600,$B210)="","",INDEX('Master Database'!$L$1:$L$600,$B210)))</f>
        <v/>
      </c>
      <c r="N210" s="19" t="str">
        <f>IF($B210="","",IF(INDEX('Master Database'!$P$1:$P$600,$B210)="","",INDEX('Master Database'!$P$1:$P$600,$B210)))</f>
        <v/>
      </c>
      <c r="O210" s="19" t="str">
        <f>IF($B210="","",IF(INDEX('Master Database'!$S$1:$S$600,$B210)="","",INDEX('Master Database'!$S$1:$S$600,$B210)))</f>
        <v/>
      </c>
      <c r="P210" s="19" t="str">
        <f>IF($B210="","",IF(INDEX('Master Database'!$T$1:$T$600,$B210)="","",INDEX('Master Database'!$T$1:$T$600,$B210)))</f>
        <v/>
      </c>
      <c r="Q210" s="19" t="str">
        <f>IF($B210="","",IF(INDEX('Master Database'!$Y$1:$Y$600,$B210)="","",INDEX('Master Database'!$Y$1:$Y$600,$B210)))</f>
        <v/>
      </c>
      <c r="R210" s="19" t="str">
        <f>IF($B210="","",IF(INDEX('Master Database'!$Z$1:$Z$600,$B210)="","",INDEX('Master Database'!$Z$1:$Z$600,$B210)))</f>
        <v/>
      </c>
      <c r="S210" s="47" t="str">
        <f>IF($B210="","",IF(INDEX('Master Database'!$AA$1:$AA$600,$B210)="","",INDEX('Master Database'!$AA$1:$AA$600,$B210)))</f>
        <v/>
      </c>
      <c r="T210" s="19" t="str">
        <f>IF($B210="","",IF(INDEX('Master Database'!$AE$1:$AE$600,$B210)="","",INDEX('Master Database'!$AE$1:$AE$600,$B210)))</f>
        <v/>
      </c>
      <c r="U210" s="47" t="str">
        <f>IF($B210="","",IF(INDEX('Master Database'!$AG$1:$AG$600,$B210)="","",INDEX('Master Database'!$AG$1:$AG$600,$B210)))</f>
        <v/>
      </c>
      <c r="V210" s="47" t="str">
        <f>IF($B210="","",IF(INDEX('Master Database'!$AH$1:$AH$600,$B210)="","",INDEX('Master Database'!$AH$1:$AH$600,$B210)))</f>
        <v/>
      </c>
      <c r="W210" s="47" t="str">
        <f>IF($B210="","",IF(INDEX('Master Database'!$AI$1:$AI$600,$B210)="","",INDEX('Master Database'!$AI$1:$AI$600,$B210)))</f>
        <v/>
      </c>
      <c r="X210" s="19" t="str">
        <f>IF($B210="","",IF(INDEX('Master Database'!$BG$1:$BG$600,$B210)="","",INDEX('Master Database'!$BG$1:$BG$600,$B210)))</f>
        <v/>
      </c>
      <c r="BA210">
        <f>IF('Master Database'!$A210="",0,IF(AND(OR($B$5="",ISNUMBER(SEARCH($B$5,'Master Database'!$B210&amp;" "&amp;'Master Database'!$D210))),OR($B$6="(All)",'Master Database'!$C210=$B$6),OR($B$7="(All)",'Master Database'!$E210=$B$7),OR($B$8="(All)",'Master Database'!$T210=$B$8),OR($B$9="(All)",'Master Database'!$M210=$B$9),OR($B$10="(All)",'Master Database'!$V210=$B$10),OR($E$5="(All)",'Master Database'!$F210=$E$5),OR($E$6="(All)",'Master Database'!$G210=$E$6),OR($E$7="(All)",'Master Database'!$O210=$E$7),OR($E$8="(All)",'Master Database'!$P210=$E$8),OR($E$9="(All)",'Master Database'!$S210=$E$9),OR($E$10="(All)",'Master Database'!$Y210&amp;""=$E$10&amp;""),OR($H$5="(All)",'Master Database'!$BG210=$H$5),OR($H$6&lt;&gt;"Y",ISNUMBER('Master Database'!$AG210)),OR($H$7="",AND(ISNUMBER('Master Database'!$H210),N('Master Database'!$H210)&gt;=$H$7)),OR($I$7="",AND(ISNUMBER('Master Database'!$H210),N('Master Database'!$H210)&lt;=$I$7)),OR($H$8="",AND(ISNUMBER('Master Database'!$I210),N('Master Database'!$I210)&gt;=$H$8)),OR($I$8="",AND(ISNUMBER('Master Database'!$I210),N('Master Database'!$I210)&lt;=$I$8)),OR($H$9="",AND(ISNUMBER('Master Database'!$K210),N('Master Database'!$K210)&gt;=$H$9)),OR($I$9="",AND(ISNUMBER('Master Database'!$K210),N('Master Database'!$K210)&lt;=$I$9))),1,0))</f>
        <v>0</v>
      </c>
      <c r="BB210" t="str">
        <f>IF(BA210=1,COUNTIF($BA$5:BA210,1),"")</f>
        <v/>
      </c>
    </row>
    <row r="211" spans="1:54">
      <c r="A211" s="20" t="str">
        <f>IF(196&lt;=SUM($BA$5:$BA$600),196,"")</f>
        <v/>
      </c>
      <c r="B211" s="20" t="str">
        <f t="shared" si="6"/>
        <v/>
      </c>
      <c r="C211" s="20" t="str">
        <f>IF($B211="","",IF(INDEX('Master Database'!$A$1:$A$600,$B211)="","",INDEX('Master Database'!$A$1:$A$600,$B211)))</f>
        <v/>
      </c>
      <c r="D211" s="19" t="str">
        <f>IF($B211="","",IF(INDEX('Master Database'!$B$1:$B$600,$B211)="","",INDEX('Master Database'!$B$1:$B$600,$B211)))</f>
        <v/>
      </c>
      <c r="E211" s="19" t="str">
        <f>IF($B211="","",IF(INDEX('Master Database'!$C$1:$C$600,$B211)="","",INDEX('Master Database'!$C$1:$C$600,$B211)))</f>
        <v/>
      </c>
      <c r="F211" s="19" t="str">
        <f>IF($B211="","",IF(INDEX('Master Database'!$D$1:$D$600,$B211)="","",INDEX('Master Database'!$D$1:$D$600,$B211)))</f>
        <v/>
      </c>
      <c r="G211" s="19" t="str">
        <f>IF($B211="","",IF(INDEX('Master Database'!$E$1:$E$600,$B211)="","",INDEX('Master Database'!$E$1:$E$600,$B211)))</f>
        <v/>
      </c>
      <c r="H211" s="19" t="str">
        <f>IF($B211="","",IF(INDEX('Master Database'!$F$1:$F$600,$B211)="","",INDEX('Master Database'!$F$1:$F$600,$B211)))</f>
        <v/>
      </c>
      <c r="I211" s="19" t="str">
        <f>IF($B211="","",IF(INDEX('Master Database'!$G$1:$G$600,$B211)="","",INDEX('Master Database'!$G$1:$G$600,$B211)))</f>
        <v/>
      </c>
      <c r="J211" s="46" t="str">
        <f>IF($B211="","",IF(INDEX('Master Database'!$H$1:$H$600,$B211)="","",INDEX('Master Database'!$H$1:$H$600,$B211)))</f>
        <v/>
      </c>
      <c r="K211" s="46" t="str">
        <f>IF($B211="","",IF(INDEX('Master Database'!$I$1:$I$600,$B211)="","",INDEX('Master Database'!$I$1:$I$600,$B211)))</f>
        <v/>
      </c>
      <c r="L211" s="46" t="str">
        <f>IF($B211="","",IF(INDEX('Master Database'!$K$1:$K$600,$B211)="","",INDEX('Master Database'!$K$1:$K$600,$B211)))</f>
        <v/>
      </c>
      <c r="M211" s="19" t="str">
        <f>IF($B211="","",IF(INDEX('Master Database'!$L$1:$L$600,$B211)="","",INDEX('Master Database'!$L$1:$L$600,$B211)))</f>
        <v/>
      </c>
      <c r="N211" s="19" t="str">
        <f>IF($B211="","",IF(INDEX('Master Database'!$P$1:$P$600,$B211)="","",INDEX('Master Database'!$P$1:$P$600,$B211)))</f>
        <v/>
      </c>
      <c r="O211" s="19" t="str">
        <f>IF($B211="","",IF(INDEX('Master Database'!$S$1:$S$600,$B211)="","",INDEX('Master Database'!$S$1:$S$600,$B211)))</f>
        <v/>
      </c>
      <c r="P211" s="19" t="str">
        <f>IF($B211="","",IF(INDEX('Master Database'!$T$1:$T$600,$B211)="","",INDEX('Master Database'!$T$1:$T$600,$B211)))</f>
        <v/>
      </c>
      <c r="Q211" s="19" t="str">
        <f>IF($B211="","",IF(INDEX('Master Database'!$Y$1:$Y$600,$B211)="","",INDEX('Master Database'!$Y$1:$Y$600,$B211)))</f>
        <v/>
      </c>
      <c r="R211" s="19" t="str">
        <f>IF($B211="","",IF(INDEX('Master Database'!$Z$1:$Z$600,$B211)="","",INDEX('Master Database'!$Z$1:$Z$600,$B211)))</f>
        <v/>
      </c>
      <c r="S211" s="47" t="str">
        <f>IF($B211="","",IF(INDEX('Master Database'!$AA$1:$AA$600,$B211)="","",INDEX('Master Database'!$AA$1:$AA$600,$B211)))</f>
        <v/>
      </c>
      <c r="T211" s="19" t="str">
        <f>IF($B211="","",IF(INDEX('Master Database'!$AE$1:$AE$600,$B211)="","",INDEX('Master Database'!$AE$1:$AE$600,$B211)))</f>
        <v/>
      </c>
      <c r="U211" s="47" t="str">
        <f>IF($B211="","",IF(INDEX('Master Database'!$AG$1:$AG$600,$B211)="","",INDEX('Master Database'!$AG$1:$AG$600,$B211)))</f>
        <v/>
      </c>
      <c r="V211" s="47" t="str">
        <f>IF($B211="","",IF(INDEX('Master Database'!$AH$1:$AH$600,$B211)="","",INDEX('Master Database'!$AH$1:$AH$600,$B211)))</f>
        <v/>
      </c>
      <c r="W211" s="47" t="str">
        <f>IF($B211="","",IF(INDEX('Master Database'!$AI$1:$AI$600,$B211)="","",INDEX('Master Database'!$AI$1:$AI$600,$B211)))</f>
        <v/>
      </c>
      <c r="X211" s="19" t="str">
        <f>IF($B211="","",IF(INDEX('Master Database'!$BG$1:$BG$600,$B211)="","",INDEX('Master Database'!$BG$1:$BG$600,$B211)))</f>
        <v/>
      </c>
      <c r="BA211">
        <f>IF('Master Database'!$A211="",0,IF(AND(OR($B$5="",ISNUMBER(SEARCH($B$5,'Master Database'!$B211&amp;" "&amp;'Master Database'!$D211))),OR($B$6="(All)",'Master Database'!$C211=$B$6),OR($B$7="(All)",'Master Database'!$E211=$B$7),OR($B$8="(All)",'Master Database'!$T211=$B$8),OR($B$9="(All)",'Master Database'!$M211=$B$9),OR($B$10="(All)",'Master Database'!$V211=$B$10),OR($E$5="(All)",'Master Database'!$F211=$E$5),OR($E$6="(All)",'Master Database'!$G211=$E$6),OR($E$7="(All)",'Master Database'!$O211=$E$7),OR($E$8="(All)",'Master Database'!$P211=$E$8),OR($E$9="(All)",'Master Database'!$S211=$E$9),OR($E$10="(All)",'Master Database'!$Y211&amp;""=$E$10&amp;""),OR($H$5="(All)",'Master Database'!$BG211=$H$5),OR($H$6&lt;&gt;"Y",ISNUMBER('Master Database'!$AG211)),OR($H$7="",AND(ISNUMBER('Master Database'!$H211),N('Master Database'!$H211)&gt;=$H$7)),OR($I$7="",AND(ISNUMBER('Master Database'!$H211),N('Master Database'!$H211)&lt;=$I$7)),OR($H$8="",AND(ISNUMBER('Master Database'!$I211),N('Master Database'!$I211)&gt;=$H$8)),OR($I$8="",AND(ISNUMBER('Master Database'!$I211),N('Master Database'!$I211)&lt;=$I$8)),OR($H$9="",AND(ISNUMBER('Master Database'!$K211),N('Master Database'!$K211)&gt;=$H$9)),OR($I$9="",AND(ISNUMBER('Master Database'!$K211),N('Master Database'!$K211)&lt;=$I$9))),1,0))</f>
        <v>0</v>
      </c>
      <c r="BB211" t="str">
        <f>IF(BA211=1,COUNTIF($BA$5:BA211,1),"")</f>
        <v/>
      </c>
    </row>
    <row r="212" spans="1:54">
      <c r="A212" s="20" t="str">
        <f>IF(197&lt;=SUM($BA$5:$BA$600),197,"")</f>
        <v/>
      </c>
      <c r="B212" s="20" t="str">
        <f t="shared" si="6"/>
        <v/>
      </c>
      <c r="C212" s="20" t="str">
        <f>IF($B212="","",IF(INDEX('Master Database'!$A$1:$A$600,$B212)="","",INDEX('Master Database'!$A$1:$A$600,$B212)))</f>
        <v/>
      </c>
      <c r="D212" s="19" t="str">
        <f>IF($B212="","",IF(INDEX('Master Database'!$B$1:$B$600,$B212)="","",INDEX('Master Database'!$B$1:$B$600,$B212)))</f>
        <v/>
      </c>
      <c r="E212" s="19" t="str">
        <f>IF($B212="","",IF(INDEX('Master Database'!$C$1:$C$600,$B212)="","",INDEX('Master Database'!$C$1:$C$600,$B212)))</f>
        <v/>
      </c>
      <c r="F212" s="19" t="str">
        <f>IF($B212="","",IF(INDEX('Master Database'!$D$1:$D$600,$B212)="","",INDEX('Master Database'!$D$1:$D$600,$B212)))</f>
        <v/>
      </c>
      <c r="G212" s="19" t="str">
        <f>IF($B212="","",IF(INDEX('Master Database'!$E$1:$E$600,$B212)="","",INDEX('Master Database'!$E$1:$E$600,$B212)))</f>
        <v/>
      </c>
      <c r="H212" s="19" t="str">
        <f>IF($B212="","",IF(INDEX('Master Database'!$F$1:$F$600,$B212)="","",INDEX('Master Database'!$F$1:$F$600,$B212)))</f>
        <v/>
      </c>
      <c r="I212" s="19" t="str">
        <f>IF($B212="","",IF(INDEX('Master Database'!$G$1:$G$600,$B212)="","",INDEX('Master Database'!$G$1:$G$600,$B212)))</f>
        <v/>
      </c>
      <c r="J212" s="46" t="str">
        <f>IF($B212="","",IF(INDEX('Master Database'!$H$1:$H$600,$B212)="","",INDEX('Master Database'!$H$1:$H$600,$B212)))</f>
        <v/>
      </c>
      <c r="K212" s="46" t="str">
        <f>IF($B212="","",IF(INDEX('Master Database'!$I$1:$I$600,$B212)="","",INDEX('Master Database'!$I$1:$I$600,$B212)))</f>
        <v/>
      </c>
      <c r="L212" s="46" t="str">
        <f>IF($B212="","",IF(INDEX('Master Database'!$K$1:$K$600,$B212)="","",INDEX('Master Database'!$K$1:$K$600,$B212)))</f>
        <v/>
      </c>
      <c r="M212" s="19" t="str">
        <f>IF($B212="","",IF(INDEX('Master Database'!$L$1:$L$600,$B212)="","",INDEX('Master Database'!$L$1:$L$600,$B212)))</f>
        <v/>
      </c>
      <c r="N212" s="19" t="str">
        <f>IF($B212="","",IF(INDEX('Master Database'!$P$1:$P$600,$B212)="","",INDEX('Master Database'!$P$1:$P$600,$B212)))</f>
        <v/>
      </c>
      <c r="O212" s="19" t="str">
        <f>IF($B212="","",IF(INDEX('Master Database'!$S$1:$S$600,$B212)="","",INDEX('Master Database'!$S$1:$S$600,$B212)))</f>
        <v/>
      </c>
      <c r="P212" s="19" t="str">
        <f>IF($B212="","",IF(INDEX('Master Database'!$T$1:$T$600,$B212)="","",INDEX('Master Database'!$T$1:$T$600,$B212)))</f>
        <v/>
      </c>
      <c r="Q212" s="19" t="str">
        <f>IF($B212="","",IF(INDEX('Master Database'!$Y$1:$Y$600,$B212)="","",INDEX('Master Database'!$Y$1:$Y$600,$B212)))</f>
        <v/>
      </c>
      <c r="R212" s="19" t="str">
        <f>IF($B212="","",IF(INDEX('Master Database'!$Z$1:$Z$600,$B212)="","",INDEX('Master Database'!$Z$1:$Z$600,$B212)))</f>
        <v/>
      </c>
      <c r="S212" s="47" t="str">
        <f>IF($B212="","",IF(INDEX('Master Database'!$AA$1:$AA$600,$B212)="","",INDEX('Master Database'!$AA$1:$AA$600,$B212)))</f>
        <v/>
      </c>
      <c r="T212" s="19" t="str">
        <f>IF($B212="","",IF(INDEX('Master Database'!$AE$1:$AE$600,$B212)="","",INDEX('Master Database'!$AE$1:$AE$600,$B212)))</f>
        <v/>
      </c>
      <c r="U212" s="47" t="str">
        <f>IF($B212="","",IF(INDEX('Master Database'!$AG$1:$AG$600,$B212)="","",INDEX('Master Database'!$AG$1:$AG$600,$B212)))</f>
        <v/>
      </c>
      <c r="V212" s="47" t="str">
        <f>IF($B212="","",IF(INDEX('Master Database'!$AH$1:$AH$600,$B212)="","",INDEX('Master Database'!$AH$1:$AH$600,$B212)))</f>
        <v/>
      </c>
      <c r="W212" s="47" t="str">
        <f>IF($B212="","",IF(INDEX('Master Database'!$AI$1:$AI$600,$B212)="","",INDEX('Master Database'!$AI$1:$AI$600,$B212)))</f>
        <v/>
      </c>
      <c r="X212" s="19" t="str">
        <f>IF($B212="","",IF(INDEX('Master Database'!$BG$1:$BG$600,$B212)="","",INDEX('Master Database'!$BG$1:$BG$600,$B212)))</f>
        <v/>
      </c>
      <c r="BA212">
        <f>IF('Master Database'!$A212="",0,IF(AND(OR($B$5="",ISNUMBER(SEARCH($B$5,'Master Database'!$B212&amp;" "&amp;'Master Database'!$D212))),OR($B$6="(All)",'Master Database'!$C212=$B$6),OR($B$7="(All)",'Master Database'!$E212=$B$7),OR($B$8="(All)",'Master Database'!$T212=$B$8),OR($B$9="(All)",'Master Database'!$M212=$B$9),OR($B$10="(All)",'Master Database'!$V212=$B$10),OR($E$5="(All)",'Master Database'!$F212=$E$5),OR($E$6="(All)",'Master Database'!$G212=$E$6),OR($E$7="(All)",'Master Database'!$O212=$E$7),OR($E$8="(All)",'Master Database'!$P212=$E$8),OR($E$9="(All)",'Master Database'!$S212=$E$9),OR($E$10="(All)",'Master Database'!$Y212&amp;""=$E$10&amp;""),OR($H$5="(All)",'Master Database'!$BG212=$H$5),OR($H$6&lt;&gt;"Y",ISNUMBER('Master Database'!$AG212)),OR($H$7="",AND(ISNUMBER('Master Database'!$H212),N('Master Database'!$H212)&gt;=$H$7)),OR($I$7="",AND(ISNUMBER('Master Database'!$H212),N('Master Database'!$H212)&lt;=$I$7)),OR($H$8="",AND(ISNUMBER('Master Database'!$I212),N('Master Database'!$I212)&gt;=$H$8)),OR($I$8="",AND(ISNUMBER('Master Database'!$I212),N('Master Database'!$I212)&lt;=$I$8)),OR($H$9="",AND(ISNUMBER('Master Database'!$K212),N('Master Database'!$K212)&gt;=$H$9)),OR($I$9="",AND(ISNUMBER('Master Database'!$K212),N('Master Database'!$K212)&lt;=$I$9))),1,0))</f>
        <v>0</v>
      </c>
      <c r="BB212" t="str">
        <f>IF(BA212=1,COUNTIF($BA$5:BA212,1),"")</f>
        <v/>
      </c>
    </row>
    <row r="213" spans="1:54">
      <c r="A213" s="20" t="str">
        <f>IF(198&lt;=SUM($BA$5:$BA$600),198,"")</f>
        <v/>
      </c>
      <c r="B213" s="20" t="str">
        <f t="shared" si="6"/>
        <v/>
      </c>
      <c r="C213" s="20" t="str">
        <f>IF($B213="","",IF(INDEX('Master Database'!$A$1:$A$600,$B213)="","",INDEX('Master Database'!$A$1:$A$600,$B213)))</f>
        <v/>
      </c>
      <c r="D213" s="19" t="str">
        <f>IF($B213="","",IF(INDEX('Master Database'!$B$1:$B$600,$B213)="","",INDEX('Master Database'!$B$1:$B$600,$B213)))</f>
        <v/>
      </c>
      <c r="E213" s="19" t="str">
        <f>IF($B213="","",IF(INDEX('Master Database'!$C$1:$C$600,$B213)="","",INDEX('Master Database'!$C$1:$C$600,$B213)))</f>
        <v/>
      </c>
      <c r="F213" s="19" t="str">
        <f>IF($B213="","",IF(INDEX('Master Database'!$D$1:$D$600,$B213)="","",INDEX('Master Database'!$D$1:$D$600,$B213)))</f>
        <v/>
      </c>
      <c r="G213" s="19" t="str">
        <f>IF($B213="","",IF(INDEX('Master Database'!$E$1:$E$600,$B213)="","",INDEX('Master Database'!$E$1:$E$600,$B213)))</f>
        <v/>
      </c>
      <c r="H213" s="19" t="str">
        <f>IF($B213="","",IF(INDEX('Master Database'!$F$1:$F$600,$B213)="","",INDEX('Master Database'!$F$1:$F$600,$B213)))</f>
        <v/>
      </c>
      <c r="I213" s="19" t="str">
        <f>IF($B213="","",IF(INDEX('Master Database'!$G$1:$G$600,$B213)="","",INDEX('Master Database'!$G$1:$G$600,$B213)))</f>
        <v/>
      </c>
      <c r="J213" s="46" t="str">
        <f>IF($B213="","",IF(INDEX('Master Database'!$H$1:$H$600,$B213)="","",INDEX('Master Database'!$H$1:$H$600,$B213)))</f>
        <v/>
      </c>
      <c r="K213" s="46" t="str">
        <f>IF($B213="","",IF(INDEX('Master Database'!$I$1:$I$600,$B213)="","",INDEX('Master Database'!$I$1:$I$600,$B213)))</f>
        <v/>
      </c>
      <c r="L213" s="46" t="str">
        <f>IF($B213="","",IF(INDEX('Master Database'!$K$1:$K$600,$B213)="","",INDEX('Master Database'!$K$1:$K$600,$B213)))</f>
        <v/>
      </c>
      <c r="M213" s="19" t="str">
        <f>IF($B213="","",IF(INDEX('Master Database'!$L$1:$L$600,$B213)="","",INDEX('Master Database'!$L$1:$L$600,$B213)))</f>
        <v/>
      </c>
      <c r="N213" s="19" t="str">
        <f>IF($B213="","",IF(INDEX('Master Database'!$P$1:$P$600,$B213)="","",INDEX('Master Database'!$P$1:$P$600,$B213)))</f>
        <v/>
      </c>
      <c r="O213" s="19" t="str">
        <f>IF($B213="","",IF(INDEX('Master Database'!$S$1:$S$600,$B213)="","",INDEX('Master Database'!$S$1:$S$600,$B213)))</f>
        <v/>
      </c>
      <c r="P213" s="19" t="str">
        <f>IF($B213="","",IF(INDEX('Master Database'!$T$1:$T$600,$B213)="","",INDEX('Master Database'!$T$1:$T$600,$B213)))</f>
        <v/>
      </c>
      <c r="Q213" s="19" t="str">
        <f>IF($B213="","",IF(INDEX('Master Database'!$Y$1:$Y$600,$B213)="","",INDEX('Master Database'!$Y$1:$Y$600,$B213)))</f>
        <v/>
      </c>
      <c r="R213" s="19" t="str">
        <f>IF($B213="","",IF(INDEX('Master Database'!$Z$1:$Z$600,$B213)="","",INDEX('Master Database'!$Z$1:$Z$600,$B213)))</f>
        <v/>
      </c>
      <c r="S213" s="47" t="str">
        <f>IF($B213="","",IF(INDEX('Master Database'!$AA$1:$AA$600,$B213)="","",INDEX('Master Database'!$AA$1:$AA$600,$B213)))</f>
        <v/>
      </c>
      <c r="T213" s="19" t="str">
        <f>IF($B213="","",IF(INDEX('Master Database'!$AE$1:$AE$600,$B213)="","",INDEX('Master Database'!$AE$1:$AE$600,$B213)))</f>
        <v/>
      </c>
      <c r="U213" s="47" t="str">
        <f>IF($B213="","",IF(INDEX('Master Database'!$AG$1:$AG$600,$B213)="","",INDEX('Master Database'!$AG$1:$AG$600,$B213)))</f>
        <v/>
      </c>
      <c r="V213" s="47" t="str">
        <f>IF($B213="","",IF(INDEX('Master Database'!$AH$1:$AH$600,$B213)="","",INDEX('Master Database'!$AH$1:$AH$600,$B213)))</f>
        <v/>
      </c>
      <c r="W213" s="47" t="str">
        <f>IF($B213="","",IF(INDEX('Master Database'!$AI$1:$AI$600,$B213)="","",INDEX('Master Database'!$AI$1:$AI$600,$B213)))</f>
        <v/>
      </c>
      <c r="X213" s="19" t="str">
        <f>IF($B213="","",IF(INDEX('Master Database'!$BG$1:$BG$600,$B213)="","",INDEX('Master Database'!$BG$1:$BG$600,$B213)))</f>
        <v/>
      </c>
      <c r="BA213">
        <f>IF('Master Database'!$A213="",0,IF(AND(OR($B$5="",ISNUMBER(SEARCH($B$5,'Master Database'!$B213&amp;" "&amp;'Master Database'!$D213))),OR($B$6="(All)",'Master Database'!$C213=$B$6),OR($B$7="(All)",'Master Database'!$E213=$B$7),OR($B$8="(All)",'Master Database'!$T213=$B$8),OR($B$9="(All)",'Master Database'!$M213=$B$9),OR($B$10="(All)",'Master Database'!$V213=$B$10),OR($E$5="(All)",'Master Database'!$F213=$E$5),OR($E$6="(All)",'Master Database'!$G213=$E$6),OR($E$7="(All)",'Master Database'!$O213=$E$7),OR($E$8="(All)",'Master Database'!$P213=$E$8),OR($E$9="(All)",'Master Database'!$S213=$E$9),OR($E$10="(All)",'Master Database'!$Y213&amp;""=$E$10&amp;""),OR($H$5="(All)",'Master Database'!$BG213=$H$5),OR($H$6&lt;&gt;"Y",ISNUMBER('Master Database'!$AG213)),OR($H$7="",AND(ISNUMBER('Master Database'!$H213),N('Master Database'!$H213)&gt;=$H$7)),OR($I$7="",AND(ISNUMBER('Master Database'!$H213),N('Master Database'!$H213)&lt;=$I$7)),OR($H$8="",AND(ISNUMBER('Master Database'!$I213),N('Master Database'!$I213)&gt;=$H$8)),OR($I$8="",AND(ISNUMBER('Master Database'!$I213),N('Master Database'!$I213)&lt;=$I$8)),OR($H$9="",AND(ISNUMBER('Master Database'!$K213),N('Master Database'!$K213)&gt;=$H$9)),OR($I$9="",AND(ISNUMBER('Master Database'!$K213),N('Master Database'!$K213)&lt;=$I$9))),1,0))</f>
        <v>0</v>
      </c>
      <c r="BB213" t="str">
        <f>IF(BA213=1,COUNTIF($BA$5:BA213,1),"")</f>
        <v/>
      </c>
    </row>
    <row r="214" spans="1:54">
      <c r="A214" s="20" t="str">
        <f>IF(199&lt;=SUM($BA$5:$BA$600),199,"")</f>
        <v/>
      </c>
      <c r="B214" s="20" t="str">
        <f t="shared" si="6"/>
        <v/>
      </c>
      <c r="C214" s="20" t="str">
        <f>IF($B214="","",IF(INDEX('Master Database'!$A$1:$A$600,$B214)="","",INDEX('Master Database'!$A$1:$A$600,$B214)))</f>
        <v/>
      </c>
      <c r="D214" s="19" t="str">
        <f>IF($B214="","",IF(INDEX('Master Database'!$B$1:$B$600,$B214)="","",INDEX('Master Database'!$B$1:$B$600,$B214)))</f>
        <v/>
      </c>
      <c r="E214" s="19" t="str">
        <f>IF($B214="","",IF(INDEX('Master Database'!$C$1:$C$600,$B214)="","",INDEX('Master Database'!$C$1:$C$600,$B214)))</f>
        <v/>
      </c>
      <c r="F214" s="19" t="str">
        <f>IF($B214="","",IF(INDEX('Master Database'!$D$1:$D$600,$B214)="","",INDEX('Master Database'!$D$1:$D$600,$B214)))</f>
        <v/>
      </c>
      <c r="G214" s="19" t="str">
        <f>IF($B214="","",IF(INDEX('Master Database'!$E$1:$E$600,$B214)="","",INDEX('Master Database'!$E$1:$E$600,$B214)))</f>
        <v/>
      </c>
      <c r="H214" s="19" t="str">
        <f>IF($B214="","",IF(INDEX('Master Database'!$F$1:$F$600,$B214)="","",INDEX('Master Database'!$F$1:$F$600,$B214)))</f>
        <v/>
      </c>
      <c r="I214" s="19" t="str">
        <f>IF($B214="","",IF(INDEX('Master Database'!$G$1:$G$600,$B214)="","",INDEX('Master Database'!$G$1:$G$600,$B214)))</f>
        <v/>
      </c>
      <c r="J214" s="46" t="str">
        <f>IF($B214="","",IF(INDEX('Master Database'!$H$1:$H$600,$B214)="","",INDEX('Master Database'!$H$1:$H$600,$B214)))</f>
        <v/>
      </c>
      <c r="K214" s="46" t="str">
        <f>IF($B214="","",IF(INDEX('Master Database'!$I$1:$I$600,$B214)="","",INDEX('Master Database'!$I$1:$I$600,$B214)))</f>
        <v/>
      </c>
      <c r="L214" s="46" t="str">
        <f>IF($B214="","",IF(INDEX('Master Database'!$K$1:$K$600,$B214)="","",INDEX('Master Database'!$K$1:$K$600,$B214)))</f>
        <v/>
      </c>
      <c r="M214" s="19" t="str">
        <f>IF($B214="","",IF(INDEX('Master Database'!$L$1:$L$600,$B214)="","",INDEX('Master Database'!$L$1:$L$600,$B214)))</f>
        <v/>
      </c>
      <c r="N214" s="19" t="str">
        <f>IF($B214="","",IF(INDEX('Master Database'!$P$1:$P$600,$B214)="","",INDEX('Master Database'!$P$1:$P$600,$B214)))</f>
        <v/>
      </c>
      <c r="O214" s="19" t="str">
        <f>IF($B214="","",IF(INDEX('Master Database'!$S$1:$S$600,$B214)="","",INDEX('Master Database'!$S$1:$S$600,$B214)))</f>
        <v/>
      </c>
      <c r="P214" s="19" t="str">
        <f>IF($B214="","",IF(INDEX('Master Database'!$T$1:$T$600,$B214)="","",INDEX('Master Database'!$T$1:$T$600,$B214)))</f>
        <v/>
      </c>
      <c r="Q214" s="19" t="str">
        <f>IF($B214="","",IF(INDEX('Master Database'!$Y$1:$Y$600,$B214)="","",INDEX('Master Database'!$Y$1:$Y$600,$B214)))</f>
        <v/>
      </c>
      <c r="R214" s="19" t="str">
        <f>IF($B214="","",IF(INDEX('Master Database'!$Z$1:$Z$600,$B214)="","",INDEX('Master Database'!$Z$1:$Z$600,$B214)))</f>
        <v/>
      </c>
      <c r="S214" s="47" t="str">
        <f>IF($B214="","",IF(INDEX('Master Database'!$AA$1:$AA$600,$B214)="","",INDEX('Master Database'!$AA$1:$AA$600,$B214)))</f>
        <v/>
      </c>
      <c r="T214" s="19" t="str">
        <f>IF($B214="","",IF(INDEX('Master Database'!$AE$1:$AE$600,$B214)="","",INDEX('Master Database'!$AE$1:$AE$600,$B214)))</f>
        <v/>
      </c>
      <c r="U214" s="47" t="str">
        <f>IF($B214="","",IF(INDEX('Master Database'!$AG$1:$AG$600,$B214)="","",INDEX('Master Database'!$AG$1:$AG$600,$B214)))</f>
        <v/>
      </c>
      <c r="V214" s="47" t="str">
        <f>IF($B214="","",IF(INDEX('Master Database'!$AH$1:$AH$600,$B214)="","",INDEX('Master Database'!$AH$1:$AH$600,$B214)))</f>
        <v/>
      </c>
      <c r="W214" s="47" t="str">
        <f>IF($B214="","",IF(INDEX('Master Database'!$AI$1:$AI$600,$B214)="","",INDEX('Master Database'!$AI$1:$AI$600,$B214)))</f>
        <v/>
      </c>
      <c r="X214" s="19" t="str">
        <f>IF($B214="","",IF(INDEX('Master Database'!$BG$1:$BG$600,$B214)="","",INDEX('Master Database'!$BG$1:$BG$600,$B214)))</f>
        <v/>
      </c>
      <c r="BA214">
        <f>IF('Master Database'!$A214="",0,IF(AND(OR($B$5="",ISNUMBER(SEARCH($B$5,'Master Database'!$B214&amp;" "&amp;'Master Database'!$D214))),OR($B$6="(All)",'Master Database'!$C214=$B$6),OR($B$7="(All)",'Master Database'!$E214=$B$7),OR($B$8="(All)",'Master Database'!$T214=$B$8),OR($B$9="(All)",'Master Database'!$M214=$B$9),OR($B$10="(All)",'Master Database'!$V214=$B$10),OR($E$5="(All)",'Master Database'!$F214=$E$5),OR($E$6="(All)",'Master Database'!$G214=$E$6),OR($E$7="(All)",'Master Database'!$O214=$E$7),OR($E$8="(All)",'Master Database'!$P214=$E$8),OR($E$9="(All)",'Master Database'!$S214=$E$9),OR($E$10="(All)",'Master Database'!$Y214&amp;""=$E$10&amp;""),OR($H$5="(All)",'Master Database'!$BG214=$H$5),OR($H$6&lt;&gt;"Y",ISNUMBER('Master Database'!$AG214)),OR($H$7="",AND(ISNUMBER('Master Database'!$H214),N('Master Database'!$H214)&gt;=$H$7)),OR($I$7="",AND(ISNUMBER('Master Database'!$H214),N('Master Database'!$H214)&lt;=$I$7)),OR($H$8="",AND(ISNUMBER('Master Database'!$I214),N('Master Database'!$I214)&gt;=$H$8)),OR($I$8="",AND(ISNUMBER('Master Database'!$I214),N('Master Database'!$I214)&lt;=$I$8)),OR($H$9="",AND(ISNUMBER('Master Database'!$K214),N('Master Database'!$K214)&gt;=$H$9)),OR($I$9="",AND(ISNUMBER('Master Database'!$K214),N('Master Database'!$K214)&lt;=$I$9))),1,0))</f>
        <v>0</v>
      </c>
      <c r="BB214" t="str">
        <f>IF(BA214=1,COUNTIF($BA$5:BA214,1),"")</f>
        <v/>
      </c>
    </row>
    <row r="215" spans="1:54">
      <c r="A215" s="20" t="str">
        <f>IF(200&lt;=SUM($BA$5:$BA$600),200,"")</f>
        <v/>
      </c>
      <c r="B215" s="20" t="str">
        <f t="shared" si="6"/>
        <v/>
      </c>
      <c r="C215" s="20" t="str">
        <f>IF($B215="","",IF(INDEX('Master Database'!$A$1:$A$600,$B215)="","",INDEX('Master Database'!$A$1:$A$600,$B215)))</f>
        <v/>
      </c>
      <c r="D215" s="19" t="str">
        <f>IF($B215="","",IF(INDEX('Master Database'!$B$1:$B$600,$B215)="","",INDEX('Master Database'!$B$1:$B$600,$B215)))</f>
        <v/>
      </c>
      <c r="E215" s="19" t="str">
        <f>IF($B215="","",IF(INDEX('Master Database'!$C$1:$C$600,$B215)="","",INDEX('Master Database'!$C$1:$C$600,$B215)))</f>
        <v/>
      </c>
      <c r="F215" s="19" t="str">
        <f>IF($B215="","",IF(INDEX('Master Database'!$D$1:$D$600,$B215)="","",INDEX('Master Database'!$D$1:$D$600,$B215)))</f>
        <v/>
      </c>
      <c r="G215" s="19" t="str">
        <f>IF($B215="","",IF(INDEX('Master Database'!$E$1:$E$600,$B215)="","",INDEX('Master Database'!$E$1:$E$600,$B215)))</f>
        <v/>
      </c>
      <c r="H215" s="19" t="str">
        <f>IF($B215="","",IF(INDEX('Master Database'!$F$1:$F$600,$B215)="","",INDEX('Master Database'!$F$1:$F$600,$B215)))</f>
        <v/>
      </c>
      <c r="I215" s="19" t="str">
        <f>IF($B215="","",IF(INDEX('Master Database'!$G$1:$G$600,$B215)="","",INDEX('Master Database'!$G$1:$G$600,$B215)))</f>
        <v/>
      </c>
      <c r="J215" s="46" t="str">
        <f>IF($B215="","",IF(INDEX('Master Database'!$H$1:$H$600,$B215)="","",INDEX('Master Database'!$H$1:$H$600,$B215)))</f>
        <v/>
      </c>
      <c r="K215" s="46" t="str">
        <f>IF($B215="","",IF(INDEX('Master Database'!$I$1:$I$600,$B215)="","",INDEX('Master Database'!$I$1:$I$600,$B215)))</f>
        <v/>
      </c>
      <c r="L215" s="46" t="str">
        <f>IF($B215="","",IF(INDEX('Master Database'!$K$1:$K$600,$B215)="","",INDEX('Master Database'!$K$1:$K$600,$B215)))</f>
        <v/>
      </c>
      <c r="M215" s="19" t="str">
        <f>IF($B215="","",IF(INDEX('Master Database'!$L$1:$L$600,$B215)="","",INDEX('Master Database'!$L$1:$L$600,$B215)))</f>
        <v/>
      </c>
      <c r="N215" s="19" t="str">
        <f>IF($B215="","",IF(INDEX('Master Database'!$P$1:$P$600,$B215)="","",INDEX('Master Database'!$P$1:$P$600,$B215)))</f>
        <v/>
      </c>
      <c r="O215" s="19" t="str">
        <f>IF($B215="","",IF(INDEX('Master Database'!$S$1:$S$600,$B215)="","",INDEX('Master Database'!$S$1:$S$600,$B215)))</f>
        <v/>
      </c>
      <c r="P215" s="19" t="str">
        <f>IF($B215="","",IF(INDEX('Master Database'!$T$1:$T$600,$B215)="","",INDEX('Master Database'!$T$1:$T$600,$B215)))</f>
        <v/>
      </c>
      <c r="Q215" s="19" t="str">
        <f>IF($B215="","",IF(INDEX('Master Database'!$Y$1:$Y$600,$B215)="","",INDEX('Master Database'!$Y$1:$Y$600,$B215)))</f>
        <v/>
      </c>
      <c r="R215" s="19" t="str">
        <f>IF($B215="","",IF(INDEX('Master Database'!$Z$1:$Z$600,$B215)="","",INDEX('Master Database'!$Z$1:$Z$600,$B215)))</f>
        <v/>
      </c>
      <c r="S215" s="47" t="str">
        <f>IF($B215="","",IF(INDEX('Master Database'!$AA$1:$AA$600,$B215)="","",INDEX('Master Database'!$AA$1:$AA$600,$B215)))</f>
        <v/>
      </c>
      <c r="T215" s="19" t="str">
        <f>IF($B215="","",IF(INDEX('Master Database'!$AE$1:$AE$600,$B215)="","",INDEX('Master Database'!$AE$1:$AE$600,$B215)))</f>
        <v/>
      </c>
      <c r="U215" s="47" t="str">
        <f>IF($B215="","",IF(INDEX('Master Database'!$AG$1:$AG$600,$B215)="","",INDEX('Master Database'!$AG$1:$AG$600,$B215)))</f>
        <v/>
      </c>
      <c r="V215" s="47" t="str">
        <f>IF($B215="","",IF(INDEX('Master Database'!$AH$1:$AH$600,$B215)="","",INDEX('Master Database'!$AH$1:$AH$600,$B215)))</f>
        <v/>
      </c>
      <c r="W215" s="47" t="str">
        <f>IF($B215="","",IF(INDEX('Master Database'!$AI$1:$AI$600,$B215)="","",INDEX('Master Database'!$AI$1:$AI$600,$B215)))</f>
        <v/>
      </c>
      <c r="X215" s="19" t="str">
        <f>IF($B215="","",IF(INDEX('Master Database'!$BG$1:$BG$600,$B215)="","",INDEX('Master Database'!$BG$1:$BG$600,$B215)))</f>
        <v/>
      </c>
      <c r="BA215">
        <f>IF('Master Database'!$A215="",0,IF(AND(OR($B$5="",ISNUMBER(SEARCH($B$5,'Master Database'!$B215&amp;" "&amp;'Master Database'!$D215))),OR($B$6="(All)",'Master Database'!$C215=$B$6),OR($B$7="(All)",'Master Database'!$E215=$B$7),OR($B$8="(All)",'Master Database'!$T215=$B$8),OR($B$9="(All)",'Master Database'!$M215=$B$9),OR($B$10="(All)",'Master Database'!$V215=$B$10),OR($E$5="(All)",'Master Database'!$F215=$E$5),OR($E$6="(All)",'Master Database'!$G215=$E$6),OR($E$7="(All)",'Master Database'!$O215=$E$7),OR($E$8="(All)",'Master Database'!$P215=$E$8),OR($E$9="(All)",'Master Database'!$S215=$E$9),OR($E$10="(All)",'Master Database'!$Y215&amp;""=$E$10&amp;""),OR($H$5="(All)",'Master Database'!$BG215=$H$5),OR($H$6&lt;&gt;"Y",ISNUMBER('Master Database'!$AG215)),OR($H$7="",AND(ISNUMBER('Master Database'!$H215),N('Master Database'!$H215)&gt;=$H$7)),OR($I$7="",AND(ISNUMBER('Master Database'!$H215),N('Master Database'!$H215)&lt;=$I$7)),OR($H$8="",AND(ISNUMBER('Master Database'!$I215),N('Master Database'!$I215)&gt;=$H$8)),OR($I$8="",AND(ISNUMBER('Master Database'!$I215),N('Master Database'!$I215)&lt;=$I$8)),OR($H$9="",AND(ISNUMBER('Master Database'!$K215),N('Master Database'!$K215)&gt;=$H$9)),OR($I$9="",AND(ISNUMBER('Master Database'!$K215),N('Master Database'!$K215)&lt;=$I$9))),1,0))</f>
        <v>0</v>
      </c>
      <c r="BB215" t="str">
        <f>IF(BA215=1,COUNTIF($BA$5:BA215,1),"")</f>
        <v/>
      </c>
    </row>
    <row r="216" spans="1:54">
      <c r="BA216">
        <f>IF('Master Database'!$A216="",0,IF(AND(OR($B$5="",ISNUMBER(SEARCH($B$5,'Master Database'!$B216&amp;" "&amp;'Master Database'!$D216))),OR($B$6="(All)",'Master Database'!$C216=$B$6),OR($B$7="(All)",'Master Database'!$E216=$B$7),OR($B$8="(All)",'Master Database'!$T216=$B$8),OR($B$9="(All)",'Master Database'!$M216=$B$9),OR($B$10="(All)",'Master Database'!$V216=$B$10),OR($E$5="(All)",'Master Database'!$F216=$E$5),OR($E$6="(All)",'Master Database'!$G216=$E$6),OR($E$7="(All)",'Master Database'!$O216=$E$7),OR($E$8="(All)",'Master Database'!$P216=$E$8),OR($E$9="(All)",'Master Database'!$S216=$E$9),OR($E$10="(All)",'Master Database'!$Y216&amp;""=$E$10&amp;""),OR($H$5="(All)",'Master Database'!$BG216=$H$5),OR($H$6&lt;&gt;"Y",ISNUMBER('Master Database'!$AG216)),OR($H$7="",AND(ISNUMBER('Master Database'!$H216),N('Master Database'!$H216)&gt;=$H$7)),OR($I$7="",AND(ISNUMBER('Master Database'!$H216),N('Master Database'!$H216)&lt;=$I$7)),OR($H$8="",AND(ISNUMBER('Master Database'!$I216),N('Master Database'!$I216)&gt;=$H$8)),OR($I$8="",AND(ISNUMBER('Master Database'!$I216),N('Master Database'!$I216)&lt;=$I$8)),OR($H$9="",AND(ISNUMBER('Master Database'!$K216),N('Master Database'!$K216)&gt;=$H$9)),OR($I$9="",AND(ISNUMBER('Master Database'!$K216),N('Master Database'!$K216)&lt;=$I$9))),1,0))</f>
        <v>0</v>
      </c>
      <c r="BB216" t="str">
        <f>IF(BA216=1,COUNTIF($BA$5:BA216,1),"")</f>
        <v/>
      </c>
    </row>
    <row r="217" spans="1:54">
      <c r="BA217">
        <f>IF('Master Database'!$A217="",0,IF(AND(OR($B$5="",ISNUMBER(SEARCH($B$5,'Master Database'!$B217&amp;" "&amp;'Master Database'!$D217))),OR($B$6="(All)",'Master Database'!$C217=$B$6),OR($B$7="(All)",'Master Database'!$E217=$B$7),OR($B$8="(All)",'Master Database'!$T217=$B$8),OR($B$9="(All)",'Master Database'!$M217=$B$9),OR($B$10="(All)",'Master Database'!$V217=$B$10),OR($E$5="(All)",'Master Database'!$F217=$E$5),OR($E$6="(All)",'Master Database'!$G217=$E$6),OR($E$7="(All)",'Master Database'!$O217=$E$7),OR($E$8="(All)",'Master Database'!$P217=$E$8),OR($E$9="(All)",'Master Database'!$S217=$E$9),OR($E$10="(All)",'Master Database'!$Y217&amp;""=$E$10&amp;""),OR($H$5="(All)",'Master Database'!$BG217=$H$5),OR($H$6&lt;&gt;"Y",ISNUMBER('Master Database'!$AG217)),OR($H$7="",AND(ISNUMBER('Master Database'!$H217),N('Master Database'!$H217)&gt;=$H$7)),OR($I$7="",AND(ISNUMBER('Master Database'!$H217),N('Master Database'!$H217)&lt;=$I$7)),OR($H$8="",AND(ISNUMBER('Master Database'!$I217),N('Master Database'!$I217)&gt;=$H$8)),OR($I$8="",AND(ISNUMBER('Master Database'!$I217),N('Master Database'!$I217)&lt;=$I$8)),OR($H$9="",AND(ISNUMBER('Master Database'!$K217),N('Master Database'!$K217)&gt;=$H$9)),OR($I$9="",AND(ISNUMBER('Master Database'!$K217),N('Master Database'!$K217)&lt;=$I$9))),1,0))</f>
        <v>0</v>
      </c>
      <c r="BB217" t="str">
        <f>IF(BA217=1,COUNTIF($BA$5:BA217,1),"")</f>
        <v/>
      </c>
    </row>
    <row r="218" spans="1:54">
      <c r="BA218">
        <f>IF('Master Database'!$A218="",0,IF(AND(OR($B$5="",ISNUMBER(SEARCH($B$5,'Master Database'!$B218&amp;" "&amp;'Master Database'!$D218))),OR($B$6="(All)",'Master Database'!$C218=$B$6),OR($B$7="(All)",'Master Database'!$E218=$B$7),OR($B$8="(All)",'Master Database'!$T218=$B$8),OR($B$9="(All)",'Master Database'!$M218=$B$9),OR($B$10="(All)",'Master Database'!$V218=$B$10),OR($E$5="(All)",'Master Database'!$F218=$E$5),OR($E$6="(All)",'Master Database'!$G218=$E$6),OR($E$7="(All)",'Master Database'!$O218=$E$7),OR($E$8="(All)",'Master Database'!$P218=$E$8),OR($E$9="(All)",'Master Database'!$S218=$E$9),OR($E$10="(All)",'Master Database'!$Y218&amp;""=$E$10&amp;""),OR($H$5="(All)",'Master Database'!$BG218=$H$5),OR($H$6&lt;&gt;"Y",ISNUMBER('Master Database'!$AG218)),OR($H$7="",AND(ISNUMBER('Master Database'!$H218),N('Master Database'!$H218)&gt;=$H$7)),OR($I$7="",AND(ISNUMBER('Master Database'!$H218),N('Master Database'!$H218)&lt;=$I$7)),OR($H$8="",AND(ISNUMBER('Master Database'!$I218),N('Master Database'!$I218)&gt;=$H$8)),OR($I$8="",AND(ISNUMBER('Master Database'!$I218),N('Master Database'!$I218)&lt;=$I$8)),OR($H$9="",AND(ISNUMBER('Master Database'!$K218),N('Master Database'!$K218)&gt;=$H$9)),OR($I$9="",AND(ISNUMBER('Master Database'!$K218),N('Master Database'!$K218)&lt;=$I$9))),1,0))</f>
        <v>0</v>
      </c>
      <c r="BB218" t="str">
        <f>IF(BA218=1,COUNTIF($BA$5:BA218,1),"")</f>
        <v/>
      </c>
    </row>
    <row r="219" spans="1:54">
      <c r="BA219">
        <f>IF('Master Database'!$A219="",0,IF(AND(OR($B$5="",ISNUMBER(SEARCH($B$5,'Master Database'!$B219&amp;" "&amp;'Master Database'!$D219))),OR($B$6="(All)",'Master Database'!$C219=$B$6),OR($B$7="(All)",'Master Database'!$E219=$B$7),OR($B$8="(All)",'Master Database'!$T219=$B$8),OR($B$9="(All)",'Master Database'!$M219=$B$9),OR($B$10="(All)",'Master Database'!$V219=$B$10),OR($E$5="(All)",'Master Database'!$F219=$E$5),OR($E$6="(All)",'Master Database'!$G219=$E$6),OR($E$7="(All)",'Master Database'!$O219=$E$7),OR($E$8="(All)",'Master Database'!$P219=$E$8),OR($E$9="(All)",'Master Database'!$S219=$E$9),OR($E$10="(All)",'Master Database'!$Y219&amp;""=$E$10&amp;""),OR($H$5="(All)",'Master Database'!$BG219=$H$5),OR($H$6&lt;&gt;"Y",ISNUMBER('Master Database'!$AG219)),OR($H$7="",AND(ISNUMBER('Master Database'!$H219),N('Master Database'!$H219)&gt;=$H$7)),OR($I$7="",AND(ISNUMBER('Master Database'!$H219),N('Master Database'!$H219)&lt;=$I$7)),OR($H$8="",AND(ISNUMBER('Master Database'!$I219),N('Master Database'!$I219)&gt;=$H$8)),OR($I$8="",AND(ISNUMBER('Master Database'!$I219),N('Master Database'!$I219)&lt;=$I$8)),OR($H$9="",AND(ISNUMBER('Master Database'!$K219),N('Master Database'!$K219)&gt;=$H$9)),OR($I$9="",AND(ISNUMBER('Master Database'!$K219),N('Master Database'!$K219)&lt;=$I$9))),1,0))</f>
        <v>0</v>
      </c>
      <c r="BB219" t="str">
        <f>IF(BA219=1,COUNTIF($BA$5:BA219,1),"")</f>
        <v/>
      </c>
    </row>
    <row r="220" spans="1:54">
      <c r="BA220">
        <f>IF('Master Database'!$A220="",0,IF(AND(OR($B$5="",ISNUMBER(SEARCH($B$5,'Master Database'!$B220&amp;" "&amp;'Master Database'!$D220))),OR($B$6="(All)",'Master Database'!$C220=$B$6),OR($B$7="(All)",'Master Database'!$E220=$B$7),OR($B$8="(All)",'Master Database'!$T220=$B$8),OR($B$9="(All)",'Master Database'!$M220=$B$9),OR($B$10="(All)",'Master Database'!$V220=$B$10),OR($E$5="(All)",'Master Database'!$F220=$E$5),OR($E$6="(All)",'Master Database'!$G220=$E$6),OR($E$7="(All)",'Master Database'!$O220=$E$7),OR($E$8="(All)",'Master Database'!$P220=$E$8),OR($E$9="(All)",'Master Database'!$S220=$E$9),OR($E$10="(All)",'Master Database'!$Y220&amp;""=$E$10&amp;""),OR($H$5="(All)",'Master Database'!$BG220=$H$5),OR($H$6&lt;&gt;"Y",ISNUMBER('Master Database'!$AG220)),OR($H$7="",AND(ISNUMBER('Master Database'!$H220),N('Master Database'!$H220)&gt;=$H$7)),OR($I$7="",AND(ISNUMBER('Master Database'!$H220),N('Master Database'!$H220)&lt;=$I$7)),OR($H$8="",AND(ISNUMBER('Master Database'!$I220),N('Master Database'!$I220)&gt;=$H$8)),OR($I$8="",AND(ISNUMBER('Master Database'!$I220),N('Master Database'!$I220)&lt;=$I$8)),OR($H$9="",AND(ISNUMBER('Master Database'!$K220),N('Master Database'!$K220)&gt;=$H$9)),OR($I$9="",AND(ISNUMBER('Master Database'!$K220),N('Master Database'!$K220)&lt;=$I$9))),1,0))</f>
        <v>0</v>
      </c>
      <c r="BB220" t="str">
        <f>IF(BA220=1,COUNTIF($BA$5:BA220,1),"")</f>
        <v/>
      </c>
    </row>
    <row r="221" spans="1:54">
      <c r="BA221">
        <f>IF('Master Database'!$A221="",0,IF(AND(OR($B$5="",ISNUMBER(SEARCH($B$5,'Master Database'!$B221&amp;" "&amp;'Master Database'!$D221))),OR($B$6="(All)",'Master Database'!$C221=$B$6),OR($B$7="(All)",'Master Database'!$E221=$B$7),OR($B$8="(All)",'Master Database'!$T221=$B$8),OR($B$9="(All)",'Master Database'!$M221=$B$9),OR($B$10="(All)",'Master Database'!$V221=$B$10),OR($E$5="(All)",'Master Database'!$F221=$E$5),OR($E$6="(All)",'Master Database'!$G221=$E$6),OR($E$7="(All)",'Master Database'!$O221=$E$7),OR($E$8="(All)",'Master Database'!$P221=$E$8),OR($E$9="(All)",'Master Database'!$S221=$E$9),OR($E$10="(All)",'Master Database'!$Y221&amp;""=$E$10&amp;""),OR($H$5="(All)",'Master Database'!$BG221=$H$5),OR($H$6&lt;&gt;"Y",ISNUMBER('Master Database'!$AG221)),OR($H$7="",AND(ISNUMBER('Master Database'!$H221),N('Master Database'!$H221)&gt;=$H$7)),OR($I$7="",AND(ISNUMBER('Master Database'!$H221),N('Master Database'!$H221)&lt;=$I$7)),OR($H$8="",AND(ISNUMBER('Master Database'!$I221),N('Master Database'!$I221)&gt;=$H$8)),OR($I$8="",AND(ISNUMBER('Master Database'!$I221),N('Master Database'!$I221)&lt;=$I$8)),OR($H$9="",AND(ISNUMBER('Master Database'!$K221),N('Master Database'!$K221)&gt;=$H$9)),OR($I$9="",AND(ISNUMBER('Master Database'!$K221),N('Master Database'!$K221)&lt;=$I$9))),1,0))</f>
        <v>0</v>
      </c>
      <c r="BB221" t="str">
        <f>IF(BA221=1,COUNTIF($BA$5:BA221,1),"")</f>
        <v/>
      </c>
    </row>
    <row r="222" spans="1:54">
      <c r="BA222">
        <f>IF('Master Database'!$A222="",0,IF(AND(OR($B$5="",ISNUMBER(SEARCH($B$5,'Master Database'!$B222&amp;" "&amp;'Master Database'!$D222))),OR($B$6="(All)",'Master Database'!$C222=$B$6),OR($B$7="(All)",'Master Database'!$E222=$B$7),OR($B$8="(All)",'Master Database'!$T222=$B$8),OR($B$9="(All)",'Master Database'!$M222=$B$9),OR($B$10="(All)",'Master Database'!$V222=$B$10),OR($E$5="(All)",'Master Database'!$F222=$E$5),OR($E$6="(All)",'Master Database'!$G222=$E$6),OR($E$7="(All)",'Master Database'!$O222=$E$7),OR($E$8="(All)",'Master Database'!$P222=$E$8),OR($E$9="(All)",'Master Database'!$S222=$E$9),OR($E$10="(All)",'Master Database'!$Y222&amp;""=$E$10&amp;""),OR($H$5="(All)",'Master Database'!$BG222=$H$5),OR($H$6&lt;&gt;"Y",ISNUMBER('Master Database'!$AG222)),OR($H$7="",AND(ISNUMBER('Master Database'!$H222),N('Master Database'!$H222)&gt;=$H$7)),OR($I$7="",AND(ISNUMBER('Master Database'!$H222),N('Master Database'!$H222)&lt;=$I$7)),OR($H$8="",AND(ISNUMBER('Master Database'!$I222),N('Master Database'!$I222)&gt;=$H$8)),OR($I$8="",AND(ISNUMBER('Master Database'!$I222),N('Master Database'!$I222)&lt;=$I$8)),OR($H$9="",AND(ISNUMBER('Master Database'!$K222),N('Master Database'!$K222)&gt;=$H$9)),OR($I$9="",AND(ISNUMBER('Master Database'!$K222),N('Master Database'!$K222)&lt;=$I$9))),1,0))</f>
        <v>0</v>
      </c>
      <c r="BB222" t="str">
        <f>IF(BA222=1,COUNTIF($BA$5:BA222,1),"")</f>
        <v/>
      </c>
    </row>
    <row r="223" spans="1:54">
      <c r="BA223">
        <f>IF('Master Database'!$A223="",0,IF(AND(OR($B$5="",ISNUMBER(SEARCH($B$5,'Master Database'!$B223&amp;" "&amp;'Master Database'!$D223))),OR($B$6="(All)",'Master Database'!$C223=$B$6),OR($B$7="(All)",'Master Database'!$E223=$B$7),OR($B$8="(All)",'Master Database'!$T223=$B$8),OR($B$9="(All)",'Master Database'!$M223=$B$9),OR($B$10="(All)",'Master Database'!$V223=$B$10),OR($E$5="(All)",'Master Database'!$F223=$E$5),OR($E$6="(All)",'Master Database'!$G223=$E$6),OR($E$7="(All)",'Master Database'!$O223=$E$7),OR($E$8="(All)",'Master Database'!$P223=$E$8),OR($E$9="(All)",'Master Database'!$S223=$E$9),OR($E$10="(All)",'Master Database'!$Y223&amp;""=$E$10&amp;""),OR($H$5="(All)",'Master Database'!$BG223=$H$5),OR($H$6&lt;&gt;"Y",ISNUMBER('Master Database'!$AG223)),OR($H$7="",AND(ISNUMBER('Master Database'!$H223),N('Master Database'!$H223)&gt;=$H$7)),OR($I$7="",AND(ISNUMBER('Master Database'!$H223),N('Master Database'!$H223)&lt;=$I$7)),OR($H$8="",AND(ISNUMBER('Master Database'!$I223),N('Master Database'!$I223)&gt;=$H$8)),OR($I$8="",AND(ISNUMBER('Master Database'!$I223),N('Master Database'!$I223)&lt;=$I$8)),OR($H$9="",AND(ISNUMBER('Master Database'!$K223),N('Master Database'!$K223)&gt;=$H$9)),OR($I$9="",AND(ISNUMBER('Master Database'!$K223),N('Master Database'!$K223)&lt;=$I$9))),1,0))</f>
        <v>0</v>
      </c>
      <c r="BB223" t="str">
        <f>IF(BA223=1,COUNTIF($BA$5:BA223,1),"")</f>
        <v/>
      </c>
    </row>
    <row r="224" spans="1:54">
      <c r="BA224">
        <f>IF('Master Database'!$A224="",0,IF(AND(OR($B$5="",ISNUMBER(SEARCH($B$5,'Master Database'!$B224&amp;" "&amp;'Master Database'!$D224))),OR($B$6="(All)",'Master Database'!$C224=$B$6),OR($B$7="(All)",'Master Database'!$E224=$B$7),OR($B$8="(All)",'Master Database'!$T224=$B$8),OR($B$9="(All)",'Master Database'!$M224=$B$9),OR($B$10="(All)",'Master Database'!$V224=$B$10),OR($E$5="(All)",'Master Database'!$F224=$E$5),OR($E$6="(All)",'Master Database'!$G224=$E$6),OR($E$7="(All)",'Master Database'!$O224=$E$7),OR($E$8="(All)",'Master Database'!$P224=$E$8),OR($E$9="(All)",'Master Database'!$S224=$E$9),OR($E$10="(All)",'Master Database'!$Y224&amp;""=$E$10&amp;""),OR($H$5="(All)",'Master Database'!$BG224=$H$5),OR($H$6&lt;&gt;"Y",ISNUMBER('Master Database'!$AG224)),OR($H$7="",AND(ISNUMBER('Master Database'!$H224),N('Master Database'!$H224)&gt;=$H$7)),OR($I$7="",AND(ISNUMBER('Master Database'!$H224),N('Master Database'!$H224)&lt;=$I$7)),OR($H$8="",AND(ISNUMBER('Master Database'!$I224),N('Master Database'!$I224)&gt;=$H$8)),OR($I$8="",AND(ISNUMBER('Master Database'!$I224),N('Master Database'!$I224)&lt;=$I$8)),OR($H$9="",AND(ISNUMBER('Master Database'!$K224),N('Master Database'!$K224)&gt;=$H$9)),OR($I$9="",AND(ISNUMBER('Master Database'!$K224),N('Master Database'!$K224)&lt;=$I$9))),1,0))</f>
        <v>0</v>
      </c>
      <c r="BB224" t="str">
        <f>IF(BA224=1,COUNTIF($BA$5:BA224,1),"")</f>
        <v/>
      </c>
    </row>
    <row r="225" spans="53:54">
      <c r="BA225">
        <f>IF('Master Database'!$A225="",0,IF(AND(OR($B$5="",ISNUMBER(SEARCH($B$5,'Master Database'!$B225&amp;" "&amp;'Master Database'!$D225))),OR($B$6="(All)",'Master Database'!$C225=$B$6),OR($B$7="(All)",'Master Database'!$E225=$B$7),OR($B$8="(All)",'Master Database'!$T225=$B$8),OR($B$9="(All)",'Master Database'!$M225=$B$9),OR($B$10="(All)",'Master Database'!$V225=$B$10),OR($E$5="(All)",'Master Database'!$F225=$E$5),OR($E$6="(All)",'Master Database'!$G225=$E$6),OR($E$7="(All)",'Master Database'!$O225=$E$7),OR($E$8="(All)",'Master Database'!$P225=$E$8),OR($E$9="(All)",'Master Database'!$S225=$E$9),OR($E$10="(All)",'Master Database'!$Y225&amp;""=$E$10&amp;""),OR($H$5="(All)",'Master Database'!$BG225=$H$5),OR($H$6&lt;&gt;"Y",ISNUMBER('Master Database'!$AG225)),OR($H$7="",AND(ISNUMBER('Master Database'!$H225),N('Master Database'!$H225)&gt;=$H$7)),OR($I$7="",AND(ISNUMBER('Master Database'!$H225),N('Master Database'!$H225)&lt;=$I$7)),OR($H$8="",AND(ISNUMBER('Master Database'!$I225),N('Master Database'!$I225)&gt;=$H$8)),OR($I$8="",AND(ISNUMBER('Master Database'!$I225),N('Master Database'!$I225)&lt;=$I$8)),OR($H$9="",AND(ISNUMBER('Master Database'!$K225),N('Master Database'!$K225)&gt;=$H$9)),OR($I$9="",AND(ISNUMBER('Master Database'!$K225),N('Master Database'!$K225)&lt;=$I$9))),1,0))</f>
        <v>0</v>
      </c>
      <c r="BB225" t="str">
        <f>IF(BA225=1,COUNTIF($BA$5:BA225,1),"")</f>
        <v/>
      </c>
    </row>
    <row r="226" spans="53:54">
      <c r="BA226">
        <f>IF('Master Database'!$A226="",0,IF(AND(OR($B$5="",ISNUMBER(SEARCH($B$5,'Master Database'!$B226&amp;" "&amp;'Master Database'!$D226))),OR($B$6="(All)",'Master Database'!$C226=$B$6),OR($B$7="(All)",'Master Database'!$E226=$B$7),OR($B$8="(All)",'Master Database'!$T226=$B$8),OR($B$9="(All)",'Master Database'!$M226=$B$9),OR($B$10="(All)",'Master Database'!$V226=$B$10),OR($E$5="(All)",'Master Database'!$F226=$E$5),OR($E$6="(All)",'Master Database'!$G226=$E$6),OR($E$7="(All)",'Master Database'!$O226=$E$7),OR($E$8="(All)",'Master Database'!$P226=$E$8),OR($E$9="(All)",'Master Database'!$S226=$E$9),OR($E$10="(All)",'Master Database'!$Y226&amp;""=$E$10&amp;""),OR($H$5="(All)",'Master Database'!$BG226=$H$5),OR($H$6&lt;&gt;"Y",ISNUMBER('Master Database'!$AG226)),OR($H$7="",AND(ISNUMBER('Master Database'!$H226),N('Master Database'!$H226)&gt;=$H$7)),OR($I$7="",AND(ISNUMBER('Master Database'!$H226),N('Master Database'!$H226)&lt;=$I$7)),OR($H$8="",AND(ISNUMBER('Master Database'!$I226),N('Master Database'!$I226)&gt;=$H$8)),OR($I$8="",AND(ISNUMBER('Master Database'!$I226),N('Master Database'!$I226)&lt;=$I$8)),OR($H$9="",AND(ISNUMBER('Master Database'!$K226),N('Master Database'!$K226)&gt;=$H$9)),OR($I$9="",AND(ISNUMBER('Master Database'!$K226),N('Master Database'!$K226)&lt;=$I$9))),1,0))</f>
        <v>0</v>
      </c>
      <c r="BB226" t="str">
        <f>IF(BA226=1,COUNTIF($BA$5:BA226,1),"")</f>
        <v/>
      </c>
    </row>
    <row r="227" spans="53:54">
      <c r="BA227">
        <f>IF('Master Database'!$A227="",0,IF(AND(OR($B$5="",ISNUMBER(SEARCH($B$5,'Master Database'!$B227&amp;" "&amp;'Master Database'!$D227))),OR($B$6="(All)",'Master Database'!$C227=$B$6),OR($B$7="(All)",'Master Database'!$E227=$B$7),OR($B$8="(All)",'Master Database'!$T227=$B$8),OR($B$9="(All)",'Master Database'!$M227=$B$9),OR($B$10="(All)",'Master Database'!$V227=$B$10),OR($E$5="(All)",'Master Database'!$F227=$E$5),OR($E$6="(All)",'Master Database'!$G227=$E$6),OR($E$7="(All)",'Master Database'!$O227=$E$7),OR($E$8="(All)",'Master Database'!$P227=$E$8),OR($E$9="(All)",'Master Database'!$S227=$E$9),OR($E$10="(All)",'Master Database'!$Y227&amp;""=$E$10&amp;""),OR($H$5="(All)",'Master Database'!$BG227=$H$5),OR($H$6&lt;&gt;"Y",ISNUMBER('Master Database'!$AG227)),OR($H$7="",AND(ISNUMBER('Master Database'!$H227),N('Master Database'!$H227)&gt;=$H$7)),OR($I$7="",AND(ISNUMBER('Master Database'!$H227),N('Master Database'!$H227)&lt;=$I$7)),OR($H$8="",AND(ISNUMBER('Master Database'!$I227),N('Master Database'!$I227)&gt;=$H$8)),OR($I$8="",AND(ISNUMBER('Master Database'!$I227),N('Master Database'!$I227)&lt;=$I$8)),OR($H$9="",AND(ISNUMBER('Master Database'!$K227),N('Master Database'!$K227)&gt;=$H$9)),OR($I$9="",AND(ISNUMBER('Master Database'!$K227),N('Master Database'!$K227)&lt;=$I$9))),1,0))</f>
        <v>0</v>
      </c>
      <c r="BB227" t="str">
        <f>IF(BA227=1,COUNTIF($BA$5:BA227,1),"")</f>
        <v/>
      </c>
    </row>
    <row r="228" spans="53:54">
      <c r="BA228">
        <f>IF('Master Database'!$A228="",0,IF(AND(OR($B$5="",ISNUMBER(SEARCH($B$5,'Master Database'!$B228&amp;" "&amp;'Master Database'!$D228))),OR($B$6="(All)",'Master Database'!$C228=$B$6),OR($B$7="(All)",'Master Database'!$E228=$B$7),OR($B$8="(All)",'Master Database'!$T228=$B$8),OR($B$9="(All)",'Master Database'!$M228=$B$9),OR($B$10="(All)",'Master Database'!$V228=$B$10),OR($E$5="(All)",'Master Database'!$F228=$E$5),OR($E$6="(All)",'Master Database'!$G228=$E$6),OR($E$7="(All)",'Master Database'!$O228=$E$7),OR($E$8="(All)",'Master Database'!$P228=$E$8),OR($E$9="(All)",'Master Database'!$S228=$E$9),OR($E$10="(All)",'Master Database'!$Y228&amp;""=$E$10&amp;""),OR($H$5="(All)",'Master Database'!$BG228=$H$5),OR($H$6&lt;&gt;"Y",ISNUMBER('Master Database'!$AG228)),OR($H$7="",AND(ISNUMBER('Master Database'!$H228),N('Master Database'!$H228)&gt;=$H$7)),OR($I$7="",AND(ISNUMBER('Master Database'!$H228),N('Master Database'!$H228)&lt;=$I$7)),OR($H$8="",AND(ISNUMBER('Master Database'!$I228),N('Master Database'!$I228)&gt;=$H$8)),OR($I$8="",AND(ISNUMBER('Master Database'!$I228),N('Master Database'!$I228)&lt;=$I$8)),OR($H$9="",AND(ISNUMBER('Master Database'!$K228),N('Master Database'!$K228)&gt;=$H$9)),OR($I$9="",AND(ISNUMBER('Master Database'!$K228),N('Master Database'!$K228)&lt;=$I$9))),1,0))</f>
        <v>0</v>
      </c>
      <c r="BB228" t="str">
        <f>IF(BA228=1,COUNTIF($BA$5:BA228,1),"")</f>
        <v/>
      </c>
    </row>
    <row r="229" spans="53:54">
      <c r="BA229">
        <f>IF('Master Database'!$A229="",0,IF(AND(OR($B$5="",ISNUMBER(SEARCH($B$5,'Master Database'!$B229&amp;" "&amp;'Master Database'!$D229))),OR($B$6="(All)",'Master Database'!$C229=$B$6),OR($B$7="(All)",'Master Database'!$E229=$B$7),OR($B$8="(All)",'Master Database'!$T229=$B$8),OR($B$9="(All)",'Master Database'!$M229=$B$9),OR($B$10="(All)",'Master Database'!$V229=$B$10),OR($E$5="(All)",'Master Database'!$F229=$E$5),OR($E$6="(All)",'Master Database'!$G229=$E$6),OR($E$7="(All)",'Master Database'!$O229=$E$7),OR($E$8="(All)",'Master Database'!$P229=$E$8),OR($E$9="(All)",'Master Database'!$S229=$E$9),OR($E$10="(All)",'Master Database'!$Y229&amp;""=$E$10&amp;""),OR($H$5="(All)",'Master Database'!$BG229=$H$5),OR($H$6&lt;&gt;"Y",ISNUMBER('Master Database'!$AG229)),OR($H$7="",AND(ISNUMBER('Master Database'!$H229),N('Master Database'!$H229)&gt;=$H$7)),OR($I$7="",AND(ISNUMBER('Master Database'!$H229),N('Master Database'!$H229)&lt;=$I$7)),OR($H$8="",AND(ISNUMBER('Master Database'!$I229),N('Master Database'!$I229)&gt;=$H$8)),OR($I$8="",AND(ISNUMBER('Master Database'!$I229),N('Master Database'!$I229)&lt;=$I$8)),OR($H$9="",AND(ISNUMBER('Master Database'!$K229),N('Master Database'!$K229)&gt;=$H$9)),OR($I$9="",AND(ISNUMBER('Master Database'!$K229),N('Master Database'!$K229)&lt;=$I$9))),1,0))</f>
        <v>0</v>
      </c>
      <c r="BB229" t="str">
        <f>IF(BA229=1,COUNTIF($BA$5:BA229,1),"")</f>
        <v/>
      </c>
    </row>
    <row r="230" spans="53:54">
      <c r="BA230">
        <f>IF('Master Database'!$A230="",0,IF(AND(OR($B$5="",ISNUMBER(SEARCH($B$5,'Master Database'!$B230&amp;" "&amp;'Master Database'!$D230))),OR($B$6="(All)",'Master Database'!$C230=$B$6),OR($B$7="(All)",'Master Database'!$E230=$B$7),OR($B$8="(All)",'Master Database'!$T230=$B$8),OR($B$9="(All)",'Master Database'!$M230=$B$9),OR($B$10="(All)",'Master Database'!$V230=$B$10),OR($E$5="(All)",'Master Database'!$F230=$E$5),OR($E$6="(All)",'Master Database'!$G230=$E$6),OR($E$7="(All)",'Master Database'!$O230=$E$7),OR($E$8="(All)",'Master Database'!$P230=$E$8),OR($E$9="(All)",'Master Database'!$S230=$E$9),OR($E$10="(All)",'Master Database'!$Y230&amp;""=$E$10&amp;""),OR($H$5="(All)",'Master Database'!$BG230=$H$5),OR($H$6&lt;&gt;"Y",ISNUMBER('Master Database'!$AG230)),OR($H$7="",AND(ISNUMBER('Master Database'!$H230),N('Master Database'!$H230)&gt;=$H$7)),OR($I$7="",AND(ISNUMBER('Master Database'!$H230),N('Master Database'!$H230)&lt;=$I$7)),OR($H$8="",AND(ISNUMBER('Master Database'!$I230),N('Master Database'!$I230)&gt;=$H$8)),OR($I$8="",AND(ISNUMBER('Master Database'!$I230),N('Master Database'!$I230)&lt;=$I$8)),OR($H$9="",AND(ISNUMBER('Master Database'!$K230),N('Master Database'!$K230)&gt;=$H$9)),OR($I$9="",AND(ISNUMBER('Master Database'!$K230),N('Master Database'!$K230)&lt;=$I$9))),1,0))</f>
        <v>0</v>
      </c>
      <c r="BB230" t="str">
        <f>IF(BA230=1,COUNTIF($BA$5:BA230,1),"")</f>
        <v/>
      </c>
    </row>
    <row r="231" spans="53:54">
      <c r="BA231">
        <f>IF('Master Database'!$A231="",0,IF(AND(OR($B$5="",ISNUMBER(SEARCH($B$5,'Master Database'!$B231&amp;" "&amp;'Master Database'!$D231))),OR($B$6="(All)",'Master Database'!$C231=$B$6),OR($B$7="(All)",'Master Database'!$E231=$B$7),OR($B$8="(All)",'Master Database'!$T231=$B$8),OR($B$9="(All)",'Master Database'!$M231=$B$9),OR($B$10="(All)",'Master Database'!$V231=$B$10),OR($E$5="(All)",'Master Database'!$F231=$E$5),OR($E$6="(All)",'Master Database'!$G231=$E$6),OR($E$7="(All)",'Master Database'!$O231=$E$7),OR($E$8="(All)",'Master Database'!$P231=$E$8),OR($E$9="(All)",'Master Database'!$S231=$E$9),OR($E$10="(All)",'Master Database'!$Y231&amp;""=$E$10&amp;""),OR($H$5="(All)",'Master Database'!$BG231=$H$5),OR($H$6&lt;&gt;"Y",ISNUMBER('Master Database'!$AG231)),OR($H$7="",AND(ISNUMBER('Master Database'!$H231),N('Master Database'!$H231)&gt;=$H$7)),OR($I$7="",AND(ISNUMBER('Master Database'!$H231),N('Master Database'!$H231)&lt;=$I$7)),OR($H$8="",AND(ISNUMBER('Master Database'!$I231),N('Master Database'!$I231)&gt;=$H$8)),OR($I$8="",AND(ISNUMBER('Master Database'!$I231),N('Master Database'!$I231)&lt;=$I$8)),OR($H$9="",AND(ISNUMBER('Master Database'!$K231),N('Master Database'!$K231)&gt;=$H$9)),OR($I$9="",AND(ISNUMBER('Master Database'!$K231),N('Master Database'!$K231)&lt;=$I$9))),1,0))</f>
        <v>0</v>
      </c>
      <c r="BB231" t="str">
        <f>IF(BA231=1,COUNTIF($BA$5:BA231,1),"")</f>
        <v/>
      </c>
    </row>
    <row r="232" spans="53:54">
      <c r="BA232">
        <f>IF('Master Database'!$A232="",0,IF(AND(OR($B$5="",ISNUMBER(SEARCH($B$5,'Master Database'!$B232&amp;" "&amp;'Master Database'!$D232))),OR($B$6="(All)",'Master Database'!$C232=$B$6),OR($B$7="(All)",'Master Database'!$E232=$B$7),OR($B$8="(All)",'Master Database'!$T232=$B$8),OR($B$9="(All)",'Master Database'!$M232=$B$9),OR($B$10="(All)",'Master Database'!$V232=$B$10),OR($E$5="(All)",'Master Database'!$F232=$E$5),OR($E$6="(All)",'Master Database'!$G232=$E$6),OR($E$7="(All)",'Master Database'!$O232=$E$7),OR($E$8="(All)",'Master Database'!$P232=$E$8),OR($E$9="(All)",'Master Database'!$S232=$E$9),OR($E$10="(All)",'Master Database'!$Y232&amp;""=$E$10&amp;""),OR($H$5="(All)",'Master Database'!$BG232=$H$5),OR($H$6&lt;&gt;"Y",ISNUMBER('Master Database'!$AG232)),OR($H$7="",AND(ISNUMBER('Master Database'!$H232),N('Master Database'!$H232)&gt;=$H$7)),OR($I$7="",AND(ISNUMBER('Master Database'!$H232),N('Master Database'!$H232)&lt;=$I$7)),OR($H$8="",AND(ISNUMBER('Master Database'!$I232),N('Master Database'!$I232)&gt;=$H$8)),OR($I$8="",AND(ISNUMBER('Master Database'!$I232),N('Master Database'!$I232)&lt;=$I$8)),OR($H$9="",AND(ISNUMBER('Master Database'!$K232),N('Master Database'!$K232)&gt;=$H$9)),OR($I$9="",AND(ISNUMBER('Master Database'!$K232),N('Master Database'!$K232)&lt;=$I$9))),1,0))</f>
        <v>0</v>
      </c>
      <c r="BB232" t="str">
        <f>IF(BA232=1,COUNTIF($BA$5:BA232,1),"")</f>
        <v/>
      </c>
    </row>
    <row r="233" spans="53:54">
      <c r="BA233">
        <f>IF('Master Database'!$A233="",0,IF(AND(OR($B$5="",ISNUMBER(SEARCH($B$5,'Master Database'!$B233&amp;" "&amp;'Master Database'!$D233))),OR($B$6="(All)",'Master Database'!$C233=$B$6),OR($B$7="(All)",'Master Database'!$E233=$B$7),OR($B$8="(All)",'Master Database'!$T233=$B$8),OR($B$9="(All)",'Master Database'!$M233=$B$9),OR($B$10="(All)",'Master Database'!$V233=$B$10),OR($E$5="(All)",'Master Database'!$F233=$E$5),OR($E$6="(All)",'Master Database'!$G233=$E$6),OR($E$7="(All)",'Master Database'!$O233=$E$7),OR($E$8="(All)",'Master Database'!$P233=$E$8),OR($E$9="(All)",'Master Database'!$S233=$E$9),OR($E$10="(All)",'Master Database'!$Y233&amp;""=$E$10&amp;""),OR($H$5="(All)",'Master Database'!$BG233=$H$5),OR($H$6&lt;&gt;"Y",ISNUMBER('Master Database'!$AG233)),OR($H$7="",AND(ISNUMBER('Master Database'!$H233),N('Master Database'!$H233)&gt;=$H$7)),OR($I$7="",AND(ISNUMBER('Master Database'!$H233),N('Master Database'!$H233)&lt;=$I$7)),OR($H$8="",AND(ISNUMBER('Master Database'!$I233),N('Master Database'!$I233)&gt;=$H$8)),OR($I$8="",AND(ISNUMBER('Master Database'!$I233),N('Master Database'!$I233)&lt;=$I$8)),OR($H$9="",AND(ISNUMBER('Master Database'!$K233),N('Master Database'!$K233)&gt;=$H$9)),OR($I$9="",AND(ISNUMBER('Master Database'!$K233),N('Master Database'!$K233)&lt;=$I$9))),1,0))</f>
        <v>0</v>
      </c>
      <c r="BB233" t="str">
        <f>IF(BA233=1,COUNTIF($BA$5:BA233,1),"")</f>
        <v/>
      </c>
    </row>
    <row r="234" spans="53:54">
      <c r="BA234">
        <f>IF('Master Database'!$A234="",0,IF(AND(OR($B$5="",ISNUMBER(SEARCH($B$5,'Master Database'!$B234&amp;" "&amp;'Master Database'!$D234))),OR($B$6="(All)",'Master Database'!$C234=$B$6),OR($B$7="(All)",'Master Database'!$E234=$B$7),OR($B$8="(All)",'Master Database'!$T234=$B$8),OR($B$9="(All)",'Master Database'!$M234=$B$9),OR($B$10="(All)",'Master Database'!$V234=$B$10),OR($E$5="(All)",'Master Database'!$F234=$E$5),OR($E$6="(All)",'Master Database'!$G234=$E$6),OR($E$7="(All)",'Master Database'!$O234=$E$7),OR($E$8="(All)",'Master Database'!$P234=$E$8),OR($E$9="(All)",'Master Database'!$S234=$E$9),OR($E$10="(All)",'Master Database'!$Y234&amp;""=$E$10&amp;""),OR($H$5="(All)",'Master Database'!$BG234=$H$5),OR($H$6&lt;&gt;"Y",ISNUMBER('Master Database'!$AG234)),OR($H$7="",AND(ISNUMBER('Master Database'!$H234),N('Master Database'!$H234)&gt;=$H$7)),OR($I$7="",AND(ISNUMBER('Master Database'!$H234),N('Master Database'!$H234)&lt;=$I$7)),OR($H$8="",AND(ISNUMBER('Master Database'!$I234),N('Master Database'!$I234)&gt;=$H$8)),OR($I$8="",AND(ISNUMBER('Master Database'!$I234),N('Master Database'!$I234)&lt;=$I$8)),OR($H$9="",AND(ISNUMBER('Master Database'!$K234),N('Master Database'!$K234)&gt;=$H$9)),OR($I$9="",AND(ISNUMBER('Master Database'!$K234),N('Master Database'!$K234)&lt;=$I$9))),1,0))</f>
        <v>0</v>
      </c>
      <c r="BB234" t="str">
        <f>IF(BA234=1,COUNTIF($BA$5:BA234,1),"")</f>
        <v/>
      </c>
    </row>
    <row r="235" spans="53:54">
      <c r="BA235">
        <f>IF('Master Database'!$A235="",0,IF(AND(OR($B$5="",ISNUMBER(SEARCH($B$5,'Master Database'!$B235&amp;" "&amp;'Master Database'!$D235))),OR($B$6="(All)",'Master Database'!$C235=$B$6),OR($B$7="(All)",'Master Database'!$E235=$B$7),OR($B$8="(All)",'Master Database'!$T235=$B$8),OR($B$9="(All)",'Master Database'!$M235=$B$9),OR($B$10="(All)",'Master Database'!$V235=$B$10),OR($E$5="(All)",'Master Database'!$F235=$E$5),OR($E$6="(All)",'Master Database'!$G235=$E$6),OR($E$7="(All)",'Master Database'!$O235=$E$7),OR($E$8="(All)",'Master Database'!$P235=$E$8),OR($E$9="(All)",'Master Database'!$S235=$E$9),OR($E$10="(All)",'Master Database'!$Y235&amp;""=$E$10&amp;""),OR($H$5="(All)",'Master Database'!$BG235=$H$5),OR($H$6&lt;&gt;"Y",ISNUMBER('Master Database'!$AG235)),OR($H$7="",AND(ISNUMBER('Master Database'!$H235),N('Master Database'!$H235)&gt;=$H$7)),OR($I$7="",AND(ISNUMBER('Master Database'!$H235),N('Master Database'!$H235)&lt;=$I$7)),OR($H$8="",AND(ISNUMBER('Master Database'!$I235),N('Master Database'!$I235)&gt;=$H$8)),OR($I$8="",AND(ISNUMBER('Master Database'!$I235),N('Master Database'!$I235)&lt;=$I$8)),OR($H$9="",AND(ISNUMBER('Master Database'!$K235),N('Master Database'!$K235)&gt;=$H$9)),OR($I$9="",AND(ISNUMBER('Master Database'!$K235),N('Master Database'!$K235)&lt;=$I$9))),1,0))</f>
        <v>0</v>
      </c>
      <c r="BB235" t="str">
        <f>IF(BA235=1,COUNTIF($BA$5:BA235,1),"")</f>
        <v/>
      </c>
    </row>
    <row r="236" spans="53:54">
      <c r="BA236">
        <f>IF('Master Database'!$A236="",0,IF(AND(OR($B$5="",ISNUMBER(SEARCH($B$5,'Master Database'!$B236&amp;" "&amp;'Master Database'!$D236))),OR($B$6="(All)",'Master Database'!$C236=$B$6),OR($B$7="(All)",'Master Database'!$E236=$B$7),OR($B$8="(All)",'Master Database'!$T236=$B$8),OR($B$9="(All)",'Master Database'!$M236=$B$9),OR($B$10="(All)",'Master Database'!$V236=$B$10),OR($E$5="(All)",'Master Database'!$F236=$E$5),OR($E$6="(All)",'Master Database'!$G236=$E$6),OR($E$7="(All)",'Master Database'!$O236=$E$7),OR($E$8="(All)",'Master Database'!$P236=$E$8),OR($E$9="(All)",'Master Database'!$S236=$E$9),OR($E$10="(All)",'Master Database'!$Y236&amp;""=$E$10&amp;""),OR($H$5="(All)",'Master Database'!$BG236=$H$5),OR($H$6&lt;&gt;"Y",ISNUMBER('Master Database'!$AG236)),OR($H$7="",AND(ISNUMBER('Master Database'!$H236),N('Master Database'!$H236)&gt;=$H$7)),OR($I$7="",AND(ISNUMBER('Master Database'!$H236),N('Master Database'!$H236)&lt;=$I$7)),OR($H$8="",AND(ISNUMBER('Master Database'!$I236),N('Master Database'!$I236)&gt;=$H$8)),OR($I$8="",AND(ISNUMBER('Master Database'!$I236),N('Master Database'!$I236)&lt;=$I$8)),OR($H$9="",AND(ISNUMBER('Master Database'!$K236),N('Master Database'!$K236)&gt;=$H$9)),OR($I$9="",AND(ISNUMBER('Master Database'!$K236),N('Master Database'!$K236)&lt;=$I$9))),1,0))</f>
        <v>0</v>
      </c>
      <c r="BB236" t="str">
        <f>IF(BA236=1,COUNTIF($BA$5:BA236,1),"")</f>
        <v/>
      </c>
    </row>
    <row r="237" spans="53:54">
      <c r="BA237">
        <f>IF('Master Database'!$A237="",0,IF(AND(OR($B$5="",ISNUMBER(SEARCH($B$5,'Master Database'!$B237&amp;" "&amp;'Master Database'!$D237))),OR($B$6="(All)",'Master Database'!$C237=$B$6),OR($B$7="(All)",'Master Database'!$E237=$B$7),OR($B$8="(All)",'Master Database'!$T237=$B$8),OR($B$9="(All)",'Master Database'!$M237=$B$9),OR($B$10="(All)",'Master Database'!$V237=$B$10),OR($E$5="(All)",'Master Database'!$F237=$E$5),OR($E$6="(All)",'Master Database'!$G237=$E$6),OR($E$7="(All)",'Master Database'!$O237=$E$7),OR($E$8="(All)",'Master Database'!$P237=$E$8),OR($E$9="(All)",'Master Database'!$S237=$E$9),OR($E$10="(All)",'Master Database'!$Y237&amp;""=$E$10&amp;""),OR($H$5="(All)",'Master Database'!$BG237=$H$5),OR($H$6&lt;&gt;"Y",ISNUMBER('Master Database'!$AG237)),OR($H$7="",AND(ISNUMBER('Master Database'!$H237),N('Master Database'!$H237)&gt;=$H$7)),OR($I$7="",AND(ISNUMBER('Master Database'!$H237),N('Master Database'!$H237)&lt;=$I$7)),OR($H$8="",AND(ISNUMBER('Master Database'!$I237),N('Master Database'!$I237)&gt;=$H$8)),OR($I$8="",AND(ISNUMBER('Master Database'!$I237),N('Master Database'!$I237)&lt;=$I$8)),OR($H$9="",AND(ISNUMBER('Master Database'!$K237),N('Master Database'!$K237)&gt;=$H$9)),OR($I$9="",AND(ISNUMBER('Master Database'!$K237),N('Master Database'!$K237)&lt;=$I$9))),1,0))</f>
        <v>0</v>
      </c>
      <c r="BB237" t="str">
        <f>IF(BA237=1,COUNTIF($BA$5:BA237,1),"")</f>
        <v/>
      </c>
    </row>
    <row r="238" spans="53:54">
      <c r="BA238">
        <f>IF('Master Database'!$A238="",0,IF(AND(OR($B$5="",ISNUMBER(SEARCH($B$5,'Master Database'!$B238&amp;" "&amp;'Master Database'!$D238))),OR($B$6="(All)",'Master Database'!$C238=$B$6),OR($B$7="(All)",'Master Database'!$E238=$B$7),OR($B$8="(All)",'Master Database'!$T238=$B$8),OR($B$9="(All)",'Master Database'!$M238=$B$9),OR($B$10="(All)",'Master Database'!$V238=$B$10),OR($E$5="(All)",'Master Database'!$F238=$E$5),OR($E$6="(All)",'Master Database'!$G238=$E$6),OR($E$7="(All)",'Master Database'!$O238=$E$7),OR($E$8="(All)",'Master Database'!$P238=$E$8),OR($E$9="(All)",'Master Database'!$S238=$E$9),OR($E$10="(All)",'Master Database'!$Y238&amp;""=$E$10&amp;""),OR($H$5="(All)",'Master Database'!$BG238=$H$5),OR($H$6&lt;&gt;"Y",ISNUMBER('Master Database'!$AG238)),OR($H$7="",AND(ISNUMBER('Master Database'!$H238),N('Master Database'!$H238)&gt;=$H$7)),OR($I$7="",AND(ISNUMBER('Master Database'!$H238),N('Master Database'!$H238)&lt;=$I$7)),OR($H$8="",AND(ISNUMBER('Master Database'!$I238),N('Master Database'!$I238)&gt;=$H$8)),OR($I$8="",AND(ISNUMBER('Master Database'!$I238),N('Master Database'!$I238)&lt;=$I$8)),OR($H$9="",AND(ISNUMBER('Master Database'!$K238),N('Master Database'!$K238)&gt;=$H$9)),OR($I$9="",AND(ISNUMBER('Master Database'!$K238),N('Master Database'!$K238)&lt;=$I$9))),1,0))</f>
        <v>0</v>
      </c>
      <c r="BB238" t="str">
        <f>IF(BA238=1,COUNTIF($BA$5:BA238,1),"")</f>
        <v/>
      </c>
    </row>
    <row r="239" spans="53:54">
      <c r="BA239">
        <f>IF('Master Database'!$A239="",0,IF(AND(OR($B$5="",ISNUMBER(SEARCH($B$5,'Master Database'!$B239&amp;" "&amp;'Master Database'!$D239))),OR($B$6="(All)",'Master Database'!$C239=$B$6),OR($B$7="(All)",'Master Database'!$E239=$B$7),OR($B$8="(All)",'Master Database'!$T239=$B$8),OR($B$9="(All)",'Master Database'!$M239=$B$9),OR($B$10="(All)",'Master Database'!$V239=$B$10),OR($E$5="(All)",'Master Database'!$F239=$E$5),OR($E$6="(All)",'Master Database'!$G239=$E$6),OR($E$7="(All)",'Master Database'!$O239=$E$7),OR($E$8="(All)",'Master Database'!$P239=$E$8),OR($E$9="(All)",'Master Database'!$S239=$E$9),OR($E$10="(All)",'Master Database'!$Y239&amp;""=$E$10&amp;""),OR($H$5="(All)",'Master Database'!$BG239=$H$5),OR($H$6&lt;&gt;"Y",ISNUMBER('Master Database'!$AG239)),OR($H$7="",AND(ISNUMBER('Master Database'!$H239),N('Master Database'!$H239)&gt;=$H$7)),OR($I$7="",AND(ISNUMBER('Master Database'!$H239),N('Master Database'!$H239)&lt;=$I$7)),OR($H$8="",AND(ISNUMBER('Master Database'!$I239),N('Master Database'!$I239)&gt;=$H$8)),OR($I$8="",AND(ISNUMBER('Master Database'!$I239),N('Master Database'!$I239)&lt;=$I$8)),OR($H$9="",AND(ISNUMBER('Master Database'!$K239),N('Master Database'!$K239)&gt;=$H$9)),OR($I$9="",AND(ISNUMBER('Master Database'!$K239),N('Master Database'!$K239)&lt;=$I$9))),1,0))</f>
        <v>0</v>
      </c>
      <c r="BB239" t="str">
        <f>IF(BA239=1,COUNTIF($BA$5:BA239,1),"")</f>
        <v/>
      </c>
    </row>
    <row r="240" spans="53:54">
      <c r="BA240">
        <f>IF('Master Database'!$A240="",0,IF(AND(OR($B$5="",ISNUMBER(SEARCH($B$5,'Master Database'!$B240&amp;" "&amp;'Master Database'!$D240))),OR($B$6="(All)",'Master Database'!$C240=$B$6),OR($B$7="(All)",'Master Database'!$E240=$B$7),OR($B$8="(All)",'Master Database'!$T240=$B$8),OR($B$9="(All)",'Master Database'!$M240=$B$9),OR($B$10="(All)",'Master Database'!$V240=$B$10),OR($E$5="(All)",'Master Database'!$F240=$E$5),OR($E$6="(All)",'Master Database'!$G240=$E$6),OR($E$7="(All)",'Master Database'!$O240=$E$7),OR($E$8="(All)",'Master Database'!$P240=$E$8),OR($E$9="(All)",'Master Database'!$S240=$E$9),OR($E$10="(All)",'Master Database'!$Y240&amp;""=$E$10&amp;""),OR($H$5="(All)",'Master Database'!$BG240=$H$5),OR($H$6&lt;&gt;"Y",ISNUMBER('Master Database'!$AG240)),OR($H$7="",AND(ISNUMBER('Master Database'!$H240),N('Master Database'!$H240)&gt;=$H$7)),OR($I$7="",AND(ISNUMBER('Master Database'!$H240),N('Master Database'!$H240)&lt;=$I$7)),OR($H$8="",AND(ISNUMBER('Master Database'!$I240),N('Master Database'!$I240)&gt;=$H$8)),OR($I$8="",AND(ISNUMBER('Master Database'!$I240),N('Master Database'!$I240)&lt;=$I$8)),OR($H$9="",AND(ISNUMBER('Master Database'!$K240),N('Master Database'!$K240)&gt;=$H$9)),OR($I$9="",AND(ISNUMBER('Master Database'!$K240),N('Master Database'!$K240)&lt;=$I$9))),1,0))</f>
        <v>0</v>
      </c>
      <c r="BB240" t="str">
        <f>IF(BA240=1,COUNTIF($BA$5:BA240,1),"")</f>
        <v/>
      </c>
    </row>
    <row r="241" spans="53:54">
      <c r="BA241">
        <f>IF('Master Database'!$A241="",0,IF(AND(OR($B$5="",ISNUMBER(SEARCH($B$5,'Master Database'!$B241&amp;" "&amp;'Master Database'!$D241))),OR($B$6="(All)",'Master Database'!$C241=$B$6),OR($B$7="(All)",'Master Database'!$E241=$B$7),OR($B$8="(All)",'Master Database'!$T241=$B$8),OR($B$9="(All)",'Master Database'!$M241=$B$9),OR($B$10="(All)",'Master Database'!$V241=$B$10),OR($E$5="(All)",'Master Database'!$F241=$E$5),OR($E$6="(All)",'Master Database'!$G241=$E$6),OR($E$7="(All)",'Master Database'!$O241=$E$7),OR($E$8="(All)",'Master Database'!$P241=$E$8),OR($E$9="(All)",'Master Database'!$S241=$E$9),OR($E$10="(All)",'Master Database'!$Y241&amp;""=$E$10&amp;""),OR($H$5="(All)",'Master Database'!$BG241=$H$5),OR($H$6&lt;&gt;"Y",ISNUMBER('Master Database'!$AG241)),OR($H$7="",AND(ISNUMBER('Master Database'!$H241),N('Master Database'!$H241)&gt;=$H$7)),OR($I$7="",AND(ISNUMBER('Master Database'!$H241),N('Master Database'!$H241)&lt;=$I$7)),OR($H$8="",AND(ISNUMBER('Master Database'!$I241),N('Master Database'!$I241)&gt;=$H$8)),OR($I$8="",AND(ISNUMBER('Master Database'!$I241),N('Master Database'!$I241)&lt;=$I$8)),OR($H$9="",AND(ISNUMBER('Master Database'!$K241),N('Master Database'!$K241)&gt;=$H$9)),OR($I$9="",AND(ISNUMBER('Master Database'!$K241),N('Master Database'!$K241)&lt;=$I$9))),1,0))</f>
        <v>0</v>
      </c>
      <c r="BB241" t="str">
        <f>IF(BA241=1,COUNTIF($BA$5:BA241,1),"")</f>
        <v/>
      </c>
    </row>
    <row r="242" spans="53:54">
      <c r="BA242">
        <f>IF('Master Database'!$A242="",0,IF(AND(OR($B$5="",ISNUMBER(SEARCH($B$5,'Master Database'!$B242&amp;" "&amp;'Master Database'!$D242))),OR($B$6="(All)",'Master Database'!$C242=$B$6),OR($B$7="(All)",'Master Database'!$E242=$B$7),OR($B$8="(All)",'Master Database'!$T242=$B$8),OR($B$9="(All)",'Master Database'!$M242=$B$9),OR($B$10="(All)",'Master Database'!$V242=$B$10),OR($E$5="(All)",'Master Database'!$F242=$E$5),OR($E$6="(All)",'Master Database'!$G242=$E$6),OR($E$7="(All)",'Master Database'!$O242=$E$7),OR($E$8="(All)",'Master Database'!$P242=$E$8),OR($E$9="(All)",'Master Database'!$S242=$E$9),OR($E$10="(All)",'Master Database'!$Y242&amp;""=$E$10&amp;""),OR($H$5="(All)",'Master Database'!$BG242=$H$5),OR($H$6&lt;&gt;"Y",ISNUMBER('Master Database'!$AG242)),OR($H$7="",AND(ISNUMBER('Master Database'!$H242),N('Master Database'!$H242)&gt;=$H$7)),OR($I$7="",AND(ISNUMBER('Master Database'!$H242),N('Master Database'!$H242)&lt;=$I$7)),OR($H$8="",AND(ISNUMBER('Master Database'!$I242),N('Master Database'!$I242)&gt;=$H$8)),OR($I$8="",AND(ISNUMBER('Master Database'!$I242),N('Master Database'!$I242)&lt;=$I$8)),OR($H$9="",AND(ISNUMBER('Master Database'!$K242),N('Master Database'!$K242)&gt;=$H$9)),OR($I$9="",AND(ISNUMBER('Master Database'!$K242),N('Master Database'!$K242)&lt;=$I$9))),1,0))</f>
        <v>0</v>
      </c>
      <c r="BB242" t="str">
        <f>IF(BA242=1,COUNTIF($BA$5:BA242,1),"")</f>
        <v/>
      </c>
    </row>
    <row r="243" spans="53:54">
      <c r="BA243">
        <f>IF('Master Database'!$A243="",0,IF(AND(OR($B$5="",ISNUMBER(SEARCH($B$5,'Master Database'!$B243&amp;" "&amp;'Master Database'!$D243))),OR($B$6="(All)",'Master Database'!$C243=$B$6),OR($B$7="(All)",'Master Database'!$E243=$B$7),OR($B$8="(All)",'Master Database'!$T243=$B$8),OR($B$9="(All)",'Master Database'!$M243=$B$9),OR($B$10="(All)",'Master Database'!$V243=$B$10),OR($E$5="(All)",'Master Database'!$F243=$E$5),OR($E$6="(All)",'Master Database'!$G243=$E$6),OR($E$7="(All)",'Master Database'!$O243=$E$7),OR($E$8="(All)",'Master Database'!$P243=$E$8),OR($E$9="(All)",'Master Database'!$S243=$E$9),OR($E$10="(All)",'Master Database'!$Y243&amp;""=$E$10&amp;""),OR($H$5="(All)",'Master Database'!$BG243=$H$5),OR($H$6&lt;&gt;"Y",ISNUMBER('Master Database'!$AG243)),OR($H$7="",AND(ISNUMBER('Master Database'!$H243),N('Master Database'!$H243)&gt;=$H$7)),OR($I$7="",AND(ISNUMBER('Master Database'!$H243),N('Master Database'!$H243)&lt;=$I$7)),OR($H$8="",AND(ISNUMBER('Master Database'!$I243),N('Master Database'!$I243)&gt;=$H$8)),OR($I$8="",AND(ISNUMBER('Master Database'!$I243),N('Master Database'!$I243)&lt;=$I$8)),OR($H$9="",AND(ISNUMBER('Master Database'!$K243),N('Master Database'!$K243)&gt;=$H$9)),OR($I$9="",AND(ISNUMBER('Master Database'!$K243),N('Master Database'!$K243)&lt;=$I$9))),1,0))</f>
        <v>0</v>
      </c>
      <c r="BB243" t="str">
        <f>IF(BA243=1,COUNTIF($BA$5:BA243,1),"")</f>
        <v/>
      </c>
    </row>
    <row r="244" spans="53:54">
      <c r="BA244">
        <f>IF('Master Database'!$A244="",0,IF(AND(OR($B$5="",ISNUMBER(SEARCH($B$5,'Master Database'!$B244&amp;" "&amp;'Master Database'!$D244))),OR($B$6="(All)",'Master Database'!$C244=$B$6),OR($B$7="(All)",'Master Database'!$E244=$B$7),OR($B$8="(All)",'Master Database'!$T244=$B$8),OR($B$9="(All)",'Master Database'!$M244=$B$9),OR($B$10="(All)",'Master Database'!$V244=$B$10),OR($E$5="(All)",'Master Database'!$F244=$E$5),OR($E$6="(All)",'Master Database'!$G244=$E$6),OR($E$7="(All)",'Master Database'!$O244=$E$7),OR($E$8="(All)",'Master Database'!$P244=$E$8),OR($E$9="(All)",'Master Database'!$S244=$E$9),OR($E$10="(All)",'Master Database'!$Y244&amp;""=$E$10&amp;""),OR($H$5="(All)",'Master Database'!$BG244=$H$5),OR($H$6&lt;&gt;"Y",ISNUMBER('Master Database'!$AG244)),OR($H$7="",AND(ISNUMBER('Master Database'!$H244),N('Master Database'!$H244)&gt;=$H$7)),OR($I$7="",AND(ISNUMBER('Master Database'!$H244),N('Master Database'!$H244)&lt;=$I$7)),OR($H$8="",AND(ISNUMBER('Master Database'!$I244),N('Master Database'!$I244)&gt;=$H$8)),OR($I$8="",AND(ISNUMBER('Master Database'!$I244),N('Master Database'!$I244)&lt;=$I$8)),OR($H$9="",AND(ISNUMBER('Master Database'!$K244),N('Master Database'!$K244)&gt;=$H$9)),OR($I$9="",AND(ISNUMBER('Master Database'!$K244),N('Master Database'!$K244)&lt;=$I$9))),1,0))</f>
        <v>0</v>
      </c>
      <c r="BB244" t="str">
        <f>IF(BA244=1,COUNTIF($BA$5:BA244,1),"")</f>
        <v/>
      </c>
    </row>
    <row r="245" spans="53:54">
      <c r="BA245">
        <f>IF('Master Database'!$A245="",0,IF(AND(OR($B$5="",ISNUMBER(SEARCH($B$5,'Master Database'!$B245&amp;" "&amp;'Master Database'!$D245))),OR($B$6="(All)",'Master Database'!$C245=$B$6),OR($B$7="(All)",'Master Database'!$E245=$B$7),OR($B$8="(All)",'Master Database'!$T245=$B$8),OR($B$9="(All)",'Master Database'!$M245=$B$9),OR($B$10="(All)",'Master Database'!$V245=$B$10),OR($E$5="(All)",'Master Database'!$F245=$E$5),OR($E$6="(All)",'Master Database'!$G245=$E$6),OR($E$7="(All)",'Master Database'!$O245=$E$7),OR($E$8="(All)",'Master Database'!$P245=$E$8),OR($E$9="(All)",'Master Database'!$S245=$E$9),OR($E$10="(All)",'Master Database'!$Y245&amp;""=$E$10&amp;""),OR($H$5="(All)",'Master Database'!$BG245=$H$5),OR($H$6&lt;&gt;"Y",ISNUMBER('Master Database'!$AG245)),OR($H$7="",AND(ISNUMBER('Master Database'!$H245),N('Master Database'!$H245)&gt;=$H$7)),OR($I$7="",AND(ISNUMBER('Master Database'!$H245),N('Master Database'!$H245)&lt;=$I$7)),OR($H$8="",AND(ISNUMBER('Master Database'!$I245),N('Master Database'!$I245)&gt;=$H$8)),OR($I$8="",AND(ISNUMBER('Master Database'!$I245),N('Master Database'!$I245)&lt;=$I$8)),OR($H$9="",AND(ISNUMBER('Master Database'!$K245),N('Master Database'!$K245)&gt;=$H$9)),OR($I$9="",AND(ISNUMBER('Master Database'!$K245),N('Master Database'!$K245)&lt;=$I$9))),1,0))</f>
        <v>0</v>
      </c>
      <c r="BB245" t="str">
        <f>IF(BA245=1,COUNTIF($BA$5:BA245,1),"")</f>
        <v/>
      </c>
    </row>
    <row r="246" spans="53:54">
      <c r="BA246">
        <f>IF('Master Database'!$A246="",0,IF(AND(OR($B$5="",ISNUMBER(SEARCH($B$5,'Master Database'!$B246&amp;" "&amp;'Master Database'!$D246))),OR($B$6="(All)",'Master Database'!$C246=$B$6),OR($B$7="(All)",'Master Database'!$E246=$B$7),OR($B$8="(All)",'Master Database'!$T246=$B$8),OR($B$9="(All)",'Master Database'!$M246=$B$9),OR($B$10="(All)",'Master Database'!$V246=$B$10),OR($E$5="(All)",'Master Database'!$F246=$E$5),OR($E$6="(All)",'Master Database'!$G246=$E$6),OR($E$7="(All)",'Master Database'!$O246=$E$7),OR($E$8="(All)",'Master Database'!$P246=$E$8),OR($E$9="(All)",'Master Database'!$S246=$E$9),OR($E$10="(All)",'Master Database'!$Y246&amp;""=$E$10&amp;""),OR($H$5="(All)",'Master Database'!$BG246=$H$5),OR($H$6&lt;&gt;"Y",ISNUMBER('Master Database'!$AG246)),OR($H$7="",AND(ISNUMBER('Master Database'!$H246),N('Master Database'!$H246)&gt;=$H$7)),OR($I$7="",AND(ISNUMBER('Master Database'!$H246),N('Master Database'!$H246)&lt;=$I$7)),OR($H$8="",AND(ISNUMBER('Master Database'!$I246),N('Master Database'!$I246)&gt;=$H$8)),OR($I$8="",AND(ISNUMBER('Master Database'!$I246),N('Master Database'!$I246)&lt;=$I$8)),OR($H$9="",AND(ISNUMBER('Master Database'!$K246),N('Master Database'!$K246)&gt;=$H$9)),OR($I$9="",AND(ISNUMBER('Master Database'!$K246),N('Master Database'!$K246)&lt;=$I$9))),1,0))</f>
        <v>0</v>
      </c>
      <c r="BB246" t="str">
        <f>IF(BA246=1,COUNTIF($BA$5:BA246,1),"")</f>
        <v/>
      </c>
    </row>
    <row r="247" spans="53:54">
      <c r="BA247">
        <f>IF('Master Database'!$A247="",0,IF(AND(OR($B$5="",ISNUMBER(SEARCH($B$5,'Master Database'!$B247&amp;" "&amp;'Master Database'!$D247))),OR($B$6="(All)",'Master Database'!$C247=$B$6),OR($B$7="(All)",'Master Database'!$E247=$B$7),OR($B$8="(All)",'Master Database'!$T247=$B$8),OR($B$9="(All)",'Master Database'!$M247=$B$9),OR($B$10="(All)",'Master Database'!$V247=$B$10),OR($E$5="(All)",'Master Database'!$F247=$E$5),OR($E$6="(All)",'Master Database'!$G247=$E$6),OR($E$7="(All)",'Master Database'!$O247=$E$7),OR($E$8="(All)",'Master Database'!$P247=$E$8),OR($E$9="(All)",'Master Database'!$S247=$E$9),OR($E$10="(All)",'Master Database'!$Y247&amp;""=$E$10&amp;""),OR($H$5="(All)",'Master Database'!$BG247=$H$5),OR($H$6&lt;&gt;"Y",ISNUMBER('Master Database'!$AG247)),OR($H$7="",AND(ISNUMBER('Master Database'!$H247),N('Master Database'!$H247)&gt;=$H$7)),OR($I$7="",AND(ISNUMBER('Master Database'!$H247),N('Master Database'!$H247)&lt;=$I$7)),OR($H$8="",AND(ISNUMBER('Master Database'!$I247),N('Master Database'!$I247)&gt;=$H$8)),OR($I$8="",AND(ISNUMBER('Master Database'!$I247),N('Master Database'!$I247)&lt;=$I$8)),OR($H$9="",AND(ISNUMBER('Master Database'!$K247),N('Master Database'!$K247)&gt;=$H$9)),OR($I$9="",AND(ISNUMBER('Master Database'!$K247),N('Master Database'!$K247)&lt;=$I$9))),1,0))</f>
        <v>0</v>
      </c>
      <c r="BB247" t="str">
        <f>IF(BA247=1,COUNTIF($BA$5:BA247,1),"")</f>
        <v/>
      </c>
    </row>
    <row r="248" spans="53:54">
      <c r="BA248">
        <f>IF('Master Database'!$A248="",0,IF(AND(OR($B$5="",ISNUMBER(SEARCH($B$5,'Master Database'!$B248&amp;" "&amp;'Master Database'!$D248))),OR($B$6="(All)",'Master Database'!$C248=$B$6),OR($B$7="(All)",'Master Database'!$E248=$B$7),OR($B$8="(All)",'Master Database'!$T248=$B$8),OR($B$9="(All)",'Master Database'!$M248=$B$9),OR($B$10="(All)",'Master Database'!$V248=$B$10),OR($E$5="(All)",'Master Database'!$F248=$E$5),OR($E$6="(All)",'Master Database'!$G248=$E$6),OR($E$7="(All)",'Master Database'!$O248=$E$7),OR($E$8="(All)",'Master Database'!$P248=$E$8),OR($E$9="(All)",'Master Database'!$S248=$E$9),OR($E$10="(All)",'Master Database'!$Y248&amp;""=$E$10&amp;""),OR($H$5="(All)",'Master Database'!$BG248=$H$5),OR($H$6&lt;&gt;"Y",ISNUMBER('Master Database'!$AG248)),OR($H$7="",AND(ISNUMBER('Master Database'!$H248),N('Master Database'!$H248)&gt;=$H$7)),OR($I$7="",AND(ISNUMBER('Master Database'!$H248),N('Master Database'!$H248)&lt;=$I$7)),OR($H$8="",AND(ISNUMBER('Master Database'!$I248),N('Master Database'!$I248)&gt;=$H$8)),OR($I$8="",AND(ISNUMBER('Master Database'!$I248),N('Master Database'!$I248)&lt;=$I$8)),OR($H$9="",AND(ISNUMBER('Master Database'!$K248),N('Master Database'!$K248)&gt;=$H$9)),OR($I$9="",AND(ISNUMBER('Master Database'!$K248),N('Master Database'!$K248)&lt;=$I$9))),1,0))</f>
        <v>0</v>
      </c>
      <c r="BB248" t="str">
        <f>IF(BA248=1,COUNTIF($BA$5:BA248,1),"")</f>
        <v/>
      </c>
    </row>
    <row r="249" spans="53:54">
      <c r="BA249">
        <f>IF('Master Database'!$A249="",0,IF(AND(OR($B$5="",ISNUMBER(SEARCH($B$5,'Master Database'!$B249&amp;" "&amp;'Master Database'!$D249))),OR($B$6="(All)",'Master Database'!$C249=$B$6),OR($B$7="(All)",'Master Database'!$E249=$B$7),OR($B$8="(All)",'Master Database'!$T249=$B$8),OR($B$9="(All)",'Master Database'!$M249=$B$9),OR($B$10="(All)",'Master Database'!$V249=$B$10),OR($E$5="(All)",'Master Database'!$F249=$E$5),OR($E$6="(All)",'Master Database'!$G249=$E$6),OR($E$7="(All)",'Master Database'!$O249=$E$7),OR($E$8="(All)",'Master Database'!$P249=$E$8),OR($E$9="(All)",'Master Database'!$S249=$E$9),OR($E$10="(All)",'Master Database'!$Y249&amp;""=$E$10&amp;""),OR($H$5="(All)",'Master Database'!$BG249=$H$5),OR($H$6&lt;&gt;"Y",ISNUMBER('Master Database'!$AG249)),OR($H$7="",AND(ISNUMBER('Master Database'!$H249),N('Master Database'!$H249)&gt;=$H$7)),OR($I$7="",AND(ISNUMBER('Master Database'!$H249),N('Master Database'!$H249)&lt;=$I$7)),OR($H$8="",AND(ISNUMBER('Master Database'!$I249),N('Master Database'!$I249)&gt;=$H$8)),OR($I$8="",AND(ISNUMBER('Master Database'!$I249),N('Master Database'!$I249)&lt;=$I$8)),OR($H$9="",AND(ISNUMBER('Master Database'!$K249),N('Master Database'!$K249)&gt;=$H$9)),OR($I$9="",AND(ISNUMBER('Master Database'!$K249),N('Master Database'!$K249)&lt;=$I$9))),1,0))</f>
        <v>0</v>
      </c>
      <c r="BB249" t="str">
        <f>IF(BA249=1,COUNTIF($BA$5:BA249,1),"")</f>
        <v/>
      </c>
    </row>
    <row r="250" spans="53:54">
      <c r="BA250">
        <f>IF('Master Database'!$A250="",0,IF(AND(OR($B$5="",ISNUMBER(SEARCH($B$5,'Master Database'!$B250&amp;" "&amp;'Master Database'!$D250))),OR($B$6="(All)",'Master Database'!$C250=$B$6),OR($B$7="(All)",'Master Database'!$E250=$B$7),OR($B$8="(All)",'Master Database'!$T250=$B$8),OR($B$9="(All)",'Master Database'!$M250=$B$9),OR($B$10="(All)",'Master Database'!$V250=$B$10),OR($E$5="(All)",'Master Database'!$F250=$E$5),OR($E$6="(All)",'Master Database'!$G250=$E$6),OR($E$7="(All)",'Master Database'!$O250=$E$7),OR($E$8="(All)",'Master Database'!$P250=$E$8),OR($E$9="(All)",'Master Database'!$S250=$E$9),OR($E$10="(All)",'Master Database'!$Y250&amp;""=$E$10&amp;""),OR($H$5="(All)",'Master Database'!$BG250=$H$5),OR($H$6&lt;&gt;"Y",ISNUMBER('Master Database'!$AG250)),OR($H$7="",AND(ISNUMBER('Master Database'!$H250),N('Master Database'!$H250)&gt;=$H$7)),OR($I$7="",AND(ISNUMBER('Master Database'!$H250),N('Master Database'!$H250)&lt;=$I$7)),OR($H$8="",AND(ISNUMBER('Master Database'!$I250),N('Master Database'!$I250)&gt;=$H$8)),OR($I$8="",AND(ISNUMBER('Master Database'!$I250),N('Master Database'!$I250)&lt;=$I$8)),OR($H$9="",AND(ISNUMBER('Master Database'!$K250),N('Master Database'!$K250)&gt;=$H$9)),OR($I$9="",AND(ISNUMBER('Master Database'!$K250),N('Master Database'!$K250)&lt;=$I$9))),1,0))</f>
        <v>0</v>
      </c>
      <c r="BB250" t="str">
        <f>IF(BA250=1,COUNTIF($BA$5:BA250,1),"")</f>
        <v/>
      </c>
    </row>
    <row r="251" spans="53:54">
      <c r="BA251">
        <f>IF('Master Database'!$A251="",0,IF(AND(OR($B$5="",ISNUMBER(SEARCH($B$5,'Master Database'!$B251&amp;" "&amp;'Master Database'!$D251))),OR($B$6="(All)",'Master Database'!$C251=$B$6),OR($B$7="(All)",'Master Database'!$E251=$B$7),OR($B$8="(All)",'Master Database'!$T251=$B$8),OR($B$9="(All)",'Master Database'!$M251=$B$9),OR($B$10="(All)",'Master Database'!$V251=$B$10),OR($E$5="(All)",'Master Database'!$F251=$E$5),OR($E$6="(All)",'Master Database'!$G251=$E$6),OR($E$7="(All)",'Master Database'!$O251=$E$7),OR($E$8="(All)",'Master Database'!$P251=$E$8),OR($E$9="(All)",'Master Database'!$S251=$E$9),OR($E$10="(All)",'Master Database'!$Y251&amp;""=$E$10&amp;""),OR($H$5="(All)",'Master Database'!$BG251=$H$5),OR($H$6&lt;&gt;"Y",ISNUMBER('Master Database'!$AG251)),OR($H$7="",AND(ISNUMBER('Master Database'!$H251),N('Master Database'!$H251)&gt;=$H$7)),OR($I$7="",AND(ISNUMBER('Master Database'!$H251),N('Master Database'!$H251)&lt;=$I$7)),OR($H$8="",AND(ISNUMBER('Master Database'!$I251),N('Master Database'!$I251)&gt;=$H$8)),OR($I$8="",AND(ISNUMBER('Master Database'!$I251),N('Master Database'!$I251)&lt;=$I$8)),OR($H$9="",AND(ISNUMBER('Master Database'!$K251),N('Master Database'!$K251)&gt;=$H$9)),OR($I$9="",AND(ISNUMBER('Master Database'!$K251),N('Master Database'!$K251)&lt;=$I$9))),1,0))</f>
        <v>0</v>
      </c>
      <c r="BB251" t="str">
        <f>IF(BA251=1,COUNTIF($BA$5:BA251,1),"")</f>
        <v/>
      </c>
    </row>
    <row r="252" spans="53:54">
      <c r="BA252">
        <f>IF('Master Database'!$A252="",0,IF(AND(OR($B$5="",ISNUMBER(SEARCH($B$5,'Master Database'!$B252&amp;" "&amp;'Master Database'!$D252))),OR($B$6="(All)",'Master Database'!$C252=$B$6),OR($B$7="(All)",'Master Database'!$E252=$B$7),OR($B$8="(All)",'Master Database'!$T252=$B$8),OR($B$9="(All)",'Master Database'!$M252=$B$9),OR($B$10="(All)",'Master Database'!$V252=$B$10),OR($E$5="(All)",'Master Database'!$F252=$E$5),OR($E$6="(All)",'Master Database'!$G252=$E$6),OR($E$7="(All)",'Master Database'!$O252=$E$7),OR($E$8="(All)",'Master Database'!$P252=$E$8),OR($E$9="(All)",'Master Database'!$S252=$E$9),OR($E$10="(All)",'Master Database'!$Y252&amp;""=$E$10&amp;""),OR($H$5="(All)",'Master Database'!$BG252=$H$5),OR($H$6&lt;&gt;"Y",ISNUMBER('Master Database'!$AG252)),OR($H$7="",AND(ISNUMBER('Master Database'!$H252),N('Master Database'!$H252)&gt;=$H$7)),OR($I$7="",AND(ISNUMBER('Master Database'!$H252),N('Master Database'!$H252)&lt;=$I$7)),OR($H$8="",AND(ISNUMBER('Master Database'!$I252),N('Master Database'!$I252)&gt;=$H$8)),OR($I$8="",AND(ISNUMBER('Master Database'!$I252),N('Master Database'!$I252)&lt;=$I$8)),OR($H$9="",AND(ISNUMBER('Master Database'!$K252),N('Master Database'!$K252)&gt;=$H$9)),OR($I$9="",AND(ISNUMBER('Master Database'!$K252),N('Master Database'!$K252)&lt;=$I$9))),1,0))</f>
        <v>0</v>
      </c>
      <c r="BB252" t="str">
        <f>IF(BA252=1,COUNTIF($BA$5:BA252,1),"")</f>
        <v/>
      </c>
    </row>
    <row r="253" spans="53:54">
      <c r="BA253">
        <f>IF('Master Database'!$A253="",0,IF(AND(OR($B$5="",ISNUMBER(SEARCH($B$5,'Master Database'!$B253&amp;" "&amp;'Master Database'!$D253))),OR($B$6="(All)",'Master Database'!$C253=$B$6),OR($B$7="(All)",'Master Database'!$E253=$B$7),OR($B$8="(All)",'Master Database'!$T253=$B$8),OR($B$9="(All)",'Master Database'!$M253=$B$9),OR($B$10="(All)",'Master Database'!$V253=$B$10),OR($E$5="(All)",'Master Database'!$F253=$E$5),OR($E$6="(All)",'Master Database'!$G253=$E$6),OR($E$7="(All)",'Master Database'!$O253=$E$7),OR($E$8="(All)",'Master Database'!$P253=$E$8),OR($E$9="(All)",'Master Database'!$S253=$E$9),OR($E$10="(All)",'Master Database'!$Y253&amp;""=$E$10&amp;""),OR($H$5="(All)",'Master Database'!$BG253=$H$5),OR($H$6&lt;&gt;"Y",ISNUMBER('Master Database'!$AG253)),OR($H$7="",AND(ISNUMBER('Master Database'!$H253),N('Master Database'!$H253)&gt;=$H$7)),OR($I$7="",AND(ISNUMBER('Master Database'!$H253),N('Master Database'!$H253)&lt;=$I$7)),OR($H$8="",AND(ISNUMBER('Master Database'!$I253),N('Master Database'!$I253)&gt;=$H$8)),OR($I$8="",AND(ISNUMBER('Master Database'!$I253),N('Master Database'!$I253)&lt;=$I$8)),OR($H$9="",AND(ISNUMBER('Master Database'!$K253),N('Master Database'!$K253)&gt;=$H$9)),OR($I$9="",AND(ISNUMBER('Master Database'!$K253),N('Master Database'!$K253)&lt;=$I$9))),1,0))</f>
        <v>0</v>
      </c>
      <c r="BB253" t="str">
        <f>IF(BA253=1,COUNTIF($BA$5:BA253,1),"")</f>
        <v/>
      </c>
    </row>
    <row r="254" spans="53:54">
      <c r="BA254">
        <f>IF('Master Database'!$A254="",0,IF(AND(OR($B$5="",ISNUMBER(SEARCH($B$5,'Master Database'!$B254&amp;" "&amp;'Master Database'!$D254))),OR($B$6="(All)",'Master Database'!$C254=$B$6),OR($B$7="(All)",'Master Database'!$E254=$B$7),OR($B$8="(All)",'Master Database'!$T254=$B$8),OR($B$9="(All)",'Master Database'!$M254=$B$9),OR($B$10="(All)",'Master Database'!$V254=$B$10),OR($E$5="(All)",'Master Database'!$F254=$E$5),OR($E$6="(All)",'Master Database'!$G254=$E$6),OR($E$7="(All)",'Master Database'!$O254=$E$7),OR($E$8="(All)",'Master Database'!$P254=$E$8),OR($E$9="(All)",'Master Database'!$S254=$E$9),OR($E$10="(All)",'Master Database'!$Y254&amp;""=$E$10&amp;""),OR($H$5="(All)",'Master Database'!$BG254=$H$5),OR($H$6&lt;&gt;"Y",ISNUMBER('Master Database'!$AG254)),OR($H$7="",AND(ISNUMBER('Master Database'!$H254),N('Master Database'!$H254)&gt;=$H$7)),OR($I$7="",AND(ISNUMBER('Master Database'!$H254),N('Master Database'!$H254)&lt;=$I$7)),OR($H$8="",AND(ISNUMBER('Master Database'!$I254),N('Master Database'!$I254)&gt;=$H$8)),OR($I$8="",AND(ISNUMBER('Master Database'!$I254),N('Master Database'!$I254)&lt;=$I$8)),OR($H$9="",AND(ISNUMBER('Master Database'!$K254),N('Master Database'!$K254)&gt;=$H$9)),OR($I$9="",AND(ISNUMBER('Master Database'!$K254),N('Master Database'!$K254)&lt;=$I$9))),1,0))</f>
        <v>0</v>
      </c>
      <c r="BB254" t="str">
        <f>IF(BA254=1,COUNTIF($BA$5:BA254,1),"")</f>
        <v/>
      </c>
    </row>
    <row r="255" spans="53:54">
      <c r="BA255">
        <f>IF('Master Database'!$A255="",0,IF(AND(OR($B$5="",ISNUMBER(SEARCH($B$5,'Master Database'!$B255&amp;" "&amp;'Master Database'!$D255))),OR($B$6="(All)",'Master Database'!$C255=$B$6),OR($B$7="(All)",'Master Database'!$E255=$B$7),OR($B$8="(All)",'Master Database'!$T255=$B$8),OR($B$9="(All)",'Master Database'!$M255=$B$9),OR($B$10="(All)",'Master Database'!$V255=$B$10),OR($E$5="(All)",'Master Database'!$F255=$E$5),OR($E$6="(All)",'Master Database'!$G255=$E$6),OR($E$7="(All)",'Master Database'!$O255=$E$7),OR($E$8="(All)",'Master Database'!$P255=$E$8),OR($E$9="(All)",'Master Database'!$S255=$E$9),OR($E$10="(All)",'Master Database'!$Y255&amp;""=$E$10&amp;""),OR($H$5="(All)",'Master Database'!$BG255=$H$5),OR($H$6&lt;&gt;"Y",ISNUMBER('Master Database'!$AG255)),OR($H$7="",AND(ISNUMBER('Master Database'!$H255),N('Master Database'!$H255)&gt;=$H$7)),OR($I$7="",AND(ISNUMBER('Master Database'!$H255),N('Master Database'!$H255)&lt;=$I$7)),OR($H$8="",AND(ISNUMBER('Master Database'!$I255),N('Master Database'!$I255)&gt;=$H$8)),OR($I$8="",AND(ISNUMBER('Master Database'!$I255),N('Master Database'!$I255)&lt;=$I$8)),OR($H$9="",AND(ISNUMBER('Master Database'!$K255),N('Master Database'!$K255)&gt;=$H$9)),OR($I$9="",AND(ISNUMBER('Master Database'!$K255),N('Master Database'!$K255)&lt;=$I$9))),1,0))</f>
        <v>0</v>
      </c>
      <c r="BB255" t="str">
        <f>IF(BA255=1,COUNTIF($BA$5:BA255,1),"")</f>
        <v/>
      </c>
    </row>
    <row r="256" spans="53:54">
      <c r="BA256">
        <f>IF('Master Database'!$A256="",0,IF(AND(OR($B$5="",ISNUMBER(SEARCH($B$5,'Master Database'!$B256&amp;" "&amp;'Master Database'!$D256))),OR($B$6="(All)",'Master Database'!$C256=$B$6),OR($B$7="(All)",'Master Database'!$E256=$B$7),OR($B$8="(All)",'Master Database'!$T256=$B$8),OR($B$9="(All)",'Master Database'!$M256=$B$9),OR($B$10="(All)",'Master Database'!$V256=$B$10),OR($E$5="(All)",'Master Database'!$F256=$E$5),OR($E$6="(All)",'Master Database'!$G256=$E$6),OR($E$7="(All)",'Master Database'!$O256=$E$7),OR($E$8="(All)",'Master Database'!$P256=$E$8),OR($E$9="(All)",'Master Database'!$S256=$E$9),OR($E$10="(All)",'Master Database'!$Y256&amp;""=$E$10&amp;""),OR($H$5="(All)",'Master Database'!$BG256=$H$5),OR($H$6&lt;&gt;"Y",ISNUMBER('Master Database'!$AG256)),OR($H$7="",AND(ISNUMBER('Master Database'!$H256),N('Master Database'!$H256)&gt;=$H$7)),OR($I$7="",AND(ISNUMBER('Master Database'!$H256),N('Master Database'!$H256)&lt;=$I$7)),OR($H$8="",AND(ISNUMBER('Master Database'!$I256),N('Master Database'!$I256)&gt;=$H$8)),OR($I$8="",AND(ISNUMBER('Master Database'!$I256),N('Master Database'!$I256)&lt;=$I$8)),OR($H$9="",AND(ISNUMBER('Master Database'!$K256),N('Master Database'!$K256)&gt;=$H$9)),OR($I$9="",AND(ISNUMBER('Master Database'!$K256),N('Master Database'!$K256)&lt;=$I$9))),1,0))</f>
        <v>0</v>
      </c>
      <c r="BB256" t="str">
        <f>IF(BA256=1,COUNTIF($BA$5:BA256,1),"")</f>
        <v/>
      </c>
    </row>
    <row r="257" spans="53:54">
      <c r="BA257">
        <f>IF('Master Database'!$A257="",0,IF(AND(OR($B$5="",ISNUMBER(SEARCH($B$5,'Master Database'!$B257&amp;" "&amp;'Master Database'!$D257))),OR($B$6="(All)",'Master Database'!$C257=$B$6),OR($B$7="(All)",'Master Database'!$E257=$B$7),OR($B$8="(All)",'Master Database'!$T257=$B$8),OR($B$9="(All)",'Master Database'!$M257=$B$9),OR($B$10="(All)",'Master Database'!$V257=$B$10),OR($E$5="(All)",'Master Database'!$F257=$E$5),OR($E$6="(All)",'Master Database'!$G257=$E$6),OR($E$7="(All)",'Master Database'!$O257=$E$7),OR($E$8="(All)",'Master Database'!$P257=$E$8),OR($E$9="(All)",'Master Database'!$S257=$E$9),OR($E$10="(All)",'Master Database'!$Y257&amp;""=$E$10&amp;""),OR($H$5="(All)",'Master Database'!$BG257=$H$5),OR($H$6&lt;&gt;"Y",ISNUMBER('Master Database'!$AG257)),OR($H$7="",AND(ISNUMBER('Master Database'!$H257),N('Master Database'!$H257)&gt;=$H$7)),OR($I$7="",AND(ISNUMBER('Master Database'!$H257),N('Master Database'!$H257)&lt;=$I$7)),OR($H$8="",AND(ISNUMBER('Master Database'!$I257),N('Master Database'!$I257)&gt;=$H$8)),OR($I$8="",AND(ISNUMBER('Master Database'!$I257),N('Master Database'!$I257)&lt;=$I$8)),OR($H$9="",AND(ISNUMBER('Master Database'!$K257),N('Master Database'!$K257)&gt;=$H$9)),OR($I$9="",AND(ISNUMBER('Master Database'!$K257),N('Master Database'!$K257)&lt;=$I$9))),1,0))</f>
        <v>0</v>
      </c>
      <c r="BB257" t="str">
        <f>IF(BA257=1,COUNTIF($BA$5:BA257,1),"")</f>
        <v/>
      </c>
    </row>
    <row r="258" spans="53:54">
      <c r="BA258">
        <f>IF('Master Database'!$A258="",0,IF(AND(OR($B$5="",ISNUMBER(SEARCH($B$5,'Master Database'!$B258&amp;" "&amp;'Master Database'!$D258))),OR($B$6="(All)",'Master Database'!$C258=$B$6),OR($B$7="(All)",'Master Database'!$E258=$B$7),OR($B$8="(All)",'Master Database'!$T258=$B$8),OR($B$9="(All)",'Master Database'!$M258=$B$9),OR($B$10="(All)",'Master Database'!$V258=$B$10),OR($E$5="(All)",'Master Database'!$F258=$E$5),OR($E$6="(All)",'Master Database'!$G258=$E$6),OR($E$7="(All)",'Master Database'!$O258=$E$7),OR($E$8="(All)",'Master Database'!$P258=$E$8),OR($E$9="(All)",'Master Database'!$S258=$E$9),OR($E$10="(All)",'Master Database'!$Y258&amp;""=$E$10&amp;""),OR($H$5="(All)",'Master Database'!$BG258=$H$5),OR($H$6&lt;&gt;"Y",ISNUMBER('Master Database'!$AG258)),OR($H$7="",AND(ISNUMBER('Master Database'!$H258),N('Master Database'!$H258)&gt;=$H$7)),OR($I$7="",AND(ISNUMBER('Master Database'!$H258),N('Master Database'!$H258)&lt;=$I$7)),OR($H$8="",AND(ISNUMBER('Master Database'!$I258),N('Master Database'!$I258)&gt;=$H$8)),OR($I$8="",AND(ISNUMBER('Master Database'!$I258),N('Master Database'!$I258)&lt;=$I$8)),OR($H$9="",AND(ISNUMBER('Master Database'!$K258),N('Master Database'!$K258)&gt;=$H$9)),OR($I$9="",AND(ISNUMBER('Master Database'!$K258),N('Master Database'!$K258)&lt;=$I$9))),1,0))</f>
        <v>0</v>
      </c>
      <c r="BB258" t="str">
        <f>IF(BA258=1,COUNTIF($BA$5:BA258,1),"")</f>
        <v/>
      </c>
    </row>
    <row r="259" spans="53:54">
      <c r="BA259">
        <f>IF('Master Database'!$A259="",0,IF(AND(OR($B$5="",ISNUMBER(SEARCH($B$5,'Master Database'!$B259&amp;" "&amp;'Master Database'!$D259))),OR($B$6="(All)",'Master Database'!$C259=$B$6),OR($B$7="(All)",'Master Database'!$E259=$B$7),OR($B$8="(All)",'Master Database'!$T259=$B$8),OR($B$9="(All)",'Master Database'!$M259=$B$9),OR($B$10="(All)",'Master Database'!$V259=$B$10),OR($E$5="(All)",'Master Database'!$F259=$E$5),OR($E$6="(All)",'Master Database'!$G259=$E$6),OR($E$7="(All)",'Master Database'!$O259=$E$7),OR($E$8="(All)",'Master Database'!$P259=$E$8),OR($E$9="(All)",'Master Database'!$S259=$E$9),OR($E$10="(All)",'Master Database'!$Y259&amp;""=$E$10&amp;""),OR($H$5="(All)",'Master Database'!$BG259=$H$5),OR($H$6&lt;&gt;"Y",ISNUMBER('Master Database'!$AG259)),OR($H$7="",AND(ISNUMBER('Master Database'!$H259),N('Master Database'!$H259)&gt;=$H$7)),OR($I$7="",AND(ISNUMBER('Master Database'!$H259),N('Master Database'!$H259)&lt;=$I$7)),OR($H$8="",AND(ISNUMBER('Master Database'!$I259),N('Master Database'!$I259)&gt;=$H$8)),OR($I$8="",AND(ISNUMBER('Master Database'!$I259),N('Master Database'!$I259)&lt;=$I$8)),OR($H$9="",AND(ISNUMBER('Master Database'!$K259),N('Master Database'!$K259)&gt;=$H$9)),OR($I$9="",AND(ISNUMBER('Master Database'!$K259),N('Master Database'!$K259)&lt;=$I$9))),1,0))</f>
        <v>0</v>
      </c>
      <c r="BB259" t="str">
        <f>IF(BA259=1,COUNTIF($BA$5:BA259,1),"")</f>
        <v/>
      </c>
    </row>
    <row r="260" spans="53:54">
      <c r="BA260">
        <f>IF('Master Database'!$A260="",0,IF(AND(OR($B$5="",ISNUMBER(SEARCH($B$5,'Master Database'!$B260&amp;" "&amp;'Master Database'!$D260))),OR($B$6="(All)",'Master Database'!$C260=$B$6),OR($B$7="(All)",'Master Database'!$E260=$B$7),OR($B$8="(All)",'Master Database'!$T260=$B$8),OR($B$9="(All)",'Master Database'!$M260=$B$9),OR($B$10="(All)",'Master Database'!$V260=$B$10),OR($E$5="(All)",'Master Database'!$F260=$E$5),OR($E$6="(All)",'Master Database'!$G260=$E$6),OR($E$7="(All)",'Master Database'!$O260=$E$7),OR($E$8="(All)",'Master Database'!$P260=$E$8),OR($E$9="(All)",'Master Database'!$S260=$E$9),OR($E$10="(All)",'Master Database'!$Y260&amp;""=$E$10&amp;""),OR($H$5="(All)",'Master Database'!$BG260=$H$5),OR($H$6&lt;&gt;"Y",ISNUMBER('Master Database'!$AG260)),OR($H$7="",AND(ISNUMBER('Master Database'!$H260),N('Master Database'!$H260)&gt;=$H$7)),OR($I$7="",AND(ISNUMBER('Master Database'!$H260),N('Master Database'!$H260)&lt;=$I$7)),OR($H$8="",AND(ISNUMBER('Master Database'!$I260),N('Master Database'!$I260)&gt;=$H$8)),OR($I$8="",AND(ISNUMBER('Master Database'!$I260),N('Master Database'!$I260)&lt;=$I$8)),OR($H$9="",AND(ISNUMBER('Master Database'!$K260),N('Master Database'!$K260)&gt;=$H$9)),OR($I$9="",AND(ISNUMBER('Master Database'!$K260),N('Master Database'!$K260)&lt;=$I$9))),1,0))</f>
        <v>0</v>
      </c>
      <c r="BB260" t="str">
        <f>IF(BA260=1,COUNTIF($BA$5:BA260,1),"")</f>
        <v/>
      </c>
    </row>
    <row r="261" spans="53:54">
      <c r="BA261">
        <f>IF('Master Database'!$A261="",0,IF(AND(OR($B$5="",ISNUMBER(SEARCH($B$5,'Master Database'!$B261&amp;" "&amp;'Master Database'!$D261))),OR($B$6="(All)",'Master Database'!$C261=$B$6),OR($B$7="(All)",'Master Database'!$E261=$B$7),OR($B$8="(All)",'Master Database'!$T261=$B$8),OR($B$9="(All)",'Master Database'!$M261=$B$9),OR($B$10="(All)",'Master Database'!$V261=$B$10),OR($E$5="(All)",'Master Database'!$F261=$E$5),OR($E$6="(All)",'Master Database'!$G261=$E$6),OR($E$7="(All)",'Master Database'!$O261=$E$7),OR($E$8="(All)",'Master Database'!$P261=$E$8),OR($E$9="(All)",'Master Database'!$S261=$E$9),OR($E$10="(All)",'Master Database'!$Y261&amp;""=$E$10&amp;""),OR($H$5="(All)",'Master Database'!$BG261=$H$5),OR($H$6&lt;&gt;"Y",ISNUMBER('Master Database'!$AG261)),OR($H$7="",AND(ISNUMBER('Master Database'!$H261),N('Master Database'!$H261)&gt;=$H$7)),OR($I$7="",AND(ISNUMBER('Master Database'!$H261),N('Master Database'!$H261)&lt;=$I$7)),OR($H$8="",AND(ISNUMBER('Master Database'!$I261),N('Master Database'!$I261)&gt;=$H$8)),OR($I$8="",AND(ISNUMBER('Master Database'!$I261),N('Master Database'!$I261)&lt;=$I$8)),OR($H$9="",AND(ISNUMBER('Master Database'!$K261),N('Master Database'!$K261)&gt;=$H$9)),OR($I$9="",AND(ISNUMBER('Master Database'!$K261),N('Master Database'!$K261)&lt;=$I$9))),1,0))</f>
        <v>0</v>
      </c>
      <c r="BB261" t="str">
        <f>IF(BA261=1,COUNTIF($BA$5:BA261,1),"")</f>
        <v/>
      </c>
    </row>
    <row r="262" spans="53:54">
      <c r="BA262">
        <f>IF('Master Database'!$A262="",0,IF(AND(OR($B$5="",ISNUMBER(SEARCH($B$5,'Master Database'!$B262&amp;" "&amp;'Master Database'!$D262))),OR($B$6="(All)",'Master Database'!$C262=$B$6),OR($B$7="(All)",'Master Database'!$E262=$B$7),OR($B$8="(All)",'Master Database'!$T262=$B$8),OR($B$9="(All)",'Master Database'!$M262=$B$9),OR($B$10="(All)",'Master Database'!$V262=$B$10),OR($E$5="(All)",'Master Database'!$F262=$E$5),OR($E$6="(All)",'Master Database'!$G262=$E$6),OR($E$7="(All)",'Master Database'!$O262=$E$7),OR($E$8="(All)",'Master Database'!$P262=$E$8),OR($E$9="(All)",'Master Database'!$S262=$E$9),OR($E$10="(All)",'Master Database'!$Y262&amp;""=$E$10&amp;""),OR($H$5="(All)",'Master Database'!$BG262=$H$5),OR($H$6&lt;&gt;"Y",ISNUMBER('Master Database'!$AG262)),OR($H$7="",AND(ISNUMBER('Master Database'!$H262),N('Master Database'!$H262)&gt;=$H$7)),OR($I$7="",AND(ISNUMBER('Master Database'!$H262),N('Master Database'!$H262)&lt;=$I$7)),OR($H$8="",AND(ISNUMBER('Master Database'!$I262),N('Master Database'!$I262)&gt;=$H$8)),OR($I$8="",AND(ISNUMBER('Master Database'!$I262),N('Master Database'!$I262)&lt;=$I$8)),OR($H$9="",AND(ISNUMBER('Master Database'!$K262),N('Master Database'!$K262)&gt;=$H$9)),OR($I$9="",AND(ISNUMBER('Master Database'!$K262),N('Master Database'!$K262)&lt;=$I$9))),1,0))</f>
        <v>0</v>
      </c>
      <c r="BB262" t="str">
        <f>IF(BA262=1,COUNTIF($BA$5:BA262,1),"")</f>
        <v/>
      </c>
    </row>
    <row r="263" spans="53:54">
      <c r="BA263">
        <f>IF('Master Database'!$A263="",0,IF(AND(OR($B$5="",ISNUMBER(SEARCH($B$5,'Master Database'!$B263&amp;" "&amp;'Master Database'!$D263))),OR($B$6="(All)",'Master Database'!$C263=$B$6),OR($B$7="(All)",'Master Database'!$E263=$B$7),OR($B$8="(All)",'Master Database'!$T263=$B$8),OR($B$9="(All)",'Master Database'!$M263=$B$9),OR($B$10="(All)",'Master Database'!$V263=$B$10),OR($E$5="(All)",'Master Database'!$F263=$E$5),OR($E$6="(All)",'Master Database'!$G263=$E$6),OR($E$7="(All)",'Master Database'!$O263=$E$7),OR($E$8="(All)",'Master Database'!$P263=$E$8),OR($E$9="(All)",'Master Database'!$S263=$E$9),OR($E$10="(All)",'Master Database'!$Y263&amp;""=$E$10&amp;""),OR($H$5="(All)",'Master Database'!$BG263=$H$5),OR($H$6&lt;&gt;"Y",ISNUMBER('Master Database'!$AG263)),OR($H$7="",AND(ISNUMBER('Master Database'!$H263),N('Master Database'!$H263)&gt;=$H$7)),OR($I$7="",AND(ISNUMBER('Master Database'!$H263),N('Master Database'!$H263)&lt;=$I$7)),OR($H$8="",AND(ISNUMBER('Master Database'!$I263),N('Master Database'!$I263)&gt;=$H$8)),OR($I$8="",AND(ISNUMBER('Master Database'!$I263),N('Master Database'!$I263)&lt;=$I$8)),OR($H$9="",AND(ISNUMBER('Master Database'!$K263),N('Master Database'!$K263)&gt;=$H$9)),OR($I$9="",AND(ISNUMBER('Master Database'!$K263),N('Master Database'!$K263)&lt;=$I$9))),1,0))</f>
        <v>0</v>
      </c>
      <c r="BB263" t="str">
        <f>IF(BA263=1,COUNTIF($BA$5:BA263,1),"")</f>
        <v/>
      </c>
    </row>
    <row r="264" spans="53:54">
      <c r="BA264">
        <f>IF('Master Database'!$A264="",0,IF(AND(OR($B$5="",ISNUMBER(SEARCH($B$5,'Master Database'!$B264&amp;" "&amp;'Master Database'!$D264))),OR($B$6="(All)",'Master Database'!$C264=$B$6),OR($B$7="(All)",'Master Database'!$E264=$B$7),OR($B$8="(All)",'Master Database'!$T264=$B$8),OR($B$9="(All)",'Master Database'!$M264=$B$9),OR($B$10="(All)",'Master Database'!$V264=$B$10),OR($E$5="(All)",'Master Database'!$F264=$E$5),OR($E$6="(All)",'Master Database'!$G264=$E$6),OR($E$7="(All)",'Master Database'!$O264=$E$7),OR($E$8="(All)",'Master Database'!$P264=$E$8),OR($E$9="(All)",'Master Database'!$S264=$E$9),OR($E$10="(All)",'Master Database'!$Y264&amp;""=$E$10&amp;""),OR($H$5="(All)",'Master Database'!$BG264=$H$5),OR($H$6&lt;&gt;"Y",ISNUMBER('Master Database'!$AG264)),OR($H$7="",AND(ISNUMBER('Master Database'!$H264),N('Master Database'!$H264)&gt;=$H$7)),OR($I$7="",AND(ISNUMBER('Master Database'!$H264),N('Master Database'!$H264)&lt;=$I$7)),OR($H$8="",AND(ISNUMBER('Master Database'!$I264),N('Master Database'!$I264)&gt;=$H$8)),OR($I$8="",AND(ISNUMBER('Master Database'!$I264),N('Master Database'!$I264)&lt;=$I$8)),OR($H$9="",AND(ISNUMBER('Master Database'!$K264),N('Master Database'!$K264)&gt;=$H$9)),OR($I$9="",AND(ISNUMBER('Master Database'!$K264),N('Master Database'!$K264)&lt;=$I$9))),1,0))</f>
        <v>0</v>
      </c>
      <c r="BB264" t="str">
        <f>IF(BA264=1,COUNTIF($BA$5:BA264,1),"")</f>
        <v/>
      </c>
    </row>
    <row r="265" spans="53:54">
      <c r="BA265">
        <f>IF('Master Database'!$A265="",0,IF(AND(OR($B$5="",ISNUMBER(SEARCH($B$5,'Master Database'!$B265&amp;" "&amp;'Master Database'!$D265))),OR($B$6="(All)",'Master Database'!$C265=$B$6),OR($B$7="(All)",'Master Database'!$E265=$B$7),OR($B$8="(All)",'Master Database'!$T265=$B$8),OR($B$9="(All)",'Master Database'!$M265=$B$9),OR($B$10="(All)",'Master Database'!$V265=$B$10),OR($E$5="(All)",'Master Database'!$F265=$E$5),OR($E$6="(All)",'Master Database'!$G265=$E$6),OR($E$7="(All)",'Master Database'!$O265=$E$7),OR($E$8="(All)",'Master Database'!$P265=$E$8),OR($E$9="(All)",'Master Database'!$S265=$E$9),OR($E$10="(All)",'Master Database'!$Y265&amp;""=$E$10&amp;""),OR($H$5="(All)",'Master Database'!$BG265=$H$5),OR($H$6&lt;&gt;"Y",ISNUMBER('Master Database'!$AG265)),OR($H$7="",AND(ISNUMBER('Master Database'!$H265),N('Master Database'!$H265)&gt;=$H$7)),OR($I$7="",AND(ISNUMBER('Master Database'!$H265),N('Master Database'!$H265)&lt;=$I$7)),OR($H$8="",AND(ISNUMBER('Master Database'!$I265),N('Master Database'!$I265)&gt;=$H$8)),OR($I$8="",AND(ISNUMBER('Master Database'!$I265),N('Master Database'!$I265)&lt;=$I$8)),OR($H$9="",AND(ISNUMBER('Master Database'!$K265),N('Master Database'!$K265)&gt;=$H$9)),OR($I$9="",AND(ISNUMBER('Master Database'!$K265),N('Master Database'!$K265)&lt;=$I$9))),1,0))</f>
        <v>0</v>
      </c>
      <c r="BB265" t="str">
        <f>IF(BA265=1,COUNTIF($BA$5:BA265,1),"")</f>
        <v/>
      </c>
    </row>
    <row r="266" spans="53:54">
      <c r="BA266">
        <f>IF('Master Database'!$A266="",0,IF(AND(OR($B$5="",ISNUMBER(SEARCH($B$5,'Master Database'!$B266&amp;" "&amp;'Master Database'!$D266))),OR($B$6="(All)",'Master Database'!$C266=$B$6),OR($B$7="(All)",'Master Database'!$E266=$B$7),OR($B$8="(All)",'Master Database'!$T266=$B$8),OR($B$9="(All)",'Master Database'!$M266=$B$9),OR($B$10="(All)",'Master Database'!$V266=$B$10),OR($E$5="(All)",'Master Database'!$F266=$E$5),OR($E$6="(All)",'Master Database'!$G266=$E$6),OR($E$7="(All)",'Master Database'!$O266=$E$7),OR($E$8="(All)",'Master Database'!$P266=$E$8),OR($E$9="(All)",'Master Database'!$S266=$E$9),OR($E$10="(All)",'Master Database'!$Y266&amp;""=$E$10&amp;""),OR($H$5="(All)",'Master Database'!$BG266=$H$5),OR($H$6&lt;&gt;"Y",ISNUMBER('Master Database'!$AG266)),OR($H$7="",AND(ISNUMBER('Master Database'!$H266),N('Master Database'!$H266)&gt;=$H$7)),OR($I$7="",AND(ISNUMBER('Master Database'!$H266),N('Master Database'!$H266)&lt;=$I$7)),OR($H$8="",AND(ISNUMBER('Master Database'!$I266),N('Master Database'!$I266)&gt;=$H$8)),OR($I$8="",AND(ISNUMBER('Master Database'!$I266),N('Master Database'!$I266)&lt;=$I$8)),OR($H$9="",AND(ISNUMBER('Master Database'!$K266),N('Master Database'!$K266)&gt;=$H$9)),OR($I$9="",AND(ISNUMBER('Master Database'!$K266),N('Master Database'!$K266)&lt;=$I$9))),1,0))</f>
        <v>0</v>
      </c>
      <c r="BB266" t="str">
        <f>IF(BA266=1,COUNTIF($BA$5:BA266,1),"")</f>
        <v/>
      </c>
    </row>
    <row r="267" spans="53:54">
      <c r="BA267">
        <f>IF('Master Database'!$A267="",0,IF(AND(OR($B$5="",ISNUMBER(SEARCH($B$5,'Master Database'!$B267&amp;" "&amp;'Master Database'!$D267))),OR($B$6="(All)",'Master Database'!$C267=$B$6),OR($B$7="(All)",'Master Database'!$E267=$B$7),OR($B$8="(All)",'Master Database'!$T267=$B$8),OR($B$9="(All)",'Master Database'!$M267=$B$9),OR($B$10="(All)",'Master Database'!$V267=$B$10),OR($E$5="(All)",'Master Database'!$F267=$E$5),OR($E$6="(All)",'Master Database'!$G267=$E$6),OR($E$7="(All)",'Master Database'!$O267=$E$7),OR($E$8="(All)",'Master Database'!$P267=$E$8),OR($E$9="(All)",'Master Database'!$S267=$E$9),OR($E$10="(All)",'Master Database'!$Y267&amp;""=$E$10&amp;""),OR($H$5="(All)",'Master Database'!$BG267=$H$5),OR($H$6&lt;&gt;"Y",ISNUMBER('Master Database'!$AG267)),OR($H$7="",AND(ISNUMBER('Master Database'!$H267),N('Master Database'!$H267)&gt;=$H$7)),OR($I$7="",AND(ISNUMBER('Master Database'!$H267),N('Master Database'!$H267)&lt;=$I$7)),OR($H$8="",AND(ISNUMBER('Master Database'!$I267),N('Master Database'!$I267)&gt;=$H$8)),OR($I$8="",AND(ISNUMBER('Master Database'!$I267),N('Master Database'!$I267)&lt;=$I$8)),OR($H$9="",AND(ISNUMBER('Master Database'!$K267),N('Master Database'!$K267)&gt;=$H$9)),OR($I$9="",AND(ISNUMBER('Master Database'!$K267),N('Master Database'!$K267)&lt;=$I$9))),1,0))</f>
        <v>0</v>
      </c>
      <c r="BB267" t="str">
        <f>IF(BA267=1,COUNTIF($BA$5:BA267,1),"")</f>
        <v/>
      </c>
    </row>
    <row r="268" spans="53:54">
      <c r="BA268">
        <f>IF('Master Database'!$A268="",0,IF(AND(OR($B$5="",ISNUMBER(SEARCH($B$5,'Master Database'!$B268&amp;" "&amp;'Master Database'!$D268))),OR($B$6="(All)",'Master Database'!$C268=$B$6),OR($B$7="(All)",'Master Database'!$E268=$B$7),OR($B$8="(All)",'Master Database'!$T268=$B$8),OR($B$9="(All)",'Master Database'!$M268=$B$9),OR($B$10="(All)",'Master Database'!$V268=$B$10),OR($E$5="(All)",'Master Database'!$F268=$E$5),OR($E$6="(All)",'Master Database'!$G268=$E$6),OR($E$7="(All)",'Master Database'!$O268=$E$7),OR($E$8="(All)",'Master Database'!$P268=$E$8),OR($E$9="(All)",'Master Database'!$S268=$E$9),OR($E$10="(All)",'Master Database'!$Y268&amp;""=$E$10&amp;""),OR($H$5="(All)",'Master Database'!$BG268=$H$5),OR($H$6&lt;&gt;"Y",ISNUMBER('Master Database'!$AG268)),OR($H$7="",AND(ISNUMBER('Master Database'!$H268),N('Master Database'!$H268)&gt;=$H$7)),OR($I$7="",AND(ISNUMBER('Master Database'!$H268),N('Master Database'!$H268)&lt;=$I$7)),OR($H$8="",AND(ISNUMBER('Master Database'!$I268),N('Master Database'!$I268)&gt;=$H$8)),OR($I$8="",AND(ISNUMBER('Master Database'!$I268),N('Master Database'!$I268)&lt;=$I$8)),OR($H$9="",AND(ISNUMBER('Master Database'!$K268),N('Master Database'!$K268)&gt;=$H$9)),OR($I$9="",AND(ISNUMBER('Master Database'!$K268),N('Master Database'!$K268)&lt;=$I$9))),1,0))</f>
        <v>0</v>
      </c>
      <c r="BB268" t="str">
        <f>IF(BA268=1,COUNTIF($BA$5:BA268,1),"")</f>
        <v/>
      </c>
    </row>
    <row r="269" spans="53:54">
      <c r="BA269">
        <f>IF('Master Database'!$A269="",0,IF(AND(OR($B$5="",ISNUMBER(SEARCH($B$5,'Master Database'!$B269&amp;" "&amp;'Master Database'!$D269))),OR($B$6="(All)",'Master Database'!$C269=$B$6),OR($B$7="(All)",'Master Database'!$E269=$B$7),OR($B$8="(All)",'Master Database'!$T269=$B$8),OR($B$9="(All)",'Master Database'!$M269=$B$9),OR($B$10="(All)",'Master Database'!$V269=$B$10),OR($E$5="(All)",'Master Database'!$F269=$E$5),OR($E$6="(All)",'Master Database'!$G269=$E$6),OR($E$7="(All)",'Master Database'!$O269=$E$7),OR($E$8="(All)",'Master Database'!$P269=$E$8),OR($E$9="(All)",'Master Database'!$S269=$E$9),OR($E$10="(All)",'Master Database'!$Y269&amp;""=$E$10&amp;""),OR($H$5="(All)",'Master Database'!$BG269=$H$5),OR($H$6&lt;&gt;"Y",ISNUMBER('Master Database'!$AG269)),OR($H$7="",AND(ISNUMBER('Master Database'!$H269),N('Master Database'!$H269)&gt;=$H$7)),OR($I$7="",AND(ISNUMBER('Master Database'!$H269),N('Master Database'!$H269)&lt;=$I$7)),OR($H$8="",AND(ISNUMBER('Master Database'!$I269),N('Master Database'!$I269)&gt;=$H$8)),OR($I$8="",AND(ISNUMBER('Master Database'!$I269),N('Master Database'!$I269)&lt;=$I$8)),OR($H$9="",AND(ISNUMBER('Master Database'!$K269),N('Master Database'!$K269)&gt;=$H$9)),OR($I$9="",AND(ISNUMBER('Master Database'!$K269),N('Master Database'!$K269)&lt;=$I$9))),1,0))</f>
        <v>0</v>
      </c>
      <c r="BB269" t="str">
        <f>IF(BA269=1,COUNTIF($BA$5:BA269,1),"")</f>
        <v/>
      </c>
    </row>
    <row r="270" spans="53:54">
      <c r="BA270">
        <f>IF('Master Database'!$A270="",0,IF(AND(OR($B$5="",ISNUMBER(SEARCH($B$5,'Master Database'!$B270&amp;" "&amp;'Master Database'!$D270))),OR($B$6="(All)",'Master Database'!$C270=$B$6),OR($B$7="(All)",'Master Database'!$E270=$B$7),OR($B$8="(All)",'Master Database'!$T270=$B$8),OR($B$9="(All)",'Master Database'!$M270=$B$9),OR($B$10="(All)",'Master Database'!$V270=$B$10),OR($E$5="(All)",'Master Database'!$F270=$E$5),OR($E$6="(All)",'Master Database'!$G270=$E$6),OR($E$7="(All)",'Master Database'!$O270=$E$7),OR($E$8="(All)",'Master Database'!$P270=$E$8),OR($E$9="(All)",'Master Database'!$S270=$E$9),OR($E$10="(All)",'Master Database'!$Y270&amp;""=$E$10&amp;""),OR($H$5="(All)",'Master Database'!$BG270=$H$5),OR($H$6&lt;&gt;"Y",ISNUMBER('Master Database'!$AG270)),OR($H$7="",AND(ISNUMBER('Master Database'!$H270),N('Master Database'!$H270)&gt;=$H$7)),OR($I$7="",AND(ISNUMBER('Master Database'!$H270),N('Master Database'!$H270)&lt;=$I$7)),OR($H$8="",AND(ISNUMBER('Master Database'!$I270),N('Master Database'!$I270)&gt;=$H$8)),OR($I$8="",AND(ISNUMBER('Master Database'!$I270),N('Master Database'!$I270)&lt;=$I$8)),OR($H$9="",AND(ISNUMBER('Master Database'!$K270),N('Master Database'!$K270)&gt;=$H$9)),OR($I$9="",AND(ISNUMBER('Master Database'!$K270),N('Master Database'!$K270)&lt;=$I$9))),1,0))</f>
        <v>0</v>
      </c>
      <c r="BB270" t="str">
        <f>IF(BA270=1,COUNTIF($BA$5:BA270,1),"")</f>
        <v/>
      </c>
    </row>
    <row r="271" spans="53:54">
      <c r="BA271">
        <f>IF('Master Database'!$A271="",0,IF(AND(OR($B$5="",ISNUMBER(SEARCH($B$5,'Master Database'!$B271&amp;" "&amp;'Master Database'!$D271))),OR($B$6="(All)",'Master Database'!$C271=$B$6),OR($B$7="(All)",'Master Database'!$E271=$B$7),OR($B$8="(All)",'Master Database'!$T271=$B$8),OR($B$9="(All)",'Master Database'!$M271=$B$9),OR($B$10="(All)",'Master Database'!$V271=$B$10),OR($E$5="(All)",'Master Database'!$F271=$E$5),OR($E$6="(All)",'Master Database'!$G271=$E$6),OR($E$7="(All)",'Master Database'!$O271=$E$7),OR($E$8="(All)",'Master Database'!$P271=$E$8),OR($E$9="(All)",'Master Database'!$S271=$E$9),OR($E$10="(All)",'Master Database'!$Y271&amp;""=$E$10&amp;""),OR($H$5="(All)",'Master Database'!$BG271=$H$5),OR($H$6&lt;&gt;"Y",ISNUMBER('Master Database'!$AG271)),OR($H$7="",AND(ISNUMBER('Master Database'!$H271),N('Master Database'!$H271)&gt;=$H$7)),OR($I$7="",AND(ISNUMBER('Master Database'!$H271),N('Master Database'!$H271)&lt;=$I$7)),OR($H$8="",AND(ISNUMBER('Master Database'!$I271),N('Master Database'!$I271)&gt;=$H$8)),OR($I$8="",AND(ISNUMBER('Master Database'!$I271),N('Master Database'!$I271)&lt;=$I$8)),OR($H$9="",AND(ISNUMBER('Master Database'!$K271),N('Master Database'!$K271)&gt;=$H$9)),OR($I$9="",AND(ISNUMBER('Master Database'!$K271),N('Master Database'!$K271)&lt;=$I$9))),1,0))</f>
        <v>0</v>
      </c>
      <c r="BB271" t="str">
        <f>IF(BA271=1,COUNTIF($BA$5:BA271,1),"")</f>
        <v/>
      </c>
    </row>
    <row r="272" spans="53:54">
      <c r="BA272">
        <f>IF('Master Database'!$A272="",0,IF(AND(OR($B$5="",ISNUMBER(SEARCH($B$5,'Master Database'!$B272&amp;" "&amp;'Master Database'!$D272))),OR($B$6="(All)",'Master Database'!$C272=$B$6),OR($B$7="(All)",'Master Database'!$E272=$B$7),OR($B$8="(All)",'Master Database'!$T272=$B$8),OR($B$9="(All)",'Master Database'!$M272=$B$9),OR($B$10="(All)",'Master Database'!$V272=$B$10),OR($E$5="(All)",'Master Database'!$F272=$E$5),OR($E$6="(All)",'Master Database'!$G272=$E$6),OR($E$7="(All)",'Master Database'!$O272=$E$7),OR($E$8="(All)",'Master Database'!$P272=$E$8),OR($E$9="(All)",'Master Database'!$S272=$E$9),OR($E$10="(All)",'Master Database'!$Y272&amp;""=$E$10&amp;""),OR($H$5="(All)",'Master Database'!$BG272=$H$5),OR($H$6&lt;&gt;"Y",ISNUMBER('Master Database'!$AG272)),OR($H$7="",AND(ISNUMBER('Master Database'!$H272),N('Master Database'!$H272)&gt;=$H$7)),OR($I$7="",AND(ISNUMBER('Master Database'!$H272),N('Master Database'!$H272)&lt;=$I$7)),OR($H$8="",AND(ISNUMBER('Master Database'!$I272),N('Master Database'!$I272)&gt;=$H$8)),OR($I$8="",AND(ISNUMBER('Master Database'!$I272),N('Master Database'!$I272)&lt;=$I$8)),OR($H$9="",AND(ISNUMBER('Master Database'!$K272),N('Master Database'!$K272)&gt;=$H$9)),OR($I$9="",AND(ISNUMBER('Master Database'!$K272),N('Master Database'!$K272)&lt;=$I$9))),1,0))</f>
        <v>0</v>
      </c>
      <c r="BB272" t="str">
        <f>IF(BA272=1,COUNTIF($BA$5:BA272,1),"")</f>
        <v/>
      </c>
    </row>
    <row r="273" spans="53:54">
      <c r="BA273">
        <f>IF('Master Database'!$A273="",0,IF(AND(OR($B$5="",ISNUMBER(SEARCH($B$5,'Master Database'!$B273&amp;" "&amp;'Master Database'!$D273))),OR($B$6="(All)",'Master Database'!$C273=$B$6),OR($B$7="(All)",'Master Database'!$E273=$B$7),OR($B$8="(All)",'Master Database'!$T273=$B$8),OR($B$9="(All)",'Master Database'!$M273=$B$9),OR($B$10="(All)",'Master Database'!$V273=$B$10),OR($E$5="(All)",'Master Database'!$F273=$E$5),OR($E$6="(All)",'Master Database'!$G273=$E$6),OR($E$7="(All)",'Master Database'!$O273=$E$7),OR($E$8="(All)",'Master Database'!$P273=$E$8),OR($E$9="(All)",'Master Database'!$S273=$E$9),OR($E$10="(All)",'Master Database'!$Y273&amp;""=$E$10&amp;""),OR($H$5="(All)",'Master Database'!$BG273=$H$5),OR($H$6&lt;&gt;"Y",ISNUMBER('Master Database'!$AG273)),OR($H$7="",AND(ISNUMBER('Master Database'!$H273),N('Master Database'!$H273)&gt;=$H$7)),OR($I$7="",AND(ISNUMBER('Master Database'!$H273),N('Master Database'!$H273)&lt;=$I$7)),OR($H$8="",AND(ISNUMBER('Master Database'!$I273),N('Master Database'!$I273)&gt;=$H$8)),OR($I$8="",AND(ISNUMBER('Master Database'!$I273),N('Master Database'!$I273)&lt;=$I$8)),OR($H$9="",AND(ISNUMBER('Master Database'!$K273),N('Master Database'!$K273)&gt;=$H$9)),OR($I$9="",AND(ISNUMBER('Master Database'!$K273),N('Master Database'!$K273)&lt;=$I$9))),1,0))</f>
        <v>0</v>
      </c>
      <c r="BB273" t="str">
        <f>IF(BA273=1,COUNTIF($BA$5:BA273,1),"")</f>
        <v/>
      </c>
    </row>
    <row r="274" spans="53:54">
      <c r="BA274">
        <f>IF('Master Database'!$A274="",0,IF(AND(OR($B$5="",ISNUMBER(SEARCH($B$5,'Master Database'!$B274&amp;" "&amp;'Master Database'!$D274))),OR($B$6="(All)",'Master Database'!$C274=$B$6),OR($B$7="(All)",'Master Database'!$E274=$B$7),OR($B$8="(All)",'Master Database'!$T274=$B$8),OR($B$9="(All)",'Master Database'!$M274=$B$9),OR($B$10="(All)",'Master Database'!$V274=$B$10),OR($E$5="(All)",'Master Database'!$F274=$E$5),OR($E$6="(All)",'Master Database'!$G274=$E$6),OR($E$7="(All)",'Master Database'!$O274=$E$7),OR($E$8="(All)",'Master Database'!$P274=$E$8),OR($E$9="(All)",'Master Database'!$S274=$E$9),OR($E$10="(All)",'Master Database'!$Y274&amp;""=$E$10&amp;""),OR($H$5="(All)",'Master Database'!$BG274=$H$5),OR($H$6&lt;&gt;"Y",ISNUMBER('Master Database'!$AG274)),OR($H$7="",AND(ISNUMBER('Master Database'!$H274),N('Master Database'!$H274)&gt;=$H$7)),OR($I$7="",AND(ISNUMBER('Master Database'!$H274),N('Master Database'!$H274)&lt;=$I$7)),OR($H$8="",AND(ISNUMBER('Master Database'!$I274),N('Master Database'!$I274)&gt;=$H$8)),OR($I$8="",AND(ISNUMBER('Master Database'!$I274),N('Master Database'!$I274)&lt;=$I$8)),OR($H$9="",AND(ISNUMBER('Master Database'!$K274),N('Master Database'!$K274)&gt;=$H$9)),OR($I$9="",AND(ISNUMBER('Master Database'!$K274),N('Master Database'!$K274)&lt;=$I$9))),1,0))</f>
        <v>0</v>
      </c>
      <c r="BB274" t="str">
        <f>IF(BA274=1,COUNTIF($BA$5:BA274,1),"")</f>
        <v/>
      </c>
    </row>
    <row r="275" spans="53:54">
      <c r="BA275">
        <f>IF('Master Database'!$A275="",0,IF(AND(OR($B$5="",ISNUMBER(SEARCH($B$5,'Master Database'!$B275&amp;" "&amp;'Master Database'!$D275))),OR($B$6="(All)",'Master Database'!$C275=$B$6),OR($B$7="(All)",'Master Database'!$E275=$B$7),OR($B$8="(All)",'Master Database'!$T275=$B$8),OR($B$9="(All)",'Master Database'!$M275=$B$9),OR($B$10="(All)",'Master Database'!$V275=$B$10),OR($E$5="(All)",'Master Database'!$F275=$E$5),OR($E$6="(All)",'Master Database'!$G275=$E$6),OR($E$7="(All)",'Master Database'!$O275=$E$7),OR($E$8="(All)",'Master Database'!$P275=$E$8),OR($E$9="(All)",'Master Database'!$S275=$E$9),OR($E$10="(All)",'Master Database'!$Y275&amp;""=$E$10&amp;""),OR($H$5="(All)",'Master Database'!$BG275=$H$5),OR($H$6&lt;&gt;"Y",ISNUMBER('Master Database'!$AG275)),OR($H$7="",AND(ISNUMBER('Master Database'!$H275),N('Master Database'!$H275)&gt;=$H$7)),OR($I$7="",AND(ISNUMBER('Master Database'!$H275),N('Master Database'!$H275)&lt;=$I$7)),OR($H$8="",AND(ISNUMBER('Master Database'!$I275),N('Master Database'!$I275)&gt;=$H$8)),OR($I$8="",AND(ISNUMBER('Master Database'!$I275),N('Master Database'!$I275)&lt;=$I$8)),OR($H$9="",AND(ISNUMBER('Master Database'!$K275),N('Master Database'!$K275)&gt;=$H$9)),OR($I$9="",AND(ISNUMBER('Master Database'!$K275),N('Master Database'!$K275)&lt;=$I$9))),1,0))</f>
        <v>0</v>
      </c>
      <c r="BB275" t="str">
        <f>IF(BA275=1,COUNTIF($BA$5:BA275,1),"")</f>
        <v/>
      </c>
    </row>
    <row r="276" spans="53:54">
      <c r="BA276">
        <f>IF('Master Database'!$A276="",0,IF(AND(OR($B$5="",ISNUMBER(SEARCH($B$5,'Master Database'!$B276&amp;" "&amp;'Master Database'!$D276))),OR($B$6="(All)",'Master Database'!$C276=$B$6),OR($B$7="(All)",'Master Database'!$E276=$B$7),OR($B$8="(All)",'Master Database'!$T276=$B$8),OR($B$9="(All)",'Master Database'!$M276=$B$9),OR($B$10="(All)",'Master Database'!$V276=$B$10),OR($E$5="(All)",'Master Database'!$F276=$E$5),OR($E$6="(All)",'Master Database'!$G276=$E$6),OR($E$7="(All)",'Master Database'!$O276=$E$7),OR($E$8="(All)",'Master Database'!$P276=$E$8),OR($E$9="(All)",'Master Database'!$S276=$E$9),OR($E$10="(All)",'Master Database'!$Y276&amp;""=$E$10&amp;""),OR($H$5="(All)",'Master Database'!$BG276=$H$5),OR($H$6&lt;&gt;"Y",ISNUMBER('Master Database'!$AG276)),OR($H$7="",AND(ISNUMBER('Master Database'!$H276),N('Master Database'!$H276)&gt;=$H$7)),OR($I$7="",AND(ISNUMBER('Master Database'!$H276),N('Master Database'!$H276)&lt;=$I$7)),OR($H$8="",AND(ISNUMBER('Master Database'!$I276),N('Master Database'!$I276)&gt;=$H$8)),OR($I$8="",AND(ISNUMBER('Master Database'!$I276),N('Master Database'!$I276)&lt;=$I$8)),OR($H$9="",AND(ISNUMBER('Master Database'!$K276),N('Master Database'!$K276)&gt;=$H$9)),OR($I$9="",AND(ISNUMBER('Master Database'!$K276),N('Master Database'!$K276)&lt;=$I$9))),1,0))</f>
        <v>0</v>
      </c>
      <c r="BB276" t="str">
        <f>IF(BA276=1,COUNTIF($BA$5:BA276,1),"")</f>
        <v/>
      </c>
    </row>
    <row r="277" spans="53:54">
      <c r="BA277">
        <f>IF('Master Database'!$A277="",0,IF(AND(OR($B$5="",ISNUMBER(SEARCH($B$5,'Master Database'!$B277&amp;" "&amp;'Master Database'!$D277))),OR($B$6="(All)",'Master Database'!$C277=$B$6),OR($B$7="(All)",'Master Database'!$E277=$B$7),OR($B$8="(All)",'Master Database'!$T277=$B$8),OR($B$9="(All)",'Master Database'!$M277=$B$9),OR($B$10="(All)",'Master Database'!$V277=$B$10),OR($E$5="(All)",'Master Database'!$F277=$E$5),OR($E$6="(All)",'Master Database'!$G277=$E$6),OR($E$7="(All)",'Master Database'!$O277=$E$7),OR($E$8="(All)",'Master Database'!$P277=$E$8),OR($E$9="(All)",'Master Database'!$S277=$E$9),OR($E$10="(All)",'Master Database'!$Y277&amp;""=$E$10&amp;""),OR($H$5="(All)",'Master Database'!$BG277=$H$5),OR($H$6&lt;&gt;"Y",ISNUMBER('Master Database'!$AG277)),OR($H$7="",AND(ISNUMBER('Master Database'!$H277),N('Master Database'!$H277)&gt;=$H$7)),OR($I$7="",AND(ISNUMBER('Master Database'!$H277),N('Master Database'!$H277)&lt;=$I$7)),OR($H$8="",AND(ISNUMBER('Master Database'!$I277),N('Master Database'!$I277)&gt;=$H$8)),OR($I$8="",AND(ISNUMBER('Master Database'!$I277),N('Master Database'!$I277)&lt;=$I$8)),OR($H$9="",AND(ISNUMBER('Master Database'!$K277),N('Master Database'!$K277)&gt;=$H$9)),OR($I$9="",AND(ISNUMBER('Master Database'!$K277),N('Master Database'!$K277)&lt;=$I$9))),1,0))</f>
        <v>0</v>
      </c>
      <c r="BB277" t="str">
        <f>IF(BA277=1,COUNTIF($BA$5:BA277,1),"")</f>
        <v/>
      </c>
    </row>
    <row r="278" spans="53:54">
      <c r="BA278">
        <f>IF('Master Database'!$A278="",0,IF(AND(OR($B$5="",ISNUMBER(SEARCH($B$5,'Master Database'!$B278&amp;" "&amp;'Master Database'!$D278))),OR($B$6="(All)",'Master Database'!$C278=$B$6),OR($B$7="(All)",'Master Database'!$E278=$B$7),OR($B$8="(All)",'Master Database'!$T278=$B$8),OR($B$9="(All)",'Master Database'!$M278=$B$9),OR($B$10="(All)",'Master Database'!$V278=$B$10),OR($E$5="(All)",'Master Database'!$F278=$E$5),OR($E$6="(All)",'Master Database'!$G278=$E$6),OR($E$7="(All)",'Master Database'!$O278=$E$7),OR($E$8="(All)",'Master Database'!$P278=$E$8),OR($E$9="(All)",'Master Database'!$S278=$E$9),OR($E$10="(All)",'Master Database'!$Y278&amp;""=$E$10&amp;""),OR($H$5="(All)",'Master Database'!$BG278=$H$5),OR($H$6&lt;&gt;"Y",ISNUMBER('Master Database'!$AG278)),OR($H$7="",AND(ISNUMBER('Master Database'!$H278),N('Master Database'!$H278)&gt;=$H$7)),OR($I$7="",AND(ISNUMBER('Master Database'!$H278),N('Master Database'!$H278)&lt;=$I$7)),OR($H$8="",AND(ISNUMBER('Master Database'!$I278),N('Master Database'!$I278)&gt;=$H$8)),OR($I$8="",AND(ISNUMBER('Master Database'!$I278),N('Master Database'!$I278)&lt;=$I$8)),OR($H$9="",AND(ISNUMBER('Master Database'!$K278),N('Master Database'!$K278)&gt;=$H$9)),OR($I$9="",AND(ISNUMBER('Master Database'!$K278),N('Master Database'!$K278)&lt;=$I$9))),1,0))</f>
        <v>0</v>
      </c>
      <c r="BB278" t="str">
        <f>IF(BA278=1,COUNTIF($BA$5:BA278,1),"")</f>
        <v/>
      </c>
    </row>
    <row r="279" spans="53:54">
      <c r="BA279">
        <f>IF('Master Database'!$A279="",0,IF(AND(OR($B$5="",ISNUMBER(SEARCH($B$5,'Master Database'!$B279&amp;" "&amp;'Master Database'!$D279))),OR($B$6="(All)",'Master Database'!$C279=$B$6),OR($B$7="(All)",'Master Database'!$E279=$B$7),OR($B$8="(All)",'Master Database'!$T279=$B$8),OR($B$9="(All)",'Master Database'!$M279=$B$9),OR($B$10="(All)",'Master Database'!$V279=$B$10),OR($E$5="(All)",'Master Database'!$F279=$E$5),OR($E$6="(All)",'Master Database'!$G279=$E$6),OR($E$7="(All)",'Master Database'!$O279=$E$7),OR($E$8="(All)",'Master Database'!$P279=$E$8),OR($E$9="(All)",'Master Database'!$S279=$E$9),OR($E$10="(All)",'Master Database'!$Y279&amp;""=$E$10&amp;""),OR($H$5="(All)",'Master Database'!$BG279=$H$5),OR($H$6&lt;&gt;"Y",ISNUMBER('Master Database'!$AG279)),OR($H$7="",AND(ISNUMBER('Master Database'!$H279),N('Master Database'!$H279)&gt;=$H$7)),OR($I$7="",AND(ISNUMBER('Master Database'!$H279),N('Master Database'!$H279)&lt;=$I$7)),OR($H$8="",AND(ISNUMBER('Master Database'!$I279),N('Master Database'!$I279)&gt;=$H$8)),OR($I$8="",AND(ISNUMBER('Master Database'!$I279),N('Master Database'!$I279)&lt;=$I$8)),OR($H$9="",AND(ISNUMBER('Master Database'!$K279),N('Master Database'!$K279)&gt;=$H$9)),OR($I$9="",AND(ISNUMBER('Master Database'!$K279),N('Master Database'!$K279)&lt;=$I$9))),1,0))</f>
        <v>0</v>
      </c>
      <c r="BB279" t="str">
        <f>IF(BA279=1,COUNTIF($BA$5:BA279,1),"")</f>
        <v/>
      </c>
    </row>
    <row r="280" spans="53:54">
      <c r="BA280">
        <f>IF('Master Database'!$A280="",0,IF(AND(OR($B$5="",ISNUMBER(SEARCH($B$5,'Master Database'!$B280&amp;" "&amp;'Master Database'!$D280))),OR($B$6="(All)",'Master Database'!$C280=$B$6),OR($B$7="(All)",'Master Database'!$E280=$B$7),OR($B$8="(All)",'Master Database'!$T280=$B$8),OR($B$9="(All)",'Master Database'!$M280=$B$9),OR($B$10="(All)",'Master Database'!$V280=$B$10),OR($E$5="(All)",'Master Database'!$F280=$E$5),OR($E$6="(All)",'Master Database'!$G280=$E$6),OR($E$7="(All)",'Master Database'!$O280=$E$7),OR($E$8="(All)",'Master Database'!$P280=$E$8),OR($E$9="(All)",'Master Database'!$S280=$E$9),OR($E$10="(All)",'Master Database'!$Y280&amp;""=$E$10&amp;""),OR($H$5="(All)",'Master Database'!$BG280=$H$5),OR($H$6&lt;&gt;"Y",ISNUMBER('Master Database'!$AG280)),OR($H$7="",AND(ISNUMBER('Master Database'!$H280),N('Master Database'!$H280)&gt;=$H$7)),OR($I$7="",AND(ISNUMBER('Master Database'!$H280),N('Master Database'!$H280)&lt;=$I$7)),OR($H$8="",AND(ISNUMBER('Master Database'!$I280),N('Master Database'!$I280)&gt;=$H$8)),OR($I$8="",AND(ISNUMBER('Master Database'!$I280),N('Master Database'!$I280)&lt;=$I$8)),OR($H$9="",AND(ISNUMBER('Master Database'!$K280),N('Master Database'!$K280)&gt;=$H$9)),OR($I$9="",AND(ISNUMBER('Master Database'!$K280),N('Master Database'!$K280)&lt;=$I$9))),1,0))</f>
        <v>0</v>
      </c>
      <c r="BB280" t="str">
        <f>IF(BA280=1,COUNTIF($BA$5:BA280,1),"")</f>
        <v/>
      </c>
    </row>
    <row r="281" spans="53:54">
      <c r="BA281">
        <f>IF('Master Database'!$A281="",0,IF(AND(OR($B$5="",ISNUMBER(SEARCH($B$5,'Master Database'!$B281&amp;" "&amp;'Master Database'!$D281))),OR($B$6="(All)",'Master Database'!$C281=$B$6),OR($B$7="(All)",'Master Database'!$E281=$B$7),OR($B$8="(All)",'Master Database'!$T281=$B$8),OR($B$9="(All)",'Master Database'!$M281=$B$9),OR($B$10="(All)",'Master Database'!$V281=$B$10),OR($E$5="(All)",'Master Database'!$F281=$E$5),OR($E$6="(All)",'Master Database'!$G281=$E$6),OR($E$7="(All)",'Master Database'!$O281=$E$7),OR($E$8="(All)",'Master Database'!$P281=$E$8),OR($E$9="(All)",'Master Database'!$S281=$E$9),OR($E$10="(All)",'Master Database'!$Y281&amp;""=$E$10&amp;""),OR($H$5="(All)",'Master Database'!$BG281=$H$5),OR($H$6&lt;&gt;"Y",ISNUMBER('Master Database'!$AG281)),OR($H$7="",AND(ISNUMBER('Master Database'!$H281),N('Master Database'!$H281)&gt;=$H$7)),OR($I$7="",AND(ISNUMBER('Master Database'!$H281),N('Master Database'!$H281)&lt;=$I$7)),OR($H$8="",AND(ISNUMBER('Master Database'!$I281),N('Master Database'!$I281)&gt;=$H$8)),OR($I$8="",AND(ISNUMBER('Master Database'!$I281),N('Master Database'!$I281)&lt;=$I$8)),OR($H$9="",AND(ISNUMBER('Master Database'!$K281),N('Master Database'!$K281)&gt;=$H$9)),OR($I$9="",AND(ISNUMBER('Master Database'!$K281),N('Master Database'!$K281)&lt;=$I$9))),1,0))</f>
        <v>0</v>
      </c>
      <c r="BB281" t="str">
        <f>IF(BA281=1,COUNTIF($BA$5:BA281,1),"")</f>
        <v/>
      </c>
    </row>
    <row r="282" spans="53:54">
      <c r="BA282">
        <f>IF('Master Database'!$A282="",0,IF(AND(OR($B$5="",ISNUMBER(SEARCH($B$5,'Master Database'!$B282&amp;" "&amp;'Master Database'!$D282))),OR($B$6="(All)",'Master Database'!$C282=$B$6),OR($B$7="(All)",'Master Database'!$E282=$B$7),OR($B$8="(All)",'Master Database'!$T282=$B$8),OR($B$9="(All)",'Master Database'!$M282=$B$9),OR($B$10="(All)",'Master Database'!$V282=$B$10),OR($E$5="(All)",'Master Database'!$F282=$E$5),OR($E$6="(All)",'Master Database'!$G282=$E$6),OR($E$7="(All)",'Master Database'!$O282=$E$7),OR($E$8="(All)",'Master Database'!$P282=$E$8),OR($E$9="(All)",'Master Database'!$S282=$E$9),OR($E$10="(All)",'Master Database'!$Y282&amp;""=$E$10&amp;""),OR($H$5="(All)",'Master Database'!$BG282=$H$5),OR($H$6&lt;&gt;"Y",ISNUMBER('Master Database'!$AG282)),OR($H$7="",AND(ISNUMBER('Master Database'!$H282),N('Master Database'!$H282)&gt;=$H$7)),OR($I$7="",AND(ISNUMBER('Master Database'!$H282),N('Master Database'!$H282)&lt;=$I$7)),OR($H$8="",AND(ISNUMBER('Master Database'!$I282),N('Master Database'!$I282)&gt;=$H$8)),OR($I$8="",AND(ISNUMBER('Master Database'!$I282),N('Master Database'!$I282)&lt;=$I$8)),OR($H$9="",AND(ISNUMBER('Master Database'!$K282),N('Master Database'!$K282)&gt;=$H$9)),OR($I$9="",AND(ISNUMBER('Master Database'!$K282),N('Master Database'!$K282)&lt;=$I$9))),1,0))</f>
        <v>0</v>
      </c>
      <c r="BB282" t="str">
        <f>IF(BA282=1,COUNTIF($BA$5:BA282,1),"")</f>
        <v/>
      </c>
    </row>
    <row r="283" spans="53:54">
      <c r="BA283">
        <f>IF('Master Database'!$A283="",0,IF(AND(OR($B$5="",ISNUMBER(SEARCH($B$5,'Master Database'!$B283&amp;" "&amp;'Master Database'!$D283))),OR($B$6="(All)",'Master Database'!$C283=$B$6),OR($B$7="(All)",'Master Database'!$E283=$B$7),OR($B$8="(All)",'Master Database'!$T283=$B$8),OR($B$9="(All)",'Master Database'!$M283=$B$9),OR($B$10="(All)",'Master Database'!$V283=$B$10),OR($E$5="(All)",'Master Database'!$F283=$E$5),OR($E$6="(All)",'Master Database'!$G283=$E$6),OR($E$7="(All)",'Master Database'!$O283=$E$7),OR($E$8="(All)",'Master Database'!$P283=$E$8),OR($E$9="(All)",'Master Database'!$S283=$E$9),OR($E$10="(All)",'Master Database'!$Y283&amp;""=$E$10&amp;""),OR($H$5="(All)",'Master Database'!$BG283=$H$5),OR($H$6&lt;&gt;"Y",ISNUMBER('Master Database'!$AG283)),OR($H$7="",AND(ISNUMBER('Master Database'!$H283),N('Master Database'!$H283)&gt;=$H$7)),OR($I$7="",AND(ISNUMBER('Master Database'!$H283),N('Master Database'!$H283)&lt;=$I$7)),OR($H$8="",AND(ISNUMBER('Master Database'!$I283),N('Master Database'!$I283)&gt;=$H$8)),OR($I$8="",AND(ISNUMBER('Master Database'!$I283),N('Master Database'!$I283)&lt;=$I$8)),OR($H$9="",AND(ISNUMBER('Master Database'!$K283),N('Master Database'!$K283)&gt;=$H$9)),OR($I$9="",AND(ISNUMBER('Master Database'!$K283),N('Master Database'!$K283)&lt;=$I$9))),1,0))</f>
        <v>0</v>
      </c>
      <c r="BB283" t="str">
        <f>IF(BA283=1,COUNTIF($BA$5:BA283,1),"")</f>
        <v/>
      </c>
    </row>
    <row r="284" spans="53:54">
      <c r="BA284">
        <f>IF('Master Database'!$A284="",0,IF(AND(OR($B$5="",ISNUMBER(SEARCH($B$5,'Master Database'!$B284&amp;" "&amp;'Master Database'!$D284))),OR($B$6="(All)",'Master Database'!$C284=$B$6),OR($B$7="(All)",'Master Database'!$E284=$B$7),OR($B$8="(All)",'Master Database'!$T284=$B$8),OR($B$9="(All)",'Master Database'!$M284=$B$9),OR($B$10="(All)",'Master Database'!$V284=$B$10),OR($E$5="(All)",'Master Database'!$F284=$E$5),OR($E$6="(All)",'Master Database'!$G284=$E$6),OR($E$7="(All)",'Master Database'!$O284=$E$7),OR($E$8="(All)",'Master Database'!$P284=$E$8),OR($E$9="(All)",'Master Database'!$S284=$E$9),OR($E$10="(All)",'Master Database'!$Y284&amp;""=$E$10&amp;""),OR($H$5="(All)",'Master Database'!$BG284=$H$5),OR($H$6&lt;&gt;"Y",ISNUMBER('Master Database'!$AG284)),OR($H$7="",AND(ISNUMBER('Master Database'!$H284),N('Master Database'!$H284)&gt;=$H$7)),OR($I$7="",AND(ISNUMBER('Master Database'!$H284),N('Master Database'!$H284)&lt;=$I$7)),OR($H$8="",AND(ISNUMBER('Master Database'!$I284),N('Master Database'!$I284)&gt;=$H$8)),OR($I$8="",AND(ISNUMBER('Master Database'!$I284),N('Master Database'!$I284)&lt;=$I$8)),OR($H$9="",AND(ISNUMBER('Master Database'!$K284),N('Master Database'!$K284)&gt;=$H$9)),OR($I$9="",AND(ISNUMBER('Master Database'!$K284),N('Master Database'!$K284)&lt;=$I$9))),1,0))</f>
        <v>0</v>
      </c>
      <c r="BB284" t="str">
        <f>IF(BA284=1,COUNTIF($BA$5:BA284,1),"")</f>
        <v/>
      </c>
    </row>
    <row r="285" spans="53:54">
      <c r="BA285">
        <f>IF('Master Database'!$A285="",0,IF(AND(OR($B$5="",ISNUMBER(SEARCH($B$5,'Master Database'!$B285&amp;" "&amp;'Master Database'!$D285))),OR($B$6="(All)",'Master Database'!$C285=$B$6),OR($B$7="(All)",'Master Database'!$E285=$B$7),OR($B$8="(All)",'Master Database'!$T285=$B$8),OR($B$9="(All)",'Master Database'!$M285=$B$9),OR($B$10="(All)",'Master Database'!$V285=$B$10),OR($E$5="(All)",'Master Database'!$F285=$E$5),OR($E$6="(All)",'Master Database'!$G285=$E$6),OR($E$7="(All)",'Master Database'!$O285=$E$7),OR($E$8="(All)",'Master Database'!$P285=$E$8),OR($E$9="(All)",'Master Database'!$S285=$E$9),OR($E$10="(All)",'Master Database'!$Y285&amp;""=$E$10&amp;""),OR($H$5="(All)",'Master Database'!$BG285=$H$5),OR($H$6&lt;&gt;"Y",ISNUMBER('Master Database'!$AG285)),OR($H$7="",AND(ISNUMBER('Master Database'!$H285),N('Master Database'!$H285)&gt;=$H$7)),OR($I$7="",AND(ISNUMBER('Master Database'!$H285),N('Master Database'!$H285)&lt;=$I$7)),OR($H$8="",AND(ISNUMBER('Master Database'!$I285),N('Master Database'!$I285)&gt;=$H$8)),OR($I$8="",AND(ISNUMBER('Master Database'!$I285),N('Master Database'!$I285)&lt;=$I$8)),OR($H$9="",AND(ISNUMBER('Master Database'!$K285),N('Master Database'!$K285)&gt;=$H$9)),OR($I$9="",AND(ISNUMBER('Master Database'!$K285),N('Master Database'!$K285)&lt;=$I$9))),1,0))</f>
        <v>0</v>
      </c>
      <c r="BB285" t="str">
        <f>IF(BA285=1,COUNTIF($BA$5:BA285,1),"")</f>
        <v/>
      </c>
    </row>
    <row r="286" spans="53:54">
      <c r="BA286">
        <f>IF('Master Database'!$A286="",0,IF(AND(OR($B$5="",ISNUMBER(SEARCH($B$5,'Master Database'!$B286&amp;" "&amp;'Master Database'!$D286))),OR($B$6="(All)",'Master Database'!$C286=$B$6),OR($B$7="(All)",'Master Database'!$E286=$B$7),OR($B$8="(All)",'Master Database'!$T286=$B$8),OR($B$9="(All)",'Master Database'!$M286=$B$9),OR($B$10="(All)",'Master Database'!$V286=$B$10),OR($E$5="(All)",'Master Database'!$F286=$E$5),OR($E$6="(All)",'Master Database'!$G286=$E$6),OR($E$7="(All)",'Master Database'!$O286=$E$7),OR($E$8="(All)",'Master Database'!$P286=$E$8),OR($E$9="(All)",'Master Database'!$S286=$E$9),OR($E$10="(All)",'Master Database'!$Y286&amp;""=$E$10&amp;""),OR($H$5="(All)",'Master Database'!$BG286=$H$5),OR($H$6&lt;&gt;"Y",ISNUMBER('Master Database'!$AG286)),OR($H$7="",AND(ISNUMBER('Master Database'!$H286),N('Master Database'!$H286)&gt;=$H$7)),OR($I$7="",AND(ISNUMBER('Master Database'!$H286),N('Master Database'!$H286)&lt;=$I$7)),OR($H$8="",AND(ISNUMBER('Master Database'!$I286),N('Master Database'!$I286)&gt;=$H$8)),OR($I$8="",AND(ISNUMBER('Master Database'!$I286),N('Master Database'!$I286)&lt;=$I$8)),OR($H$9="",AND(ISNUMBER('Master Database'!$K286),N('Master Database'!$K286)&gt;=$H$9)),OR($I$9="",AND(ISNUMBER('Master Database'!$K286),N('Master Database'!$K286)&lt;=$I$9))),1,0))</f>
        <v>0</v>
      </c>
      <c r="BB286" t="str">
        <f>IF(BA286=1,COUNTIF($BA$5:BA286,1),"")</f>
        <v/>
      </c>
    </row>
    <row r="287" spans="53:54">
      <c r="BA287">
        <f>IF('Master Database'!$A287="",0,IF(AND(OR($B$5="",ISNUMBER(SEARCH($B$5,'Master Database'!$B287&amp;" "&amp;'Master Database'!$D287))),OR($B$6="(All)",'Master Database'!$C287=$B$6),OR($B$7="(All)",'Master Database'!$E287=$B$7),OR($B$8="(All)",'Master Database'!$T287=$B$8),OR($B$9="(All)",'Master Database'!$M287=$B$9),OR($B$10="(All)",'Master Database'!$V287=$B$10),OR($E$5="(All)",'Master Database'!$F287=$E$5),OR($E$6="(All)",'Master Database'!$G287=$E$6),OR($E$7="(All)",'Master Database'!$O287=$E$7),OR($E$8="(All)",'Master Database'!$P287=$E$8),OR($E$9="(All)",'Master Database'!$S287=$E$9),OR($E$10="(All)",'Master Database'!$Y287&amp;""=$E$10&amp;""),OR($H$5="(All)",'Master Database'!$BG287=$H$5),OR($H$6&lt;&gt;"Y",ISNUMBER('Master Database'!$AG287)),OR($H$7="",AND(ISNUMBER('Master Database'!$H287),N('Master Database'!$H287)&gt;=$H$7)),OR($I$7="",AND(ISNUMBER('Master Database'!$H287),N('Master Database'!$H287)&lt;=$I$7)),OR($H$8="",AND(ISNUMBER('Master Database'!$I287),N('Master Database'!$I287)&gt;=$H$8)),OR($I$8="",AND(ISNUMBER('Master Database'!$I287),N('Master Database'!$I287)&lt;=$I$8)),OR($H$9="",AND(ISNUMBER('Master Database'!$K287),N('Master Database'!$K287)&gt;=$H$9)),OR($I$9="",AND(ISNUMBER('Master Database'!$K287),N('Master Database'!$K287)&lt;=$I$9))),1,0))</f>
        <v>0</v>
      </c>
      <c r="BB287" t="str">
        <f>IF(BA287=1,COUNTIF($BA$5:BA287,1),"")</f>
        <v/>
      </c>
    </row>
    <row r="288" spans="53:54">
      <c r="BA288">
        <f>IF('Master Database'!$A288="",0,IF(AND(OR($B$5="",ISNUMBER(SEARCH($B$5,'Master Database'!$B288&amp;" "&amp;'Master Database'!$D288))),OR($B$6="(All)",'Master Database'!$C288=$B$6),OR($B$7="(All)",'Master Database'!$E288=$B$7),OR($B$8="(All)",'Master Database'!$T288=$B$8),OR($B$9="(All)",'Master Database'!$M288=$B$9),OR($B$10="(All)",'Master Database'!$V288=$B$10),OR($E$5="(All)",'Master Database'!$F288=$E$5),OR($E$6="(All)",'Master Database'!$G288=$E$6),OR($E$7="(All)",'Master Database'!$O288=$E$7),OR($E$8="(All)",'Master Database'!$P288=$E$8),OR($E$9="(All)",'Master Database'!$S288=$E$9),OR($E$10="(All)",'Master Database'!$Y288&amp;""=$E$10&amp;""),OR($H$5="(All)",'Master Database'!$BG288=$H$5),OR($H$6&lt;&gt;"Y",ISNUMBER('Master Database'!$AG288)),OR($H$7="",AND(ISNUMBER('Master Database'!$H288),N('Master Database'!$H288)&gt;=$H$7)),OR($I$7="",AND(ISNUMBER('Master Database'!$H288),N('Master Database'!$H288)&lt;=$I$7)),OR($H$8="",AND(ISNUMBER('Master Database'!$I288),N('Master Database'!$I288)&gt;=$H$8)),OR($I$8="",AND(ISNUMBER('Master Database'!$I288),N('Master Database'!$I288)&lt;=$I$8)),OR($H$9="",AND(ISNUMBER('Master Database'!$K288),N('Master Database'!$K288)&gt;=$H$9)),OR($I$9="",AND(ISNUMBER('Master Database'!$K288),N('Master Database'!$K288)&lt;=$I$9))),1,0))</f>
        <v>0</v>
      </c>
      <c r="BB288" t="str">
        <f>IF(BA288=1,COUNTIF($BA$5:BA288,1),"")</f>
        <v/>
      </c>
    </row>
    <row r="289" spans="53:54">
      <c r="BA289">
        <f>IF('Master Database'!$A289="",0,IF(AND(OR($B$5="",ISNUMBER(SEARCH($B$5,'Master Database'!$B289&amp;" "&amp;'Master Database'!$D289))),OR($B$6="(All)",'Master Database'!$C289=$B$6),OR($B$7="(All)",'Master Database'!$E289=$B$7),OR($B$8="(All)",'Master Database'!$T289=$B$8),OR($B$9="(All)",'Master Database'!$M289=$B$9),OR($B$10="(All)",'Master Database'!$V289=$B$10),OR($E$5="(All)",'Master Database'!$F289=$E$5),OR($E$6="(All)",'Master Database'!$G289=$E$6),OR($E$7="(All)",'Master Database'!$O289=$E$7),OR($E$8="(All)",'Master Database'!$P289=$E$8),OR($E$9="(All)",'Master Database'!$S289=$E$9),OR($E$10="(All)",'Master Database'!$Y289&amp;""=$E$10&amp;""),OR($H$5="(All)",'Master Database'!$BG289=$H$5),OR($H$6&lt;&gt;"Y",ISNUMBER('Master Database'!$AG289)),OR($H$7="",AND(ISNUMBER('Master Database'!$H289),N('Master Database'!$H289)&gt;=$H$7)),OR($I$7="",AND(ISNUMBER('Master Database'!$H289),N('Master Database'!$H289)&lt;=$I$7)),OR($H$8="",AND(ISNUMBER('Master Database'!$I289),N('Master Database'!$I289)&gt;=$H$8)),OR($I$8="",AND(ISNUMBER('Master Database'!$I289),N('Master Database'!$I289)&lt;=$I$8)),OR($H$9="",AND(ISNUMBER('Master Database'!$K289),N('Master Database'!$K289)&gt;=$H$9)),OR($I$9="",AND(ISNUMBER('Master Database'!$K289),N('Master Database'!$K289)&lt;=$I$9))),1,0))</f>
        <v>0</v>
      </c>
      <c r="BB289" t="str">
        <f>IF(BA289=1,COUNTIF($BA$5:BA289,1),"")</f>
        <v/>
      </c>
    </row>
    <row r="290" spans="53:54">
      <c r="BA290">
        <f>IF('Master Database'!$A290="",0,IF(AND(OR($B$5="",ISNUMBER(SEARCH($B$5,'Master Database'!$B290&amp;" "&amp;'Master Database'!$D290))),OR($B$6="(All)",'Master Database'!$C290=$B$6),OR($B$7="(All)",'Master Database'!$E290=$B$7),OR($B$8="(All)",'Master Database'!$T290=$B$8),OR($B$9="(All)",'Master Database'!$M290=$B$9),OR($B$10="(All)",'Master Database'!$V290=$B$10),OR($E$5="(All)",'Master Database'!$F290=$E$5),OR($E$6="(All)",'Master Database'!$G290=$E$6),OR($E$7="(All)",'Master Database'!$O290=$E$7),OR($E$8="(All)",'Master Database'!$P290=$E$8),OR($E$9="(All)",'Master Database'!$S290=$E$9),OR($E$10="(All)",'Master Database'!$Y290&amp;""=$E$10&amp;""),OR($H$5="(All)",'Master Database'!$BG290=$H$5),OR($H$6&lt;&gt;"Y",ISNUMBER('Master Database'!$AG290)),OR($H$7="",AND(ISNUMBER('Master Database'!$H290),N('Master Database'!$H290)&gt;=$H$7)),OR($I$7="",AND(ISNUMBER('Master Database'!$H290),N('Master Database'!$H290)&lt;=$I$7)),OR($H$8="",AND(ISNUMBER('Master Database'!$I290),N('Master Database'!$I290)&gt;=$H$8)),OR($I$8="",AND(ISNUMBER('Master Database'!$I290),N('Master Database'!$I290)&lt;=$I$8)),OR($H$9="",AND(ISNUMBER('Master Database'!$K290),N('Master Database'!$K290)&gt;=$H$9)),OR($I$9="",AND(ISNUMBER('Master Database'!$K290),N('Master Database'!$K290)&lt;=$I$9))),1,0))</f>
        <v>0</v>
      </c>
      <c r="BB290" t="str">
        <f>IF(BA290=1,COUNTIF($BA$5:BA290,1),"")</f>
        <v/>
      </c>
    </row>
    <row r="291" spans="53:54">
      <c r="BA291">
        <f>IF('Master Database'!$A291="",0,IF(AND(OR($B$5="",ISNUMBER(SEARCH($B$5,'Master Database'!$B291&amp;" "&amp;'Master Database'!$D291))),OR($B$6="(All)",'Master Database'!$C291=$B$6),OR($B$7="(All)",'Master Database'!$E291=$B$7),OR($B$8="(All)",'Master Database'!$T291=$B$8),OR($B$9="(All)",'Master Database'!$M291=$B$9),OR($B$10="(All)",'Master Database'!$V291=$B$10),OR($E$5="(All)",'Master Database'!$F291=$E$5),OR($E$6="(All)",'Master Database'!$G291=$E$6),OR($E$7="(All)",'Master Database'!$O291=$E$7),OR($E$8="(All)",'Master Database'!$P291=$E$8),OR($E$9="(All)",'Master Database'!$S291=$E$9),OR($E$10="(All)",'Master Database'!$Y291&amp;""=$E$10&amp;""),OR($H$5="(All)",'Master Database'!$BG291=$H$5),OR($H$6&lt;&gt;"Y",ISNUMBER('Master Database'!$AG291)),OR($H$7="",AND(ISNUMBER('Master Database'!$H291),N('Master Database'!$H291)&gt;=$H$7)),OR($I$7="",AND(ISNUMBER('Master Database'!$H291),N('Master Database'!$H291)&lt;=$I$7)),OR($H$8="",AND(ISNUMBER('Master Database'!$I291),N('Master Database'!$I291)&gt;=$H$8)),OR($I$8="",AND(ISNUMBER('Master Database'!$I291),N('Master Database'!$I291)&lt;=$I$8)),OR($H$9="",AND(ISNUMBER('Master Database'!$K291),N('Master Database'!$K291)&gt;=$H$9)),OR($I$9="",AND(ISNUMBER('Master Database'!$K291),N('Master Database'!$K291)&lt;=$I$9))),1,0))</f>
        <v>0</v>
      </c>
      <c r="BB291" t="str">
        <f>IF(BA291=1,COUNTIF($BA$5:BA291,1),"")</f>
        <v/>
      </c>
    </row>
    <row r="292" spans="53:54">
      <c r="BA292">
        <f>IF('Master Database'!$A292="",0,IF(AND(OR($B$5="",ISNUMBER(SEARCH($B$5,'Master Database'!$B292&amp;" "&amp;'Master Database'!$D292))),OR($B$6="(All)",'Master Database'!$C292=$B$6),OR($B$7="(All)",'Master Database'!$E292=$B$7),OR($B$8="(All)",'Master Database'!$T292=$B$8),OR($B$9="(All)",'Master Database'!$M292=$B$9),OR($B$10="(All)",'Master Database'!$V292=$B$10),OR($E$5="(All)",'Master Database'!$F292=$E$5),OR($E$6="(All)",'Master Database'!$G292=$E$6),OR($E$7="(All)",'Master Database'!$O292=$E$7),OR($E$8="(All)",'Master Database'!$P292=$E$8),OR($E$9="(All)",'Master Database'!$S292=$E$9),OR($E$10="(All)",'Master Database'!$Y292&amp;""=$E$10&amp;""),OR($H$5="(All)",'Master Database'!$BG292=$H$5),OR($H$6&lt;&gt;"Y",ISNUMBER('Master Database'!$AG292)),OR($H$7="",AND(ISNUMBER('Master Database'!$H292),N('Master Database'!$H292)&gt;=$H$7)),OR($I$7="",AND(ISNUMBER('Master Database'!$H292),N('Master Database'!$H292)&lt;=$I$7)),OR($H$8="",AND(ISNUMBER('Master Database'!$I292),N('Master Database'!$I292)&gt;=$H$8)),OR($I$8="",AND(ISNUMBER('Master Database'!$I292),N('Master Database'!$I292)&lt;=$I$8)),OR($H$9="",AND(ISNUMBER('Master Database'!$K292),N('Master Database'!$K292)&gt;=$H$9)),OR($I$9="",AND(ISNUMBER('Master Database'!$K292),N('Master Database'!$K292)&lt;=$I$9))),1,0))</f>
        <v>0</v>
      </c>
      <c r="BB292" t="str">
        <f>IF(BA292=1,COUNTIF($BA$5:BA292,1),"")</f>
        <v/>
      </c>
    </row>
    <row r="293" spans="53:54">
      <c r="BA293">
        <f>IF('Master Database'!$A293="",0,IF(AND(OR($B$5="",ISNUMBER(SEARCH($B$5,'Master Database'!$B293&amp;" "&amp;'Master Database'!$D293))),OR($B$6="(All)",'Master Database'!$C293=$B$6),OR($B$7="(All)",'Master Database'!$E293=$B$7),OR($B$8="(All)",'Master Database'!$T293=$B$8),OR($B$9="(All)",'Master Database'!$M293=$B$9),OR($B$10="(All)",'Master Database'!$V293=$B$10),OR($E$5="(All)",'Master Database'!$F293=$E$5),OR($E$6="(All)",'Master Database'!$G293=$E$6),OR($E$7="(All)",'Master Database'!$O293=$E$7),OR($E$8="(All)",'Master Database'!$P293=$E$8),OR($E$9="(All)",'Master Database'!$S293=$E$9),OR($E$10="(All)",'Master Database'!$Y293&amp;""=$E$10&amp;""),OR($H$5="(All)",'Master Database'!$BG293=$H$5),OR($H$6&lt;&gt;"Y",ISNUMBER('Master Database'!$AG293)),OR($H$7="",AND(ISNUMBER('Master Database'!$H293),N('Master Database'!$H293)&gt;=$H$7)),OR($I$7="",AND(ISNUMBER('Master Database'!$H293),N('Master Database'!$H293)&lt;=$I$7)),OR($H$8="",AND(ISNUMBER('Master Database'!$I293),N('Master Database'!$I293)&gt;=$H$8)),OR($I$8="",AND(ISNUMBER('Master Database'!$I293),N('Master Database'!$I293)&lt;=$I$8)),OR($H$9="",AND(ISNUMBER('Master Database'!$K293),N('Master Database'!$K293)&gt;=$H$9)),OR($I$9="",AND(ISNUMBER('Master Database'!$K293),N('Master Database'!$K293)&lt;=$I$9))),1,0))</f>
        <v>0</v>
      </c>
      <c r="BB293" t="str">
        <f>IF(BA293=1,COUNTIF($BA$5:BA293,1),"")</f>
        <v/>
      </c>
    </row>
    <row r="294" spans="53:54">
      <c r="BA294">
        <f>IF('Master Database'!$A294="",0,IF(AND(OR($B$5="",ISNUMBER(SEARCH($B$5,'Master Database'!$B294&amp;" "&amp;'Master Database'!$D294))),OR($B$6="(All)",'Master Database'!$C294=$B$6),OR($B$7="(All)",'Master Database'!$E294=$B$7),OR($B$8="(All)",'Master Database'!$T294=$B$8),OR($B$9="(All)",'Master Database'!$M294=$B$9),OR($B$10="(All)",'Master Database'!$V294=$B$10),OR($E$5="(All)",'Master Database'!$F294=$E$5),OR($E$6="(All)",'Master Database'!$G294=$E$6),OR($E$7="(All)",'Master Database'!$O294=$E$7),OR($E$8="(All)",'Master Database'!$P294=$E$8),OR($E$9="(All)",'Master Database'!$S294=$E$9),OR($E$10="(All)",'Master Database'!$Y294&amp;""=$E$10&amp;""),OR($H$5="(All)",'Master Database'!$BG294=$H$5),OR($H$6&lt;&gt;"Y",ISNUMBER('Master Database'!$AG294)),OR($H$7="",AND(ISNUMBER('Master Database'!$H294),N('Master Database'!$H294)&gt;=$H$7)),OR($I$7="",AND(ISNUMBER('Master Database'!$H294),N('Master Database'!$H294)&lt;=$I$7)),OR($H$8="",AND(ISNUMBER('Master Database'!$I294),N('Master Database'!$I294)&gt;=$H$8)),OR($I$8="",AND(ISNUMBER('Master Database'!$I294),N('Master Database'!$I294)&lt;=$I$8)),OR($H$9="",AND(ISNUMBER('Master Database'!$K294),N('Master Database'!$K294)&gt;=$H$9)),OR($I$9="",AND(ISNUMBER('Master Database'!$K294),N('Master Database'!$K294)&lt;=$I$9))),1,0))</f>
        <v>0</v>
      </c>
      <c r="BB294" t="str">
        <f>IF(BA294=1,COUNTIF($BA$5:BA294,1),"")</f>
        <v/>
      </c>
    </row>
    <row r="295" spans="53:54">
      <c r="BA295">
        <f>IF('Master Database'!$A295="",0,IF(AND(OR($B$5="",ISNUMBER(SEARCH($B$5,'Master Database'!$B295&amp;" "&amp;'Master Database'!$D295))),OR($B$6="(All)",'Master Database'!$C295=$B$6),OR($B$7="(All)",'Master Database'!$E295=$B$7),OR($B$8="(All)",'Master Database'!$T295=$B$8),OR($B$9="(All)",'Master Database'!$M295=$B$9),OR($B$10="(All)",'Master Database'!$V295=$B$10),OR($E$5="(All)",'Master Database'!$F295=$E$5),OR($E$6="(All)",'Master Database'!$G295=$E$6),OR($E$7="(All)",'Master Database'!$O295=$E$7),OR($E$8="(All)",'Master Database'!$P295=$E$8),OR($E$9="(All)",'Master Database'!$S295=$E$9),OR($E$10="(All)",'Master Database'!$Y295&amp;""=$E$10&amp;""),OR($H$5="(All)",'Master Database'!$BG295=$H$5),OR($H$6&lt;&gt;"Y",ISNUMBER('Master Database'!$AG295)),OR($H$7="",AND(ISNUMBER('Master Database'!$H295),N('Master Database'!$H295)&gt;=$H$7)),OR($I$7="",AND(ISNUMBER('Master Database'!$H295),N('Master Database'!$H295)&lt;=$I$7)),OR($H$8="",AND(ISNUMBER('Master Database'!$I295),N('Master Database'!$I295)&gt;=$H$8)),OR($I$8="",AND(ISNUMBER('Master Database'!$I295),N('Master Database'!$I295)&lt;=$I$8)),OR($H$9="",AND(ISNUMBER('Master Database'!$K295),N('Master Database'!$K295)&gt;=$H$9)),OR($I$9="",AND(ISNUMBER('Master Database'!$K295),N('Master Database'!$K295)&lt;=$I$9))),1,0))</f>
        <v>0</v>
      </c>
      <c r="BB295" t="str">
        <f>IF(BA295=1,COUNTIF($BA$5:BA295,1),"")</f>
        <v/>
      </c>
    </row>
    <row r="296" spans="53:54">
      <c r="BA296">
        <f>IF('Master Database'!$A296="",0,IF(AND(OR($B$5="",ISNUMBER(SEARCH($B$5,'Master Database'!$B296&amp;" "&amp;'Master Database'!$D296))),OR($B$6="(All)",'Master Database'!$C296=$B$6),OR($B$7="(All)",'Master Database'!$E296=$B$7),OR($B$8="(All)",'Master Database'!$T296=$B$8),OR($B$9="(All)",'Master Database'!$M296=$B$9),OR($B$10="(All)",'Master Database'!$V296=$B$10),OR($E$5="(All)",'Master Database'!$F296=$E$5),OR($E$6="(All)",'Master Database'!$G296=$E$6),OR($E$7="(All)",'Master Database'!$O296=$E$7),OR($E$8="(All)",'Master Database'!$P296=$E$8),OR($E$9="(All)",'Master Database'!$S296=$E$9),OR($E$10="(All)",'Master Database'!$Y296&amp;""=$E$10&amp;""),OR($H$5="(All)",'Master Database'!$BG296=$H$5),OR($H$6&lt;&gt;"Y",ISNUMBER('Master Database'!$AG296)),OR($H$7="",AND(ISNUMBER('Master Database'!$H296),N('Master Database'!$H296)&gt;=$H$7)),OR($I$7="",AND(ISNUMBER('Master Database'!$H296),N('Master Database'!$H296)&lt;=$I$7)),OR($H$8="",AND(ISNUMBER('Master Database'!$I296),N('Master Database'!$I296)&gt;=$H$8)),OR($I$8="",AND(ISNUMBER('Master Database'!$I296),N('Master Database'!$I296)&lt;=$I$8)),OR($H$9="",AND(ISNUMBER('Master Database'!$K296),N('Master Database'!$K296)&gt;=$H$9)),OR($I$9="",AND(ISNUMBER('Master Database'!$K296),N('Master Database'!$K296)&lt;=$I$9))),1,0))</f>
        <v>0</v>
      </c>
      <c r="BB296" t="str">
        <f>IF(BA296=1,COUNTIF($BA$5:BA296,1),"")</f>
        <v/>
      </c>
    </row>
    <row r="297" spans="53:54">
      <c r="BA297">
        <f>IF('Master Database'!$A297="",0,IF(AND(OR($B$5="",ISNUMBER(SEARCH($B$5,'Master Database'!$B297&amp;" "&amp;'Master Database'!$D297))),OR($B$6="(All)",'Master Database'!$C297=$B$6),OR($B$7="(All)",'Master Database'!$E297=$B$7),OR($B$8="(All)",'Master Database'!$T297=$B$8),OR($B$9="(All)",'Master Database'!$M297=$B$9),OR($B$10="(All)",'Master Database'!$V297=$B$10),OR($E$5="(All)",'Master Database'!$F297=$E$5),OR($E$6="(All)",'Master Database'!$G297=$E$6),OR($E$7="(All)",'Master Database'!$O297=$E$7),OR($E$8="(All)",'Master Database'!$P297=$E$8),OR($E$9="(All)",'Master Database'!$S297=$E$9),OR($E$10="(All)",'Master Database'!$Y297&amp;""=$E$10&amp;""),OR($H$5="(All)",'Master Database'!$BG297=$H$5),OR($H$6&lt;&gt;"Y",ISNUMBER('Master Database'!$AG297)),OR($H$7="",AND(ISNUMBER('Master Database'!$H297),N('Master Database'!$H297)&gt;=$H$7)),OR($I$7="",AND(ISNUMBER('Master Database'!$H297),N('Master Database'!$H297)&lt;=$I$7)),OR($H$8="",AND(ISNUMBER('Master Database'!$I297),N('Master Database'!$I297)&gt;=$H$8)),OR($I$8="",AND(ISNUMBER('Master Database'!$I297),N('Master Database'!$I297)&lt;=$I$8)),OR($H$9="",AND(ISNUMBER('Master Database'!$K297),N('Master Database'!$K297)&gt;=$H$9)),OR($I$9="",AND(ISNUMBER('Master Database'!$K297),N('Master Database'!$K297)&lt;=$I$9))),1,0))</f>
        <v>0</v>
      </c>
      <c r="BB297" t="str">
        <f>IF(BA297=1,COUNTIF($BA$5:BA297,1),"")</f>
        <v/>
      </c>
    </row>
    <row r="298" spans="53:54">
      <c r="BA298">
        <f>IF('Master Database'!$A298="",0,IF(AND(OR($B$5="",ISNUMBER(SEARCH($B$5,'Master Database'!$B298&amp;" "&amp;'Master Database'!$D298))),OR($B$6="(All)",'Master Database'!$C298=$B$6),OR($B$7="(All)",'Master Database'!$E298=$B$7),OR($B$8="(All)",'Master Database'!$T298=$B$8),OR($B$9="(All)",'Master Database'!$M298=$B$9),OR($B$10="(All)",'Master Database'!$V298=$B$10),OR($E$5="(All)",'Master Database'!$F298=$E$5),OR($E$6="(All)",'Master Database'!$G298=$E$6),OR($E$7="(All)",'Master Database'!$O298=$E$7),OR($E$8="(All)",'Master Database'!$P298=$E$8),OR($E$9="(All)",'Master Database'!$S298=$E$9),OR($E$10="(All)",'Master Database'!$Y298&amp;""=$E$10&amp;""),OR($H$5="(All)",'Master Database'!$BG298=$H$5),OR($H$6&lt;&gt;"Y",ISNUMBER('Master Database'!$AG298)),OR($H$7="",AND(ISNUMBER('Master Database'!$H298),N('Master Database'!$H298)&gt;=$H$7)),OR($I$7="",AND(ISNUMBER('Master Database'!$H298),N('Master Database'!$H298)&lt;=$I$7)),OR($H$8="",AND(ISNUMBER('Master Database'!$I298),N('Master Database'!$I298)&gt;=$H$8)),OR($I$8="",AND(ISNUMBER('Master Database'!$I298),N('Master Database'!$I298)&lt;=$I$8)),OR($H$9="",AND(ISNUMBER('Master Database'!$K298),N('Master Database'!$K298)&gt;=$H$9)),OR($I$9="",AND(ISNUMBER('Master Database'!$K298),N('Master Database'!$K298)&lt;=$I$9))),1,0))</f>
        <v>0</v>
      </c>
      <c r="BB298" t="str">
        <f>IF(BA298=1,COUNTIF($BA$5:BA298,1),"")</f>
        <v/>
      </c>
    </row>
    <row r="299" spans="53:54">
      <c r="BA299">
        <f>IF('Master Database'!$A299="",0,IF(AND(OR($B$5="",ISNUMBER(SEARCH($B$5,'Master Database'!$B299&amp;" "&amp;'Master Database'!$D299))),OR($B$6="(All)",'Master Database'!$C299=$B$6),OR($B$7="(All)",'Master Database'!$E299=$B$7),OR($B$8="(All)",'Master Database'!$T299=$B$8),OR($B$9="(All)",'Master Database'!$M299=$B$9),OR($B$10="(All)",'Master Database'!$V299=$B$10),OR($E$5="(All)",'Master Database'!$F299=$E$5),OR($E$6="(All)",'Master Database'!$G299=$E$6),OR($E$7="(All)",'Master Database'!$O299=$E$7),OR($E$8="(All)",'Master Database'!$P299=$E$8),OR($E$9="(All)",'Master Database'!$S299=$E$9),OR($E$10="(All)",'Master Database'!$Y299&amp;""=$E$10&amp;""),OR($H$5="(All)",'Master Database'!$BG299=$H$5),OR($H$6&lt;&gt;"Y",ISNUMBER('Master Database'!$AG299)),OR($H$7="",AND(ISNUMBER('Master Database'!$H299),N('Master Database'!$H299)&gt;=$H$7)),OR($I$7="",AND(ISNUMBER('Master Database'!$H299),N('Master Database'!$H299)&lt;=$I$7)),OR($H$8="",AND(ISNUMBER('Master Database'!$I299),N('Master Database'!$I299)&gt;=$H$8)),OR($I$8="",AND(ISNUMBER('Master Database'!$I299),N('Master Database'!$I299)&lt;=$I$8)),OR($H$9="",AND(ISNUMBER('Master Database'!$K299),N('Master Database'!$K299)&gt;=$H$9)),OR($I$9="",AND(ISNUMBER('Master Database'!$K299),N('Master Database'!$K299)&lt;=$I$9))),1,0))</f>
        <v>0</v>
      </c>
      <c r="BB299" t="str">
        <f>IF(BA299=1,COUNTIF($BA$5:BA299,1),"")</f>
        <v/>
      </c>
    </row>
    <row r="300" spans="53:54">
      <c r="BA300">
        <f>IF('Master Database'!$A300="",0,IF(AND(OR($B$5="",ISNUMBER(SEARCH($B$5,'Master Database'!$B300&amp;" "&amp;'Master Database'!$D300))),OR($B$6="(All)",'Master Database'!$C300=$B$6),OR($B$7="(All)",'Master Database'!$E300=$B$7),OR($B$8="(All)",'Master Database'!$T300=$B$8),OR($B$9="(All)",'Master Database'!$M300=$B$9),OR($B$10="(All)",'Master Database'!$V300=$B$10),OR($E$5="(All)",'Master Database'!$F300=$E$5),OR($E$6="(All)",'Master Database'!$G300=$E$6),OR($E$7="(All)",'Master Database'!$O300=$E$7),OR($E$8="(All)",'Master Database'!$P300=$E$8),OR($E$9="(All)",'Master Database'!$S300=$E$9),OR($E$10="(All)",'Master Database'!$Y300&amp;""=$E$10&amp;""),OR($H$5="(All)",'Master Database'!$BG300=$H$5),OR($H$6&lt;&gt;"Y",ISNUMBER('Master Database'!$AG300)),OR($H$7="",AND(ISNUMBER('Master Database'!$H300),N('Master Database'!$H300)&gt;=$H$7)),OR($I$7="",AND(ISNUMBER('Master Database'!$H300),N('Master Database'!$H300)&lt;=$I$7)),OR($H$8="",AND(ISNUMBER('Master Database'!$I300),N('Master Database'!$I300)&gt;=$H$8)),OR($I$8="",AND(ISNUMBER('Master Database'!$I300),N('Master Database'!$I300)&lt;=$I$8)),OR($H$9="",AND(ISNUMBER('Master Database'!$K300),N('Master Database'!$K300)&gt;=$H$9)),OR($I$9="",AND(ISNUMBER('Master Database'!$K300),N('Master Database'!$K300)&lt;=$I$9))),1,0))</f>
        <v>0</v>
      </c>
      <c r="BB300" t="str">
        <f>IF(BA300=1,COUNTIF($BA$5:BA300,1),"")</f>
        <v/>
      </c>
    </row>
    <row r="301" spans="53:54">
      <c r="BA301">
        <f>IF('Master Database'!$A301="",0,IF(AND(OR($B$5="",ISNUMBER(SEARCH($B$5,'Master Database'!$B301&amp;" "&amp;'Master Database'!$D301))),OR($B$6="(All)",'Master Database'!$C301=$B$6),OR($B$7="(All)",'Master Database'!$E301=$B$7),OR($B$8="(All)",'Master Database'!$T301=$B$8),OR($B$9="(All)",'Master Database'!$M301=$B$9),OR($B$10="(All)",'Master Database'!$V301=$B$10),OR($E$5="(All)",'Master Database'!$F301=$E$5),OR($E$6="(All)",'Master Database'!$G301=$E$6),OR($E$7="(All)",'Master Database'!$O301=$E$7),OR($E$8="(All)",'Master Database'!$P301=$E$8),OR($E$9="(All)",'Master Database'!$S301=$E$9),OR($E$10="(All)",'Master Database'!$Y301&amp;""=$E$10&amp;""),OR($H$5="(All)",'Master Database'!$BG301=$H$5),OR($H$6&lt;&gt;"Y",ISNUMBER('Master Database'!$AG301)),OR($H$7="",AND(ISNUMBER('Master Database'!$H301),N('Master Database'!$H301)&gt;=$H$7)),OR($I$7="",AND(ISNUMBER('Master Database'!$H301),N('Master Database'!$H301)&lt;=$I$7)),OR($H$8="",AND(ISNUMBER('Master Database'!$I301),N('Master Database'!$I301)&gt;=$H$8)),OR($I$8="",AND(ISNUMBER('Master Database'!$I301),N('Master Database'!$I301)&lt;=$I$8)),OR($H$9="",AND(ISNUMBER('Master Database'!$K301),N('Master Database'!$K301)&gt;=$H$9)),OR($I$9="",AND(ISNUMBER('Master Database'!$K301),N('Master Database'!$K301)&lt;=$I$9))),1,0))</f>
        <v>0</v>
      </c>
      <c r="BB301" t="str">
        <f>IF(BA301=1,COUNTIF($BA$5:BA301,1),"")</f>
        <v/>
      </c>
    </row>
    <row r="302" spans="53:54">
      <c r="BA302">
        <f>IF('Master Database'!$A302="",0,IF(AND(OR($B$5="",ISNUMBER(SEARCH($B$5,'Master Database'!$B302&amp;" "&amp;'Master Database'!$D302))),OR($B$6="(All)",'Master Database'!$C302=$B$6),OR($B$7="(All)",'Master Database'!$E302=$B$7),OR($B$8="(All)",'Master Database'!$T302=$B$8),OR($B$9="(All)",'Master Database'!$M302=$B$9),OR($B$10="(All)",'Master Database'!$V302=$B$10),OR($E$5="(All)",'Master Database'!$F302=$E$5),OR($E$6="(All)",'Master Database'!$G302=$E$6),OR($E$7="(All)",'Master Database'!$O302=$E$7),OR($E$8="(All)",'Master Database'!$P302=$E$8),OR($E$9="(All)",'Master Database'!$S302=$E$9),OR($E$10="(All)",'Master Database'!$Y302&amp;""=$E$10&amp;""),OR($H$5="(All)",'Master Database'!$BG302=$H$5),OR($H$6&lt;&gt;"Y",ISNUMBER('Master Database'!$AG302)),OR($H$7="",AND(ISNUMBER('Master Database'!$H302),N('Master Database'!$H302)&gt;=$H$7)),OR($I$7="",AND(ISNUMBER('Master Database'!$H302),N('Master Database'!$H302)&lt;=$I$7)),OR($H$8="",AND(ISNUMBER('Master Database'!$I302),N('Master Database'!$I302)&gt;=$H$8)),OR($I$8="",AND(ISNUMBER('Master Database'!$I302),N('Master Database'!$I302)&lt;=$I$8)),OR($H$9="",AND(ISNUMBER('Master Database'!$K302),N('Master Database'!$K302)&gt;=$H$9)),OR($I$9="",AND(ISNUMBER('Master Database'!$K302),N('Master Database'!$K302)&lt;=$I$9))),1,0))</f>
        <v>0</v>
      </c>
      <c r="BB302" t="str">
        <f>IF(BA302=1,COUNTIF($BA$5:BA302,1),"")</f>
        <v/>
      </c>
    </row>
    <row r="303" spans="53:54">
      <c r="BA303">
        <f>IF('Master Database'!$A303="",0,IF(AND(OR($B$5="",ISNUMBER(SEARCH($B$5,'Master Database'!$B303&amp;" "&amp;'Master Database'!$D303))),OR($B$6="(All)",'Master Database'!$C303=$B$6),OR($B$7="(All)",'Master Database'!$E303=$B$7),OR($B$8="(All)",'Master Database'!$T303=$B$8),OR($B$9="(All)",'Master Database'!$M303=$B$9),OR($B$10="(All)",'Master Database'!$V303=$B$10),OR($E$5="(All)",'Master Database'!$F303=$E$5),OR($E$6="(All)",'Master Database'!$G303=$E$6),OR($E$7="(All)",'Master Database'!$O303=$E$7),OR($E$8="(All)",'Master Database'!$P303=$E$8),OR($E$9="(All)",'Master Database'!$S303=$E$9),OR($E$10="(All)",'Master Database'!$Y303&amp;""=$E$10&amp;""),OR($H$5="(All)",'Master Database'!$BG303=$H$5),OR($H$6&lt;&gt;"Y",ISNUMBER('Master Database'!$AG303)),OR($H$7="",AND(ISNUMBER('Master Database'!$H303),N('Master Database'!$H303)&gt;=$H$7)),OR($I$7="",AND(ISNUMBER('Master Database'!$H303),N('Master Database'!$H303)&lt;=$I$7)),OR($H$8="",AND(ISNUMBER('Master Database'!$I303),N('Master Database'!$I303)&gt;=$H$8)),OR($I$8="",AND(ISNUMBER('Master Database'!$I303),N('Master Database'!$I303)&lt;=$I$8)),OR($H$9="",AND(ISNUMBER('Master Database'!$K303),N('Master Database'!$K303)&gt;=$H$9)),OR($I$9="",AND(ISNUMBER('Master Database'!$K303),N('Master Database'!$K303)&lt;=$I$9))),1,0))</f>
        <v>0</v>
      </c>
      <c r="BB303" t="str">
        <f>IF(BA303=1,COUNTIF($BA$5:BA303,1),"")</f>
        <v/>
      </c>
    </row>
    <row r="304" spans="53:54">
      <c r="BA304">
        <f>IF('Master Database'!$A304="",0,IF(AND(OR($B$5="",ISNUMBER(SEARCH($B$5,'Master Database'!$B304&amp;" "&amp;'Master Database'!$D304))),OR($B$6="(All)",'Master Database'!$C304=$B$6),OR($B$7="(All)",'Master Database'!$E304=$B$7),OR($B$8="(All)",'Master Database'!$T304=$B$8),OR($B$9="(All)",'Master Database'!$M304=$B$9),OR($B$10="(All)",'Master Database'!$V304=$B$10),OR($E$5="(All)",'Master Database'!$F304=$E$5),OR($E$6="(All)",'Master Database'!$G304=$E$6),OR($E$7="(All)",'Master Database'!$O304=$E$7),OR($E$8="(All)",'Master Database'!$P304=$E$8),OR($E$9="(All)",'Master Database'!$S304=$E$9),OR($E$10="(All)",'Master Database'!$Y304&amp;""=$E$10&amp;""),OR($H$5="(All)",'Master Database'!$BG304=$H$5),OR($H$6&lt;&gt;"Y",ISNUMBER('Master Database'!$AG304)),OR($H$7="",AND(ISNUMBER('Master Database'!$H304),N('Master Database'!$H304)&gt;=$H$7)),OR($I$7="",AND(ISNUMBER('Master Database'!$H304),N('Master Database'!$H304)&lt;=$I$7)),OR($H$8="",AND(ISNUMBER('Master Database'!$I304),N('Master Database'!$I304)&gt;=$H$8)),OR($I$8="",AND(ISNUMBER('Master Database'!$I304),N('Master Database'!$I304)&lt;=$I$8)),OR($H$9="",AND(ISNUMBER('Master Database'!$K304),N('Master Database'!$K304)&gt;=$H$9)),OR($I$9="",AND(ISNUMBER('Master Database'!$K304),N('Master Database'!$K304)&lt;=$I$9))),1,0))</f>
        <v>0</v>
      </c>
      <c r="BB304" t="str">
        <f>IF(BA304=1,COUNTIF($BA$5:BA304,1),"")</f>
        <v/>
      </c>
    </row>
    <row r="305" spans="53:54">
      <c r="BA305">
        <f>IF('Master Database'!$A305="",0,IF(AND(OR($B$5="",ISNUMBER(SEARCH($B$5,'Master Database'!$B305&amp;" "&amp;'Master Database'!$D305))),OR($B$6="(All)",'Master Database'!$C305=$B$6),OR($B$7="(All)",'Master Database'!$E305=$B$7),OR($B$8="(All)",'Master Database'!$T305=$B$8),OR($B$9="(All)",'Master Database'!$M305=$B$9),OR($B$10="(All)",'Master Database'!$V305=$B$10),OR($E$5="(All)",'Master Database'!$F305=$E$5),OR($E$6="(All)",'Master Database'!$G305=$E$6),OR($E$7="(All)",'Master Database'!$O305=$E$7),OR($E$8="(All)",'Master Database'!$P305=$E$8),OR($E$9="(All)",'Master Database'!$S305=$E$9),OR($E$10="(All)",'Master Database'!$Y305&amp;""=$E$10&amp;""),OR($H$5="(All)",'Master Database'!$BG305=$H$5),OR($H$6&lt;&gt;"Y",ISNUMBER('Master Database'!$AG305)),OR($H$7="",AND(ISNUMBER('Master Database'!$H305),N('Master Database'!$H305)&gt;=$H$7)),OR($I$7="",AND(ISNUMBER('Master Database'!$H305),N('Master Database'!$H305)&lt;=$I$7)),OR($H$8="",AND(ISNUMBER('Master Database'!$I305),N('Master Database'!$I305)&gt;=$H$8)),OR($I$8="",AND(ISNUMBER('Master Database'!$I305),N('Master Database'!$I305)&lt;=$I$8)),OR($H$9="",AND(ISNUMBER('Master Database'!$K305),N('Master Database'!$K305)&gt;=$H$9)),OR($I$9="",AND(ISNUMBER('Master Database'!$K305),N('Master Database'!$K305)&lt;=$I$9))),1,0))</f>
        <v>0</v>
      </c>
      <c r="BB305" t="str">
        <f>IF(BA305=1,COUNTIF($BA$5:BA305,1),"")</f>
        <v/>
      </c>
    </row>
    <row r="306" spans="53:54">
      <c r="BA306">
        <f>IF('Master Database'!$A306="",0,IF(AND(OR($B$5="",ISNUMBER(SEARCH($B$5,'Master Database'!$B306&amp;" "&amp;'Master Database'!$D306))),OR($B$6="(All)",'Master Database'!$C306=$B$6),OR($B$7="(All)",'Master Database'!$E306=$B$7),OR($B$8="(All)",'Master Database'!$T306=$B$8),OR($B$9="(All)",'Master Database'!$M306=$B$9),OR($B$10="(All)",'Master Database'!$V306=$B$10),OR($E$5="(All)",'Master Database'!$F306=$E$5),OR($E$6="(All)",'Master Database'!$G306=$E$6),OR($E$7="(All)",'Master Database'!$O306=$E$7),OR($E$8="(All)",'Master Database'!$P306=$E$8),OR($E$9="(All)",'Master Database'!$S306=$E$9),OR($E$10="(All)",'Master Database'!$Y306&amp;""=$E$10&amp;""),OR($H$5="(All)",'Master Database'!$BG306=$H$5),OR($H$6&lt;&gt;"Y",ISNUMBER('Master Database'!$AG306)),OR($H$7="",AND(ISNUMBER('Master Database'!$H306),N('Master Database'!$H306)&gt;=$H$7)),OR($I$7="",AND(ISNUMBER('Master Database'!$H306),N('Master Database'!$H306)&lt;=$I$7)),OR($H$8="",AND(ISNUMBER('Master Database'!$I306),N('Master Database'!$I306)&gt;=$H$8)),OR($I$8="",AND(ISNUMBER('Master Database'!$I306),N('Master Database'!$I306)&lt;=$I$8)),OR($H$9="",AND(ISNUMBER('Master Database'!$K306),N('Master Database'!$K306)&gt;=$H$9)),OR($I$9="",AND(ISNUMBER('Master Database'!$K306),N('Master Database'!$K306)&lt;=$I$9))),1,0))</f>
        <v>0</v>
      </c>
      <c r="BB306" t="str">
        <f>IF(BA306=1,COUNTIF($BA$5:BA306,1),"")</f>
        <v/>
      </c>
    </row>
    <row r="307" spans="53:54">
      <c r="BA307">
        <f>IF('Master Database'!$A307="",0,IF(AND(OR($B$5="",ISNUMBER(SEARCH($B$5,'Master Database'!$B307&amp;" "&amp;'Master Database'!$D307))),OR($B$6="(All)",'Master Database'!$C307=$B$6),OR($B$7="(All)",'Master Database'!$E307=$B$7),OR($B$8="(All)",'Master Database'!$T307=$B$8),OR($B$9="(All)",'Master Database'!$M307=$B$9),OR($B$10="(All)",'Master Database'!$V307=$B$10),OR($E$5="(All)",'Master Database'!$F307=$E$5),OR($E$6="(All)",'Master Database'!$G307=$E$6),OR($E$7="(All)",'Master Database'!$O307=$E$7),OR($E$8="(All)",'Master Database'!$P307=$E$8),OR($E$9="(All)",'Master Database'!$S307=$E$9),OR($E$10="(All)",'Master Database'!$Y307&amp;""=$E$10&amp;""),OR($H$5="(All)",'Master Database'!$BG307=$H$5),OR($H$6&lt;&gt;"Y",ISNUMBER('Master Database'!$AG307)),OR($H$7="",AND(ISNUMBER('Master Database'!$H307),N('Master Database'!$H307)&gt;=$H$7)),OR($I$7="",AND(ISNUMBER('Master Database'!$H307),N('Master Database'!$H307)&lt;=$I$7)),OR($H$8="",AND(ISNUMBER('Master Database'!$I307),N('Master Database'!$I307)&gt;=$H$8)),OR($I$8="",AND(ISNUMBER('Master Database'!$I307),N('Master Database'!$I307)&lt;=$I$8)),OR($H$9="",AND(ISNUMBER('Master Database'!$K307),N('Master Database'!$K307)&gt;=$H$9)),OR($I$9="",AND(ISNUMBER('Master Database'!$K307),N('Master Database'!$K307)&lt;=$I$9))),1,0))</f>
        <v>0</v>
      </c>
      <c r="BB307" t="str">
        <f>IF(BA307=1,COUNTIF($BA$5:BA307,1),"")</f>
        <v/>
      </c>
    </row>
    <row r="308" spans="53:54">
      <c r="BA308">
        <f>IF('Master Database'!$A308="",0,IF(AND(OR($B$5="",ISNUMBER(SEARCH($B$5,'Master Database'!$B308&amp;" "&amp;'Master Database'!$D308))),OR($B$6="(All)",'Master Database'!$C308=$B$6),OR($B$7="(All)",'Master Database'!$E308=$B$7),OR($B$8="(All)",'Master Database'!$T308=$B$8),OR($B$9="(All)",'Master Database'!$M308=$B$9),OR($B$10="(All)",'Master Database'!$V308=$B$10),OR($E$5="(All)",'Master Database'!$F308=$E$5),OR($E$6="(All)",'Master Database'!$G308=$E$6),OR($E$7="(All)",'Master Database'!$O308=$E$7),OR($E$8="(All)",'Master Database'!$P308=$E$8),OR($E$9="(All)",'Master Database'!$S308=$E$9),OR($E$10="(All)",'Master Database'!$Y308&amp;""=$E$10&amp;""),OR($H$5="(All)",'Master Database'!$BG308=$H$5),OR($H$6&lt;&gt;"Y",ISNUMBER('Master Database'!$AG308)),OR($H$7="",AND(ISNUMBER('Master Database'!$H308),N('Master Database'!$H308)&gt;=$H$7)),OR($I$7="",AND(ISNUMBER('Master Database'!$H308),N('Master Database'!$H308)&lt;=$I$7)),OR($H$8="",AND(ISNUMBER('Master Database'!$I308),N('Master Database'!$I308)&gt;=$H$8)),OR($I$8="",AND(ISNUMBER('Master Database'!$I308),N('Master Database'!$I308)&lt;=$I$8)),OR($H$9="",AND(ISNUMBER('Master Database'!$K308),N('Master Database'!$K308)&gt;=$H$9)),OR($I$9="",AND(ISNUMBER('Master Database'!$K308),N('Master Database'!$K308)&lt;=$I$9))),1,0))</f>
        <v>0</v>
      </c>
      <c r="BB308" t="str">
        <f>IF(BA308=1,COUNTIF($BA$5:BA308,1),"")</f>
        <v/>
      </c>
    </row>
    <row r="309" spans="53:54">
      <c r="BA309">
        <f>IF('Master Database'!$A309="",0,IF(AND(OR($B$5="",ISNUMBER(SEARCH($B$5,'Master Database'!$B309&amp;" "&amp;'Master Database'!$D309))),OR($B$6="(All)",'Master Database'!$C309=$B$6),OR($B$7="(All)",'Master Database'!$E309=$B$7),OR($B$8="(All)",'Master Database'!$T309=$B$8),OR($B$9="(All)",'Master Database'!$M309=$B$9),OR($B$10="(All)",'Master Database'!$V309=$B$10),OR($E$5="(All)",'Master Database'!$F309=$E$5),OR($E$6="(All)",'Master Database'!$G309=$E$6),OR($E$7="(All)",'Master Database'!$O309=$E$7),OR($E$8="(All)",'Master Database'!$P309=$E$8),OR($E$9="(All)",'Master Database'!$S309=$E$9),OR($E$10="(All)",'Master Database'!$Y309&amp;""=$E$10&amp;""),OR($H$5="(All)",'Master Database'!$BG309=$H$5),OR($H$6&lt;&gt;"Y",ISNUMBER('Master Database'!$AG309)),OR($H$7="",AND(ISNUMBER('Master Database'!$H309),N('Master Database'!$H309)&gt;=$H$7)),OR($I$7="",AND(ISNUMBER('Master Database'!$H309),N('Master Database'!$H309)&lt;=$I$7)),OR($H$8="",AND(ISNUMBER('Master Database'!$I309),N('Master Database'!$I309)&gt;=$H$8)),OR($I$8="",AND(ISNUMBER('Master Database'!$I309),N('Master Database'!$I309)&lt;=$I$8)),OR($H$9="",AND(ISNUMBER('Master Database'!$K309),N('Master Database'!$K309)&gt;=$H$9)),OR($I$9="",AND(ISNUMBER('Master Database'!$K309),N('Master Database'!$K309)&lt;=$I$9))),1,0))</f>
        <v>0</v>
      </c>
      <c r="BB309" t="str">
        <f>IF(BA309=1,COUNTIF($BA$5:BA309,1),"")</f>
        <v/>
      </c>
    </row>
    <row r="310" spans="53:54">
      <c r="BA310">
        <f>IF('Master Database'!$A310="",0,IF(AND(OR($B$5="",ISNUMBER(SEARCH($B$5,'Master Database'!$B310&amp;" "&amp;'Master Database'!$D310))),OR($B$6="(All)",'Master Database'!$C310=$B$6),OR($B$7="(All)",'Master Database'!$E310=$B$7),OR($B$8="(All)",'Master Database'!$T310=$B$8),OR($B$9="(All)",'Master Database'!$M310=$B$9),OR($B$10="(All)",'Master Database'!$V310=$B$10),OR($E$5="(All)",'Master Database'!$F310=$E$5),OR($E$6="(All)",'Master Database'!$G310=$E$6),OR($E$7="(All)",'Master Database'!$O310=$E$7),OR($E$8="(All)",'Master Database'!$P310=$E$8),OR($E$9="(All)",'Master Database'!$S310=$E$9),OR($E$10="(All)",'Master Database'!$Y310&amp;""=$E$10&amp;""),OR($H$5="(All)",'Master Database'!$BG310=$H$5),OR($H$6&lt;&gt;"Y",ISNUMBER('Master Database'!$AG310)),OR($H$7="",AND(ISNUMBER('Master Database'!$H310),N('Master Database'!$H310)&gt;=$H$7)),OR($I$7="",AND(ISNUMBER('Master Database'!$H310),N('Master Database'!$H310)&lt;=$I$7)),OR($H$8="",AND(ISNUMBER('Master Database'!$I310),N('Master Database'!$I310)&gt;=$H$8)),OR($I$8="",AND(ISNUMBER('Master Database'!$I310),N('Master Database'!$I310)&lt;=$I$8)),OR($H$9="",AND(ISNUMBER('Master Database'!$K310),N('Master Database'!$K310)&gt;=$H$9)),OR($I$9="",AND(ISNUMBER('Master Database'!$K310),N('Master Database'!$K310)&lt;=$I$9))),1,0))</f>
        <v>0</v>
      </c>
      <c r="BB310" t="str">
        <f>IF(BA310=1,COUNTIF($BA$5:BA310,1),"")</f>
        <v/>
      </c>
    </row>
    <row r="311" spans="53:54">
      <c r="BA311">
        <f>IF('Master Database'!$A311="",0,IF(AND(OR($B$5="",ISNUMBER(SEARCH($B$5,'Master Database'!$B311&amp;" "&amp;'Master Database'!$D311))),OR($B$6="(All)",'Master Database'!$C311=$B$6),OR($B$7="(All)",'Master Database'!$E311=$B$7),OR($B$8="(All)",'Master Database'!$T311=$B$8),OR($B$9="(All)",'Master Database'!$M311=$B$9),OR($B$10="(All)",'Master Database'!$V311=$B$10),OR($E$5="(All)",'Master Database'!$F311=$E$5),OR($E$6="(All)",'Master Database'!$G311=$E$6),OR($E$7="(All)",'Master Database'!$O311=$E$7),OR($E$8="(All)",'Master Database'!$P311=$E$8),OR($E$9="(All)",'Master Database'!$S311=$E$9),OR($E$10="(All)",'Master Database'!$Y311&amp;""=$E$10&amp;""),OR($H$5="(All)",'Master Database'!$BG311=$H$5),OR($H$6&lt;&gt;"Y",ISNUMBER('Master Database'!$AG311)),OR($H$7="",AND(ISNUMBER('Master Database'!$H311),N('Master Database'!$H311)&gt;=$H$7)),OR($I$7="",AND(ISNUMBER('Master Database'!$H311),N('Master Database'!$H311)&lt;=$I$7)),OR($H$8="",AND(ISNUMBER('Master Database'!$I311),N('Master Database'!$I311)&gt;=$H$8)),OR($I$8="",AND(ISNUMBER('Master Database'!$I311),N('Master Database'!$I311)&lt;=$I$8)),OR($H$9="",AND(ISNUMBER('Master Database'!$K311),N('Master Database'!$K311)&gt;=$H$9)),OR($I$9="",AND(ISNUMBER('Master Database'!$K311),N('Master Database'!$K311)&lt;=$I$9))),1,0))</f>
        <v>0</v>
      </c>
      <c r="BB311" t="str">
        <f>IF(BA311=1,COUNTIF($BA$5:BA311,1),"")</f>
        <v/>
      </c>
    </row>
    <row r="312" spans="53:54">
      <c r="BA312">
        <f>IF('Master Database'!$A312="",0,IF(AND(OR($B$5="",ISNUMBER(SEARCH($B$5,'Master Database'!$B312&amp;" "&amp;'Master Database'!$D312))),OR($B$6="(All)",'Master Database'!$C312=$B$6),OR($B$7="(All)",'Master Database'!$E312=$B$7),OR($B$8="(All)",'Master Database'!$T312=$B$8),OR($B$9="(All)",'Master Database'!$M312=$B$9),OR($B$10="(All)",'Master Database'!$V312=$B$10),OR($E$5="(All)",'Master Database'!$F312=$E$5),OR($E$6="(All)",'Master Database'!$G312=$E$6),OR($E$7="(All)",'Master Database'!$O312=$E$7),OR($E$8="(All)",'Master Database'!$P312=$E$8),OR($E$9="(All)",'Master Database'!$S312=$E$9),OR($E$10="(All)",'Master Database'!$Y312&amp;""=$E$10&amp;""),OR($H$5="(All)",'Master Database'!$BG312=$H$5),OR($H$6&lt;&gt;"Y",ISNUMBER('Master Database'!$AG312)),OR($H$7="",AND(ISNUMBER('Master Database'!$H312),N('Master Database'!$H312)&gt;=$H$7)),OR($I$7="",AND(ISNUMBER('Master Database'!$H312),N('Master Database'!$H312)&lt;=$I$7)),OR($H$8="",AND(ISNUMBER('Master Database'!$I312),N('Master Database'!$I312)&gt;=$H$8)),OR($I$8="",AND(ISNUMBER('Master Database'!$I312),N('Master Database'!$I312)&lt;=$I$8)),OR($H$9="",AND(ISNUMBER('Master Database'!$K312),N('Master Database'!$K312)&gt;=$H$9)),OR($I$9="",AND(ISNUMBER('Master Database'!$K312),N('Master Database'!$K312)&lt;=$I$9))),1,0))</f>
        <v>0</v>
      </c>
      <c r="BB312" t="str">
        <f>IF(BA312=1,COUNTIF($BA$5:BA312,1),"")</f>
        <v/>
      </c>
    </row>
    <row r="313" spans="53:54">
      <c r="BA313">
        <f>IF('Master Database'!$A313="",0,IF(AND(OR($B$5="",ISNUMBER(SEARCH($B$5,'Master Database'!$B313&amp;" "&amp;'Master Database'!$D313))),OR($B$6="(All)",'Master Database'!$C313=$B$6),OR($B$7="(All)",'Master Database'!$E313=$B$7),OR($B$8="(All)",'Master Database'!$T313=$B$8),OR($B$9="(All)",'Master Database'!$M313=$B$9),OR($B$10="(All)",'Master Database'!$V313=$B$10),OR($E$5="(All)",'Master Database'!$F313=$E$5),OR($E$6="(All)",'Master Database'!$G313=$E$6),OR($E$7="(All)",'Master Database'!$O313=$E$7),OR($E$8="(All)",'Master Database'!$P313=$E$8),OR($E$9="(All)",'Master Database'!$S313=$E$9),OR($E$10="(All)",'Master Database'!$Y313&amp;""=$E$10&amp;""),OR($H$5="(All)",'Master Database'!$BG313=$H$5),OR($H$6&lt;&gt;"Y",ISNUMBER('Master Database'!$AG313)),OR($H$7="",AND(ISNUMBER('Master Database'!$H313),N('Master Database'!$H313)&gt;=$H$7)),OR($I$7="",AND(ISNUMBER('Master Database'!$H313),N('Master Database'!$H313)&lt;=$I$7)),OR($H$8="",AND(ISNUMBER('Master Database'!$I313),N('Master Database'!$I313)&gt;=$H$8)),OR($I$8="",AND(ISNUMBER('Master Database'!$I313),N('Master Database'!$I313)&lt;=$I$8)),OR($H$9="",AND(ISNUMBER('Master Database'!$K313),N('Master Database'!$K313)&gt;=$H$9)),OR($I$9="",AND(ISNUMBER('Master Database'!$K313),N('Master Database'!$K313)&lt;=$I$9))),1,0))</f>
        <v>0</v>
      </c>
      <c r="BB313" t="str">
        <f>IF(BA313=1,COUNTIF($BA$5:BA313,1),"")</f>
        <v/>
      </c>
    </row>
    <row r="314" spans="53:54">
      <c r="BA314">
        <f>IF('Master Database'!$A314="",0,IF(AND(OR($B$5="",ISNUMBER(SEARCH($B$5,'Master Database'!$B314&amp;" "&amp;'Master Database'!$D314))),OR($B$6="(All)",'Master Database'!$C314=$B$6),OR($B$7="(All)",'Master Database'!$E314=$B$7),OR($B$8="(All)",'Master Database'!$T314=$B$8),OR($B$9="(All)",'Master Database'!$M314=$B$9),OR($B$10="(All)",'Master Database'!$V314=$B$10),OR($E$5="(All)",'Master Database'!$F314=$E$5),OR($E$6="(All)",'Master Database'!$G314=$E$6),OR($E$7="(All)",'Master Database'!$O314=$E$7),OR($E$8="(All)",'Master Database'!$P314=$E$8),OR($E$9="(All)",'Master Database'!$S314=$E$9),OR($E$10="(All)",'Master Database'!$Y314&amp;""=$E$10&amp;""),OR($H$5="(All)",'Master Database'!$BG314=$H$5),OR($H$6&lt;&gt;"Y",ISNUMBER('Master Database'!$AG314)),OR($H$7="",AND(ISNUMBER('Master Database'!$H314),N('Master Database'!$H314)&gt;=$H$7)),OR($I$7="",AND(ISNUMBER('Master Database'!$H314),N('Master Database'!$H314)&lt;=$I$7)),OR($H$8="",AND(ISNUMBER('Master Database'!$I314),N('Master Database'!$I314)&gt;=$H$8)),OR($I$8="",AND(ISNUMBER('Master Database'!$I314),N('Master Database'!$I314)&lt;=$I$8)),OR($H$9="",AND(ISNUMBER('Master Database'!$K314),N('Master Database'!$K314)&gt;=$H$9)),OR($I$9="",AND(ISNUMBER('Master Database'!$K314),N('Master Database'!$K314)&lt;=$I$9))),1,0))</f>
        <v>0</v>
      </c>
      <c r="BB314" t="str">
        <f>IF(BA314=1,COUNTIF($BA$5:BA314,1),"")</f>
        <v/>
      </c>
    </row>
    <row r="315" spans="53:54">
      <c r="BA315">
        <f>IF('Master Database'!$A315="",0,IF(AND(OR($B$5="",ISNUMBER(SEARCH($B$5,'Master Database'!$B315&amp;" "&amp;'Master Database'!$D315))),OR($B$6="(All)",'Master Database'!$C315=$B$6),OR($B$7="(All)",'Master Database'!$E315=$B$7),OR($B$8="(All)",'Master Database'!$T315=$B$8),OR($B$9="(All)",'Master Database'!$M315=$B$9),OR($B$10="(All)",'Master Database'!$V315=$B$10),OR($E$5="(All)",'Master Database'!$F315=$E$5),OR($E$6="(All)",'Master Database'!$G315=$E$6),OR($E$7="(All)",'Master Database'!$O315=$E$7),OR($E$8="(All)",'Master Database'!$P315=$E$8),OR($E$9="(All)",'Master Database'!$S315=$E$9),OR($E$10="(All)",'Master Database'!$Y315&amp;""=$E$10&amp;""),OR($H$5="(All)",'Master Database'!$BG315=$H$5),OR($H$6&lt;&gt;"Y",ISNUMBER('Master Database'!$AG315)),OR($H$7="",AND(ISNUMBER('Master Database'!$H315),N('Master Database'!$H315)&gt;=$H$7)),OR($I$7="",AND(ISNUMBER('Master Database'!$H315),N('Master Database'!$H315)&lt;=$I$7)),OR($H$8="",AND(ISNUMBER('Master Database'!$I315),N('Master Database'!$I315)&gt;=$H$8)),OR($I$8="",AND(ISNUMBER('Master Database'!$I315),N('Master Database'!$I315)&lt;=$I$8)),OR($H$9="",AND(ISNUMBER('Master Database'!$K315),N('Master Database'!$K315)&gt;=$H$9)),OR($I$9="",AND(ISNUMBER('Master Database'!$K315),N('Master Database'!$K315)&lt;=$I$9))),1,0))</f>
        <v>0</v>
      </c>
      <c r="BB315" t="str">
        <f>IF(BA315=1,COUNTIF($BA$5:BA315,1),"")</f>
        <v/>
      </c>
    </row>
    <row r="316" spans="53:54">
      <c r="BA316">
        <f>IF('Master Database'!$A316="",0,IF(AND(OR($B$5="",ISNUMBER(SEARCH($B$5,'Master Database'!$B316&amp;" "&amp;'Master Database'!$D316))),OR($B$6="(All)",'Master Database'!$C316=$B$6),OR($B$7="(All)",'Master Database'!$E316=$B$7),OR($B$8="(All)",'Master Database'!$T316=$B$8),OR($B$9="(All)",'Master Database'!$M316=$B$9),OR($B$10="(All)",'Master Database'!$V316=$B$10),OR($E$5="(All)",'Master Database'!$F316=$E$5),OR($E$6="(All)",'Master Database'!$G316=$E$6),OR($E$7="(All)",'Master Database'!$O316=$E$7),OR($E$8="(All)",'Master Database'!$P316=$E$8),OR($E$9="(All)",'Master Database'!$S316=$E$9),OR($E$10="(All)",'Master Database'!$Y316&amp;""=$E$10&amp;""),OR($H$5="(All)",'Master Database'!$BG316=$H$5),OR($H$6&lt;&gt;"Y",ISNUMBER('Master Database'!$AG316)),OR($H$7="",AND(ISNUMBER('Master Database'!$H316),N('Master Database'!$H316)&gt;=$H$7)),OR($I$7="",AND(ISNUMBER('Master Database'!$H316),N('Master Database'!$H316)&lt;=$I$7)),OR($H$8="",AND(ISNUMBER('Master Database'!$I316),N('Master Database'!$I316)&gt;=$H$8)),OR($I$8="",AND(ISNUMBER('Master Database'!$I316),N('Master Database'!$I316)&lt;=$I$8)),OR($H$9="",AND(ISNUMBER('Master Database'!$K316),N('Master Database'!$K316)&gt;=$H$9)),OR($I$9="",AND(ISNUMBER('Master Database'!$K316),N('Master Database'!$K316)&lt;=$I$9))),1,0))</f>
        <v>0</v>
      </c>
      <c r="BB316" t="str">
        <f>IF(BA316=1,COUNTIF($BA$5:BA316,1),"")</f>
        <v/>
      </c>
    </row>
    <row r="317" spans="53:54">
      <c r="BA317">
        <f>IF('Master Database'!$A317="",0,IF(AND(OR($B$5="",ISNUMBER(SEARCH($B$5,'Master Database'!$B317&amp;" "&amp;'Master Database'!$D317))),OR($B$6="(All)",'Master Database'!$C317=$B$6),OR($B$7="(All)",'Master Database'!$E317=$B$7),OR($B$8="(All)",'Master Database'!$T317=$B$8),OR($B$9="(All)",'Master Database'!$M317=$B$9),OR($B$10="(All)",'Master Database'!$V317=$B$10),OR($E$5="(All)",'Master Database'!$F317=$E$5),OR($E$6="(All)",'Master Database'!$G317=$E$6),OR($E$7="(All)",'Master Database'!$O317=$E$7),OR($E$8="(All)",'Master Database'!$P317=$E$8),OR($E$9="(All)",'Master Database'!$S317=$E$9),OR($E$10="(All)",'Master Database'!$Y317&amp;""=$E$10&amp;""),OR($H$5="(All)",'Master Database'!$BG317=$H$5),OR($H$6&lt;&gt;"Y",ISNUMBER('Master Database'!$AG317)),OR($H$7="",AND(ISNUMBER('Master Database'!$H317),N('Master Database'!$H317)&gt;=$H$7)),OR($I$7="",AND(ISNUMBER('Master Database'!$H317),N('Master Database'!$H317)&lt;=$I$7)),OR($H$8="",AND(ISNUMBER('Master Database'!$I317),N('Master Database'!$I317)&gt;=$H$8)),OR($I$8="",AND(ISNUMBER('Master Database'!$I317),N('Master Database'!$I317)&lt;=$I$8)),OR($H$9="",AND(ISNUMBER('Master Database'!$K317),N('Master Database'!$K317)&gt;=$H$9)),OR($I$9="",AND(ISNUMBER('Master Database'!$K317),N('Master Database'!$K317)&lt;=$I$9))),1,0))</f>
        <v>0</v>
      </c>
      <c r="BB317" t="str">
        <f>IF(BA317=1,COUNTIF($BA$5:BA317,1),"")</f>
        <v/>
      </c>
    </row>
    <row r="318" spans="53:54">
      <c r="BA318">
        <f>IF('Master Database'!$A318="",0,IF(AND(OR($B$5="",ISNUMBER(SEARCH($B$5,'Master Database'!$B318&amp;" "&amp;'Master Database'!$D318))),OR($B$6="(All)",'Master Database'!$C318=$B$6),OR($B$7="(All)",'Master Database'!$E318=$B$7),OR($B$8="(All)",'Master Database'!$T318=$B$8),OR($B$9="(All)",'Master Database'!$M318=$B$9),OR($B$10="(All)",'Master Database'!$V318=$B$10),OR($E$5="(All)",'Master Database'!$F318=$E$5),OR($E$6="(All)",'Master Database'!$G318=$E$6),OR($E$7="(All)",'Master Database'!$O318=$E$7),OR($E$8="(All)",'Master Database'!$P318=$E$8),OR($E$9="(All)",'Master Database'!$S318=$E$9),OR($E$10="(All)",'Master Database'!$Y318&amp;""=$E$10&amp;""),OR($H$5="(All)",'Master Database'!$BG318=$H$5),OR($H$6&lt;&gt;"Y",ISNUMBER('Master Database'!$AG318)),OR($H$7="",AND(ISNUMBER('Master Database'!$H318),N('Master Database'!$H318)&gt;=$H$7)),OR($I$7="",AND(ISNUMBER('Master Database'!$H318),N('Master Database'!$H318)&lt;=$I$7)),OR($H$8="",AND(ISNUMBER('Master Database'!$I318),N('Master Database'!$I318)&gt;=$H$8)),OR($I$8="",AND(ISNUMBER('Master Database'!$I318),N('Master Database'!$I318)&lt;=$I$8)),OR($H$9="",AND(ISNUMBER('Master Database'!$K318),N('Master Database'!$K318)&gt;=$H$9)),OR($I$9="",AND(ISNUMBER('Master Database'!$K318),N('Master Database'!$K318)&lt;=$I$9))),1,0))</f>
        <v>0</v>
      </c>
      <c r="BB318" t="str">
        <f>IF(BA318=1,COUNTIF($BA$5:BA318,1),"")</f>
        <v/>
      </c>
    </row>
    <row r="319" spans="53:54">
      <c r="BA319">
        <f>IF('Master Database'!$A319="",0,IF(AND(OR($B$5="",ISNUMBER(SEARCH($B$5,'Master Database'!$B319&amp;" "&amp;'Master Database'!$D319))),OR($B$6="(All)",'Master Database'!$C319=$B$6),OR($B$7="(All)",'Master Database'!$E319=$B$7),OR($B$8="(All)",'Master Database'!$T319=$B$8),OR($B$9="(All)",'Master Database'!$M319=$B$9),OR($B$10="(All)",'Master Database'!$V319=$B$10),OR($E$5="(All)",'Master Database'!$F319=$E$5),OR($E$6="(All)",'Master Database'!$G319=$E$6),OR($E$7="(All)",'Master Database'!$O319=$E$7),OR($E$8="(All)",'Master Database'!$P319=$E$8),OR($E$9="(All)",'Master Database'!$S319=$E$9),OR($E$10="(All)",'Master Database'!$Y319&amp;""=$E$10&amp;""),OR($H$5="(All)",'Master Database'!$BG319=$H$5),OR($H$6&lt;&gt;"Y",ISNUMBER('Master Database'!$AG319)),OR($H$7="",AND(ISNUMBER('Master Database'!$H319),N('Master Database'!$H319)&gt;=$H$7)),OR($I$7="",AND(ISNUMBER('Master Database'!$H319),N('Master Database'!$H319)&lt;=$I$7)),OR($H$8="",AND(ISNUMBER('Master Database'!$I319),N('Master Database'!$I319)&gt;=$H$8)),OR($I$8="",AND(ISNUMBER('Master Database'!$I319),N('Master Database'!$I319)&lt;=$I$8)),OR($H$9="",AND(ISNUMBER('Master Database'!$K319),N('Master Database'!$K319)&gt;=$H$9)),OR($I$9="",AND(ISNUMBER('Master Database'!$K319),N('Master Database'!$K319)&lt;=$I$9))),1,0))</f>
        <v>0</v>
      </c>
      <c r="BB319" t="str">
        <f>IF(BA319=1,COUNTIF($BA$5:BA319,1),"")</f>
        <v/>
      </c>
    </row>
    <row r="320" spans="53:54">
      <c r="BA320">
        <f>IF('Master Database'!$A320="",0,IF(AND(OR($B$5="",ISNUMBER(SEARCH($B$5,'Master Database'!$B320&amp;" "&amp;'Master Database'!$D320))),OR($B$6="(All)",'Master Database'!$C320=$B$6),OR($B$7="(All)",'Master Database'!$E320=$B$7),OR($B$8="(All)",'Master Database'!$T320=$B$8),OR($B$9="(All)",'Master Database'!$M320=$B$9),OR($B$10="(All)",'Master Database'!$V320=$B$10),OR($E$5="(All)",'Master Database'!$F320=$E$5),OR($E$6="(All)",'Master Database'!$G320=$E$6),OR($E$7="(All)",'Master Database'!$O320=$E$7),OR($E$8="(All)",'Master Database'!$P320=$E$8),OR($E$9="(All)",'Master Database'!$S320=$E$9),OR($E$10="(All)",'Master Database'!$Y320&amp;""=$E$10&amp;""),OR($H$5="(All)",'Master Database'!$BG320=$H$5),OR($H$6&lt;&gt;"Y",ISNUMBER('Master Database'!$AG320)),OR($H$7="",AND(ISNUMBER('Master Database'!$H320),N('Master Database'!$H320)&gt;=$H$7)),OR($I$7="",AND(ISNUMBER('Master Database'!$H320),N('Master Database'!$H320)&lt;=$I$7)),OR($H$8="",AND(ISNUMBER('Master Database'!$I320),N('Master Database'!$I320)&gt;=$H$8)),OR($I$8="",AND(ISNUMBER('Master Database'!$I320),N('Master Database'!$I320)&lt;=$I$8)),OR($H$9="",AND(ISNUMBER('Master Database'!$K320),N('Master Database'!$K320)&gt;=$H$9)),OR($I$9="",AND(ISNUMBER('Master Database'!$K320),N('Master Database'!$K320)&lt;=$I$9))),1,0))</f>
        <v>0</v>
      </c>
      <c r="BB320" t="str">
        <f>IF(BA320=1,COUNTIF($BA$5:BA320,1),"")</f>
        <v/>
      </c>
    </row>
    <row r="321" spans="53:54">
      <c r="BA321">
        <f>IF('Master Database'!$A321="",0,IF(AND(OR($B$5="",ISNUMBER(SEARCH($B$5,'Master Database'!$B321&amp;" "&amp;'Master Database'!$D321))),OR($B$6="(All)",'Master Database'!$C321=$B$6),OR($B$7="(All)",'Master Database'!$E321=$B$7),OR($B$8="(All)",'Master Database'!$T321=$B$8),OR($B$9="(All)",'Master Database'!$M321=$B$9),OR($B$10="(All)",'Master Database'!$V321=$B$10),OR($E$5="(All)",'Master Database'!$F321=$E$5),OR($E$6="(All)",'Master Database'!$G321=$E$6),OR($E$7="(All)",'Master Database'!$O321=$E$7),OR($E$8="(All)",'Master Database'!$P321=$E$8),OR($E$9="(All)",'Master Database'!$S321=$E$9),OR($E$10="(All)",'Master Database'!$Y321&amp;""=$E$10&amp;""),OR($H$5="(All)",'Master Database'!$BG321=$H$5),OR($H$6&lt;&gt;"Y",ISNUMBER('Master Database'!$AG321)),OR($H$7="",AND(ISNUMBER('Master Database'!$H321),N('Master Database'!$H321)&gt;=$H$7)),OR($I$7="",AND(ISNUMBER('Master Database'!$H321),N('Master Database'!$H321)&lt;=$I$7)),OR($H$8="",AND(ISNUMBER('Master Database'!$I321),N('Master Database'!$I321)&gt;=$H$8)),OR($I$8="",AND(ISNUMBER('Master Database'!$I321),N('Master Database'!$I321)&lt;=$I$8)),OR($H$9="",AND(ISNUMBER('Master Database'!$K321),N('Master Database'!$K321)&gt;=$H$9)),OR($I$9="",AND(ISNUMBER('Master Database'!$K321),N('Master Database'!$K321)&lt;=$I$9))),1,0))</f>
        <v>0</v>
      </c>
      <c r="BB321" t="str">
        <f>IF(BA321=1,COUNTIF($BA$5:BA321,1),"")</f>
        <v/>
      </c>
    </row>
    <row r="322" spans="53:54">
      <c r="BA322">
        <f>IF('Master Database'!$A322="",0,IF(AND(OR($B$5="",ISNUMBER(SEARCH($B$5,'Master Database'!$B322&amp;" "&amp;'Master Database'!$D322))),OR($B$6="(All)",'Master Database'!$C322=$B$6),OR($B$7="(All)",'Master Database'!$E322=$B$7),OR($B$8="(All)",'Master Database'!$T322=$B$8),OR($B$9="(All)",'Master Database'!$M322=$B$9),OR($B$10="(All)",'Master Database'!$V322=$B$10),OR($E$5="(All)",'Master Database'!$F322=$E$5),OR($E$6="(All)",'Master Database'!$G322=$E$6),OR($E$7="(All)",'Master Database'!$O322=$E$7),OR($E$8="(All)",'Master Database'!$P322=$E$8),OR($E$9="(All)",'Master Database'!$S322=$E$9),OR($E$10="(All)",'Master Database'!$Y322&amp;""=$E$10&amp;""),OR($H$5="(All)",'Master Database'!$BG322=$H$5),OR($H$6&lt;&gt;"Y",ISNUMBER('Master Database'!$AG322)),OR($H$7="",AND(ISNUMBER('Master Database'!$H322),N('Master Database'!$H322)&gt;=$H$7)),OR($I$7="",AND(ISNUMBER('Master Database'!$H322),N('Master Database'!$H322)&lt;=$I$7)),OR($H$8="",AND(ISNUMBER('Master Database'!$I322),N('Master Database'!$I322)&gt;=$H$8)),OR($I$8="",AND(ISNUMBER('Master Database'!$I322),N('Master Database'!$I322)&lt;=$I$8)),OR($H$9="",AND(ISNUMBER('Master Database'!$K322),N('Master Database'!$K322)&gt;=$H$9)),OR($I$9="",AND(ISNUMBER('Master Database'!$K322),N('Master Database'!$K322)&lt;=$I$9))),1,0))</f>
        <v>0</v>
      </c>
      <c r="BB322" t="str">
        <f>IF(BA322=1,COUNTIF($BA$5:BA322,1),"")</f>
        <v/>
      </c>
    </row>
    <row r="323" spans="53:54">
      <c r="BA323">
        <f>IF('Master Database'!$A323="",0,IF(AND(OR($B$5="",ISNUMBER(SEARCH($B$5,'Master Database'!$B323&amp;" "&amp;'Master Database'!$D323))),OR($B$6="(All)",'Master Database'!$C323=$B$6),OR($B$7="(All)",'Master Database'!$E323=$B$7),OR($B$8="(All)",'Master Database'!$T323=$B$8),OR($B$9="(All)",'Master Database'!$M323=$B$9),OR($B$10="(All)",'Master Database'!$V323=$B$10),OR($E$5="(All)",'Master Database'!$F323=$E$5),OR($E$6="(All)",'Master Database'!$G323=$E$6),OR($E$7="(All)",'Master Database'!$O323=$E$7),OR($E$8="(All)",'Master Database'!$P323=$E$8),OR($E$9="(All)",'Master Database'!$S323=$E$9),OR($E$10="(All)",'Master Database'!$Y323&amp;""=$E$10&amp;""),OR($H$5="(All)",'Master Database'!$BG323=$H$5),OR($H$6&lt;&gt;"Y",ISNUMBER('Master Database'!$AG323)),OR($H$7="",AND(ISNUMBER('Master Database'!$H323),N('Master Database'!$H323)&gt;=$H$7)),OR($I$7="",AND(ISNUMBER('Master Database'!$H323),N('Master Database'!$H323)&lt;=$I$7)),OR($H$8="",AND(ISNUMBER('Master Database'!$I323),N('Master Database'!$I323)&gt;=$H$8)),OR($I$8="",AND(ISNUMBER('Master Database'!$I323),N('Master Database'!$I323)&lt;=$I$8)),OR($H$9="",AND(ISNUMBER('Master Database'!$K323),N('Master Database'!$K323)&gt;=$H$9)),OR($I$9="",AND(ISNUMBER('Master Database'!$K323),N('Master Database'!$K323)&lt;=$I$9))),1,0))</f>
        <v>0</v>
      </c>
      <c r="BB323" t="str">
        <f>IF(BA323=1,COUNTIF($BA$5:BA323,1),"")</f>
        <v/>
      </c>
    </row>
    <row r="324" spans="53:54">
      <c r="BA324">
        <f>IF('Master Database'!$A324="",0,IF(AND(OR($B$5="",ISNUMBER(SEARCH($B$5,'Master Database'!$B324&amp;" "&amp;'Master Database'!$D324))),OR($B$6="(All)",'Master Database'!$C324=$B$6),OR($B$7="(All)",'Master Database'!$E324=$B$7),OR($B$8="(All)",'Master Database'!$T324=$B$8),OR($B$9="(All)",'Master Database'!$M324=$B$9),OR($B$10="(All)",'Master Database'!$V324=$B$10),OR($E$5="(All)",'Master Database'!$F324=$E$5),OR($E$6="(All)",'Master Database'!$G324=$E$6),OR($E$7="(All)",'Master Database'!$O324=$E$7),OR($E$8="(All)",'Master Database'!$P324=$E$8),OR($E$9="(All)",'Master Database'!$S324=$E$9),OR($E$10="(All)",'Master Database'!$Y324&amp;""=$E$10&amp;""),OR($H$5="(All)",'Master Database'!$BG324=$H$5),OR($H$6&lt;&gt;"Y",ISNUMBER('Master Database'!$AG324)),OR($H$7="",AND(ISNUMBER('Master Database'!$H324),N('Master Database'!$H324)&gt;=$H$7)),OR($I$7="",AND(ISNUMBER('Master Database'!$H324),N('Master Database'!$H324)&lt;=$I$7)),OR($H$8="",AND(ISNUMBER('Master Database'!$I324),N('Master Database'!$I324)&gt;=$H$8)),OR($I$8="",AND(ISNUMBER('Master Database'!$I324),N('Master Database'!$I324)&lt;=$I$8)),OR($H$9="",AND(ISNUMBER('Master Database'!$K324),N('Master Database'!$K324)&gt;=$H$9)),OR($I$9="",AND(ISNUMBER('Master Database'!$K324),N('Master Database'!$K324)&lt;=$I$9))),1,0))</f>
        <v>0</v>
      </c>
      <c r="BB324" t="str">
        <f>IF(BA324=1,COUNTIF($BA$5:BA324,1),"")</f>
        <v/>
      </c>
    </row>
    <row r="325" spans="53:54">
      <c r="BA325">
        <f>IF('Master Database'!$A325="",0,IF(AND(OR($B$5="",ISNUMBER(SEARCH($B$5,'Master Database'!$B325&amp;" "&amp;'Master Database'!$D325))),OR($B$6="(All)",'Master Database'!$C325=$B$6),OR($B$7="(All)",'Master Database'!$E325=$B$7),OR($B$8="(All)",'Master Database'!$T325=$B$8),OR($B$9="(All)",'Master Database'!$M325=$B$9),OR($B$10="(All)",'Master Database'!$V325=$B$10),OR($E$5="(All)",'Master Database'!$F325=$E$5),OR($E$6="(All)",'Master Database'!$G325=$E$6),OR($E$7="(All)",'Master Database'!$O325=$E$7),OR($E$8="(All)",'Master Database'!$P325=$E$8),OR($E$9="(All)",'Master Database'!$S325=$E$9),OR($E$10="(All)",'Master Database'!$Y325&amp;""=$E$10&amp;""),OR($H$5="(All)",'Master Database'!$BG325=$H$5),OR($H$6&lt;&gt;"Y",ISNUMBER('Master Database'!$AG325)),OR($H$7="",AND(ISNUMBER('Master Database'!$H325),N('Master Database'!$H325)&gt;=$H$7)),OR($I$7="",AND(ISNUMBER('Master Database'!$H325),N('Master Database'!$H325)&lt;=$I$7)),OR($H$8="",AND(ISNUMBER('Master Database'!$I325),N('Master Database'!$I325)&gt;=$H$8)),OR($I$8="",AND(ISNUMBER('Master Database'!$I325),N('Master Database'!$I325)&lt;=$I$8)),OR($H$9="",AND(ISNUMBER('Master Database'!$K325),N('Master Database'!$K325)&gt;=$H$9)),OR($I$9="",AND(ISNUMBER('Master Database'!$K325),N('Master Database'!$K325)&lt;=$I$9))),1,0))</f>
        <v>0</v>
      </c>
      <c r="BB325" t="str">
        <f>IF(BA325=1,COUNTIF($BA$5:BA325,1),"")</f>
        <v/>
      </c>
    </row>
    <row r="326" spans="53:54">
      <c r="BA326">
        <f>IF('Master Database'!$A326="",0,IF(AND(OR($B$5="",ISNUMBER(SEARCH($B$5,'Master Database'!$B326&amp;" "&amp;'Master Database'!$D326))),OR($B$6="(All)",'Master Database'!$C326=$B$6),OR($B$7="(All)",'Master Database'!$E326=$B$7),OR($B$8="(All)",'Master Database'!$T326=$B$8),OR($B$9="(All)",'Master Database'!$M326=$B$9),OR($B$10="(All)",'Master Database'!$V326=$B$10),OR($E$5="(All)",'Master Database'!$F326=$E$5),OR($E$6="(All)",'Master Database'!$G326=$E$6),OR($E$7="(All)",'Master Database'!$O326=$E$7),OR($E$8="(All)",'Master Database'!$P326=$E$8),OR($E$9="(All)",'Master Database'!$S326=$E$9),OR($E$10="(All)",'Master Database'!$Y326&amp;""=$E$10&amp;""),OR($H$5="(All)",'Master Database'!$BG326=$H$5),OR($H$6&lt;&gt;"Y",ISNUMBER('Master Database'!$AG326)),OR($H$7="",AND(ISNUMBER('Master Database'!$H326),N('Master Database'!$H326)&gt;=$H$7)),OR($I$7="",AND(ISNUMBER('Master Database'!$H326),N('Master Database'!$H326)&lt;=$I$7)),OR($H$8="",AND(ISNUMBER('Master Database'!$I326),N('Master Database'!$I326)&gt;=$H$8)),OR($I$8="",AND(ISNUMBER('Master Database'!$I326),N('Master Database'!$I326)&lt;=$I$8)),OR($H$9="",AND(ISNUMBER('Master Database'!$K326),N('Master Database'!$K326)&gt;=$H$9)),OR($I$9="",AND(ISNUMBER('Master Database'!$K326),N('Master Database'!$K326)&lt;=$I$9))),1,0))</f>
        <v>0</v>
      </c>
      <c r="BB326" t="str">
        <f>IF(BA326=1,COUNTIF($BA$5:BA326,1),"")</f>
        <v/>
      </c>
    </row>
    <row r="327" spans="53:54">
      <c r="BA327">
        <f>IF('Master Database'!$A327="",0,IF(AND(OR($B$5="",ISNUMBER(SEARCH($B$5,'Master Database'!$B327&amp;" "&amp;'Master Database'!$D327))),OR($B$6="(All)",'Master Database'!$C327=$B$6),OR($B$7="(All)",'Master Database'!$E327=$B$7),OR($B$8="(All)",'Master Database'!$T327=$B$8),OR($B$9="(All)",'Master Database'!$M327=$B$9),OR($B$10="(All)",'Master Database'!$V327=$B$10),OR($E$5="(All)",'Master Database'!$F327=$E$5),OR($E$6="(All)",'Master Database'!$G327=$E$6),OR($E$7="(All)",'Master Database'!$O327=$E$7),OR($E$8="(All)",'Master Database'!$P327=$E$8),OR($E$9="(All)",'Master Database'!$S327=$E$9),OR($E$10="(All)",'Master Database'!$Y327&amp;""=$E$10&amp;""),OR($H$5="(All)",'Master Database'!$BG327=$H$5),OR($H$6&lt;&gt;"Y",ISNUMBER('Master Database'!$AG327)),OR($H$7="",AND(ISNUMBER('Master Database'!$H327),N('Master Database'!$H327)&gt;=$H$7)),OR($I$7="",AND(ISNUMBER('Master Database'!$H327),N('Master Database'!$H327)&lt;=$I$7)),OR($H$8="",AND(ISNUMBER('Master Database'!$I327),N('Master Database'!$I327)&gt;=$H$8)),OR($I$8="",AND(ISNUMBER('Master Database'!$I327),N('Master Database'!$I327)&lt;=$I$8)),OR($H$9="",AND(ISNUMBER('Master Database'!$K327),N('Master Database'!$K327)&gt;=$H$9)),OR($I$9="",AND(ISNUMBER('Master Database'!$K327),N('Master Database'!$K327)&lt;=$I$9))),1,0))</f>
        <v>0</v>
      </c>
      <c r="BB327" t="str">
        <f>IF(BA327=1,COUNTIF($BA$5:BA327,1),"")</f>
        <v/>
      </c>
    </row>
    <row r="328" spans="53:54">
      <c r="BA328">
        <f>IF('Master Database'!$A328="",0,IF(AND(OR($B$5="",ISNUMBER(SEARCH($B$5,'Master Database'!$B328&amp;" "&amp;'Master Database'!$D328))),OR($B$6="(All)",'Master Database'!$C328=$B$6),OR($B$7="(All)",'Master Database'!$E328=$B$7),OR($B$8="(All)",'Master Database'!$T328=$B$8),OR($B$9="(All)",'Master Database'!$M328=$B$9),OR($B$10="(All)",'Master Database'!$V328=$B$10),OR($E$5="(All)",'Master Database'!$F328=$E$5),OR($E$6="(All)",'Master Database'!$G328=$E$6),OR($E$7="(All)",'Master Database'!$O328=$E$7),OR($E$8="(All)",'Master Database'!$P328=$E$8),OR($E$9="(All)",'Master Database'!$S328=$E$9),OR($E$10="(All)",'Master Database'!$Y328&amp;""=$E$10&amp;""),OR($H$5="(All)",'Master Database'!$BG328=$H$5),OR($H$6&lt;&gt;"Y",ISNUMBER('Master Database'!$AG328)),OR($H$7="",AND(ISNUMBER('Master Database'!$H328),N('Master Database'!$H328)&gt;=$H$7)),OR($I$7="",AND(ISNUMBER('Master Database'!$H328),N('Master Database'!$H328)&lt;=$I$7)),OR($H$8="",AND(ISNUMBER('Master Database'!$I328),N('Master Database'!$I328)&gt;=$H$8)),OR($I$8="",AND(ISNUMBER('Master Database'!$I328),N('Master Database'!$I328)&lt;=$I$8)),OR($H$9="",AND(ISNUMBER('Master Database'!$K328),N('Master Database'!$K328)&gt;=$H$9)),OR($I$9="",AND(ISNUMBER('Master Database'!$K328),N('Master Database'!$K328)&lt;=$I$9))),1,0))</f>
        <v>0</v>
      </c>
      <c r="BB328" t="str">
        <f>IF(BA328=1,COUNTIF($BA$5:BA328,1),"")</f>
        <v/>
      </c>
    </row>
    <row r="329" spans="53:54">
      <c r="BA329">
        <f>IF('Master Database'!$A329="",0,IF(AND(OR($B$5="",ISNUMBER(SEARCH($B$5,'Master Database'!$B329&amp;" "&amp;'Master Database'!$D329))),OR($B$6="(All)",'Master Database'!$C329=$B$6),OR($B$7="(All)",'Master Database'!$E329=$B$7),OR($B$8="(All)",'Master Database'!$T329=$B$8),OR($B$9="(All)",'Master Database'!$M329=$B$9),OR($B$10="(All)",'Master Database'!$V329=$B$10),OR($E$5="(All)",'Master Database'!$F329=$E$5),OR($E$6="(All)",'Master Database'!$G329=$E$6),OR($E$7="(All)",'Master Database'!$O329=$E$7),OR($E$8="(All)",'Master Database'!$P329=$E$8),OR($E$9="(All)",'Master Database'!$S329=$E$9),OR($E$10="(All)",'Master Database'!$Y329&amp;""=$E$10&amp;""),OR($H$5="(All)",'Master Database'!$BG329=$H$5),OR($H$6&lt;&gt;"Y",ISNUMBER('Master Database'!$AG329)),OR($H$7="",AND(ISNUMBER('Master Database'!$H329),N('Master Database'!$H329)&gt;=$H$7)),OR($I$7="",AND(ISNUMBER('Master Database'!$H329),N('Master Database'!$H329)&lt;=$I$7)),OR($H$8="",AND(ISNUMBER('Master Database'!$I329),N('Master Database'!$I329)&gt;=$H$8)),OR($I$8="",AND(ISNUMBER('Master Database'!$I329),N('Master Database'!$I329)&lt;=$I$8)),OR($H$9="",AND(ISNUMBER('Master Database'!$K329),N('Master Database'!$K329)&gt;=$H$9)),OR($I$9="",AND(ISNUMBER('Master Database'!$K329),N('Master Database'!$K329)&lt;=$I$9))),1,0))</f>
        <v>0</v>
      </c>
      <c r="BB329" t="str">
        <f>IF(BA329=1,COUNTIF($BA$5:BA329,1),"")</f>
        <v/>
      </c>
    </row>
    <row r="330" spans="53:54">
      <c r="BA330">
        <f>IF('Master Database'!$A330="",0,IF(AND(OR($B$5="",ISNUMBER(SEARCH($B$5,'Master Database'!$B330&amp;" "&amp;'Master Database'!$D330))),OR($B$6="(All)",'Master Database'!$C330=$B$6),OR($B$7="(All)",'Master Database'!$E330=$B$7),OR($B$8="(All)",'Master Database'!$T330=$B$8),OR($B$9="(All)",'Master Database'!$M330=$B$9),OR($B$10="(All)",'Master Database'!$V330=$B$10),OR($E$5="(All)",'Master Database'!$F330=$E$5),OR($E$6="(All)",'Master Database'!$G330=$E$6),OR($E$7="(All)",'Master Database'!$O330=$E$7),OR($E$8="(All)",'Master Database'!$P330=$E$8),OR($E$9="(All)",'Master Database'!$S330=$E$9),OR($E$10="(All)",'Master Database'!$Y330&amp;""=$E$10&amp;""),OR($H$5="(All)",'Master Database'!$BG330=$H$5),OR($H$6&lt;&gt;"Y",ISNUMBER('Master Database'!$AG330)),OR($H$7="",AND(ISNUMBER('Master Database'!$H330),N('Master Database'!$H330)&gt;=$H$7)),OR($I$7="",AND(ISNUMBER('Master Database'!$H330),N('Master Database'!$H330)&lt;=$I$7)),OR($H$8="",AND(ISNUMBER('Master Database'!$I330),N('Master Database'!$I330)&gt;=$H$8)),OR($I$8="",AND(ISNUMBER('Master Database'!$I330),N('Master Database'!$I330)&lt;=$I$8)),OR($H$9="",AND(ISNUMBER('Master Database'!$K330),N('Master Database'!$K330)&gt;=$H$9)),OR($I$9="",AND(ISNUMBER('Master Database'!$K330),N('Master Database'!$K330)&lt;=$I$9))),1,0))</f>
        <v>0</v>
      </c>
      <c r="BB330" t="str">
        <f>IF(BA330=1,COUNTIF($BA$5:BA330,1),"")</f>
        <v/>
      </c>
    </row>
    <row r="331" spans="53:54">
      <c r="BA331">
        <f>IF('Master Database'!$A331="",0,IF(AND(OR($B$5="",ISNUMBER(SEARCH($B$5,'Master Database'!$B331&amp;" "&amp;'Master Database'!$D331))),OR($B$6="(All)",'Master Database'!$C331=$B$6),OR($B$7="(All)",'Master Database'!$E331=$B$7),OR($B$8="(All)",'Master Database'!$T331=$B$8),OR($B$9="(All)",'Master Database'!$M331=$B$9),OR($B$10="(All)",'Master Database'!$V331=$B$10),OR($E$5="(All)",'Master Database'!$F331=$E$5),OR($E$6="(All)",'Master Database'!$G331=$E$6),OR($E$7="(All)",'Master Database'!$O331=$E$7),OR($E$8="(All)",'Master Database'!$P331=$E$8),OR($E$9="(All)",'Master Database'!$S331=$E$9),OR($E$10="(All)",'Master Database'!$Y331&amp;""=$E$10&amp;""),OR($H$5="(All)",'Master Database'!$BG331=$H$5),OR($H$6&lt;&gt;"Y",ISNUMBER('Master Database'!$AG331)),OR($H$7="",AND(ISNUMBER('Master Database'!$H331),N('Master Database'!$H331)&gt;=$H$7)),OR($I$7="",AND(ISNUMBER('Master Database'!$H331),N('Master Database'!$H331)&lt;=$I$7)),OR($H$8="",AND(ISNUMBER('Master Database'!$I331),N('Master Database'!$I331)&gt;=$H$8)),OR($I$8="",AND(ISNUMBER('Master Database'!$I331),N('Master Database'!$I331)&lt;=$I$8)),OR($H$9="",AND(ISNUMBER('Master Database'!$K331),N('Master Database'!$K331)&gt;=$H$9)),OR($I$9="",AND(ISNUMBER('Master Database'!$K331),N('Master Database'!$K331)&lt;=$I$9))),1,0))</f>
        <v>0</v>
      </c>
      <c r="BB331" t="str">
        <f>IF(BA331=1,COUNTIF($BA$5:BA331,1),"")</f>
        <v/>
      </c>
    </row>
    <row r="332" spans="53:54">
      <c r="BA332">
        <f>IF('Master Database'!$A332="",0,IF(AND(OR($B$5="",ISNUMBER(SEARCH($B$5,'Master Database'!$B332&amp;" "&amp;'Master Database'!$D332))),OR($B$6="(All)",'Master Database'!$C332=$B$6),OR($B$7="(All)",'Master Database'!$E332=$B$7),OR($B$8="(All)",'Master Database'!$T332=$B$8),OR($B$9="(All)",'Master Database'!$M332=$B$9),OR($B$10="(All)",'Master Database'!$V332=$B$10),OR($E$5="(All)",'Master Database'!$F332=$E$5),OR($E$6="(All)",'Master Database'!$G332=$E$6),OR($E$7="(All)",'Master Database'!$O332=$E$7),OR($E$8="(All)",'Master Database'!$P332=$E$8),OR($E$9="(All)",'Master Database'!$S332=$E$9),OR($E$10="(All)",'Master Database'!$Y332&amp;""=$E$10&amp;""),OR($H$5="(All)",'Master Database'!$BG332=$H$5),OR($H$6&lt;&gt;"Y",ISNUMBER('Master Database'!$AG332)),OR($H$7="",AND(ISNUMBER('Master Database'!$H332),N('Master Database'!$H332)&gt;=$H$7)),OR($I$7="",AND(ISNUMBER('Master Database'!$H332),N('Master Database'!$H332)&lt;=$I$7)),OR($H$8="",AND(ISNUMBER('Master Database'!$I332),N('Master Database'!$I332)&gt;=$H$8)),OR($I$8="",AND(ISNUMBER('Master Database'!$I332),N('Master Database'!$I332)&lt;=$I$8)),OR($H$9="",AND(ISNUMBER('Master Database'!$K332),N('Master Database'!$K332)&gt;=$H$9)),OR($I$9="",AND(ISNUMBER('Master Database'!$K332),N('Master Database'!$K332)&lt;=$I$9))),1,0))</f>
        <v>0</v>
      </c>
      <c r="BB332" t="str">
        <f>IF(BA332=1,COUNTIF($BA$5:BA332,1),"")</f>
        <v/>
      </c>
    </row>
    <row r="333" spans="53:54">
      <c r="BA333">
        <f>IF('Master Database'!$A333="",0,IF(AND(OR($B$5="",ISNUMBER(SEARCH($B$5,'Master Database'!$B333&amp;" "&amp;'Master Database'!$D333))),OR($B$6="(All)",'Master Database'!$C333=$B$6),OR($B$7="(All)",'Master Database'!$E333=$B$7),OR($B$8="(All)",'Master Database'!$T333=$B$8),OR($B$9="(All)",'Master Database'!$M333=$B$9),OR($B$10="(All)",'Master Database'!$V333=$B$10),OR($E$5="(All)",'Master Database'!$F333=$E$5),OR($E$6="(All)",'Master Database'!$G333=$E$6),OR($E$7="(All)",'Master Database'!$O333=$E$7),OR($E$8="(All)",'Master Database'!$P333=$E$8),OR($E$9="(All)",'Master Database'!$S333=$E$9),OR($E$10="(All)",'Master Database'!$Y333&amp;""=$E$10&amp;""),OR($H$5="(All)",'Master Database'!$BG333=$H$5),OR($H$6&lt;&gt;"Y",ISNUMBER('Master Database'!$AG333)),OR($H$7="",AND(ISNUMBER('Master Database'!$H333),N('Master Database'!$H333)&gt;=$H$7)),OR($I$7="",AND(ISNUMBER('Master Database'!$H333),N('Master Database'!$H333)&lt;=$I$7)),OR($H$8="",AND(ISNUMBER('Master Database'!$I333),N('Master Database'!$I333)&gt;=$H$8)),OR($I$8="",AND(ISNUMBER('Master Database'!$I333),N('Master Database'!$I333)&lt;=$I$8)),OR($H$9="",AND(ISNUMBER('Master Database'!$K333),N('Master Database'!$K333)&gt;=$H$9)),OR($I$9="",AND(ISNUMBER('Master Database'!$K333),N('Master Database'!$K333)&lt;=$I$9))),1,0))</f>
        <v>0</v>
      </c>
      <c r="BB333" t="str">
        <f>IF(BA333=1,COUNTIF($BA$5:BA333,1),"")</f>
        <v/>
      </c>
    </row>
    <row r="334" spans="53:54">
      <c r="BA334">
        <f>IF('Master Database'!$A334="",0,IF(AND(OR($B$5="",ISNUMBER(SEARCH($B$5,'Master Database'!$B334&amp;" "&amp;'Master Database'!$D334))),OR($B$6="(All)",'Master Database'!$C334=$B$6),OR($B$7="(All)",'Master Database'!$E334=$B$7),OR($B$8="(All)",'Master Database'!$T334=$B$8),OR($B$9="(All)",'Master Database'!$M334=$B$9),OR($B$10="(All)",'Master Database'!$V334=$B$10),OR($E$5="(All)",'Master Database'!$F334=$E$5),OR($E$6="(All)",'Master Database'!$G334=$E$6),OR($E$7="(All)",'Master Database'!$O334=$E$7),OR($E$8="(All)",'Master Database'!$P334=$E$8),OR($E$9="(All)",'Master Database'!$S334=$E$9),OR($E$10="(All)",'Master Database'!$Y334&amp;""=$E$10&amp;""),OR($H$5="(All)",'Master Database'!$BG334=$H$5),OR($H$6&lt;&gt;"Y",ISNUMBER('Master Database'!$AG334)),OR($H$7="",AND(ISNUMBER('Master Database'!$H334),N('Master Database'!$H334)&gt;=$H$7)),OR($I$7="",AND(ISNUMBER('Master Database'!$H334),N('Master Database'!$H334)&lt;=$I$7)),OR($H$8="",AND(ISNUMBER('Master Database'!$I334),N('Master Database'!$I334)&gt;=$H$8)),OR($I$8="",AND(ISNUMBER('Master Database'!$I334),N('Master Database'!$I334)&lt;=$I$8)),OR($H$9="",AND(ISNUMBER('Master Database'!$K334),N('Master Database'!$K334)&gt;=$H$9)),OR($I$9="",AND(ISNUMBER('Master Database'!$K334),N('Master Database'!$K334)&lt;=$I$9))),1,0))</f>
        <v>0</v>
      </c>
      <c r="BB334" t="str">
        <f>IF(BA334=1,COUNTIF($BA$5:BA334,1),"")</f>
        <v/>
      </c>
    </row>
    <row r="335" spans="53:54">
      <c r="BA335">
        <f>IF('Master Database'!$A335="",0,IF(AND(OR($B$5="",ISNUMBER(SEARCH($B$5,'Master Database'!$B335&amp;" "&amp;'Master Database'!$D335))),OR($B$6="(All)",'Master Database'!$C335=$B$6),OR($B$7="(All)",'Master Database'!$E335=$B$7),OR($B$8="(All)",'Master Database'!$T335=$B$8),OR($B$9="(All)",'Master Database'!$M335=$B$9),OR($B$10="(All)",'Master Database'!$V335=$B$10),OR($E$5="(All)",'Master Database'!$F335=$E$5),OR($E$6="(All)",'Master Database'!$G335=$E$6),OR($E$7="(All)",'Master Database'!$O335=$E$7),OR($E$8="(All)",'Master Database'!$P335=$E$8),OR($E$9="(All)",'Master Database'!$S335=$E$9),OR($E$10="(All)",'Master Database'!$Y335&amp;""=$E$10&amp;""),OR($H$5="(All)",'Master Database'!$BG335=$H$5),OR($H$6&lt;&gt;"Y",ISNUMBER('Master Database'!$AG335)),OR($H$7="",AND(ISNUMBER('Master Database'!$H335),N('Master Database'!$H335)&gt;=$H$7)),OR($I$7="",AND(ISNUMBER('Master Database'!$H335),N('Master Database'!$H335)&lt;=$I$7)),OR($H$8="",AND(ISNUMBER('Master Database'!$I335),N('Master Database'!$I335)&gt;=$H$8)),OR($I$8="",AND(ISNUMBER('Master Database'!$I335),N('Master Database'!$I335)&lt;=$I$8)),OR($H$9="",AND(ISNUMBER('Master Database'!$K335),N('Master Database'!$K335)&gt;=$H$9)),OR($I$9="",AND(ISNUMBER('Master Database'!$K335),N('Master Database'!$K335)&lt;=$I$9))),1,0))</f>
        <v>0</v>
      </c>
      <c r="BB335" t="str">
        <f>IF(BA335=1,COUNTIF($BA$5:BA335,1),"")</f>
        <v/>
      </c>
    </row>
    <row r="336" spans="53:54">
      <c r="BA336">
        <f>IF('Master Database'!$A336="",0,IF(AND(OR($B$5="",ISNUMBER(SEARCH($B$5,'Master Database'!$B336&amp;" "&amp;'Master Database'!$D336))),OR($B$6="(All)",'Master Database'!$C336=$B$6),OR($B$7="(All)",'Master Database'!$E336=$B$7),OR($B$8="(All)",'Master Database'!$T336=$B$8),OR($B$9="(All)",'Master Database'!$M336=$B$9),OR($B$10="(All)",'Master Database'!$V336=$B$10),OR($E$5="(All)",'Master Database'!$F336=$E$5),OR($E$6="(All)",'Master Database'!$G336=$E$6),OR($E$7="(All)",'Master Database'!$O336=$E$7),OR($E$8="(All)",'Master Database'!$P336=$E$8),OR($E$9="(All)",'Master Database'!$S336=$E$9),OR($E$10="(All)",'Master Database'!$Y336&amp;""=$E$10&amp;""),OR($H$5="(All)",'Master Database'!$BG336=$H$5),OR($H$6&lt;&gt;"Y",ISNUMBER('Master Database'!$AG336)),OR($H$7="",AND(ISNUMBER('Master Database'!$H336),N('Master Database'!$H336)&gt;=$H$7)),OR($I$7="",AND(ISNUMBER('Master Database'!$H336),N('Master Database'!$H336)&lt;=$I$7)),OR($H$8="",AND(ISNUMBER('Master Database'!$I336),N('Master Database'!$I336)&gt;=$H$8)),OR($I$8="",AND(ISNUMBER('Master Database'!$I336),N('Master Database'!$I336)&lt;=$I$8)),OR($H$9="",AND(ISNUMBER('Master Database'!$K336),N('Master Database'!$K336)&gt;=$H$9)),OR($I$9="",AND(ISNUMBER('Master Database'!$K336),N('Master Database'!$K336)&lt;=$I$9))),1,0))</f>
        <v>0</v>
      </c>
      <c r="BB336" t="str">
        <f>IF(BA336=1,COUNTIF($BA$5:BA336,1),"")</f>
        <v/>
      </c>
    </row>
    <row r="337" spans="53:54">
      <c r="BA337">
        <f>IF('Master Database'!$A337="",0,IF(AND(OR($B$5="",ISNUMBER(SEARCH($B$5,'Master Database'!$B337&amp;" "&amp;'Master Database'!$D337))),OR($B$6="(All)",'Master Database'!$C337=$B$6),OR($B$7="(All)",'Master Database'!$E337=$B$7),OR($B$8="(All)",'Master Database'!$T337=$B$8),OR($B$9="(All)",'Master Database'!$M337=$B$9),OR($B$10="(All)",'Master Database'!$V337=$B$10),OR($E$5="(All)",'Master Database'!$F337=$E$5),OR($E$6="(All)",'Master Database'!$G337=$E$6),OR($E$7="(All)",'Master Database'!$O337=$E$7),OR($E$8="(All)",'Master Database'!$P337=$E$8),OR($E$9="(All)",'Master Database'!$S337=$E$9),OR($E$10="(All)",'Master Database'!$Y337&amp;""=$E$10&amp;""),OR($H$5="(All)",'Master Database'!$BG337=$H$5),OR($H$6&lt;&gt;"Y",ISNUMBER('Master Database'!$AG337)),OR($H$7="",AND(ISNUMBER('Master Database'!$H337),N('Master Database'!$H337)&gt;=$H$7)),OR($I$7="",AND(ISNUMBER('Master Database'!$H337),N('Master Database'!$H337)&lt;=$I$7)),OR($H$8="",AND(ISNUMBER('Master Database'!$I337),N('Master Database'!$I337)&gt;=$H$8)),OR($I$8="",AND(ISNUMBER('Master Database'!$I337),N('Master Database'!$I337)&lt;=$I$8)),OR($H$9="",AND(ISNUMBER('Master Database'!$K337),N('Master Database'!$K337)&gt;=$H$9)),OR($I$9="",AND(ISNUMBER('Master Database'!$K337),N('Master Database'!$K337)&lt;=$I$9))),1,0))</f>
        <v>0</v>
      </c>
      <c r="BB337" t="str">
        <f>IF(BA337=1,COUNTIF($BA$5:BA337,1),"")</f>
        <v/>
      </c>
    </row>
    <row r="338" spans="53:54">
      <c r="BA338">
        <f>IF('Master Database'!$A338="",0,IF(AND(OR($B$5="",ISNUMBER(SEARCH($B$5,'Master Database'!$B338&amp;" "&amp;'Master Database'!$D338))),OR($B$6="(All)",'Master Database'!$C338=$B$6),OR($B$7="(All)",'Master Database'!$E338=$B$7),OR($B$8="(All)",'Master Database'!$T338=$B$8),OR($B$9="(All)",'Master Database'!$M338=$B$9),OR($B$10="(All)",'Master Database'!$V338=$B$10),OR($E$5="(All)",'Master Database'!$F338=$E$5),OR($E$6="(All)",'Master Database'!$G338=$E$6),OR($E$7="(All)",'Master Database'!$O338=$E$7),OR($E$8="(All)",'Master Database'!$P338=$E$8),OR($E$9="(All)",'Master Database'!$S338=$E$9),OR($E$10="(All)",'Master Database'!$Y338&amp;""=$E$10&amp;""),OR($H$5="(All)",'Master Database'!$BG338=$H$5),OR($H$6&lt;&gt;"Y",ISNUMBER('Master Database'!$AG338)),OR($H$7="",AND(ISNUMBER('Master Database'!$H338),N('Master Database'!$H338)&gt;=$H$7)),OR($I$7="",AND(ISNUMBER('Master Database'!$H338),N('Master Database'!$H338)&lt;=$I$7)),OR($H$8="",AND(ISNUMBER('Master Database'!$I338),N('Master Database'!$I338)&gt;=$H$8)),OR($I$8="",AND(ISNUMBER('Master Database'!$I338),N('Master Database'!$I338)&lt;=$I$8)),OR($H$9="",AND(ISNUMBER('Master Database'!$K338),N('Master Database'!$K338)&gt;=$H$9)),OR($I$9="",AND(ISNUMBER('Master Database'!$K338),N('Master Database'!$K338)&lt;=$I$9))),1,0))</f>
        <v>0</v>
      </c>
      <c r="BB338" t="str">
        <f>IF(BA338=1,COUNTIF($BA$5:BA338,1),"")</f>
        <v/>
      </c>
    </row>
    <row r="339" spans="53:54">
      <c r="BA339">
        <f>IF('Master Database'!$A339="",0,IF(AND(OR($B$5="",ISNUMBER(SEARCH($B$5,'Master Database'!$B339&amp;" "&amp;'Master Database'!$D339))),OR($B$6="(All)",'Master Database'!$C339=$B$6),OR($B$7="(All)",'Master Database'!$E339=$B$7),OR($B$8="(All)",'Master Database'!$T339=$B$8),OR($B$9="(All)",'Master Database'!$M339=$B$9),OR($B$10="(All)",'Master Database'!$V339=$B$10),OR($E$5="(All)",'Master Database'!$F339=$E$5),OR($E$6="(All)",'Master Database'!$G339=$E$6),OR($E$7="(All)",'Master Database'!$O339=$E$7),OR($E$8="(All)",'Master Database'!$P339=$E$8),OR($E$9="(All)",'Master Database'!$S339=$E$9),OR($E$10="(All)",'Master Database'!$Y339&amp;""=$E$10&amp;""),OR($H$5="(All)",'Master Database'!$BG339=$H$5),OR($H$6&lt;&gt;"Y",ISNUMBER('Master Database'!$AG339)),OR($H$7="",AND(ISNUMBER('Master Database'!$H339),N('Master Database'!$H339)&gt;=$H$7)),OR($I$7="",AND(ISNUMBER('Master Database'!$H339),N('Master Database'!$H339)&lt;=$I$7)),OR($H$8="",AND(ISNUMBER('Master Database'!$I339),N('Master Database'!$I339)&gt;=$H$8)),OR($I$8="",AND(ISNUMBER('Master Database'!$I339),N('Master Database'!$I339)&lt;=$I$8)),OR($H$9="",AND(ISNUMBER('Master Database'!$K339),N('Master Database'!$K339)&gt;=$H$9)),OR($I$9="",AND(ISNUMBER('Master Database'!$K339),N('Master Database'!$K339)&lt;=$I$9))),1,0))</f>
        <v>0</v>
      </c>
      <c r="BB339" t="str">
        <f>IF(BA339=1,COUNTIF($BA$5:BA339,1),"")</f>
        <v/>
      </c>
    </row>
    <row r="340" spans="53:54">
      <c r="BA340">
        <f>IF('Master Database'!$A340="",0,IF(AND(OR($B$5="",ISNUMBER(SEARCH($B$5,'Master Database'!$B340&amp;" "&amp;'Master Database'!$D340))),OR($B$6="(All)",'Master Database'!$C340=$B$6),OR($B$7="(All)",'Master Database'!$E340=$B$7),OR($B$8="(All)",'Master Database'!$T340=$B$8),OR($B$9="(All)",'Master Database'!$M340=$B$9),OR($B$10="(All)",'Master Database'!$V340=$B$10),OR($E$5="(All)",'Master Database'!$F340=$E$5),OR($E$6="(All)",'Master Database'!$G340=$E$6),OR($E$7="(All)",'Master Database'!$O340=$E$7),OR($E$8="(All)",'Master Database'!$P340=$E$8),OR($E$9="(All)",'Master Database'!$S340=$E$9),OR($E$10="(All)",'Master Database'!$Y340&amp;""=$E$10&amp;""),OR($H$5="(All)",'Master Database'!$BG340=$H$5),OR($H$6&lt;&gt;"Y",ISNUMBER('Master Database'!$AG340)),OR($H$7="",AND(ISNUMBER('Master Database'!$H340),N('Master Database'!$H340)&gt;=$H$7)),OR($I$7="",AND(ISNUMBER('Master Database'!$H340),N('Master Database'!$H340)&lt;=$I$7)),OR($H$8="",AND(ISNUMBER('Master Database'!$I340),N('Master Database'!$I340)&gt;=$H$8)),OR($I$8="",AND(ISNUMBER('Master Database'!$I340),N('Master Database'!$I340)&lt;=$I$8)),OR($H$9="",AND(ISNUMBER('Master Database'!$K340),N('Master Database'!$K340)&gt;=$H$9)),OR($I$9="",AND(ISNUMBER('Master Database'!$K340),N('Master Database'!$K340)&lt;=$I$9))),1,0))</f>
        <v>0</v>
      </c>
      <c r="BB340" t="str">
        <f>IF(BA340=1,COUNTIF($BA$5:BA340,1),"")</f>
        <v/>
      </c>
    </row>
    <row r="341" spans="53:54">
      <c r="BA341">
        <f>IF('Master Database'!$A341="",0,IF(AND(OR($B$5="",ISNUMBER(SEARCH($B$5,'Master Database'!$B341&amp;" "&amp;'Master Database'!$D341))),OR($B$6="(All)",'Master Database'!$C341=$B$6),OR($B$7="(All)",'Master Database'!$E341=$B$7),OR($B$8="(All)",'Master Database'!$T341=$B$8),OR($B$9="(All)",'Master Database'!$M341=$B$9),OR($B$10="(All)",'Master Database'!$V341=$B$10),OR($E$5="(All)",'Master Database'!$F341=$E$5),OR($E$6="(All)",'Master Database'!$G341=$E$6),OR($E$7="(All)",'Master Database'!$O341=$E$7),OR($E$8="(All)",'Master Database'!$P341=$E$8),OR($E$9="(All)",'Master Database'!$S341=$E$9),OR($E$10="(All)",'Master Database'!$Y341&amp;""=$E$10&amp;""),OR($H$5="(All)",'Master Database'!$BG341=$H$5),OR($H$6&lt;&gt;"Y",ISNUMBER('Master Database'!$AG341)),OR($H$7="",AND(ISNUMBER('Master Database'!$H341),N('Master Database'!$H341)&gt;=$H$7)),OR($I$7="",AND(ISNUMBER('Master Database'!$H341),N('Master Database'!$H341)&lt;=$I$7)),OR($H$8="",AND(ISNUMBER('Master Database'!$I341),N('Master Database'!$I341)&gt;=$H$8)),OR($I$8="",AND(ISNUMBER('Master Database'!$I341),N('Master Database'!$I341)&lt;=$I$8)),OR($H$9="",AND(ISNUMBER('Master Database'!$K341),N('Master Database'!$K341)&gt;=$H$9)),OR($I$9="",AND(ISNUMBER('Master Database'!$K341),N('Master Database'!$K341)&lt;=$I$9))),1,0))</f>
        <v>0</v>
      </c>
      <c r="BB341" t="str">
        <f>IF(BA341=1,COUNTIF($BA$5:BA341,1),"")</f>
        <v/>
      </c>
    </row>
    <row r="342" spans="53:54">
      <c r="BA342">
        <f>IF('Master Database'!$A342="",0,IF(AND(OR($B$5="",ISNUMBER(SEARCH($B$5,'Master Database'!$B342&amp;" "&amp;'Master Database'!$D342))),OR($B$6="(All)",'Master Database'!$C342=$B$6),OR($B$7="(All)",'Master Database'!$E342=$B$7),OR($B$8="(All)",'Master Database'!$T342=$B$8),OR($B$9="(All)",'Master Database'!$M342=$B$9),OR($B$10="(All)",'Master Database'!$V342=$B$10),OR($E$5="(All)",'Master Database'!$F342=$E$5),OR($E$6="(All)",'Master Database'!$G342=$E$6),OR($E$7="(All)",'Master Database'!$O342=$E$7),OR($E$8="(All)",'Master Database'!$P342=$E$8),OR($E$9="(All)",'Master Database'!$S342=$E$9),OR($E$10="(All)",'Master Database'!$Y342&amp;""=$E$10&amp;""),OR($H$5="(All)",'Master Database'!$BG342=$H$5),OR($H$6&lt;&gt;"Y",ISNUMBER('Master Database'!$AG342)),OR($H$7="",AND(ISNUMBER('Master Database'!$H342),N('Master Database'!$H342)&gt;=$H$7)),OR($I$7="",AND(ISNUMBER('Master Database'!$H342),N('Master Database'!$H342)&lt;=$I$7)),OR($H$8="",AND(ISNUMBER('Master Database'!$I342),N('Master Database'!$I342)&gt;=$H$8)),OR($I$8="",AND(ISNUMBER('Master Database'!$I342),N('Master Database'!$I342)&lt;=$I$8)),OR($H$9="",AND(ISNUMBER('Master Database'!$K342),N('Master Database'!$K342)&gt;=$H$9)),OR($I$9="",AND(ISNUMBER('Master Database'!$K342),N('Master Database'!$K342)&lt;=$I$9))),1,0))</f>
        <v>0</v>
      </c>
      <c r="BB342" t="str">
        <f>IF(BA342=1,COUNTIF($BA$5:BA342,1),"")</f>
        <v/>
      </c>
    </row>
    <row r="343" spans="53:54">
      <c r="BA343">
        <f>IF('Master Database'!$A343="",0,IF(AND(OR($B$5="",ISNUMBER(SEARCH($B$5,'Master Database'!$B343&amp;" "&amp;'Master Database'!$D343))),OR($B$6="(All)",'Master Database'!$C343=$B$6),OR($B$7="(All)",'Master Database'!$E343=$B$7),OR($B$8="(All)",'Master Database'!$T343=$B$8),OR($B$9="(All)",'Master Database'!$M343=$B$9),OR($B$10="(All)",'Master Database'!$V343=$B$10),OR($E$5="(All)",'Master Database'!$F343=$E$5),OR($E$6="(All)",'Master Database'!$G343=$E$6),OR($E$7="(All)",'Master Database'!$O343=$E$7),OR($E$8="(All)",'Master Database'!$P343=$E$8),OR($E$9="(All)",'Master Database'!$S343=$E$9),OR($E$10="(All)",'Master Database'!$Y343&amp;""=$E$10&amp;""),OR($H$5="(All)",'Master Database'!$BG343=$H$5),OR($H$6&lt;&gt;"Y",ISNUMBER('Master Database'!$AG343)),OR($H$7="",AND(ISNUMBER('Master Database'!$H343),N('Master Database'!$H343)&gt;=$H$7)),OR($I$7="",AND(ISNUMBER('Master Database'!$H343),N('Master Database'!$H343)&lt;=$I$7)),OR($H$8="",AND(ISNUMBER('Master Database'!$I343),N('Master Database'!$I343)&gt;=$H$8)),OR($I$8="",AND(ISNUMBER('Master Database'!$I343),N('Master Database'!$I343)&lt;=$I$8)),OR($H$9="",AND(ISNUMBER('Master Database'!$K343),N('Master Database'!$K343)&gt;=$H$9)),OR($I$9="",AND(ISNUMBER('Master Database'!$K343),N('Master Database'!$K343)&lt;=$I$9))),1,0))</f>
        <v>0</v>
      </c>
      <c r="BB343" t="str">
        <f>IF(BA343=1,COUNTIF($BA$5:BA343,1),"")</f>
        <v/>
      </c>
    </row>
    <row r="344" spans="53:54">
      <c r="BA344">
        <f>IF('Master Database'!$A344="",0,IF(AND(OR($B$5="",ISNUMBER(SEARCH($B$5,'Master Database'!$B344&amp;" "&amp;'Master Database'!$D344))),OR($B$6="(All)",'Master Database'!$C344=$B$6),OR($B$7="(All)",'Master Database'!$E344=$B$7),OR($B$8="(All)",'Master Database'!$T344=$B$8),OR($B$9="(All)",'Master Database'!$M344=$B$9),OR($B$10="(All)",'Master Database'!$V344=$B$10),OR($E$5="(All)",'Master Database'!$F344=$E$5),OR($E$6="(All)",'Master Database'!$G344=$E$6),OR($E$7="(All)",'Master Database'!$O344=$E$7),OR($E$8="(All)",'Master Database'!$P344=$E$8),OR($E$9="(All)",'Master Database'!$S344=$E$9),OR($E$10="(All)",'Master Database'!$Y344&amp;""=$E$10&amp;""),OR($H$5="(All)",'Master Database'!$BG344=$H$5),OR($H$6&lt;&gt;"Y",ISNUMBER('Master Database'!$AG344)),OR($H$7="",AND(ISNUMBER('Master Database'!$H344),N('Master Database'!$H344)&gt;=$H$7)),OR($I$7="",AND(ISNUMBER('Master Database'!$H344),N('Master Database'!$H344)&lt;=$I$7)),OR($H$8="",AND(ISNUMBER('Master Database'!$I344),N('Master Database'!$I344)&gt;=$H$8)),OR($I$8="",AND(ISNUMBER('Master Database'!$I344),N('Master Database'!$I344)&lt;=$I$8)),OR($H$9="",AND(ISNUMBER('Master Database'!$K344),N('Master Database'!$K344)&gt;=$H$9)),OR($I$9="",AND(ISNUMBER('Master Database'!$K344),N('Master Database'!$K344)&lt;=$I$9))),1,0))</f>
        <v>0</v>
      </c>
      <c r="BB344" t="str">
        <f>IF(BA344=1,COUNTIF($BA$5:BA344,1),"")</f>
        <v/>
      </c>
    </row>
    <row r="345" spans="53:54">
      <c r="BA345">
        <f>IF('Master Database'!$A345="",0,IF(AND(OR($B$5="",ISNUMBER(SEARCH($B$5,'Master Database'!$B345&amp;" "&amp;'Master Database'!$D345))),OR($B$6="(All)",'Master Database'!$C345=$B$6),OR($B$7="(All)",'Master Database'!$E345=$B$7),OR($B$8="(All)",'Master Database'!$T345=$B$8),OR($B$9="(All)",'Master Database'!$M345=$B$9),OR($B$10="(All)",'Master Database'!$V345=$B$10),OR($E$5="(All)",'Master Database'!$F345=$E$5),OR($E$6="(All)",'Master Database'!$G345=$E$6),OR($E$7="(All)",'Master Database'!$O345=$E$7),OR($E$8="(All)",'Master Database'!$P345=$E$8),OR($E$9="(All)",'Master Database'!$S345=$E$9),OR($E$10="(All)",'Master Database'!$Y345&amp;""=$E$10&amp;""),OR($H$5="(All)",'Master Database'!$BG345=$H$5),OR($H$6&lt;&gt;"Y",ISNUMBER('Master Database'!$AG345)),OR($H$7="",AND(ISNUMBER('Master Database'!$H345),N('Master Database'!$H345)&gt;=$H$7)),OR($I$7="",AND(ISNUMBER('Master Database'!$H345),N('Master Database'!$H345)&lt;=$I$7)),OR($H$8="",AND(ISNUMBER('Master Database'!$I345),N('Master Database'!$I345)&gt;=$H$8)),OR($I$8="",AND(ISNUMBER('Master Database'!$I345),N('Master Database'!$I345)&lt;=$I$8)),OR($H$9="",AND(ISNUMBER('Master Database'!$K345),N('Master Database'!$K345)&gt;=$H$9)),OR($I$9="",AND(ISNUMBER('Master Database'!$K345),N('Master Database'!$K345)&lt;=$I$9))),1,0))</f>
        <v>0</v>
      </c>
      <c r="BB345" t="str">
        <f>IF(BA345=1,COUNTIF($BA$5:BA345,1),"")</f>
        <v/>
      </c>
    </row>
    <row r="346" spans="53:54">
      <c r="BA346">
        <f>IF('Master Database'!$A346="",0,IF(AND(OR($B$5="",ISNUMBER(SEARCH($B$5,'Master Database'!$B346&amp;" "&amp;'Master Database'!$D346))),OR($B$6="(All)",'Master Database'!$C346=$B$6),OR($B$7="(All)",'Master Database'!$E346=$B$7),OR($B$8="(All)",'Master Database'!$T346=$B$8),OR($B$9="(All)",'Master Database'!$M346=$B$9),OR($B$10="(All)",'Master Database'!$V346=$B$10),OR($E$5="(All)",'Master Database'!$F346=$E$5),OR($E$6="(All)",'Master Database'!$G346=$E$6),OR($E$7="(All)",'Master Database'!$O346=$E$7),OR($E$8="(All)",'Master Database'!$P346=$E$8),OR($E$9="(All)",'Master Database'!$S346=$E$9),OR($E$10="(All)",'Master Database'!$Y346&amp;""=$E$10&amp;""),OR($H$5="(All)",'Master Database'!$BG346=$H$5),OR($H$6&lt;&gt;"Y",ISNUMBER('Master Database'!$AG346)),OR($H$7="",AND(ISNUMBER('Master Database'!$H346),N('Master Database'!$H346)&gt;=$H$7)),OR($I$7="",AND(ISNUMBER('Master Database'!$H346),N('Master Database'!$H346)&lt;=$I$7)),OR($H$8="",AND(ISNUMBER('Master Database'!$I346),N('Master Database'!$I346)&gt;=$H$8)),OR($I$8="",AND(ISNUMBER('Master Database'!$I346),N('Master Database'!$I346)&lt;=$I$8)),OR($H$9="",AND(ISNUMBER('Master Database'!$K346),N('Master Database'!$K346)&gt;=$H$9)),OR($I$9="",AND(ISNUMBER('Master Database'!$K346),N('Master Database'!$K346)&lt;=$I$9))),1,0))</f>
        <v>0</v>
      </c>
      <c r="BB346" t="str">
        <f>IF(BA346=1,COUNTIF($BA$5:BA346,1),"")</f>
        <v/>
      </c>
    </row>
    <row r="347" spans="53:54">
      <c r="BA347">
        <f>IF('Master Database'!$A347="",0,IF(AND(OR($B$5="",ISNUMBER(SEARCH($B$5,'Master Database'!$B347&amp;" "&amp;'Master Database'!$D347))),OR($B$6="(All)",'Master Database'!$C347=$B$6),OR($B$7="(All)",'Master Database'!$E347=$B$7),OR($B$8="(All)",'Master Database'!$T347=$B$8),OR($B$9="(All)",'Master Database'!$M347=$B$9),OR($B$10="(All)",'Master Database'!$V347=$B$10),OR($E$5="(All)",'Master Database'!$F347=$E$5),OR($E$6="(All)",'Master Database'!$G347=$E$6),OR($E$7="(All)",'Master Database'!$O347=$E$7),OR($E$8="(All)",'Master Database'!$P347=$E$8),OR($E$9="(All)",'Master Database'!$S347=$E$9),OR($E$10="(All)",'Master Database'!$Y347&amp;""=$E$10&amp;""),OR($H$5="(All)",'Master Database'!$BG347=$H$5),OR($H$6&lt;&gt;"Y",ISNUMBER('Master Database'!$AG347)),OR($H$7="",AND(ISNUMBER('Master Database'!$H347),N('Master Database'!$H347)&gt;=$H$7)),OR($I$7="",AND(ISNUMBER('Master Database'!$H347),N('Master Database'!$H347)&lt;=$I$7)),OR($H$8="",AND(ISNUMBER('Master Database'!$I347),N('Master Database'!$I347)&gt;=$H$8)),OR($I$8="",AND(ISNUMBER('Master Database'!$I347),N('Master Database'!$I347)&lt;=$I$8)),OR($H$9="",AND(ISNUMBER('Master Database'!$K347),N('Master Database'!$K347)&gt;=$H$9)),OR($I$9="",AND(ISNUMBER('Master Database'!$K347),N('Master Database'!$K347)&lt;=$I$9))),1,0))</f>
        <v>0</v>
      </c>
      <c r="BB347" t="str">
        <f>IF(BA347=1,COUNTIF($BA$5:BA347,1),"")</f>
        <v/>
      </c>
    </row>
    <row r="348" spans="53:54">
      <c r="BA348">
        <f>IF('Master Database'!$A348="",0,IF(AND(OR($B$5="",ISNUMBER(SEARCH($B$5,'Master Database'!$B348&amp;" "&amp;'Master Database'!$D348))),OR($B$6="(All)",'Master Database'!$C348=$B$6),OR($B$7="(All)",'Master Database'!$E348=$B$7),OR($B$8="(All)",'Master Database'!$T348=$B$8),OR($B$9="(All)",'Master Database'!$M348=$B$9),OR($B$10="(All)",'Master Database'!$V348=$B$10),OR($E$5="(All)",'Master Database'!$F348=$E$5),OR($E$6="(All)",'Master Database'!$G348=$E$6),OR($E$7="(All)",'Master Database'!$O348=$E$7),OR($E$8="(All)",'Master Database'!$P348=$E$8),OR($E$9="(All)",'Master Database'!$S348=$E$9),OR($E$10="(All)",'Master Database'!$Y348&amp;""=$E$10&amp;""),OR($H$5="(All)",'Master Database'!$BG348=$H$5),OR($H$6&lt;&gt;"Y",ISNUMBER('Master Database'!$AG348)),OR($H$7="",AND(ISNUMBER('Master Database'!$H348),N('Master Database'!$H348)&gt;=$H$7)),OR($I$7="",AND(ISNUMBER('Master Database'!$H348),N('Master Database'!$H348)&lt;=$I$7)),OR($H$8="",AND(ISNUMBER('Master Database'!$I348),N('Master Database'!$I348)&gt;=$H$8)),OR($I$8="",AND(ISNUMBER('Master Database'!$I348),N('Master Database'!$I348)&lt;=$I$8)),OR($H$9="",AND(ISNUMBER('Master Database'!$K348),N('Master Database'!$K348)&gt;=$H$9)),OR($I$9="",AND(ISNUMBER('Master Database'!$K348),N('Master Database'!$K348)&lt;=$I$9))),1,0))</f>
        <v>0</v>
      </c>
      <c r="BB348" t="str">
        <f>IF(BA348=1,COUNTIF($BA$5:BA348,1),"")</f>
        <v/>
      </c>
    </row>
    <row r="349" spans="53:54">
      <c r="BA349">
        <f>IF('Master Database'!$A349="",0,IF(AND(OR($B$5="",ISNUMBER(SEARCH($B$5,'Master Database'!$B349&amp;" "&amp;'Master Database'!$D349))),OR($B$6="(All)",'Master Database'!$C349=$B$6),OR($B$7="(All)",'Master Database'!$E349=$B$7),OR($B$8="(All)",'Master Database'!$T349=$B$8),OR($B$9="(All)",'Master Database'!$M349=$B$9),OR($B$10="(All)",'Master Database'!$V349=$B$10),OR($E$5="(All)",'Master Database'!$F349=$E$5),OR($E$6="(All)",'Master Database'!$G349=$E$6),OR($E$7="(All)",'Master Database'!$O349=$E$7),OR($E$8="(All)",'Master Database'!$P349=$E$8),OR($E$9="(All)",'Master Database'!$S349=$E$9),OR($E$10="(All)",'Master Database'!$Y349&amp;""=$E$10&amp;""),OR($H$5="(All)",'Master Database'!$BG349=$H$5),OR($H$6&lt;&gt;"Y",ISNUMBER('Master Database'!$AG349)),OR($H$7="",AND(ISNUMBER('Master Database'!$H349),N('Master Database'!$H349)&gt;=$H$7)),OR($I$7="",AND(ISNUMBER('Master Database'!$H349),N('Master Database'!$H349)&lt;=$I$7)),OR($H$8="",AND(ISNUMBER('Master Database'!$I349),N('Master Database'!$I349)&gt;=$H$8)),OR($I$8="",AND(ISNUMBER('Master Database'!$I349),N('Master Database'!$I349)&lt;=$I$8)),OR($H$9="",AND(ISNUMBER('Master Database'!$K349),N('Master Database'!$K349)&gt;=$H$9)),OR($I$9="",AND(ISNUMBER('Master Database'!$K349),N('Master Database'!$K349)&lt;=$I$9))),1,0))</f>
        <v>0</v>
      </c>
      <c r="BB349" t="str">
        <f>IF(BA349=1,COUNTIF($BA$5:BA349,1),"")</f>
        <v/>
      </c>
    </row>
    <row r="350" spans="53:54">
      <c r="BA350">
        <f>IF('Master Database'!$A350="",0,IF(AND(OR($B$5="",ISNUMBER(SEARCH($B$5,'Master Database'!$B350&amp;" "&amp;'Master Database'!$D350))),OR($B$6="(All)",'Master Database'!$C350=$B$6),OR($B$7="(All)",'Master Database'!$E350=$B$7),OR($B$8="(All)",'Master Database'!$T350=$B$8),OR($B$9="(All)",'Master Database'!$M350=$B$9),OR($B$10="(All)",'Master Database'!$V350=$B$10),OR($E$5="(All)",'Master Database'!$F350=$E$5),OR($E$6="(All)",'Master Database'!$G350=$E$6),OR($E$7="(All)",'Master Database'!$O350=$E$7),OR($E$8="(All)",'Master Database'!$P350=$E$8),OR($E$9="(All)",'Master Database'!$S350=$E$9),OR($E$10="(All)",'Master Database'!$Y350&amp;""=$E$10&amp;""),OR($H$5="(All)",'Master Database'!$BG350=$H$5),OR($H$6&lt;&gt;"Y",ISNUMBER('Master Database'!$AG350)),OR($H$7="",AND(ISNUMBER('Master Database'!$H350),N('Master Database'!$H350)&gt;=$H$7)),OR($I$7="",AND(ISNUMBER('Master Database'!$H350),N('Master Database'!$H350)&lt;=$I$7)),OR($H$8="",AND(ISNUMBER('Master Database'!$I350),N('Master Database'!$I350)&gt;=$H$8)),OR($I$8="",AND(ISNUMBER('Master Database'!$I350),N('Master Database'!$I350)&lt;=$I$8)),OR($H$9="",AND(ISNUMBER('Master Database'!$K350),N('Master Database'!$K350)&gt;=$H$9)),OR($I$9="",AND(ISNUMBER('Master Database'!$K350),N('Master Database'!$K350)&lt;=$I$9))),1,0))</f>
        <v>0</v>
      </c>
      <c r="BB350" t="str">
        <f>IF(BA350=1,COUNTIF($BA$5:BA350,1),"")</f>
        <v/>
      </c>
    </row>
    <row r="351" spans="53:54">
      <c r="BA351">
        <f>IF('Master Database'!$A351="",0,IF(AND(OR($B$5="",ISNUMBER(SEARCH($B$5,'Master Database'!$B351&amp;" "&amp;'Master Database'!$D351))),OR($B$6="(All)",'Master Database'!$C351=$B$6),OR($B$7="(All)",'Master Database'!$E351=$B$7),OR($B$8="(All)",'Master Database'!$T351=$B$8),OR($B$9="(All)",'Master Database'!$M351=$B$9),OR($B$10="(All)",'Master Database'!$V351=$B$10),OR($E$5="(All)",'Master Database'!$F351=$E$5),OR($E$6="(All)",'Master Database'!$G351=$E$6),OR($E$7="(All)",'Master Database'!$O351=$E$7),OR($E$8="(All)",'Master Database'!$P351=$E$8),OR($E$9="(All)",'Master Database'!$S351=$E$9),OR($E$10="(All)",'Master Database'!$Y351&amp;""=$E$10&amp;""),OR($H$5="(All)",'Master Database'!$BG351=$H$5),OR($H$6&lt;&gt;"Y",ISNUMBER('Master Database'!$AG351)),OR($H$7="",AND(ISNUMBER('Master Database'!$H351),N('Master Database'!$H351)&gt;=$H$7)),OR($I$7="",AND(ISNUMBER('Master Database'!$H351),N('Master Database'!$H351)&lt;=$I$7)),OR($H$8="",AND(ISNUMBER('Master Database'!$I351),N('Master Database'!$I351)&gt;=$H$8)),OR($I$8="",AND(ISNUMBER('Master Database'!$I351),N('Master Database'!$I351)&lt;=$I$8)),OR($H$9="",AND(ISNUMBER('Master Database'!$K351),N('Master Database'!$K351)&gt;=$H$9)),OR($I$9="",AND(ISNUMBER('Master Database'!$K351),N('Master Database'!$K351)&lt;=$I$9))),1,0))</f>
        <v>0</v>
      </c>
      <c r="BB351" t="str">
        <f>IF(BA351=1,COUNTIF($BA$5:BA351,1),"")</f>
        <v/>
      </c>
    </row>
    <row r="352" spans="53:54">
      <c r="BA352">
        <f>IF('Master Database'!$A352="",0,IF(AND(OR($B$5="",ISNUMBER(SEARCH($B$5,'Master Database'!$B352&amp;" "&amp;'Master Database'!$D352))),OR($B$6="(All)",'Master Database'!$C352=$B$6),OR($B$7="(All)",'Master Database'!$E352=$B$7),OR($B$8="(All)",'Master Database'!$T352=$B$8),OR($B$9="(All)",'Master Database'!$M352=$B$9),OR($B$10="(All)",'Master Database'!$V352=$B$10),OR($E$5="(All)",'Master Database'!$F352=$E$5),OR($E$6="(All)",'Master Database'!$G352=$E$6),OR($E$7="(All)",'Master Database'!$O352=$E$7),OR($E$8="(All)",'Master Database'!$P352=$E$8),OR($E$9="(All)",'Master Database'!$S352=$E$9),OR($E$10="(All)",'Master Database'!$Y352&amp;""=$E$10&amp;""),OR($H$5="(All)",'Master Database'!$BG352=$H$5),OR($H$6&lt;&gt;"Y",ISNUMBER('Master Database'!$AG352)),OR($H$7="",AND(ISNUMBER('Master Database'!$H352),N('Master Database'!$H352)&gt;=$H$7)),OR($I$7="",AND(ISNUMBER('Master Database'!$H352),N('Master Database'!$H352)&lt;=$I$7)),OR($H$8="",AND(ISNUMBER('Master Database'!$I352),N('Master Database'!$I352)&gt;=$H$8)),OR($I$8="",AND(ISNUMBER('Master Database'!$I352),N('Master Database'!$I352)&lt;=$I$8)),OR($H$9="",AND(ISNUMBER('Master Database'!$K352),N('Master Database'!$K352)&gt;=$H$9)),OR($I$9="",AND(ISNUMBER('Master Database'!$K352),N('Master Database'!$K352)&lt;=$I$9))),1,0))</f>
        <v>0</v>
      </c>
      <c r="BB352" t="str">
        <f>IF(BA352=1,COUNTIF($BA$5:BA352,1),"")</f>
        <v/>
      </c>
    </row>
    <row r="353" spans="53:54">
      <c r="BA353">
        <f>IF('Master Database'!$A353="",0,IF(AND(OR($B$5="",ISNUMBER(SEARCH($B$5,'Master Database'!$B353&amp;" "&amp;'Master Database'!$D353))),OR($B$6="(All)",'Master Database'!$C353=$B$6),OR($B$7="(All)",'Master Database'!$E353=$B$7),OR($B$8="(All)",'Master Database'!$T353=$B$8),OR($B$9="(All)",'Master Database'!$M353=$B$9),OR($B$10="(All)",'Master Database'!$V353=$B$10),OR($E$5="(All)",'Master Database'!$F353=$E$5),OR($E$6="(All)",'Master Database'!$G353=$E$6),OR($E$7="(All)",'Master Database'!$O353=$E$7),OR($E$8="(All)",'Master Database'!$P353=$E$8),OR($E$9="(All)",'Master Database'!$S353=$E$9),OR($E$10="(All)",'Master Database'!$Y353&amp;""=$E$10&amp;""),OR($H$5="(All)",'Master Database'!$BG353=$H$5),OR($H$6&lt;&gt;"Y",ISNUMBER('Master Database'!$AG353)),OR($H$7="",AND(ISNUMBER('Master Database'!$H353),N('Master Database'!$H353)&gt;=$H$7)),OR($I$7="",AND(ISNUMBER('Master Database'!$H353),N('Master Database'!$H353)&lt;=$I$7)),OR($H$8="",AND(ISNUMBER('Master Database'!$I353),N('Master Database'!$I353)&gt;=$H$8)),OR($I$8="",AND(ISNUMBER('Master Database'!$I353),N('Master Database'!$I353)&lt;=$I$8)),OR($H$9="",AND(ISNUMBER('Master Database'!$K353),N('Master Database'!$K353)&gt;=$H$9)),OR($I$9="",AND(ISNUMBER('Master Database'!$K353),N('Master Database'!$K353)&lt;=$I$9))),1,0))</f>
        <v>0</v>
      </c>
      <c r="BB353" t="str">
        <f>IF(BA353=1,COUNTIF($BA$5:BA353,1),"")</f>
        <v/>
      </c>
    </row>
    <row r="354" spans="53:54">
      <c r="BA354">
        <f>IF('Master Database'!$A354="",0,IF(AND(OR($B$5="",ISNUMBER(SEARCH($B$5,'Master Database'!$B354&amp;" "&amp;'Master Database'!$D354))),OR($B$6="(All)",'Master Database'!$C354=$B$6),OR($B$7="(All)",'Master Database'!$E354=$B$7),OR($B$8="(All)",'Master Database'!$T354=$B$8),OR($B$9="(All)",'Master Database'!$M354=$B$9),OR($B$10="(All)",'Master Database'!$V354=$B$10),OR($E$5="(All)",'Master Database'!$F354=$E$5),OR($E$6="(All)",'Master Database'!$G354=$E$6),OR($E$7="(All)",'Master Database'!$O354=$E$7),OR($E$8="(All)",'Master Database'!$P354=$E$8),OR($E$9="(All)",'Master Database'!$S354=$E$9),OR($E$10="(All)",'Master Database'!$Y354&amp;""=$E$10&amp;""),OR($H$5="(All)",'Master Database'!$BG354=$H$5),OR($H$6&lt;&gt;"Y",ISNUMBER('Master Database'!$AG354)),OR($H$7="",AND(ISNUMBER('Master Database'!$H354),N('Master Database'!$H354)&gt;=$H$7)),OR($I$7="",AND(ISNUMBER('Master Database'!$H354),N('Master Database'!$H354)&lt;=$I$7)),OR($H$8="",AND(ISNUMBER('Master Database'!$I354),N('Master Database'!$I354)&gt;=$H$8)),OR($I$8="",AND(ISNUMBER('Master Database'!$I354),N('Master Database'!$I354)&lt;=$I$8)),OR($H$9="",AND(ISNUMBER('Master Database'!$K354),N('Master Database'!$K354)&gt;=$H$9)),OR($I$9="",AND(ISNUMBER('Master Database'!$K354),N('Master Database'!$K354)&lt;=$I$9))),1,0))</f>
        <v>0</v>
      </c>
      <c r="BB354" t="str">
        <f>IF(BA354=1,COUNTIF($BA$5:BA354,1),"")</f>
        <v/>
      </c>
    </row>
    <row r="355" spans="53:54">
      <c r="BA355">
        <f>IF('Master Database'!$A355="",0,IF(AND(OR($B$5="",ISNUMBER(SEARCH($B$5,'Master Database'!$B355&amp;" "&amp;'Master Database'!$D355))),OR($B$6="(All)",'Master Database'!$C355=$B$6),OR($B$7="(All)",'Master Database'!$E355=$B$7),OR($B$8="(All)",'Master Database'!$T355=$B$8),OR($B$9="(All)",'Master Database'!$M355=$B$9),OR($B$10="(All)",'Master Database'!$V355=$B$10),OR($E$5="(All)",'Master Database'!$F355=$E$5),OR($E$6="(All)",'Master Database'!$G355=$E$6),OR($E$7="(All)",'Master Database'!$O355=$E$7),OR($E$8="(All)",'Master Database'!$P355=$E$8),OR($E$9="(All)",'Master Database'!$S355=$E$9),OR($E$10="(All)",'Master Database'!$Y355&amp;""=$E$10&amp;""),OR($H$5="(All)",'Master Database'!$BG355=$H$5),OR($H$6&lt;&gt;"Y",ISNUMBER('Master Database'!$AG355)),OR($H$7="",AND(ISNUMBER('Master Database'!$H355),N('Master Database'!$H355)&gt;=$H$7)),OR($I$7="",AND(ISNUMBER('Master Database'!$H355),N('Master Database'!$H355)&lt;=$I$7)),OR($H$8="",AND(ISNUMBER('Master Database'!$I355),N('Master Database'!$I355)&gt;=$H$8)),OR($I$8="",AND(ISNUMBER('Master Database'!$I355),N('Master Database'!$I355)&lt;=$I$8)),OR($H$9="",AND(ISNUMBER('Master Database'!$K355),N('Master Database'!$K355)&gt;=$H$9)),OR($I$9="",AND(ISNUMBER('Master Database'!$K355),N('Master Database'!$K355)&lt;=$I$9))),1,0))</f>
        <v>0</v>
      </c>
      <c r="BB355" t="str">
        <f>IF(BA355=1,COUNTIF($BA$5:BA355,1),"")</f>
        <v/>
      </c>
    </row>
    <row r="356" spans="53:54">
      <c r="BA356">
        <f>IF('Master Database'!$A356="",0,IF(AND(OR($B$5="",ISNUMBER(SEARCH($B$5,'Master Database'!$B356&amp;" "&amp;'Master Database'!$D356))),OR($B$6="(All)",'Master Database'!$C356=$B$6),OR($B$7="(All)",'Master Database'!$E356=$B$7),OR($B$8="(All)",'Master Database'!$T356=$B$8),OR($B$9="(All)",'Master Database'!$M356=$B$9),OR($B$10="(All)",'Master Database'!$V356=$B$10),OR($E$5="(All)",'Master Database'!$F356=$E$5),OR($E$6="(All)",'Master Database'!$G356=$E$6),OR($E$7="(All)",'Master Database'!$O356=$E$7),OR($E$8="(All)",'Master Database'!$P356=$E$8),OR($E$9="(All)",'Master Database'!$S356=$E$9),OR($E$10="(All)",'Master Database'!$Y356&amp;""=$E$10&amp;""),OR($H$5="(All)",'Master Database'!$BG356=$H$5),OR($H$6&lt;&gt;"Y",ISNUMBER('Master Database'!$AG356)),OR($H$7="",AND(ISNUMBER('Master Database'!$H356),N('Master Database'!$H356)&gt;=$H$7)),OR($I$7="",AND(ISNUMBER('Master Database'!$H356),N('Master Database'!$H356)&lt;=$I$7)),OR($H$8="",AND(ISNUMBER('Master Database'!$I356),N('Master Database'!$I356)&gt;=$H$8)),OR($I$8="",AND(ISNUMBER('Master Database'!$I356),N('Master Database'!$I356)&lt;=$I$8)),OR($H$9="",AND(ISNUMBER('Master Database'!$K356),N('Master Database'!$K356)&gt;=$H$9)),OR($I$9="",AND(ISNUMBER('Master Database'!$K356),N('Master Database'!$K356)&lt;=$I$9))),1,0))</f>
        <v>0</v>
      </c>
      <c r="BB356" t="str">
        <f>IF(BA356=1,COUNTIF($BA$5:BA356,1),"")</f>
        <v/>
      </c>
    </row>
    <row r="357" spans="53:54">
      <c r="BA357">
        <f>IF('Master Database'!$A357="",0,IF(AND(OR($B$5="",ISNUMBER(SEARCH($B$5,'Master Database'!$B357&amp;" "&amp;'Master Database'!$D357))),OR($B$6="(All)",'Master Database'!$C357=$B$6),OR($B$7="(All)",'Master Database'!$E357=$B$7),OR($B$8="(All)",'Master Database'!$T357=$B$8),OR($B$9="(All)",'Master Database'!$M357=$B$9),OR($B$10="(All)",'Master Database'!$V357=$B$10),OR($E$5="(All)",'Master Database'!$F357=$E$5),OR($E$6="(All)",'Master Database'!$G357=$E$6),OR($E$7="(All)",'Master Database'!$O357=$E$7),OR($E$8="(All)",'Master Database'!$P357=$E$8),OR($E$9="(All)",'Master Database'!$S357=$E$9),OR($E$10="(All)",'Master Database'!$Y357&amp;""=$E$10&amp;""),OR($H$5="(All)",'Master Database'!$BG357=$H$5),OR($H$6&lt;&gt;"Y",ISNUMBER('Master Database'!$AG357)),OR($H$7="",AND(ISNUMBER('Master Database'!$H357),N('Master Database'!$H357)&gt;=$H$7)),OR($I$7="",AND(ISNUMBER('Master Database'!$H357),N('Master Database'!$H357)&lt;=$I$7)),OR($H$8="",AND(ISNUMBER('Master Database'!$I357),N('Master Database'!$I357)&gt;=$H$8)),OR($I$8="",AND(ISNUMBER('Master Database'!$I357),N('Master Database'!$I357)&lt;=$I$8)),OR($H$9="",AND(ISNUMBER('Master Database'!$K357),N('Master Database'!$K357)&gt;=$H$9)),OR($I$9="",AND(ISNUMBER('Master Database'!$K357),N('Master Database'!$K357)&lt;=$I$9))),1,0))</f>
        <v>0</v>
      </c>
      <c r="BB357" t="str">
        <f>IF(BA357=1,COUNTIF($BA$5:BA357,1),"")</f>
        <v/>
      </c>
    </row>
    <row r="358" spans="53:54">
      <c r="BA358">
        <f>IF('Master Database'!$A358="",0,IF(AND(OR($B$5="",ISNUMBER(SEARCH($B$5,'Master Database'!$B358&amp;" "&amp;'Master Database'!$D358))),OR($B$6="(All)",'Master Database'!$C358=$B$6),OR($B$7="(All)",'Master Database'!$E358=$B$7),OR($B$8="(All)",'Master Database'!$T358=$B$8),OR($B$9="(All)",'Master Database'!$M358=$B$9),OR($B$10="(All)",'Master Database'!$V358=$B$10),OR($E$5="(All)",'Master Database'!$F358=$E$5),OR($E$6="(All)",'Master Database'!$G358=$E$6),OR($E$7="(All)",'Master Database'!$O358=$E$7),OR($E$8="(All)",'Master Database'!$P358=$E$8),OR($E$9="(All)",'Master Database'!$S358=$E$9),OR($E$10="(All)",'Master Database'!$Y358&amp;""=$E$10&amp;""),OR($H$5="(All)",'Master Database'!$BG358=$H$5),OR($H$6&lt;&gt;"Y",ISNUMBER('Master Database'!$AG358)),OR($H$7="",AND(ISNUMBER('Master Database'!$H358),N('Master Database'!$H358)&gt;=$H$7)),OR($I$7="",AND(ISNUMBER('Master Database'!$H358),N('Master Database'!$H358)&lt;=$I$7)),OR($H$8="",AND(ISNUMBER('Master Database'!$I358),N('Master Database'!$I358)&gt;=$H$8)),OR($I$8="",AND(ISNUMBER('Master Database'!$I358),N('Master Database'!$I358)&lt;=$I$8)),OR($H$9="",AND(ISNUMBER('Master Database'!$K358),N('Master Database'!$K358)&gt;=$H$9)),OR($I$9="",AND(ISNUMBER('Master Database'!$K358),N('Master Database'!$K358)&lt;=$I$9))),1,0))</f>
        <v>0</v>
      </c>
      <c r="BB358" t="str">
        <f>IF(BA358=1,COUNTIF($BA$5:BA358,1),"")</f>
        <v/>
      </c>
    </row>
    <row r="359" spans="53:54">
      <c r="BA359">
        <f>IF('Master Database'!$A359="",0,IF(AND(OR($B$5="",ISNUMBER(SEARCH($B$5,'Master Database'!$B359&amp;" "&amp;'Master Database'!$D359))),OR($B$6="(All)",'Master Database'!$C359=$B$6),OR($B$7="(All)",'Master Database'!$E359=$B$7),OR($B$8="(All)",'Master Database'!$T359=$B$8),OR($B$9="(All)",'Master Database'!$M359=$B$9),OR($B$10="(All)",'Master Database'!$V359=$B$10),OR($E$5="(All)",'Master Database'!$F359=$E$5),OR($E$6="(All)",'Master Database'!$G359=$E$6),OR($E$7="(All)",'Master Database'!$O359=$E$7),OR($E$8="(All)",'Master Database'!$P359=$E$8),OR($E$9="(All)",'Master Database'!$S359=$E$9),OR($E$10="(All)",'Master Database'!$Y359&amp;""=$E$10&amp;""),OR($H$5="(All)",'Master Database'!$BG359=$H$5),OR($H$6&lt;&gt;"Y",ISNUMBER('Master Database'!$AG359)),OR($H$7="",AND(ISNUMBER('Master Database'!$H359),N('Master Database'!$H359)&gt;=$H$7)),OR($I$7="",AND(ISNUMBER('Master Database'!$H359),N('Master Database'!$H359)&lt;=$I$7)),OR($H$8="",AND(ISNUMBER('Master Database'!$I359),N('Master Database'!$I359)&gt;=$H$8)),OR($I$8="",AND(ISNUMBER('Master Database'!$I359),N('Master Database'!$I359)&lt;=$I$8)),OR($H$9="",AND(ISNUMBER('Master Database'!$K359),N('Master Database'!$K359)&gt;=$H$9)),OR($I$9="",AND(ISNUMBER('Master Database'!$K359),N('Master Database'!$K359)&lt;=$I$9))),1,0))</f>
        <v>0</v>
      </c>
      <c r="BB359" t="str">
        <f>IF(BA359=1,COUNTIF($BA$5:BA359,1),"")</f>
        <v/>
      </c>
    </row>
    <row r="360" spans="53:54">
      <c r="BA360">
        <f>IF('Master Database'!$A360="",0,IF(AND(OR($B$5="",ISNUMBER(SEARCH($B$5,'Master Database'!$B360&amp;" "&amp;'Master Database'!$D360))),OR($B$6="(All)",'Master Database'!$C360=$B$6),OR($B$7="(All)",'Master Database'!$E360=$B$7),OR($B$8="(All)",'Master Database'!$T360=$B$8),OR($B$9="(All)",'Master Database'!$M360=$B$9),OR($B$10="(All)",'Master Database'!$V360=$B$10),OR($E$5="(All)",'Master Database'!$F360=$E$5),OR($E$6="(All)",'Master Database'!$G360=$E$6),OR($E$7="(All)",'Master Database'!$O360=$E$7),OR($E$8="(All)",'Master Database'!$P360=$E$8),OR($E$9="(All)",'Master Database'!$S360=$E$9),OR($E$10="(All)",'Master Database'!$Y360&amp;""=$E$10&amp;""),OR($H$5="(All)",'Master Database'!$BG360=$H$5),OR($H$6&lt;&gt;"Y",ISNUMBER('Master Database'!$AG360)),OR($H$7="",AND(ISNUMBER('Master Database'!$H360),N('Master Database'!$H360)&gt;=$H$7)),OR($I$7="",AND(ISNUMBER('Master Database'!$H360),N('Master Database'!$H360)&lt;=$I$7)),OR($H$8="",AND(ISNUMBER('Master Database'!$I360),N('Master Database'!$I360)&gt;=$H$8)),OR($I$8="",AND(ISNUMBER('Master Database'!$I360),N('Master Database'!$I360)&lt;=$I$8)),OR($H$9="",AND(ISNUMBER('Master Database'!$K360),N('Master Database'!$K360)&gt;=$H$9)),OR($I$9="",AND(ISNUMBER('Master Database'!$K360),N('Master Database'!$K360)&lt;=$I$9))),1,0))</f>
        <v>0</v>
      </c>
      <c r="BB360" t="str">
        <f>IF(BA360=1,COUNTIF($BA$5:BA360,1),"")</f>
        <v/>
      </c>
    </row>
    <row r="361" spans="53:54">
      <c r="BA361">
        <f>IF('Master Database'!$A361="",0,IF(AND(OR($B$5="",ISNUMBER(SEARCH($B$5,'Master Database'!$B361&amp;" "&amp;'Master Database'!$D361))),OR($B$6="(All)",'Master Database'!$C361=$B$6),OR($B$7="(All)",'Master Database'!$E361=$B$7),OR($B$8="(All)",'Master Database'!$T361=$B$8),OR($B$9="(All)",'Master Database'!$M361=$B$9),OR($B$10="(All)",'Master Database'!$V361=$B$10),OR($E$5="(All)",'Master Database'!$F361=$E$5),OR($E$6="(All)",'Master Database'!$G361=$E$6),OR($E$7="(All)",'Master Database'!$O361=$E$7),OR($E$8="(All)",'Master Database'!$P361=$E$8),OR($E$9="(All)",'Master Database'!$S361=$E$9),OR($E$10="(All)",'Master Database'!$Y361&amp;""=$E$10&amp;""),OR($H$5="(All)",'Master Database'!$BG361=$H$5),OR($H$6&lt;&gt;"Y",ISNUMBER('Master Database'!$AG361)),OR($H$7="",AND(ISNUMBER('Master Database'!$H361),N('Master Database'!$H361)&gt;=$H$7)),OR($I$7="",AND(ISNUMBER('Master Database'!$H361),N('Master Database'!$H361)&lt;=$I$7)),OR($H$8="",AND(ISNUMBER('Master Database'!$I361),N('Master Database'!$I361)&gt;=$H$8)),OR($I$8="",AND(ISNUMBER('Master Database'!$I361),N('Master Database'!$I361)&lt;=$I$8)),OR($H$9="",AND(ISNUMBER('Master Database'!$K361),N('Master Database'!$K361)&gt;=$H$9)),OR($I$9="",AND(ISNUMBER('Master Database'!$K361),N('Master Database'!$K361)&lt;=$I$9))),1,0))</f>
        <v>0</v>
      </c>
      <c r="BB361" t="str">
        <f>IF(BA361=1,COUNTIF($BA$5:BA361,1),"")</f>
        <v/>
      </c>
    </row>
    <row r="362" spans="53:54">
      <c r="BA362">
        <f>IF('Master Database'!$A362="",0,IF(AND(OR($B$5="",ISNUMBER(SEARCH($B$5,'Master Database'!$B362&amp;" "&amp;'Master Database'!$D362))),OR($B$6="(All)",'Master Database'!$C362=$B$6),OR($B$7="(All)",'Master Database'!$E362=$B$7),OR($B$8="(All)",'Master Database'!$T362=$B$8),OR($B$9="(All)",'Master Database'!$M362=$B$9),OR($B$10="(All)",'Master Database'!$V362=$B$10),OR($E$5="(All)",'Master Database'!$F362=$E$5),OR($E$6="(All)",'Master Database'!$G362=$E$6),OR($E$7="(All)",'Master Database'!$O362=$E$7),OR($E$8="(All)",'Master Database'!$P362=$E$8),OR($E$9="(All)",'Master Database'!$S362=$E$9),OR($E$10="(All)",'Master Database'!$Y362&amp;""=$E$10&amp;""),OR($H$5="(All)",'Master Database'!$BG362=$H$5),OR($H$6&lt;&gt;"Y",ISNUMBER('Master Database'!$AG362)),OR($H$7="",AND(ISNUMBER('Master Database'!$H362),N('Master Database'!$H362)&gt;=$H$7)),OR($I$7="",AND(ISNUMBER('Master Database'!$H362),N('Master Database'!$H362)&lt;=$I$7)),OR($H$8="",AND(ISNUMBER('Master Database'!$I362),N('Master Database'!$I362)&gt;=$H$8)),OR($I$8="",AND(ISNUMBER('Master Database'!$I362),N('Master Database'!$I362)&lt;=$I$8)),OR($H$9="",AND(ISNUMBER('Master Database'!$K362),N('Master Database'!$K362)&gt;=$H$9)),OR($I$9="",AND(ISNUMBER('Master Database'!$K362),N('Master Database'!$K362)&lt;=$I$9))),1,0))</f>
        <v>0</v>
      </c>
      <c r="BB362" t="str">
        <f>IF(BA362=1,COUNTIF($BA$5:BA362,1),"")</f>
        <v/>
      </c>
    </row>
    <row r="363" spans="53:54">
      <c r="BA363">
        <f>IF('Master Database'!$A363="",0,IF(AND(OR($B$5="",ISNUMBER(SEARCH($B$5,'Master Database'!$B363&amp;" "&amp;'Master Database'!$D363))),OR($B$6="(All)",'Master Database'!$C363=$B$6),OR($B$7="(All)",'Master Database'!$E363=$B$7),OR($B$8="(All)",'Master Database'!$T363=$B$8),OR($B$9="(All)",'Master Database'!$M363=$B$9),OR($B$10="(All)",'Master Database'!$V363=$B$10),OR($E$5="(All)",'Master Database'!$F363=$E$5),OR($E$6="(All)",'Master Database'!$G363=$E$6),OR($E$7="(All)",'Master Database'!$O363=$E$7),OR($E$8="(All)",'Master Database'!$P363=$E$8),OR($E$9="(All)",'Master Database'!$S363=$E$9),OR($E$10="(All)",'Master Database'!$Y363&amp;""=$E$10&amp;""),OR($H$5="(All)",'Master Database'!$BG363=$H$5),OR($H$6&lt;&gt;"Y",ISNUMBER('Master Database'!$AG363)),OR($H$7="",AND(ISNUMBER('Master Database'!$H363),N('Master Database'!$H363)&gt;=$H$7)),OR($I$7="",AND(ISNUMBER('Master Database'!$H363),N('Master Database'!$H363)&lt;=$I$7)),OR($H$8="",AND(ISNUMBER('Master Database'!$I363),N('Master Database'!$I363)&gt;=$H$8)),OR($I$8="",AND(ISNUMBER('Master Database'!$I363),N('Master Database'!$I363)&lt;=$I$8)),OR($H$9="",AND(ISNUMBER('Master Database'!$K363),N('Master Database'!$K363)&gt;=$H$9)),OR($I$9="",AND(ISNUMBER('Master Database'!$K363),N('Master Database'!$K363)&lt;=$I$9))),1,0))</f>
        <v>0</v>
      </c>
      <c r="BB363" t="str">
        <f>IF(BA363=1,COUNTIF($BA$5:BA363,1),"")</f>
        <v/>
      </c>
    </row>
    <row r="364" spans="53:54">
      <c r="BA364">
        <f>IF('Master Database'!$A364="",0,IF(AND(OR($B$5="",ISNUMBER(SEARCH($B$5,'Master Database'!$B364&amp;" "&amp;'Master Database'!$D364))),OR($B$6="(All)",'Master Database'!$C364=$B$6),OR($B$7="(All)",'Master Database'!$E364=$B$7),OR($B$8="(All)",'Master Database'!$T364=$B$8),OR($B$9="(All)",'Master Database'!$M364=$B$9),OR($B$10="(All)",'Master Database'!$V364=$B$10),OR($E$5="(All)",'Master Database'!$F364=$E$5),OR($E$6="(All)",'Master Database'!$G364=$E$6),OR($E$7="(All)",'Master Database'!$O364=$E$7),OR($E$8="(All)",'Master Database'!$P364=$E$8),OR($E$9="(All)",'Master Database'!$S364=$E$9),OR($E$10="(All)",'Master Database'!$Y364&amp;""=$E$10&amp;""),OR($H$5="(All)",'Master Database'!$BG364=$H$5),OR($H$6&lt;&gt;"Y",ISNUMBER('Master Database'!$AG364)),OR($H$7="",AND(ISNUMBER('Master Database'!$H364),N('Master Database'!$H364)&gt;=$H$7)),OR($I$7="",AND(ISNUMBER('Master Database'!$H364),N('Master Database'!$H364)&lt;=$I$7)),OR($H$8="",AND(ISNUMBER('Master Database'!$I364),N('Master Database'!$I364)&gt;=$H$8)),OR($I$8="",AND(ISNUMBER('Master Database'!$I364),N('Master Database'!$I364)&lt;=$I$8)),OR($H$9="",AND(ISNUMBER('Master Database'!$K364),N('Master Database'!$K364)&gt;=$H$9)),OR($I$9="",AND(ISNUMBER('Master Database'!$K364),N('Master Database'!$K364)&lt;=$I$9))),1,0))</f>
        <v>0</v>
      </c>
      <c r="BB364" t="str">
        <f>IF(BA364=1,COUNTIF($BA$5:BA364,1),"")</f>
        <v/>
      </c>
    </row>
    <row r="365" spans="53:54">
      <c r="BA365">
        <f>IF('Master Database'!$A365="",0,IF(AND(OR($B$5="",ISNUMBER(SEARCH($B$5,'Master Database'!$B365&amp;" "&amp;'Master Database'!$D365))),OR($B$6="(All)",'Master Database'!$C365=$B$6),OR($B$7="(All)",'Master Database'!$E365=$B$7),OR($B$8="(All)",'Master Database'!$T365=$B$8),OR($B$9="(All)",'Master Database'!$M365=$B$9),OR($B$10="(All)",'Master Database'!$V365=$B$10),OR($E$5="(All)",'Master Database'!$F365=$E$5),OR($E$6="(All)",'Master Database'!$G365=$E$6),OR($E$7="(All)",'Master Database'!$O365=$E$7),OR($E$8="(All)",'Master Database'!$P365=$E$8),OR($E$9="(All)",'Master Database'!$S365=$E$9),OR($E$10="(All)",'Master Database'!$Y365&amp;""=$E$10&amp;""),OR($H$5="(All)",'Master Database'!$BG365=$H$5),OR($H$6&lt;&gt;"Y",ISNUMBER('Master Database'!$AG365)),OR($H$7="",AND(ISNUMBER('Master Database'!$H365),N('Master Database'!$H365)&gt;=$H$7)),OR($I$7="",AND(ISNUMBER('Master Database'!$H365),N('Master Database'!$H365)&lt;=$I$7)),OR($H$8="",AND(ISNUMBER('Master Database'!$I365),N('Master Database'!$I365)&gt;=$H$8)),OR($I$8="",AND(ISNUMBER('Master Database'!$I365),N('Master Database'!$I365)&lt;=$I$8)),OR($H$9="",AND(ISNUMBER('Master Database'!$K365),N('Master Database'!$K365)&gt;=$H$9)),OR($I$9="",AND(ISNUMBER('Master Database'!$K365),N('Master Database'!$K365)&lt;=$I$9))),1,0))</f>
        <v>0</v>
      </c>
      <c r="BB365" t="str">
        <f>IF(BA365=1,COUNTIF($BA$5:BA365,1),"")</f>
        <v/>
      </c>
    </row>
    <row r="366" spans="53:54">
      <c r="BA366">
        <f>IF('Master Database'!$A366="",0,IF(AND(OR($B$5="",ISNUMBER(SEARCH($B$5,'Master Database'!$B366&amp;" "&amp;'Master Database'!$D366))),OR($B$6="(All)",'Master Database'!$C366=$B$6),OR($B$7="(All)",'Master Database'!$E366=$B$7),OR($B$8="(All)",'Master Database'!$T366=$B$8),OR($B$9="(All)",'Master Database'!$M366=$B$9),OR($B$10="(All)",'Master Database'!$V366=$B$10),OR($E$5="(All)",'Master Database'!$F366=$E$5),OR($E$6="(All)",'Master Database'!$G366=$E$6),OR($E$7="(All)",'Master Database'!$O366=$E$7),OR($E$8="(All)",'Master Database'!$P366=$E$8),OR($E$9="(All)",'Master Database'!$S366=$E$9),OR($E$10="(All)",'Master Database'!$Y366&amp;""=$E$10&amp;""),OR($H$5="(All)",'Master Database'!$BG366=$H$5),OR($H$6&lt;&gt;"Y",ISNUMBER('Master Database'!$AG366)),OR($H$7="",AND(ISNUMBER('Master Database'!$H366),N('Master Database'!$H366)&gt;=$H$7)),OR($I$7="",AND(ISNUMBER('Master Database'!$H366),N('Master Database'!$H366)&lt;=$I$7)),OR($H$8="",AND(ISNUMBER('Master Database'!$I366),N('Master Database'!$I366)&gt;=$H$8)),OR($I$8="",AND(ISNUMBER('Master Database'!$I366),N('Master Database'!$I366)&lt;=$I$8)),OR($H$9="",AND(ISNUMBER('Master Database'!$K366),N('Master Database'!$K366)&gt;=$H$9)),OR($I$9="",AND(ISNUMBER('Master Database'!$K366),N('Master Database'!$K366)&lt;=$I$9))),1,0))</f>
        <v>0</v>
      </c>
      <c r="BB366" t="str">
        <f>IF(BA366=1,COUNTIF($BA$5:BA366,1),"")</f>
        <v/>
      </c>
    </row>
    <row r="367" spans="53:54">
      <c r="BA367">
        <f>IF('Master Database'!$A367="",0,IF(AND(OR($B$5="",ISNUMBER(SEARCH($B$5,'Master Database'!$B367&amp;" "&amp;'Master Database'!$D367))),OR($B$6="(All)",'Master Database'!$C367=$B$6),OR($B$7="(All)",'Master Database'!$E367=$B$7),OR($B$8="(All)",'Master Database'!$T367=$B$8),OR($B$9="(All)",'Master Database'!$M367=$B$9),OR($B$10="(All)",'Master Database'!$V367=$B$10),OR($E$5="(All)",'Master Database'!$F367=$E$5),OR($E$6="(All)",'Master Database'!$G367=$E$6),OR($E$7="(All)",'Master Database'!$O367=$E$7),OR($E$8="(All)",'Master Database'!$P367=$E$8),OR($E$9="(All)",'Master Database'!$S367=$E$9),OR($E$10="(All)",'Master Database'!$Y367&amp;""=$E$10&amp;""),OR($H$5="(All)",'Master Database'!$BG367=$H$5),OR($H$6&lt;&gt;"Y",ISNUMBER('Master Database'!$AG367)),OR($H$7="",AND(ISNUMBER('Master Database'!$H367),N('Master Database'!$H367)&gt;=$H$7)),OR($I$7="",AND(ISNUMBER('Master Database'!$H367),N('Master Database'!$H367)&lt;=$I$7)),OR($H$8="",AND(ISNUMBER('Master Database'!$I367),N('Master Database'!$I367)&gt;=$H$8)),OR($I$8="",AND(ISNUMBER('Master Database'!$I367),N('Master Database'!$I367)&lt;=$I$8)),OR($H$9="",AND(ISNUMBER('Master Database'!$K367),N('Master Database'!$K367)&gt;=$H$9)),OR($I$9="",AND(ISNUMBER('Master Database'!$K367),N('Master Database'!$K367)&lt;=$I$9))),1,0))</f>
        <v>0</v>
      </c>
      <c r="BB367" t="str">
        <f>IF(BA367=1,COUNTIF($BA$5:BA367,1),"")</f>
        <v/>
      </c>
    </row>
    <row r="368" spans="53:54">
      <c r="BA368">
        <f>IF('Master Database'!$A368="",0,IF(AND(OR($B$5="",ISNUMBER(SEARCH($B$5,'Master Database'!$B368&amp;" "&amp;'Master Database'!$D368))),OR($B$6="(All)",'Master Database'!$C368=$B$6),OR($B$7="(All)",'Master Database'!$E368=$B$7),OR($B$8="(All)",'Master Database'!$T368=$B$8),OR($B$9="(All)",'Master Database'!$M368=$B$9),OR($B$10="(All)",'Master Database'!$V368=$B$10),OR($E$5="(All)",'Master Database'!$F368=$E$5),OR($E$6="(All)",'Master Database'!$G368=$E$6),OR($E$7="(All)",'Master Database'!$O368=$E$7),OR($E$8="(All)",'Master Database'!$P368=$E$8),OR($E$9="(All)",'Master Database'!$S368=$E$9),OR($E$10="(All)",'Master Database'!$Y368&amp;""=$E$10&amp;""),OR($H$5="(All)",'Master Database'!$BG368=$H$5),OR($H$6&lt;&gt;"Y",ISNUMBER('Master Database'!$AG368)),OR($H$7="",AND(ISNUMBER('Master Database'!$H368),N('Master Database'!$H368)&gt;=$H$7)),OR($I$7="",AND(ISNUMBER('Master Database'!$H368),N('Master Database'!$H368)&lt;=$I$7)),OR($H$8="",AND(ISNUMBER('Master Database'!$I368),N('Master Database'!$I368)&gt;=$H$8)),OR($I$8="",AND(ISNUMBER('Master Database'!$I368),N('Master Database'!$I368)&lt;=$I$8)),OR($H$9="",AND(ISNUMBER('Master Database'!$K368),N('Master Database'!$K368)&gt;=$H$9)),OR($I$9="",AND(ISNUMBER('Master Database'!$K368),N('Master Database'!$K368)&lt;=$I$9))),1,0))</f>
        <v>0</v>
      </c>
      <c r="BB368" t="str">
        <f>IF(BA368=1,COUNTIF($BA$5:BA368,1),"")</f>
        <v/>
      </c>
    </row>
    <row r="369" spans="53:54">
      <c r="BA369">
        <f>IF('Master Database'!$A369="",0,IF(AND(OR($B$5="",ISNUMBER(SEARCH($B$5,'Master Database'!$B369&amp;" "&amp;'Master Database'!$D369))),OR($B$6="(All)",'Master Database'!$C369=$B$6),OR($B$7="(All)",'Master Database'!$E369=$B$7),OR($B$8="(All)",'Master Database'!$T369=$B$8),OR($B$9="(All)",'Master Database'!$M369=$B$9),OR($B$10="(All)",'Master Database'!$V369=$B$10),OR($E$5="(All)",'Master Database'!$F369=$E$5),OR($E$6="(All)",'Master Database'!$G369=$E$6),OR($E$7="(All)",'Master Database'!$O369=$E$7),OR($E$8="(All)",'Master Database'!$P369=$E$8),OR($E$9="(All)",'Master Database'!$S369=$E$9),OR($E$10="(All)",'Master Database'!$Y369&amp;""=$E$10&amp;""),OR($H$5="(All)",'Master Database'!$BG369=$H$5),OR($H$6&lt;&gt;"Y",ISNUMBER('Master Database'!$AG369)),OR($H$7="",AND(ISNUMBER('Master Database'!$H369),N('Master Database'!$H369)&gt;=$H$7)),OR($I$7="",AND(ISNUMBER('Master Database'!$H369),N('Master Database'!$H369)&lt;=$I$7)),OR($H$8="",AND(ISNUMBER('Master Database'!$I369),N('Master Database'!$I369)&gt;=$H$8)),OR($I$8="",AND(ISNUMBER('Master Database'!$I369),N('Master Database'!$I369)&lt;=$I$8)),OR($H$9="",AND(ISNUMBER('Master Database'!$K369),N('Master Database'!$K369)&gt;=$H$9)),OR($I$9="",AND(ISNUMBER('Master Database'!$K369),N('Master Database'!$K369)&lt;=$I$9))),1,0))</f>
        <v>0</v>
      </c>
      <c r="BB369" t="str">
        <f>IF(BA369=1,COUNTIF($BA$5:BA369,1),"")</f>
        <v/>
      </c>
    </row>
    <row r="370" spans="53:54">
      <c r="BA370">
        <f>IF('Master Database'!$A370="",0,IF(AND(OR($B$5="",ISNUMBER(SEARCH($B$5,'Master Database'!$B370&amp;" "&amp;'Master Database'!$D370))),OR($B$6="(All)",'Master Database'!$C370=$B$6),OR($B$7="(All)",'Master Database'!$E370=$B$7),OR($B$8="(All)",'Master Database'!$T370=$B$8),OR($B$9="(All)",'Master Database'!$M370=$B$9),OR($B$10="(All)",'Master Database'!$V370=$B$10),OR($E$5="(All)",'Master Database'!$F370=$E$5),OR($E$6="(All)",'Master Database'!$G370=$E$6),OR($E$7="(All)",'Master Database'!$O370=$E$7),OR($E$8="(All)",'Master Database'!$P370=$E$8),OR($E$9="(All)",'Master Database'!$S370=$E$9),OR($E$10="(All)",'Master Database'!$Y370&amp;""=$E$10&amp;""),OR($H$5="(All)",'Master Database'!$BG370=$H$5),OR($H$6&lt;&gt;"Y",ISNUMBER('Master Database'!$AG370)),OR($H$7="",AND(ISNUMBER('Master Database'!$H370),N('Master Database'!$H370)&gt;=$H$7)),OR($I$7="",AND(ISNUMBER('Master Database'!$H370),N('Master Database'!$H370)&lt;=$I$7)),OR($H$8="",AND(ISNUMBER('Master Database'!$I370),N('Master Database'!$I370)&gt;=$H$8)),OR($I$8="",AND(ISNUMBER('Master Database'!$I370),N('Master Database'!$I370)&lt;=$I$8)),OR($H$9="",AND(ISNUMBER('Master Database'!$K370),N('Master Database'!$K370)&gt;=$H$9)),OR($I$9="",AND(ISNUMBER('Master Database'!$K370),N('Master Database'!$K370)&lt;=$I$9))),1,0))</f>
        <v>0</v>
      </c>
      <c r="BB370" t="str">
        <f>IF(BA370=1,COUNTIF($BA$5:BA370,1),"")</f>
        <v/>
      </c>
    </row>
    <row r="371" spans="53:54">
      <c r="BA371">
        <f>IF('Master Database'!$A371="",0,IF(AND(OR($B$5="",ISNUMBER(SEARCH($B$5,'Master Database'!$B371&amp;" "&amp;'Master Database'!$D371))),OR($B$6="(All)",'Master Database'!$C371=$B$6),OR($B$7="(All)",'Master Database'!$E371=$B$7),OR($B$8="(All)",'Master Database'!$T371=$B$8),OR($B$9="(All)",'Master Database'!$M371=$B$9),OR($B$10="(All)",'Master Database'!$V371=$B$10),OR($E$5="(All)",'Master Database'!$F371=$E$5),OR($E$6="(All)",'Master Database'!$G371=$E$6),OR($E$7="(All)",'Master Database'!$O371=$E$7),OR($E$8="(All)",'Master Database'!$P371=$E$8),OR($E$9="(All)",'Master Database'!$S371=$E$9),OR($E$10="(All)",'Master Database'!$Y371&amp;""=$E$10&amp;""),OR($H$5="(All)",'Master Database'!$BG371=$H$5),OR($H$6&lt;&gt;"Y",ISNUMBER('Master Database'!$AG371)),OR($H$7="",AND(ISNUMBER('Master Database'!$H371),N('Master Database'!$H371)&gt;=$H$7)),OR($I$7="",AND(ISNUMBER('Master Database'!$H371),N('Master Database'!$H371)&lt;=$I$7)),OR($H$8="",AND(ISNUMBER('Master Database'!$I371),N('Master Database'!$I371)&gt;=$H$8)),OR($I$8="",AND(ISNUMBER('Master Database'!$I371),N('Master Database'!$I371)&lt;=$I$8)),OR($H$9="",AND(ISNUMBER('Master Database'!$K371),N('Master Database'!$K371)&gt;=$H$9)),OR($I$9="",AND(ISNUMBER('Master Database'!$K371),N('Master Database'!$K371)&lt;=$I$9))),1,0))</f>
        <v>0</v>
      </c>
      <c r="BB371" t="str">
        <f>IF(BA371=1,COUNTIF($BA$5:BA371,1),"")</f>
        <v/>
      </c>
    </row>
    <row r="372" spans="53:54">
      <c r="BA372">
        <f>IF('Master Database'!$A372="",0,IF(AND(OR($B$5="",ISNUMBER(SEARCH($B$5,'Master Database'!$B372&amp;" "&amp;'Master Database'!$D372))),OR($B$6="(All)",'Master Database'!$C372=$B$6),OR($B$7="(All)",'Master Database'!$E372=$B$7),OR($B$8="(All)",'Master Database'!$T372=$B$8),OR($B$9="(All)",'Master Database'!$M372=$B$9),OR($B$10="(All)",'Master Database'!$V372=$B$10),OR($E$5="(All)",'Master Database'!$F372=$E$5),OR($E$6="(All)",'Master Database'!$G372=$E$6),OR($E$7="(All)",'Master Database'!$O372=$E$7),OR($E$8="(All)",'Master Database'!$P372=$E$8),OR($E$9="(All)",'Master Database'!$S372=$E$9),OR($E$10="(All)",'Master Database'!$Y372&amp;""=$E$10&amp;""),OR($H$5="(All)",'Master Database'!$BG372=$H$5),OR($H$6&lt;&gt;"Y",ISNUMBER('Master Database'!$AG372)),OR($H$7="",AND(ISNUMBER('Master Database'!$H372),N('Master Database'!$H372)&gt;=$H$7)),OR($I$7="",AND(ISNUMBER('Master Database'!$H372),N('Master Database'!$H372)&lt;=$I$7)),OR($H$8="",AND(ISNUMBER('Master Database'!$I372),N('Master Database'!$I372)&gt;=$H$8)),OR($I$8="",AND(ISNUMBER('Master Database'!$I372),N('Master Database'!$I372)&lt;=$I$8)),OR($H$9="",AND(ISNUMBER('Master Database'!$K372),N('Master Database'!$K372)&gt;=$H$9)),OR($I$9="",AND(ISNUMBER('Master Database'!$K372),N('Master Database'!$K372)&lt;=$I$9))),1,0))</f>
        <v>0</v>
      </c>
      <c r="BB372" t="str">
        <f>IF(BA372=1,COUNTIF($BA$5:BA372,1),"")</f>
        <v/>
      </c>
    </row>
    <row r="373" spans="53:54">
      <c r="BA373">
        <f>IF('Master Database'!$A373="",0,IF(AND(OR($B$5="",ISNUMBER(SEARCH($B$5,'Master Database'!$B373&amp;" "&amp;'Master Database'!$D373))),OR($B$6="(All)",'Master Database'!$C373=$B$6),OR($B$7="(All)",'Master Database'!$E373=$B$7),OR($B$8="(All)",'Master Database'!$T373=$B$8),OR($B$9="(All)",'Master Database'!$M373=$B$9),OR($B$10="(All)",'Master Database'!$V373=$B$10),OR($E$5="(All)",'Master Database'!$F373=$E$5),OR($E$6="(All)",'Master Database'!$G373=$E$6),OR($E$7="(All)",'Master Database'!$O373=$E$7),OR($E$8="(All)",'Master Database'!$P373=$E$8),OR($E$9="(All)",'Master Database'!$S373=$E$9),OR($E$10="(All)",'Master Database'!$Y373&amp;""=$E$10&amp;""),OR($H$5="(All)",'Master Database'!$BG373=$H$5),OR($H$6&lt;&gt;"Y",ISNUMBER('Master Database'!$AG373)),OR($H$7="",AND(ISNUMBER('Master Database'!$H373),N('Master Database'!$H373)&gt;=$H$7)),OR($I$7="",AND(ISNUMBER('Master Database'!$H373),N('Master Database'!$H373)&lt;=$I$7)),OR($H$8="",AND(ISNUMBER('Master Database'!$I373),N('Master Database'!$I373)&gt;=$H$8)),OR($I$8="",AND(ISNUMBER('Master Database'!$I373),N('Master Database'!$I373)&lt;=$I$8)),OR($H$9="",AND(ISNUMBER('Master Database'!$K373),N('Master Database'!$K373)&gt;=$H$9)),OR($I$9="",AND(ISNUMBER('Master Database'!$K373),N('Master Database'!$K373)&lt;=$I$9))),1,0))</f>
        <v>0</v>
      </c>
      <c r="BB373" t="str">
        <f>IF(BA373=1,COUNTIF($BA$5:BA373,1),"")</f>
        <v/>
      </c>
    </row>
    <row r="374" spans="53:54">
      <c r="BA374">
        <f>IF('Master Database'!$A374="",0,IF(AND(OR($B$5="",ISNUMBER(SEARCH($B$5,'Master Database'!$B374&amp;" "&amp;'Master Database'!$D374))),OR($B$6="(All)",'Master Database'!$C374=$B$6),OR($B$7="(All)",'Master Database'!$E374=$B$7),OR($B$8="(All)",'Master Database'!$T374=$B$8),OR($B$9="(All)",'Master Database'!$M374=$B$9),OR($B$10="(All)",'Master Database'!$V374=$B$10),OR($E$5="(All)",'Master Database'!$F374=$E$5),OR($E$6="(All)",'Master Database'!$G374=$E$6),OR($E$7="(All)",'Master Database'!$O374=$E$7),OR($E$8="(All)",'Master Database'!$P374=$E$8),OR($E$9="(All)",'Master Database'!$S374=$E$9),OR($E$10="(All)",'Master Database'!$Y374&amp;""=$E$10&amp;""),OR($H$5="(All)",'Master Database'!$BG374=$H$5),OR($H$6&lt;&gt;"Y",ISNUMBER('Master Database'!$AG374)),OR($H$7="",AND(ISNUMBER('Master Database'!$H374),N('Master Database'!$H374)&gt;=$H$7)),OR($I$7="",AND(ISNUMBER('Master Database'!$H374),N('Master Database'!$H374)&lt;=$I$7)),OR($H$8="",AND(ISNUMBER('Master Database'!$I374),N('Master Database'!$I374)&gt;=$H$8)),OR($I$8="",AND(ISNUMBER('Master Database'!$I374),N('Master Database'!$I374)&lt;=$I$8)),OR($H$9="",AND(ISNUMBER('Master Database'!$K374),N('Master Database'!$K374)&gt;=$H$9)),OR($I$9="",AND(ISNUMBER('Master Database'!$K374),N('Master Database'!$K374)&lt;=$I$9))),1,0))</f>
        <v>0</v>
      </c>
      <c r="BB374" t="str">
        <f>IF(BA374=1,COUNTIF($BA$5:BA374,1),"")</f>
        <v/>
      </c>
    </row>
    <row r="375" spans="53:54">
      <c r="BA375">
        <f>IF('Master Database'!$A375="",0,IF(AND(OR($B$5="",ISNUMBER(SEARCH($B$5,'Master Database'!$B375&amp;" "&amp;'Master Database'!$D375))),OR($B$6="(All)",'Master Database'!$C375=$B$6),OR($B$7="(All)",'Master Database'!$E375=$B$7),OR($B$8="(All)",'Master Database'!$T375=$B$8),OR($B$9="(All)",'Master Database'!$M375=$B$9),OR($B$10="(All)",'Master Database'!$V375=$B$10),OR($E$5="(All)",'Master Database'!$F375=$E$5),OR($E$6="(All)",'Master Database'!$G375=$E$6),OR($E$7="(All)",'Master Database'!$O375=$E$7),OR($E$8="(All)",'Master Database'!$P375=$E$8),OR($E$9="(All)",'Master Database'!$S375=$E$9),OR($E$10="(All)",'Master Database'!$Y375&amp;""=$E$10&amp;""),OR($H$5="(All)",'Master Database'!$BG375=$H$5),OR($H$6&lt;&gt;"Y",ISNUMBER('Master Database'!$AG375)),OR($H$7="",AND(ISNUMBER('Master Database'!$H375),N('Master Database'!$H375)&gt;=$H$7)),OR($I$7="",AND(ISNUMBER('Master Database'!$H375),N('Master Database'!$H375)&lt;=$I$7)),OR($H$8="",AND(ISNUMBER('Master Database'!$I375),N('Master Database'!$I375)&gt;=$H$8)),OR($I$8="",AND(ISNUMBER('Master Database'!$I375),N('Master Database'!$I375)&lt;=$I$8)),OR($H$9="",AND(ISNUMBER('Master Database'!$K375),N('Master Database'!$K375)&gt;=$H$9)),OR($I$9="",AND(ISNUMBER('Master Database'!$K375),N('Master Database'!$K375)&lt;=$I$9))),1,0))</f>
        <v>0</v>
      </c>
      <c r="BB375" t="str">
        <f>IF(BA375=1,COUNTIF($BA$5:BA375,1),"")</f>
        <v/>
      </c>
    </row>
    <row r="376" spans="53:54">
      <c r="BA376">
        <f>IF('Master Database'!$A376="",0,IF(AND(OR($B$5="",ISNUMBER(SEARCH($B$5,'Master Database'!$B376&amp;" "&amp;'Master Database'!$D376))),OR($B$6="(All)",'Master Database'!$C376=$B$6),OR($B$7="(All)",'Master Database'!$E376=$B$7),OR($B$8="(All)",'Master Database'!$T376=$B$8),OR($B$9="(All)",'Master Database'!$M376=$B$9),OR($B$10="(All)",'Master Database'!$V376=$B$10),OR($E$5="(All)",'Master Database'!$F376=$E$5),OR($E$6="(All)",'Master Database'!$G376=$E$6),OR($E$7="(All)",'Master Database'!$O376=$E$7),OR($E$8="(All)",'Master Database'!$P376=$E$8),OR($E$9="(All)",'Master Database'!$S376=$E$9),OR($E$10="(All)",'Master Database'!$Y376&amp;""=$E$10&amp;""),OR($H$5="(All)",'Master Database'!$BG376=$H$5),OR($H$6&lt;&gt;"Y",ISNUMBER('Master Database'!$AG376)),OR($H$7="",AND(ISNUMBER('Master Database'!$H376),N('Master Database'!$H376)&gt;=$H$7)),OR($I$7="",AND(ISNUMBER('Master Database'!$H376),N('Master Database'!$H376)&lt;=$I$7)),OR($H$8="",AND(ISNUMBER('Master Database'!$I376),N('Master Database'!$I376)&gt;=$H$8)),OR($I$8="",AND(ISNUMBER('Master Database'!$I376),N('Master Database'!$I376)&lt;=$I$8)),OR($H$9="",AND(ISNUMBER('Master Database'!$K376),N('Master Database'!$K376)&gt;=$H$9)),OR($I$9="",AND(ISNUMBER('Master Database'!$K376),N('Master Database'!$K376)&lt;=$I$9))),1,0))</f>
        <v>0</v>
      </c>
      <c r="BB376" t="str">
        <f>IF(BA376=1,COUNTIF($BA$5:BA376,1),"")</f>
        <v/>
      </c>
    </row>
    <row r="377" spans="53:54">
      <c r="BA377">
        <f>IF('Master Database'!$A377="",0,IF(AND(OR($B$5="",ISNUMBER(SEARCH($B$5,'Master Database'!$B377&amp;" "&amp;'Master Database'!$D377))),OR($B$6="(All)",'Master Database'!$C377=$B$6),OR($B$7="(All)",'Master Database'!$E377=$B$7),OR($B$8="(All)",'Master Database'!$T377=$B$8),OR($B$9="(All)",'Master Database'!$M377=$B$9),OR($B$10="(All)",'Master Database'!$V377=$B$10),OR($E$5="(All)",'Master Database'!$F377=$E$5),OR($E$6="(All)",'Master Database'!$G377=$E$6),OR($E$7="(All)",'Master Database'!$O377=$E$7),OR($E$8="(All)",'Master Database'!$P377=$E$8),OR($E$9="(All)",'Master Database'!$S377=$E$9),OR($E$10="(All)",'Master Database'!$Y377&amp;""=$E$10&amp;""),OR($H$5="(All)",'Master Database'!$BG377=$H$5),OR($H$6&lt;&gt;"Y",ISNUMBER('Master Database'!$AG377)),OR($H$7="",AND(ISNUMBER('Master Database'!$H377),N('Master Database'!$H377)&gt;=$H$7)),OR($I$7="",AND(ISNUMBER('Master Database'!$H377),N('Master Database'!$H377)&lt;=$I$7)),OR($H$8="",AND(ISNUMBER('Master Database'!$I377),N('Master Database'!$I377)&gt;=$H$8)),OR($I$8="",AND(ISNUMBER('Master Database'!$I377),N('Master Database'!$I377)&lt;=$I$8)),OR($H$9="",AND(ISNUMBER('Master Database'!$K377),N('Master Database'!$K377)&gt;=$H$9)),OR($I$9="",AND(ISNUMBER('Master Database'!$K377),N('Master Database'!$K377)&lt;=$I$9))),1,0))</f>
        <v>0</v>
      </c>
      <c r="BB377" t="str">
        <f>IF(BA377=1,COUNTIF($BA$5:BA377,1),"")</f>
        <v/>
      </c>
    </row>
    <row r="378" spans="53:54">
      <c r="BA378">
        <f>IF('Master Database'!$A378="",0,IF(AND(OR($B$5="",ISNUMBER(SEARCH($B$5,'Master Database'!$B378&amp;" "&amp;'Master Database'!$D378))),OR($B$6="(All)",'Master Database'!$C378=$B$6),OR($B$7="(All)",'Master Database'!$E378=$B$7),OR($B$8="(All)",'Master Database'!$T378=$B$8),OR($B$9="(All)",'Master Database'!$M378=$B$9),OR($B$10="(All)",'Master Database'!$V378=$B$10),OR($E$5="(All)",'Master Database'!$F378=$E$5),OR($E$6="(All)",'Master Database'!$G378=$E$6),OR($E$7="(All)",'Master Database'!$O378=$E$7),OR($E$8="(All)",'Master Database'!$P378=$E$8),OR($E$9="(All)",'Master Database'!$S378=$E$9),OR($E$10="(All)",'Master Database'!$Y378&amp;""=$E$10&amp;""),OR($H$5="(All)",'Master Database'!$BG378=$H$5),OR($H$6&lt;&gt;"Y",ISNUMBER('Master Database'!$AG378)),OR($H$7="",AND(ISNUMBER('Master Database'!$H378),N('Master Database'!$H378)&gt;=$H$7)),OR($I$7="",AND(ISNUMBER('Master Database'!$H378),N('Master Database'!$H378)&lt;=$I$7)),OR($H$8="",AND(ISNUMBER('Master Database'!$I378),N('Master Database'!$I378)&gt;=$H$8)),OR($I$8="",AND(ISNUMBER('Master Database'!$I378),N('Master Database'!$I378)&lt;=$I$8)),OR($H$9="",AND(ISNUMBER('Master Database'!$K378),N('Master Database'!$K378)&gt;=$H$9)),OR($I$9="",AND(ISNUMBER('Master Database'!$K378),N('Master Database'!$K378)&lt;=$I$9))),1,0))</f>
        <v>0</v>
      </c>
      <c r="BB378" t="str">
        <f>IF(BA378=1,COUNTIF($BA$5:BA378,1),"")</f>
        <v/>
      </c>
    </row>
    <row r="379" spans="53:54">
      <c r="BA379">
        <f>IF('Master Database'!$A379="",0,IF(AND(OR($B$5="",ISNUMBER(SEARCH($B$5,'Master Database'!$B379&amp;" "&amp;'Master Database'!$D379))),OR($B$6="(All)",'Master Database'!$C379=$B$6),OR($B$7="(All)",'Master Database'!$E379=$B$7),OR($B$8="(All)",'Master Database'!$T379=$B$8),OR($B$9="(All)",'Master Database'!$M379=$B$9),OR($B$10="(All)",'Master Database'!$V379=$B$10),OR($E$5="(All)",'Master Database'!$F379=$E$5),OR($E$6="(All)",'Master Database'!$G379=$E$6),OR($E$7="(All)",'Master Database'!$O379=$E$7),OR($E$8="(All)",'Master Database'!$P379=$E$8),OR($E$9="(All)",'Master Database'!$S379=$E$9),OR($E$10="(All)",'Master Database'!$Y379&amp;""=$E$10&amp;""),OR($H$5="(All)",'Master Database'!$BG379=$H$5),OR($H$6&lt;&gt;"Y",ISNUMBER('Master Database'!$AG379)),OR($H$7="",AND(ISNUMBER('Master Database'!$H379),N('Master Database'!$H379)&gt;=$H$7)),OR($I$7="",AND(ISNUMBER('Master Database'!$H379),N('Master Database'!$H379)&lt;=$I$7)),OR($H$8="",AND(ISNUMBER('Master Database'!$I379),N('Master Database'!$I379)&gt;=$H$8)),OR($I$8="",AND(ISNUMBER('Master Database'!$I379),N('Master Database'!$I379)&lt;=$I$8)),OR($H$9="",AND(ISNUMBER('Master Database'!$K379),N('Master Database'!$K379)&gt;=$H$9)),OR($I$9="",AND(ISNUMBER('Master Database'!$K379),N('Master Database'!$K379)&lt;=$I$9))),1,0))</f>
        <v>0</v>
      </c>
      <c r="BB379" t="str">
        <f>IF(BA379=1,COUNTIF($BA$5:BA379,1),"")</f>
        <v/>
      </c>
    </row>
    <row r="380" spans="53:54">
      <c r="BA380">
        <f>IF('Master Database'!$A380="",0,IF(AND(OR($B$5="",ISNUMBER(SEARCH($B$5,'Master Database'!$B380&amp;" "&amp;'Master Database'!$D380))),OR($B$6="(All)",'Master Database'!$C380=$B$6),OR($B$7="(All)",'Master Database'!$E380=$B$7),OR($B$8="(All)",'Master Database'!$T380=$B$8),OR($B$9="(All)",'Master Database'!$M380=$B$9),OR($B$10="(All)",'Master Database'!$V380=$B$10),OR($E$5="(All)",'Master Database'!$F380=$E$5),OR($E$6="(All)",'Master Database'!$G380=$E$6),OR($E$7="(All)",'Master Database'!$O380=$E$7),OR($E$8="(All)",'Master Database'!$P380=$E$8),OR($E$9="(All)",'Master Database'!$S380=$E$9),OR($E$10="(All)",'Master Database'!$Y380&amp;""=$E$10&amp;""),OR($H$5="(All)",'Master Database'!$BG380=$H$5),OR($H$6&lt;&gt;"Y",ISNUMBER('Master Database'!$AG380)),OR($H$7="",AND(ISNUMBER('Master Database'!$H380),N('Master Database'!$H380)&gt;=$H$7)),OR($I$7="",AND(ISNUMBER('Master Database'!$H380),N('Master Database'!$H380)&lt;=$I$7)),OR($H$8="",AND(ISNUMBER('Master Database'!$I380),N('Master Database'!$I380)&gt;=$H$8)),OR($I$8="",AND(ISNUMBER('Master Database'!$I380),N('Master Database'!$I380)&lt;=$I$8)),OR($H$9="",AND(ISNUMBER('Master Database'!$K380),N('Master Database'!$K380)&gt;=$H$9)),OR($I$9="",AND(ISNUMBER('Master Database'!$K380),N('Master Database'!$K380)&lt;=$I$9))),1,0))</f>
        <v>0</v>
      </c>
      <c r="BB380" t="str">
        <f>IF(BA380=1,COUNTIF($BA$5:BA380,1),"")</f>
        <v/>
      </c>
    </row>
    <row r="381" spans="53:54">
      <c r="BA381">
        <f>IF('Master Database'!$A381="",0,IF(AND(OR($B$5="",ISNUMBER(SEARCH($B$5,'Master Database'!$B381&amp;" "&amp;'Master Database'!$D381))),OR($B$6="(All)",'Master Database'!$C381=$B$6),OR($B$7="(All)",'Master Database'!$E381=$B$7),OR($B$8="(All)",'Master Database'!$T381=$B$8),OR($B$9="(All)",'Master Database'!$M381=$B$9),OR($B$10="(All)",'Master Database'!$V381=$B$10),OR($E$5="(All)",'Master Database'!$F381=$E$5),OR($E$6="(All)",'Master Database'!$G381=$E$6),OR($E$7="(All)",'Master Database'!$O381=$E$7),OR($E$8="(All)",'Master Database'!$P381=$E$8),OR($E$9="(All)",'Master Database'!$S381=$E$9),OR($E$10="(All)",'Master Database'!$Y381&amp;""=$E$10&amp;""),OR($H$5="(All)",'Master Database'!$BG381=$H$5),OR($H$6&lt;&gt;"Y",ISNUMBER('Master Database'!$AG381)),OR($H$7="",AND(ISNUMBER('Master Database'!$H381),N('Master Database'!$H381)&gt;=$H$7)),OR($I$7="",AND(ISNUMBER('Master Database'!$H381),N('Master Database'!$H381)&lt;=$I$7)),OR($H$8="",AND(ISNUMBER('Master Database'!$I381),N('Master Database'!$I381)&gt;=$H$8)),OR($I$8="",AND(ISNUMBER('Master Database'!$I381),N('Master Database'!$I381)&lt;=$I$8)),OR($H$9="",AND(ISNUMBER('Master Database'!$K381),N('Master Database'!$K381)&gt;=$H$9)),OR($I$9="",AND(ISNUMBER('Master Database'!$K381),N('Master Database'!$K381)&lt;=$I$9))),1,0))</f>
        <v>0</v>
      </c>
      <c r="BB381" t="str">
        <f>IF(BA381=1,COUNTIF($BA$5:BA381,1),"")</f>
        <v/>
      </c>
    </row>
    <row r="382" spans="53:54">
      <c r="BA382">
        <f>IF('Master Database'!$A382="",0,IF(AND(OR($B$5="",ISNUMBER(SEARCH($B$5,'Master Database'!$B382&amp;" "&amp;'Master Database'!$D382))),OR($B$6="(All)",'Master Database'!$C382=$B$6),OR($B$7="(All)",'Master Database'!$E382=$B$7),OR($B$8="(All)",'Master Database'!$T382=$B$8),OR($B$9="(All)",'Master Database'!$M382=$B$9),OR($B$10="(All)",'Master Database'!$V382=$B$10),OR($E$5="(All)",'Master Database'!$F382=$E$5),OR($E$6="(All)",'Master Database'!$G382=$E$6),OR($E$7="(All)",'Master Database'!$O382=$E$7),OR($E$8="(All)",'Master Database'!$P382=$E$8),OR($E$9="(All)",'Master Database'!$S382=$E$9),OR($E$10="(All)",'Master Database'!$Y382&amp;""=$E$10&amp;""),OR($H$5="(All)",'Master Database'!$BG382=$H$5),OR($H$6&lt;&gt;"Y",ISNUMBER('Master Database'!$AG382)),OR($H$7="",AND(ISNUMBER('Master Database'!$H382),N('Master Database'!$H382)&gt;=$H$7)),OR($I$7="",AND(ISNUMBER('Master Database'!$H382),N('Master Database'!$H382)&lt;=$I$7)),OR($H$8="",AND(ISNUMBER('Master Database'!$I382),N('Master Database'!$I382)&gt;=$H$8)),OR($I$8="",AND(ISNUMBER('Master Database'!$I382),N('Master Database'!$I382)&lt;=$I$8)),OR($H$9="",AND(ISNUMBER('Master Database'!$K382),N('Master Database'!$K382)&gt;=$H$9)),OR($I$9="",AND(ISNUMBER('Master Database'!$K382),N('Master Database'!$K382)&lt;=$I$9))),1,0))</f>
        <v>0</v>
      </c>
      <c r="BB382" t="str">
        <f>IF(BA382=1,COUNTIF($BA$5:BA382,1),"")</f>
        <v/>
      </c>
    </row>
    <row r="383" spans="53:54">
      <c r="BA383">
        <f>IF('Master Database'!$A383="",0,IF(AND(OR($B$5="",ISNUMBER(SEARCH($B$5,'Master Database'!$B383&amp;" "&amp;'Master Database'!$D383))),OR($B$6="(All)",'Master Database'!$C383=$B$6),OR($B$7="(All)",'Master Database'!$E383=$B$7),OR($B$8="(All)",'Master Database'!$T383=$B$8),OR($B$9="(All)",'Master Database'!$M383=$B$9),OR($B$10="(All)",'Master Database'!$V383=$B$10),OR($E$5="(All)",'Master Database'!$F383=$E$5),OR($E$6="(All)",'Master Database'!$G383=$E$6),OR($E$7="(All)",'Master Database'!$O383=$E$7),OR($E$8="(All)",'Master Database'!$P383=$E$8),OR($E$9="(All)",'Master Database'!$S383=$E$9),OR($E$10="(All)",'Master Database'!$Y383&amp;""=$E$10&amp;""),OR($H$5="(All)",'Master Database'!$BG383=$H$5),OR($H$6&lt;&gt;"Y",ISNUMBER('Master Database'!$AG383)),OR($H$7="",AND(ISNUMBER('Master Database'!$H383),N('Master Database'!$H383)&gt;=$H$7)),OR($I$7="",AND(ISNUMBER('Master Database'!$H383),N('Master Database'!$H383)&lt;=$I$7)),OR($H$8="",AND(ISNUMBER('Master Database'!$I383),N('Master Database'!$I383)&gt;=$H$8)),OR($I$8="",AND(ISNUMBER('Master Database'!$I383),N('Master Database'!$I383)&lt;=$I$8)),OR($H$9="",AND(ISNUMBER('Master Database'!$K383),N('Master Database'!$K383)&gt;=$H$9)),OR($I$9="",AND(ISNUMBER('Master Database'!$K383),N('Master Database'!$K383)&lt;=$I$9))),1,0))</f>
        <v>0</v>
      </c>
      <c r="BB383" t="str">
        <f>IF(BA383=1,COUNTIF($BA$5:BA383,1),"")</f>
        <v/>
      </c>
    </row>
    <row r="384" spans="53:54">
      <c r="BA384">
        <f>IF('Master Database'!$A384="",0,IF(AND(OR($B$5="",ISNUMBER(SEARCH($B$5,'Master Database'!$B384&amp;" "&amp;'Master Database'!$D384))),OR($B$6="(All)",'Master Database'!$C384=$B$6),OR($B$7="(All)",'Master Database'!$E384=$B$7),OR($B$8="(All)",'Master Database'!$T384=$B$8),OR($B$9="(All)",'Master Database'!$M384=$B$9),OR($B$10="(All)",'Master Database'!$V384=$B$10),OR($E$5="(All)",'Master Database'!$F384=$E$5),OR($E$6="(All)",'Master Database'!$G384=$E$6),OR($E$7="(All)",'Master Database'!$O384=$E$7),OR($E$8="(All)",'Master Database'!$P384=$E$8),OR($E$9="(All)",'Master Database'!$S384=$E$9),OR($E$10="(All)",'Master Database'!$Y384&amp;""=$E$10&amp;""),OR($H$5="(All)",'Master Database'!$BG384=$H$5),OR($H$6&lt;&gt;"Y",ISNUMBER('Master Database'!$AG384)),OR($H$7="",AND(ISNUMBER('Master Database'!$H384),N('Master Database'!$H384)&gt;=$H$7)),OR($I$7="",AND(ISNUMBER('Master Database'!$H384),N('Master Database'!$H384)&lt;=$I$7)),OR($H$8="",AND(ISNUMBER('Master Database'!$I384),N('Master Database'!$I384)&gt;=$H$8)),OR($I$8="",AND(ISNUMBER('Master Database'!$I384),N('Master Database'!$I384)&lt;=$I$8)),OR($H$9="",AND(ISNUMBER('Master Database'!$K384),N('Master Database'!$K384)&gt;=$H$9)),OR($I$9="",AND(ISNUMBER('Master Database'!$K384),N('Master Database'!$K384)&lt;=$I$9))),1,0))</f>
        <v>0</v>
      </c>
      <c r="BB384" t="str">
        <f>IF(BA384=1,COUNTIF($BA$5:BA384,1),"")</f>
        <v/>
      </c>
    </row>
    <row r="385" spans="53:54">
      <c r="BA385">
        <f>IF('Master Database'!$A385="",0,IF(AND(OR($B$5="",ISNUMBER(SEARCH($B$5,'Master Database'!$B385&amp;" "&amp;'Master Database'!$D385))),OR($B$6="(All)",'Master Database'!$C385=$B$6),OR($B$7="(All)",'Master Database'!$E385=$B$7),OR($B$8="(All)",'Master Database'!$T385=$B$8),OR($B$9="(All)",'Master Database'!$M385=$B$9),OR($B$10="(All)",'Master Database'!$V385=$B$10),OR($E$5="(All)",'Master Database'!$F385=$E$5),OR($E$6="(All)",'Master Database'!$G385=$E$6),OR($E$7="(All)",'Master Database'!$O385=$E$7),OR($E$8="(All)",'Master Database'!$P385=$E$8),OR($E$9="(All)",'Master Database'!$S385=$E$9),OR($E$10="(All)",'Master Database'!$Y385&amp;""=$E$10&amp;""),OR($H$5="(All)",'Master Database'!$BG385=$H$5),OR($H$6&lt;&gt;"Y",ISNUMBER('Master Database'!$AG385)),OR($H$7="",AND(ISNUMBER('Master Database'!$H385),N('Master Database'!$H385)&gt;=$H$7)),OR($I$7="",AND(ISNUMBER('Master Database'!$H385),N('Master Database'!$H385)&lt;=$I$7)),OR($H$8="",AND(ISNUMBER('Master Database'!$I385),N('Master Database'!$I385)&gt;=$H$8)),OR($I$8="",AND(ISNUMBER('Master Database'!$I385),N('Master Database'!$I385)&lt;=$I$8)),OR($H$9="",AND(ISNUMBER('Master Database'!$K385),N('Master Database'!$K385)&gt;=$H$9)),OR($I$9="",AND(ISNUMBER('Master Database'!$K385),N('Master Database'!$K385)&lt;=$I$9))),1,0))</f>
        <v>0</v>
      </c>
      <c r="BB385" t="str">
        <f>IF(BA385=1,COUNTIF($BA$5:BA385,1),"")</f>
        <v/>
      </c>
    </row>
    <row r="386" spans="53:54">
      <c r="BA386">
        <f>IF('Master Database'!$A386="",0,IF(AND(OR($B$5="",ISNUMBER(SEARCH($B$5,'Master Database'!$B386&amp;" "&amp;'Master Database'!$D386))),OR($B$6="(All)",'Master Database'!$C386=$B$6),OR($B$7="(All)",'Master Database'!$E386=$B$7),OR($B$8="(All)",'Master Database'!$T386=$B$8),OR($B$9="(All)",'Master Database'!$M386=$B$9),OR($B$10="(All)",'Master Database'!$V386=$B$10),OR($E$5="(All)",'Master Database'!$F386=$E$5),OR($E$6="(All)",'Master Database'!$G386=$E$6),OR($E$7="(All)",'Master Database'!$O386=$E$7),OR($E$8="(All)",'Master Database'!$P386=$E$8),OR($E$9="(All)",'Master Database'!$S386=$E$9),OR($E$10="(All)",'Master Database'!$Y386&amp;""=$E$10&amp;""),OR($H$5="(All)",'Master Database'!$BG386=$H$5),OR($H$6&lt;&gt;"Y",ISNUMBER('Master Database'!$AG386)),OR($H$7="",AND(ISNUMBER('Master Database'!$H386),N('Master Database'!$H386)&gt;=$H$7)),OR($I$7="",AND(ISNUMBER('Master Database'!$H386),N('Master Database'!$H386)&lt;=$I$7)),OR($H$8="",AND(ISNUMBER('Master Database'!$I386),N('Master Database'!$I386)&gt;=$H$8)),OR($I$8="",AND(ISNUMBER('Master Database'!$I386),N('Master Database'!$I386)&lt;=$I$8)),OR($H$9="",AND(ISNUMBER('Master Database'!$K386),N('Master Database'!$K386)&gt;=$H$9)),OR($I$9="",AND(ISNUMBER('Master Database'!$K386),N('Master Database'!$K386)&lt;=$I$9))),1,0))</f>
        <v>0</v>
      </c>
      <c r="BB386" t="str">
        <f>IF(BA386=1,COUNTIF($BA$5:BA386,1),"")</f>
        <v/>
      </c>
    </row>
    <row r="387" spans="53:54">
      <c r="BA387">
        <f>IF('Master Database'!$A387="",0,IF(AND(OR($B$5="",ISNUMBER(SEARCH($B$5,'Master Database'!$B387&amp;" "&amp;'Master Database'!$D387))),OR($B$6="(All)",'Master Database'!$C387=$B$6),OR($B$7="(All)",'Master Database'!$E387=$B$7),OR($B$8="(All)",'Master Database'!$T387=$B$8),OR($B$9="(All)",'Master Database'!$M387=$B$9),OR($B$10="(All)",'Master Database'!$V387=$B$10),OR($E$5="(All)",'Master Database'!$F387=$E$5),OR($E$6="(All)",'Master Database'!$G387=$E$6),OR($E$7="(All)",'Master Database'!$O387=$E$7),OR($E$8="(All)",'Master Database'!$P387=$E$8),OR($E$9="(All)",'Master Database'!$S387=$E$9),OR($E$10="(All)",'Master Database'!$Y387&amp;""=$E$10&amp;""),OR($H$5="(All)",'Master Database'!$BG387=$H$5),OR($H$6&lt;&gt;"Y",ISNUMBER('Master Database'!$AG387)),OR($H$7="",AND(ISNUMBER('Master Database'!$H387),N('Master Database'!$H387)&gt;=$H$7)),OR($I$7="",AND(ISNUMBER('Master Database'!$H387),N('Master Database'!$H387)&lt;=$I$7)),OR($H$8="",AND(ISNUMBER('Master Database'!$I387),N('Master Database'!$I387)&gt;=$H$8)),OR($I$8="",AND(ISNUMBER('Master Database'!$I387),N('Master Database'!$I387)&lt;=$I$8)),OR($H$9="",AND(ISNUMBER('Master Database'!$K387),N('Master Database'!$K387)&gt;=$H$9)),OR($I$9="",AND(ISNUMBER('Master Database'!$K387),N('Master Database'!$K387)&lt;=$I$9))),1,0))</f>
        <v>0</v>
      </c>
      <c r="BB387" t="str">
        <f>IF(BA387=1,COUNTIF($BA$5:BA387,1),"")</f>
        <v/>
      </c>
    </row>
    <row r="388" spans="53:54">
      <c r="BA388">
        <f>IF('Master Database'!$A388="",0,IF(AND(OR($B$5="",ISNUMBER(SEARCH($B$5,'Master Database'!$B388&amp;" "&amp;'Master Database'!$D388))),OR($B$6="(All)",'Master Database'!$C388=$B$6),OR($B$7="(All)",'Master Database'!$E388=$B$7),OR($B$8="(All)",'Master Database'!$T388=$B$8),OR($B$9="(All)",'Master Database'!$M388=$B$9),OR($B$10="(All)",'Master Database'!$V388=$B$10),OR($E$5="(All)",'Master Database'!$F388=$E$5),OR($E$6="(All)",'Master Database'!$G388=$E$6),OR($E$7="(All)",'Master Database'!$O388=$E$7),OR($E$8="(All)",'Master Database'!$P388=$E$8),OR($E$9="(All)",'Master Database'!$S388=$E$9),OR($E$10="(All)",'Master Database'!$Y388&amp;""=$E$10&amp;""),OR($H$5="(All)",'Master Database'!$BG388=$H$5),OR($H$6&lt;&gt;"Y",ISNUMBER('Master Database'!$AG388)),OR($H$7="",AND(ISNUMBER('Master Database'!$H388),N('Master Database'!$H388)&gt;=$H$7)),OR($I$7="",AND(ISNUMBER('Master Database'!$H388),N('Master Database'!$H388)&lt;=$I$7)),OR($H$8="",AND(ISNUMBER('Master Database'!$I388),N('Master Database'!$I388)&gt;=$H$8)),OR($I$8="",AND(ISNUMBER('Master Database'!$I388),N('Master Database'!$I388)&lt;=$I$8)),OR($H$9="",AND(ISNUMBER('Master Database'!$K388),N('Master Database'!$K388)&gt;=$H$9)),OR($I$9="",AND(ISNUMBER('Master Database'!$K388),N('Master Database'!$K388)&lt;=$I$9))),1,0))</f>
        <v>0</v>
      </c>
      <c r="BB388" t="str">
        <f>IF(BA388=1,COUNTIF($BA$5:BA388,1),"")</f>
        <v/>
      </c>
    </row>
    <row r="389" spans="53:54">
      <c r="BA389">
        <f>IF('Master Database'!$A389="",0,IF(AND(OR($B$5="",ISNUMBER(SEARCH($B$5,'Master Database'!$B389&amp;" "&amp;'Master Database'!$D389))),OR($B$6="(All)",'Master Database'!$C389=$B$6),OR($B$7="(All)",'Master Database'!$E389=$B$7),OR($B$8="(All)",'Master Database'!$T389=$B$8),OR($B$9="(All)",'Master Database'!$M389=$B$9),OR($B$10="(All)",'Master Database'!$V389=$B$10),OR($E$5="(All)",'Master Database'!$F389=$E$5),OR($E$6="(All)",'Master Database'!$G389=$E$6),OR($E$7="(All)",'Master Database'!$O389=$E$7),OR($E$8="(All)",'Master Database'!$P389=$E$8),OR($E$9="(All)",'Master Database'!$S389=$E$9),OR($E$10="(All)",'Master Database'!$Y389&amp;""=$E$10&amp;""),OR($H$5="(All)",'Master Database'!$BG389=$H$5),OR($H$6&lt;&gt;"Y",ISNUMBER('Master Database'!$AG389)),OR($H$7="",AND(ISNUMBER('Master Database'!$H389),N('Master Database'!$H389)&gt;=$H$7)),OR($I$7="",AND(ISNUMBER('Master Database'!$H389),N('Master Database'!$H389)&lt;=$I$7)),OR($H$8="",AND(ISNUMBER('Master Database'!$I389),N('Master Database'!$I389)&gt;=$H$8)),OR($I$8="",AND(ISNUMBER('Master Database'!$I389),N('Master Database'!$I389)&lt;=$I$8)),OR($H$9="",AND(ISNUMBER('Master Database'!$K389),N('Master Database'!$K389)&gt;=$H$9)),OR($I$9="",AND(ISNUMBER('Master Database'!$K389),N('Master Database'!$K389)&lt;=$I$9))),1,0))</f>
        <v>0</v>
      </c>
      <c r="BB389" t="str">
        <f>IF(BA389=1,COUNTIF($BA$5:BA389,1),"")</f>
        <v/>
      </c>
    </row>
    <row r="390" spans="53:54">
      <c r="BA390">
        <f>IF('Master Database'!$A390="",0,IF(AND(OR($B$5="",ISNUMBER(SEARCH($B$5,'Master Database'!$B390&amp;" "&amp;'Master Database'!$D390))),OR($B$6="(All)",'Master Database'!$C390=$B$6),OR($B$7="(All)",'Master Database'!$E390=$B$7),OR($B$8="(All)",'Master Database'!$T390=$B$8),OR($B$9="(All)",'Master Database'!$M390=$B$9),OR($B$10="(All)",'Master Database'!$V390=$B$10),OR($E$5="(All)",'Master Database'!$F390=$E$5),OR($E$6="(All)",'Master Database'!$G390=$E$6),OR($E$7="(All)",'Master Database'!$O390=$E$7),OR($E$8="(All)",'Master Database'!$P390=$E$8),OR($E$9="(All)",'Master Database'!$S390=$E$9),OR($E$10="(All)",'Master Database'!$Y390&amp;""=$E$10&amp;""),OR($H$5="(All)",'Master Database'!$BG390=$H$5),OR($H$6&lt;&gt;"Y",ISNUMBER('Master Database'!$AG390)),OR($H$7="",AND(ISNUMBER('Master Database'!$H390),N('Master Database'!$H390)&gt;=$H$7)),OR($I$7="",AND(ISNUMBER('Master Database'!$H390),N('Master Database'!$H390)&lt;=$I$7)),OR($H$8="",AND(ISNUMBER('Master Database'!$I390),N('Master Database'!$I390)&gt;=$H$8)),OR($I$8="",AND(ISNUMBER('Master Database'!$I390),N('Master Database'!$I390)&lt;=$I$8)),OR($H$9="",AND(ISNUMBER('Master Database'!$K390),N('Master Database'!$K390)&gt;=$H$9)),OR($I$9="",AND(ISNUMBER('Master Database'!$K390),N('Master Database'!$K390)&lt;=$I$9))),1,0))</f>
        <v>0</v>
      </c>
      <c r="BB390" t="str">
        <f>IF(BA390=1,COUNTIF($BA$5:BA390,1),"")</f>
        <v/>
      </c>
    </row>
    <row r="391" spans="53:54">
      <c r="BA391">
        <f>IF('Master Database'!$A391="",0,IF(AND(OR($B$5="",ISNUMBER(SEARCH($B$5,'Master Database'!$B391&amp;" "&amp;'Master Database'!$D391))),OR($B$6="(All)",'Master Database'!$C391=$B$6),OR($B$7="(All)",'Master Database'!$E391=$B$7),OR($B$8="(All)",'Master Database'!$T391=$B$8),OR($B$9="(All)",'Master Database'!$M391=$B$9),OR($B$10="(All)",'Master Database'!$V391=$B$10),OR($E$5="(All)",'Master Database'!$F391=$E$5),OR($E$6="(All)",'Master Database'!$G391=$E$6),OR($E$7="(All)",'Master Database'!$O391=$E$7),OR($E$8="(All)",'Master Database'!$P391=$E$8),OR($E$9="(All)",'Master Database'!$S391=$E$9),OR($E$10="(All)",'Master Database'!$Y391&amp;""=$E$10&amp;""),OR($H$5="(All)",'Master Database'!$BG391=$H$5),OR($H$6&lt;&gt;"Y",ISNUMBER('Master Database'!$AG391)),OR($H$7="",AND(ISNUMBER('Master Database'!$H391),N('Master Database'!$H391)&gt;=$H$7)),OR($I$7="",AND(ISNUMBER('Master Database'!$H391),N('Master Database'!$H391)&lt;=$I$7)),OR($H$8="",AND(ISNUMBER('Master Database'!$I391),N('Master Database'!$I391)&gt;=$H$8)),OR($I$8="",AND(ISNUMBER('Master Database'!$I391),N('Master Database'!$I391)&lt;=$I$8)),OR($H$9="",AND(ISNUMBER('Master Database'!$K391),N('Master Database'!$K391)&gt;=$H$9)),OR($I$9="",AND(ISNUMBER('Master Database'!$K391),N('Master Database'!$K391)&lt;=$I$9))),1,0))</f>
        <v>0</v>
      </c>
      <c r="BB391" t="str">
        <f>IF(BA391=1,COUNTIF($BA$5:BA391,1),"")</f>
        <v/>
      </c>
    </row>
    <row r="392" spans="53:54">
      <c r="BA392">
        <f>IF('Master Database'!$A392="",0,IF(AND(OR($B$5="",ISNUMBER(SEARCH($B$5,'Master Database'!$B392&amp;" "&amp;'Master Database'!$D392))),OR($B$6="(All)",'Master Database'!$C392=$B$6),OR($B$7="(All)",'Master Database'!$E392=$B$7),OR($B$8="(All)",'Master Database'!$T392=$B$8),OR($B$9="(All)",'Master Database'!$M392=$B$9),OR($B$10="(All)",'Master Database'!$V392=$B$10),OR($E$5="(All)",'Master Database'!$F392=$E$5),OR($E$6="(All)",'Master Database'!$G392=$E$6),OR($E$7="(All)",'Master Database'!$O392=$E$7),OR($E$8="(All)",'Master Database'!$P392=$E$8),OR($E$9="(All)",'Master Database'!$S392=$E$9),OR($E$10="(All)",'Master Database'!$Y392&amp;""=$E$10&amp;""),OR($H$5="(All)",'Master Database'!$BG392=$H$5),OR($H$6&lt;&gt;"Y",ISNUMBER('Master Database'!$AG392)),OR($H$7="",AND(ISNUMBER('Master Database'!$H392),N('Master Database'!$H392)&gt;=$H$7)),OR($I$7="",AND(ISNUMBER('Master Database'!$H392),N('Master Database'!$H392)&lt;=$I$7)),OR($H$8="",AND(ISNUMBER('Master Database'!$I392),N('Master Database'!$I392)&gt;=$H$8)),OR($I$8="",AND(ISNUMBER('Master Database'!$I392),N('Master Database'!$I392)&lt;=$I$8)),OR($H$9="",AND(ISNUMBER('Master Database'!$K392),N('Master Database'!$K392)&gt;=$H$9)),OR($I$9="",AND(ISNUMBER('Master Database'!$K392),N('Master Database'!$K392)&lt;=$I$9))),1,0))</f>
        <v>0</v>
      </c>
      <c r="BB392" t="str">
        <f>IF(BA392=1,COUNTIF($BA$5:BA392,1),"")</f>
        <v/>
      </c>
    </row>
    <row r="393" spans="53:54">
      <c r="BA393">
        <f>IF('Master Database'!$A393="",0,IF(AND(OR($B$5="",ISNUMBER(SEARCH($B$5,'Master Database'!$B393&amp;" "&amp;'Master Database'!$D393))),OR($B$6="(All)",'Master Database'!$C393=$B$6),OR($B$7="(All)",'Master Database'!$E393=$B$7),OR($B$8="(All)",'Master Database'!$T393=$B$8),OR($B$9="(All)",'Master Database'!$M393=$B$9),OR($B$10="(All)",'Master Database'!$V393=$B$10),OR($E$5="(All)",'Master Database'!$F393=$E$5),OR($E$6="(All)",'Master Database'!$G393=$E$6),OR($E$7="(All)",'Master Database'!$O393=$E$7),OR($E$8="(All)",'Master Database'!$P393=$E$8),OR($E$9="(All)",'Master Database'!$S393=$E$9),OR($E$10="(All)",'Master Database'!$Y393&amp;""=$E$10&amp;""),OR($H$5="(All)",'Master Database'!$BG393=$H$5),OR($H$6&lt;&gt;"Y",ISNUMBER('Master Database'!$AG393)),OR($H$7="",AND(ISNUMBER('Master Database'!$H393),N('Master Database'!$H393)&gt;=$H$7)),OR($I$7="",AND(ISNUMBER('Master Database'!$H393),N('Master Database'!$H393)&lt;=$I$7)),OR($H$8="",AND(ISNUMBER('Master Database'!$I393),N('Master Database'!$I393)&gt;=$H$8)),OR($I$8="",AND(ISNUMBER('Master Database'!$I393),N('Master Database'!$I393)&lt;=$I$8)),OR($H$9="",AND(ISNUMBER('Master Database'!$K393),N('Master Database'!$K393)&gt;=$H$9)),OR($I$9="",AND(ISNUMBER('Master Database'!$K393),N('Master Database'!$K393)&lt;=$I$9))),1,0))</f>
        <v>0</v>
      </c>
      <c r="BB393" t="str">
        <f>IF(BA393=1,COUNTIF($BA$5:BA393,1),"")</f>
        <v/>
      </c>
    </row>
    <row r="394" spans="53:54">
      <c r="BA394">
        <f>IF('Master Database'!$A394="",0,IF(AND(OR($B$5="",ISNUMBER(SEARCH($B$5,'Master Database'!$B394&amp;" "&amp;'Master Database'!$D394))),OR($B$6="(All)",'Master Database'!$C394=$B$6),OR($B$7="(All)",'Master Database'!$E394=$B$7),OR($B$8="(All)",'Master Database'!$T394=$B$8),OR($B$9="(All)",'Master Database'!$M394=$B$9),OR($B$10="(All)",'Master Database'!$V394=$B$10),OR($E$5="(All)",'Master Database'!$F394=$E$5),OR($E$6="(All)",'Master Database'!$G394=$E$6),OR($E$7="(All)",'Master Database'!$O394=$E$7),OR($E$8="(All)",'Master Database'!$P394=$E$8),OR($E$9="(All)",'Master Database'!$S394=$E$9),OR($E$10="(All)",'Master Database'!$Y394&amp;""=$E$10&amp;""),OR($H$5="(All)",'Master Database'!$BG394=$H$5),OR($H$6&lt;&gt;"Y",ISNUMBER('Master Database'!$AG394)),OR($H$7="",AND(ISNUMBER('Master Database'!$H394),N('Master Database'!$H394)&gt;=$H$7)),OR($I$7="",AND(ISNUMBER('Master Database'!$H394),N('Master Database'!$H394)&lt;=$I$7)),OR($H$8="",AND(ISNUMBER('Master Database'!$I394),N('Master Database'!$I394)&gt;=$H$8)),OR($I$8="",AND(ISNUMBER('Master Database'!$I394),N('Master Database'!$I394)&lt;=$I$8)),OR($H$9="",AND(ISNUMBER('Master Database'!$K394),N('Master Database'!$K394)&gt;=$H$9)),OR($I$9="",AND(ISNUMBER('Master Database'!$K394),N('Master Database'!$K394)&lt;=$I$9))),1,0))</f>
        <v>0</v>
      </c>
      <c r="BB394" t="str">
        <f>IF(BA394=1,COUNTIF($BA$5:BA394,1),"")</f>
        <v/>
      </c>
    </row>
    <row r="395" spans="53:54">
      <c r="BA395">
        <f>IF('Master Database'!$A395="",0,IF(AND(OR($B$5="",ISNUMBER(SEARCH($B$5,'Master Database'!$B395&amp;" "&amp;'Master Database'!$D395))),OR($B$6="(All)",'Master Database'!$C395=$B$6),OR($B$7="(All)",'Master Database'!$E395=$B$7),OR($B$8="(All)",'Master Database'!$T395=$B$8),OR($B$9="(All)",'Master Database'!$M395=$B$9),OR($B$10="(All)",'Master Database'!$V395=$B$10),OR($E$5="(All)",'Master Database'!$F395=$E$5),OR($E$6="(All)",'Master Database'!$G395=$E$6),OR($E$7="(All)",'Master Database'!$O395=$E$7),OR($E$8="(All)",'Master Database'!$P395=$E$8),OR($E$9="(All)",'Master Database'!$S395=$E$9),OR($E$10="(All)",'Master Database'!$Y395&amp;""=$E$10&amp;""),OR($H$5="(All)",'Master Database'!$BG395=$H$5),OR($H$6&lt;&gt;"Y",ISNUMBER('Master Database'!$AG395)),OR($H$7="",AND(ISNUMBER('Master Database'!$H395),N('Master Database'!$H395)&gt;=$H$7)),OR($I$7="",AND(ISNUMBER('Master Database'!$H395),N('Master Database'!$H395)&lt;=$I$7)),OR($H$8="",AND(ISNUMBER('Master Database'!$I395),N('Master Database'!$I395)&gt;=$H$8)),OR($I$8="",AND(ISNUMBER('Master Database'!$I395),N('Master Database'!$I395)&lt;=$I$8)),OR($H$9="",AND(ISNUMBER('Master Database'!$K395),N('Master Database'!$K395)&gt;=$H$9)),OR($I$9="",AND(ISNUMBER('Master Database'!$K395),N('Master Database'!$K395)&lt;=$I$9))),1,0))</f>
        <v>0</v>
      </c>
      <c r="BB395" t="str">
        <f>IF(BA395=1,COUNTIF($BA$5:BA395,1),"")</f>
        <v/>
      </c>
    </row>
    <row r="396" spans="53:54">
      <c r="BA396">
        <f>IF('Master Database'!$A396="",0,IF(AND(OR($B$5="",ISNUMBER(SEARCH($B$5,'Master Database'!$B396&amp;" "&amp;'Master Database'!$D396))),OR($B$6="(All)",'Master Database'!$C396=$B$6),OR($B$7="(All)",'Master Database'!$E396=$B$7),OR($B$8="(All)",'Master Database'!$T396=$B$8),OR($B$9="(All)",'Master Database'!$M396=$B$9),OR($B$10="(All)",'Master Database'!$V396=$B$10),OR($E$5="(All)",'Master Database'!$F396=$E$5),OR($E$6="(All)",'Master Database'!$G396=$E$6),OR($E$7="(All)",'Master Database'!$O396=$E$7),OR($E$8="(All)",'Master Database'!$P396=$E$8),OR($E$9="(All)",'Master Database'!$S396=$E$9),OR($E$10="(All)",'Master Database'!$Y396&amp;""=$E$10&amp;""),OR($H$5="(All)",'Master Database'!$BG396=$H$5),OR($H$6&lt;&gt;"Y",ISNUMBER('Master Database'!$AG396)),OR($H$7="",AND(ISNUMBER('Master Database'!$H396),N('Master Database'!$H396)&gt;=$H$7)),OR($I$7="",AND(ISNUMBER('Master Database'!$H396),N('Master Database'!$H396)&lt;=$I$7)),OR($H$8="",AND(ISNUMBER('Master Database'!$I396),N('Master Database'!$I396)&gt;=$H$8)),OR($I$8="",AND(ISNUMBER('Master Database'!$I396),N('Master Database'!$I396)&lt;=$I$8)),OR($H$9="",AND(ISNUMBER('Master Database'!$K396),N('Master Database'!$K396)&gt;=$H$9)),OR($I$9="",AND(ISNUMBER('Master Database'!$K396),N('Master Database'!$K396)&lt;=$I$9))),1,0))</f>
        <v>0</v>
      </c>
      <c r="BB396" t="str">
        <f>IF(BA396=1,COUNTIF($BA$5:BA396,1),"")</f>
        <v/>
      </c>
    </row>
    <row r="397" spans="53:54">
      <c r="BA397">
        <f>IF('Master Database'!$A397="",0,IF(AND(OR($B$5="",ISNUMBER(SEARCH($B$5,'Master Database'!$B397&amp;" "&amp;'Master Database'!$D397))),OR($B$6="(All)",'Master Database'!$C397=$B$6),OR($B$7="(All)",'Master Database'!$E397=$B$7),OR($B$8="(All)",'Master Database'!$T397=$B$8),OR($B$9="(All)",'Master Database'!$M397=$B$9),OR($B$10="(All)",'Master Database'!$V397=$B$10),OR($E$5="(All)",'Master Database'!$F397=$E$5),OR($E$6="(All)",'Master Database'!$G397=$E$6),OR($E$7="(All)",'Master Database'!$O397=$E$7),OR($E$8="(All)",'Master Database'!$P397=$E$8),OR($E$9="(All)",'Master Database'!$S397=$E$9),OR($E$10="(All)",'Master Database'!$Y397&amp;""=$E$10&amp;""),OR($H$5="(All)",'Master Database'!$BG397=$H$5),OR($H$6&lt;&gt;"Y",ISNUMBER('Master Database'!$AG397)),OR($H$7="",AND(ISNUMBER('Master Database'!$H397),N('Master Database'!$H397)&gt;=$H$7)),OR($I$7="",AND(ISNUMBER('Master Database'!$H397),N('Master Database'!$H397)&lt;=$I$7)),OR($H$8="",AND(ISNUMBER('Master Database'!$I397),N('Master Database'!$I397)&gt;=$H$8)),OR($I$8="",AND(ISNUMBER('Master Database'!$I397),N('Master Database'!$I397)&lt;=$I$8)),OR($H$9="",AND(ISNUMBER('Master Database'!$K397),N('Master Database'!$K397)&gt;=$H$9)),OR($I$9="",AND(ISNUMBER('Master Database'!$K397),N('Master Database'!$K397)&lt;=$I$9))),1,0))</f>
        <v>0</v>
      </c>
      <c r="BB397" t="str">
        <f>IF(BA397=1,COUNTIF($BA$5:BA397,1),"")</f>
        <v/>
      </c>
    </row>
    <row r="398" spans="53:54">
      <c r="BA398">
        <f>IF('Master Database'!$A398="",0,IF(AND(OR($B$5="",ISNUMBER(SEARCH($B$5,'Master Database'!$B398&amp;" "&amp;'Master Database'!$D398))),OR($B$6="(All)",'Master Database'!$C398=$B$6),OR($B$7="(All)",'Master Database'!$E398=$B$7),OR($B$8="(All)",'Master Database'!$T398=$B$8),OR($B$9="(All)",'Master Database'!$M398=$B$9),OR($B$10="(All)",'Master Database'!$V398=$B$10),OR($E$5="(All)",'Master Database'!$F398=$E$5),OR($E$6="(All)",'Master Database'!$G398=$E$6),OR($E$7="(All)",'Master Database'!$O398=$E$7),OR($E$8="(All)",'Master Database'!$P398=$E$8),OR($E$9="(All)",'Master Database'!$S398=$E$9),OR($E$10="(All)",'Master Database'!$Y398&amp;""=$E$10&amp;""),OR($H$5="(All)",'Master Database'!$BG398=$H$5),OR($H$6&lt;&gt;"Y",ISNUMBER('Master Database'!$AG398)),OR($H$7="",AND(ISNUMBER('Master Database'!$H398),N('Master Database'!$H398)&gt;=$H$7)),OR($I$7="",AND(ISNUMBER('Master Database'!$H398),N('Master Database'!$H398)&lt;=$I$7)),OR($H$8="",AND(ISNUMBER('Master Database'!$I398),N('Master Database'!$I398)&gt;=$H$8)),OR($I$8="",AND(ISNUMBER('Master Database'!$I398),N('Master Database'!$I398)&lt;=$I$8)),OR($H$9="",AND(ISNUMBER('Master Database'!$K398),N('Master Database'!$K398)&gt;=$H$9)),OR($I$9="",AND(ISNUMBER('Master Database'!$K398),N('Master Database'!$K398)&lt;=$I$9))),1,0))</f>
        <v>0</v>
      </c>
      <c r="BB398" t="str">
        <f>IF(BA398=1,COUNTIF($BA$5:BA398,1),"")</f>
        <v/>
      </c>
    </row>
    <row r="399" spans="53:54">
      <c r="BA399">
        <f>IF('Master Database'!$A399="",0,IF(AND(OR($B$5="",ISNUMBER(SEARCH($B$5,'Master Database'!$B399&amp;" "&amp;'Master Database'!$D399))),OR($B$6="(All)",'Master Database'!$C399=$B$6),OR($B$7="(All)",'Master Database'!$E399=$B$7),OR($B$8="(All)",'Master Database'!$T399=$B$8),OR($B$9="(All)",'Master Database'!$M399=$B$9),OR($B$10="(All)",'Master Database'!$V399=$B$10),OR($E$5="(All)",'Master Database'!$F399=$E$5),OR($E$6="(All)",'Master Database'!$G399=$E$6),OR($E$7="(All)",'Master Database'!$O399=$E$7),OR($E$8="(All)",'Master Database'!$P399=$E$8),OR($E$9="(All)",'Master Database'!$S399=$E$9),OR($E$10="(All)",'Master Database'!$Y399&amp;""=$E$10&amp;""),OR($H$5="(All)",'Master Database'!$BG399=$H$5),OR($H$6&lt;&gt;"Y",ISNUMBER('Master Database'!$AG399)),OR($H$7="",AND(ISNUMBER('Master Database'!$H399),N('Master Database'!$H399)&gt;=$H$7)),OR($I$7="",AND(ISNUMBER('Master Database'!$H399),N('Master Database'!$H399)&lt;=$I$7)),OR($H$8="",AND(ISNUMBER('Master Database'!$I399),N('Master Database'!$I399)&gt;=$H$8)),OR($I$8="",AND(ISNUMBER('Master Database'!$I399),N('Master Database'!$I399)&lt;=$I$8)),OR($H$9="",AND(ISNUMBER('Master Database'!$K399),N('Master Database'!$K399)&gt;=$H$9)),OR($I$9="",AND(ISNUMBER('Master Database'!$K399),N('Master Database'!$K399)&lt;=$I$9))),1,0))</f>
        <v>0</v>
      </c>
      <c r="BB399" t="str">
        <f>IF(BA399=1,COUNTIF($BA$5:BA399,1),"")</f>
        <v/>
      </c>
    </row>
    <row r="400" spans="53:54">
      <c r="BA400">
        <f>IF('Master Database'!$A400="",0,IF(AND(OR($B$5="",ISNUMBER(SEARCH($B$5,'Master Database'!$B400&amp;" "&amp;'Master Database'!$D400))),OR($B$6="(All)",'Master Database'!$C400=$B$6),OR($B$7="(All)",'Master Database'!$E400=$B$7),OR($B$8="(All)",'Master Database'!$T400=$B$8),OR($B$9="(All)",'Master Database'!$M400=$B$9),OR($B$10="(All)",'Master Database'!$V400=$B$10),OR($E$5="(All)",'Master Database'!$F400=$E$5),OR($E$6="(All)",'Master Database'!$G400=$E$6),OR($E$7="(All)",'Master Database'!$O400=$E$7),OR($E$8="(All)",'Master Database'!$P400=$E$8),OR($E$9="(All)",'Master Database'!$S400=$E$9),OR($E$10="(All)",'Master Database'!$Y400&amp;""=$E$10&amp;""),OR($H$5="(All)",'Master Database'!$BG400=$H$5),OR($H$6&lt;&gt;"Y",ISNUMBER('Master Database'!$AG400)),OR($H$7="",AND(ISNUMBER('Master Database'!$H400),N('Master Database'!$H400)&gt;=$H$7)),OR($I$7="",AND(ISNUMBER('Master Database'!$H400),N('Master Database'!$H400)&lt;=$I$7)),OR($H$8="",AND(ISNUMBER('Master Database'!$I400),N('Master Database'!$I400)&gt;=$H$8)),OR($I$8="",AND(ISNUMBER('Master Database'!$I400),N('Master Database'!$I400)&lt;=$I$8)),OR($H$9="",AND(ISNUMBER('Master Database'!$K400),N('Master Database'!$K400)&gt;=$H$9)),OR($I$9="",AND(ISNUMBER('Master Database'!$K400),N('Master Database'!$K400)&lt;=$I$9))),1,0))</f>
        <v>0</v>
      </c>
      <c r="BB400" t="str">
        <f>IF(BA400=1,COUNTIF($BA$5:BA400,1),"")</f>
        <v/>
      </c>
    </row>
    <row r="401" spans="53:54">
      <c r="BA401">
        <f>IF('Master Database'!$A401="",0,IF(AND(OR($B$5="",ISNUMBER(SEARCH($B$5,'Master Database'!$B401&amp;" "&amp;'Master Database'!$D401))),OR($B$6="(All)",'Master Database'!$C401=$B$6),OR($B$7="(All)",'Master Database'!$E401=$B$7),OR($B$8="(All)",'Master Database'!$T401=$B$8),OR($B$9="(All)",'Master Database'!$M401=$B$9),OR($B$10="(All)",'Master Database'!$V401=$B$10),OR($E$5="(All)",'Master Database'!$F401=$E$5),OR($E$6="(All)",'Master Database'!$G401=$E$6),OR($E$7="(All)",'Master Database'!$O401=$E$7),OR($E$8="(All)",'Master Database'!$P401=$E$8),OR($E$9="(All)",'Master Database'!$S401=$E$9),OR($E$10="(All)",'Master Database'!$Y401&amp;""=$E$10&amp;""),OR($H$5="(All)",'Master Database'!$BG401=$H$5),OR($H$6&lt;&gt;"Y",ISNUMBER('Master Database'!$AG401)),OR($H$7="",AND(ISNUMBER('Master Database'!$H401),N('Master Database'!$H401)&gt;=$H$7)),OR($I$7="",AND(ISNUMBER('Master Database'!$H401),N('Master Database'!$H401)&lt;=$I$7)),OR($H$8="",AND(ISNUMBER('Master Database'!$I401),N('Master Database'!$I401)&gt;=$H$8)),OR($I$8="",AND(ISNUMBER('Master Database'!$I401),N('Master Database'!$I401)&lt;=$I$8)),OR($H$9="",AND(ISNUMBER('Master Database'!$K401),N('Master Database'!$K401)&gt;=$H$9)),OR($I$9="",AND(ISNUMBER('Master Database'!$K401),N('Master Database'!$K401)&lt;=$I$9))),1,0))</f>
        <v>0</v>
      </c>
      <c r="BB401" t="str">
        <f>IF(BA401=1,COUNTIF($BA$5:BA401,1),"")</f>
        <v/>
      </c>
    </row>
    <row r="402" spans="53:54">
      <c r="BA402">
        <f>IF('Master Database'!$A402="",0,IF(AND(OR($B$5="",ISNUMBER(SEARCH($B$5,'Master Database'!$B402&amp;" "&amp;'Master Database'!$D402))),OR($B$6="(All)",'Master Database'!$C402=$B$6),OR($B$7="(All)",'Master Database'!$E402=$B$7),OR($B$8="(All)",'Master Database'!$T402=$B$8),OR($B$9="(All)",'Master Database'!$M402=$B$9),OR($B$10="(All)",'Master Database'!$V402=$B$10),OR($E$5="(All)",'Master Database'!$F402=$E$5),OR($E$6="(All)",'Master Database'!$G402=$E$6),OR($E$7="(All)",'Master Database'!$O402=$E$7),OR($E$8="(All)",'Master Database'!$P402=$E$8),OR($E$9="(All)",'Master Database'!$S402=$E$9),OR($E$10="(All)",'Master Database'!$Y402&amp;""=$E$10&amp;""),OR($H$5="(All)",'Master Database'!$BG402=$H$5),OR($H$6&lt;&gt;"Y",ISNUMBER('Master Database'!$AG402)),OR($H$7="",AND(ISNUMBER('Master Database'!$H402),N('Master Database'!$H402)&gt;=$H$7)),OR($I$7="",AND(ISNUMBER('Master Database'!$H402),N('Master Database'!$H402)&lt;=$I$7)),OR($H$8="",AND(ISNUMBER('Master Database'!$I402),N('Master Database'!$I402)&gt;=$H$8)),OR($I$8="",AND(ISNUMBER('Master Database'!$I402),N('Master Database'!$I402)&lt;=$I$8)),OR($H$9="",AND(ISNUMBER('Master Database'!$K402),N('Master Database'!$K402)&gt;=$H$9)),OR($I$9="",AND(ISNUMBER('Master Database'!$K402),N('Master Database'!$K402)&lt;=$I$9))),1,0))</f>
        <v>0</v>
      </c>
      <c r="BB402" t="str">
        <f>IF(BA402=1,COUNTIF($BA$5:BA402,1),"")</f>
        <v/>
      </c>
    </row>
    <row r="403" spans="53:54">
      <c r="BA403">
        <f>IF('Master Database'!$A403="",0,IF(AND(OR($B$5="",ISNUMBER(SEARCH($B$5,'Master Database'!$B403&amp;" "&amp;'Master Database'!$D403))),OR($B$6="(All)",'Master Database'!$C403=$B$6),OR($B$7="(All)",'Master Database'!$E403=$B$7),OR($B$8="(All)",'Master Database'!$T403=$B$8),OR($B$9="(All)",'Master Database'!$M403=$B$9),OR($B$10="(All)",'Master Database'!$V403=$B$10),OR($E$5="(All)",'Master Database'!$F403=$E$5),OR($E$6="(All)",'Master Database'!$G403=$E$6),OR($E$7="(All)",'Master Database'!$O403=$E$7),OR($E$8="(All)",'Master Database'!$P403=$E$8),OR($E$9="(All)",'Master Database'!$S403=$E$9),OR($E$10="(All)",'Master Database'!$Y403&amp;""=$E$10&amp;""),OR($H$5="(All)",'Master Database'!$BG403=$H$5),OR($H$6&lt;&gt;"Y",ISNUMBER('Master Database'!$AG403)),OR($H$7="",AND(ISNUMBER('Master Database'!$H403),N('Master Database'!$H403)&gt;=$H$7)),OR($I$7="",AND(ISNUMBER('Master Database'!$H403),N('Master Database'!$H403)&lt;=$I$7)),OR($H$8="",AND(ISNUMBER('Master Database'!$I403),N('Master Database'!$I403)&gt;=$H$8)),OR($I$8="",AND(ISNUMBER('Master Database'!$I403),N('Master Database'!$I403)&lt;=$I$8)),OR($H$9="",AND(ISNUMBER('Master Database'!$K403),N('Master Database'!$K403)&gt;=$H$9)),OR($I$9="",AND(ISNUMBER('Master Database'!$K403),N('Master Database'!$K403)&lt;=$I$9))),1,0))</f>
        <v>0</v>
      </c>
      <c r="BB403" t="str">
        <f>IF(BA403=1,COUNTIF($BA$5:BA403,1),"")</f>
        <v/>
      </c>
    </row>
    <row r="404" spans="53:54">
      <c r="BA404">
        <f>IF('Master Database'!$A404="",0,IF(AND(OR($B$5="",ISNUMBER(SEARCH($B$5,'Master Database'!$B404&amp;" "&amp;'Master Database'!$D404))),OR($B$6="(All)",'Master Database'!$C404=$B$6),OR($B$7="(All)",'Master Database'!$E404=$B$7),OR($B$8="(All)",'Master Database'!$T404=$B$8),OR($B$9="(All)",'Master Database'!$M404=$B$9),OR($B$10="(All)",'Master Database'!$V404=$B$10),OR($E$5="(All)",'Master Database'!$F404=$E$5),OR($E$6="(All)",'Master Database'!$G404=$E$6),OR($E$7="(All)",'Master Database'!$O404=$E$7),OR($E$8="(All)",'Master Database'!$P404=$E$8),OR($E$9="(All)",'Master Database'!$S404=$E$9),OR($E$10="(All)",'Master Database'!$Y404&amp;""=$E$10&amp;""),OR($H$5="(All)",'Master Database'!$BG404=$H$5),OR($H$6&lt;&gt;"Y",ISNUMBER('Master Database'!$AG404)),OR($H$7="",AND(ISNUMBER('Master Database'!$H404),N('Master Database'!$H404)&gt;=$H$7)),OR($I$7="",AND(ISNUMBER('Master Database'!$H404),N('Master Database'!$H404)&lt;=$I$7)),OR($H$8="",AND(ISNUMBER('Master Database'!$I404),N('Master Database'!$I404)&gt;=$H$8)),OR($I$8="",AND(ISNUMBER('Master Database'!$I404),N('Master Database'!$I404)&lt;=$I$8)),OR($H$9="",AND(ISNUMBER('Master Database'!$K404),N('Master Database'!$K404)&gt;=$H$9)),OR($I$9="",AND(ISNUMBER('Master Database'!$K404),N('Master Database'!$K404)&lt;=$I$9))),1,0))</f>
        <v>0</v>
      </c>
      <c r="BB404" t="str">
        <f>IF(BA404=1,COUNTIF($BA$5:BA404,1),"")</f>
        <v/>
      </c>
    </row>
    <row r="405" spans="53:54">
      <c r="BA405">
        <f>IF('Master Database'!$A405="",0,IF(AND(OR($B$5="",ISNUMBER(SEARCH($B$5,'Master Database'!$B405&amp;" "&amp;'Master Database'!$D405))),OR($B$6="(All)",'Master Database'!$C405=$B$6),OR($B$7="(All)",'Master Database'!$E405=$B$7),OR($B$8="(All)",'Master Database'!$T405=$B$8),OR($B$9="(All)",'Master Database'!$M405=$B$9),OR($B$10="(All)",'Master Database'!$V405=$B$10),OR($E$5="(All)",'Master Database'!$F405=$E$5),OR($E$6="(All)",'Master Database'!$G405=$E$6),OR($E$7="(All)",'Master Database'!$O405=$E$7),OR($E$8="(All)",'Master Database'!$P405=$E$8),OR($E$9="(All)",'Master Database'!$S405=$E$9),OR($E$10="(All)",'Master Database'!$Y405&amp;""=$E$10&amp;""),OR($H$5="(All)",'Master Database'!$BG405=$H$5),OR($H$6&lt;&gt;"Y",ISNUMBER('Master Database'!$AG405)),OR($H$7="",AND(ISNUMBER('Master Database'!$H405),N('Master Database'!$H405)&gt;=$H$7)),OR($I$7="",AND(ISNUMBER('Master Database'!$H405),N('Master Database'!$H405)&lt;=$I$7)),OR($H$8="",AND(ISNUMBER('Master Database'!$I405),N('Master Database'!$I405)&gt;=$H$8)),OR($I$8="",AND(ISNUMBER('Master Database'!$I405),N('Master Database'!$I405)&lt;=$I$8)),OR($H$9="",AND(ISNUMBER('Master Database'!$K405),N('Master Database'!$K405)&gt;=$H$9)),OR($I$9="",AND(ISNUMBER('Master Database'!$K405),N('Master Database'!$K405)&lt;=$I$9))),1,0))</f>
        <v>0</v>
      </c>
      <c r="BB405" t="str">
        <f>IF(BA405=1,COUNTIF($BA$5:BA405,1),"")</f>
        <v/>
      </c>
    </row>
    <row r="406" spans="53:54">
      <c r="BA406">
        <f>IF('Master Database'!$A406="",0,IF(AND(OR($B$5="",ISNUMBER(SEARCH($B$5,'Master Database'!$B406&amp;" "&amp;'Master Database'!$D406))),OR($B$6="(All)",'Master Database'!$C406=$B$6),OR($B$7="(All)",'Master Database'!$E406=$B$7),OR($B$8="(All)",'Master Database'!$T406=$B$8),OR($B$9="(All)",'Master Database'!$M406=$B$9),OR($B$10="(All)",'Master Database'!$V406=$B$10),OR($E$5="(All)",'Master Database'!$F406=$E$5),OR($E$6="(All)",'Master Database'!$G406=$E$6),OR($E$7="(All)",'Master Database'!$O406=$E$7),OR($E$8="(All)",'Master Database'!$P406=$E$8),OR($E$9="(All)",'Master Database'!$S406=$E$9),OR($E$10="(All)",'Master Database'!$Y406&amp;""=$E$10&amp;""),OR($H$5="(All)",'Master Database'!$BG406=$H$5),OR($H$6&lt;&gt;"Y",ISNUMBER('Master Database'!$AG406)),OR($H$7="",AND(ISNUMBER('Master Database'!$H406),N('Master Database'!$H406)&gt;=$H$7)),OR($I$7="",AND(ISNUMBER('Master Database'!$H406),N('Master Database'!$H406)&lt;=$I$7)),OR($H$8="",AND(ISNUMBER('Master Database'!$I406),N('Master Database'!$I406)&gt;=$H$8)),OR($I$8="",AND(ISNUMBER('Master Database'!$I406),N('Master Database'!$I406)&lt;=$I$8)),OR($H$9="",AND(ISNUMBER('Master Database'!$K406),N('Master Database'!$K406)&gt;=$H$9)),OR($I$9="",AND(ISNUMBER('Master Database'!$K406),N('Master Database'!$K406)&lt;=$I$9))),1,0))</f>
        <v>0</v>
      </c>
      <c r="BB406" t="str">
        <f>IF(BA406=1,COUNTIF($BA$5:BA406,1),"")</f>
        <v/>
      </c>
    </row>
    <row r="407" spans="53:54">
      <c r="BA407">
        <f>IF('Master Database'!$A407="",0,IF(AND(OR($B$5="",ISNUMBER(SEARCH($B$5,'Master Database'!$B407&amp;" "&amp;'Master Database'!$D407))),OR($B$6="(All)",'Master Database'!$C407=$B$6),OR($B$7="(All)",'Master Database'!$E407=$B$7),OR($B$8="(All)",'Master Database'!$T407=$B$8),OR($B$9="(All)",'Master Database'!$M407=$B$9),OR($B$10="(All)",'Master Database'!$V407=$B$10),OR($E$5="(All)",'Master Database'!$F407=$E$5),OR($E$6="(All)",'Master Database'!$G407=$E$6),OR($E$7="(All)",'Master Database'!$O407=$E$7),OR($E$8="(All)",'Master Database'!$P407=$E$8),OR($E$9="(All)",'Master Database'!$S407=$E$9),OR($E$10="(All)",'Master Database'!$Y407&amp;""=$E$10&amp;""),OR($H$5="(All)",'Master Database'!$BG407=$H$5),OR($H$6&lt;&gt;"Y",ISNUMBER('Master Database'!$AG407)),OR($H$7="",AND(ISNUMBER('Master Database'!$H407),N('Master Database'!$H407)&gt;=$H$7)),OR($I$7="",AND(ISNUMBER('Master Database'!$H407),N('Master Database'!$H407)&lt;=$I$7)),OR($H$8="",AND(ISNUMBER('Master Database'!$I407),N('Master Database'!$I407)&gt;=$H$8)),OR($I$8="",AND(ISNUMBER('Master Database'!$I407),N('Master Database'!$I407)&lt;=$I$8)),OR($H$9="",AND(ISNUMBER('Master Database'!$K407),N('Master Database'!$K407)&gt;=$H$9)),OR($I$9="",AND(ISNUMBER('Master Database'!$K407),N('Master Database'!$K407)&lt;=$I$9))),1,0))</f>
        <v>0</v>
      </c>
      <c r="BB407" t="str">
        <f>IF(BA407=1,COUNTIF($BA$5:BA407,1),"")</f>
        <v/>
      </c>
    </row>
    <row r="408" spans="53:54">
      <c r="BA408">
        <f>IF('Master Database'!$A408="",0,IF(AND(OR($B$5="",ISNUMBER(SEARCH($B$5,'Master Database'!$B408&amp;" "&amp;'Master Database'!$D408))),OR($B$6="(All)",'Master Database'!$C408=$B$6),OR($B$7="(All)",'Master Database'!$E408=$B$7),OR($B$8="(All)",'Master Database'!$T408=$B$8),OR($B$9="(All)",'Master Database'!$M408=$B$9),OR($B$10="(All)",'Master Database'!$V408=$B$10),OR($E$5="(All)",'Master Database'!$F408=$E$5),OR($E$6="(All)",'Master Database'!$G408=$E$6),OR($E$7="(All)",'Master Database'!$O408=$E$7),OR($E$8="(All)",'Master Database'!$P408=$E$8),OR($E$9="(All)",'Master Database'!$S408=$E$9),OR($E$10="(All)",'Master Database'!$Y408&amp;""=$E$10&amp;""),OR($H$5="(All)",'Master Database'!$BG408=$H$5),OR($H$6&lt;&gt;"Y",ISNUMBER('Master Database'!$AG408)),OR($H$7="",AND(ISNUMBER('Master Database'!$H408),N('Master Database'!$H408)&gt;=$H$7)),OR($I$7="",AND(ISNUMBER('Master Database'!$H408),N('Master Database'!$H408)&lt;=$I$7)),OR($H$8="",AND(ISNUMBER('Master Database'!$I408),N('Master Database'!$I408)&gt;=$H$8)),OR($I$8="",AND(ISNUMBER('Master Database'!$I408),N('Master Database'!$I408)&lt;=$I$8)),OR($H$9="",AND(ISNUMBER('Master Database'!$K408),N('Master Database'!$K408)&gt;=$H$9)),OR($I$9="",AND(ISNUMBER('Master Database'!$K408),N('Master Database'!$K408)&lt;=$I$9))),1,0))</f>
        <v>0</v>
      </c>
      <c r="BB408" t="str">
        <f>IF(BA408=1,COUNTIF($BA$5:BA408,1),"")</f>
        <v/>
      </c>
    </row>
    <row r="409" spans="53:54">
      <c r="BA409">
        <f>IF('Master Database'!$A409="",0,IF(AND(OR($B$5="",ISNUMBER(SEARCH($B$5,'Master Database'!$B409&amp;" "&amp;'Master Database'!$D409))),OR($B$6="(All)",'Master Database'!$C409=$B$6),OR($B$7="(All)",'Master Database'!$E409=$B$7),OR($B$8="(All)",'Master Database'!$T409=$B$8),OR($B$9="(All)",'Master Database'!$M409=$B$9),OR($B$10="(All)",'Master Database'!$V409=$B$10),OR($E$5="(All)",'Master Database'!$F409=$E$5),OR($E$6="(All)",'Master Database'!$G409=$E$6),OR($E$7="(All)",'Master Database'!$O409=$E$7),OR($E$8="(All)",'Master Database'!$P409=$E$8),OR($E$9="(All)",'Master Database'!$S409=$E$9),OR($E$10="(All)",'Master Database'!$Y409&amp;""=$E$10&amp;""),OR($H$5="(All)",'Master Database'!$BG409=$H$5),OR($H$6&lt;&gt;"Y",ISNUMBER('Master Database'!$AG409)),OR($H$7="",AND(ISNUMBER('Master Database'!$H409),N('Master Database'!$H409)&gt;=$H$7)),OR($I$7="",AND(ISNUMBER('Master Database'!$H409),N('Master Database'!$H409)&lt;=$I$7)),OR($H$8="",AND(ISNUMBER('Master Database'!$I409),N('Master Database'!$I409)&gt;=$H$8)),OR($I$8="",AND(ISNUMBER('Master Database'!$I409),N('Master Database'!$I409)&lt;=$I$8)),OR($H$9="",AND(ISNUMBER('Master Database'!$K409),N('Master Database'!$K409)&gt;=$H$9)),OR($I$9="",AND(ISNUMBER('Master Database'!$K409),N('Master Database'!$K409)&lt;=$I$9))),1,0))</f>
        <v>0</v>
      </c>
      <c r="BB409" t="str">
        <f>IF(BA409=1,COUNTIF($BA$5:BA409,1),"")</f>
        <v/>
      </c>
    </row>
    <row r="410" spans="53:54">
      <c r="BA410">
        <f>IF('Master Database'!$A410="",0,IF(AND(OR($B$5="",ISNUMBER(SEARCH($B$5,'Master Database'!$B410&amp;" "&amp;'Master Database'!$D410))),OR($B$6="(All)",'Master Database'!$C410=$B$6),OR($B$7="(All)",'Master Database'!$E410=$B$7),OR($B$8="(All)",'Master Database'!$T410=$B$8),OR($B$9="(All)",'Master Database'!$M410=$B$9),OR($B$10="(All)",'Master Database'!$V410=$B$10),OR($E$5="(All)",'Master Database'!$F410=$E$5),OR($E$6="(All)",'Master Database'!$G410=$E$6),OR($E$7="(All)",'Master Database'!$O410=$E$7),OR($E$8="(All)",'Master Database'!$P410=$E$8),OR($E$9="(All)",'Master Database'!$S410=$E$9),OR($E$10="(All)",'Master Database'!$Y410&amp;""=$E$10&amp;""),OR($H$5="(All)",'Master Database'!$BG410=$H$5),OR($H$6&lt;&gt;"Y",ISNUMBER('Master Database'!$AG410)),OR($H$7="",AND(ISNUMBER('Master Database'!$H410),N('Master Database'!$H410)&gt;=$H$7)),OR($I$7="",AND(ISNUMBER('Master Database'!$H410),N('Master Database'!$H410)&lt;=$I$7)),OR($H$8="",AND(ISNUMBER('Master Database'!$I410),N('Master Database'!$I410)&gt;=$H$8)),OR($I$8="",AND(ISNUMBER('Master Database'!$I410),N('Master Database'!$I410)&lt;=$I$8)),OR($H$9="",AND(ISNUMBER('Master Database'!$K410),N('Master Database'!$K410)&gt;=$H$9)),OR($I$9="",AND(ISNUMBER('Master Database'!$K410),N('Master Database'!$K410)&lt;=$I$9))),1,0))</f>
        <v>0</v>
      </c>
      <c r="BB410" t="str">
        <f>IF(BA410=1,COUNTIF($BA$5:BA410,1),"")</f>
        <v/>
      </c>
    </row>
    <row r="411" spans="53:54">
      <c r="BA411">
        <f>IF('Master Database'!$A411="",0,IF(AND(OR($B$5="",ISNUMBER(SEARCH($B$5,'Master Database'!$B411&amp;" "&amp;'Master Database'!$D411))),OR($B$6="(All)",'Master Database'!$C411=$B$6),OR($B$7="(All)",'Master Database'!$E411=$B$7),OR($B$8="(All)",'Master Database'!$T411=$B$8),OR($B$9="(All)",'Master Database'!$M411=$B$9),OR($B$10="(All)",'Master Database'!$V411=$B$10),OR($E$5="(All)",'Master Database'!$F411=$E$5),OR($E$6="(All)",'Master Database'!$G411=$E$6),OR($E$7="(All)",'Master Database'!$O411=$E$7),OR($E$8="(All)",'Master Database'!$P411=$E$8),OR($E$9="(All)",'Master Database'!$S411=$E$9),OR($E$10="(All)",'Master Database'!$Y411&amp;""=$E$10&amp;""),OR($H$5="(All)",'Master Database'!$BG411=$H$5),OR($H$6&lt;&gt;"Y",ISNUMBER('Master Database'!$AG411)),OR($H$7="",AND(ISNUMBER('Master Database'!$H411),N('Master Database'!$H411)&gt;=$H$7)),OR($I$7="",AND(ISNUMBER('Master Database'!$H411),N('Master Database'!$H411)&lt;=$I$7)),OR($H$8="",AND(ISNUMBER('Master Database'!$I411),N('Master Database'!$I411)&gt;=$H$8)),OR($I$8="",AND(ISNUMBER('Master Database'!$I411),N('Master Database'!$I411)&lt;=$I$8)),OR($H$9="",AND(ISNUMBER('Master Database'!$K411),N('Master Database'!$K411)&gt;=$H$9)),OR($I$9="",AND(ISNUMBER('Master Database'!$K411),N('Master Database'!$K411)&lt;=$I$9))),1,0))</f>
        <v>0</v>
      </c>
      <c r="BB411" t="str">
        <f>IF(BA411=1,COUNTIF($BA$5:BA411,1),"")</f>
        <v/>
      </c>
    </row>
    <row r="412" spans="53:54">
      <c r="BA412">
        <f>IF('Master Database'!$A412="",0,IF(AND(OR($B$5="",ISNUMBER(SEARCH($B$5,'Master Database'!$B412&amp;" "&amp;'Master Database'!$D412))),OR($B$6="(All)",'Master Database'!$C412=$B$6),OR($B$7="(All)",'Master Database'!$E412=$B$7),OR($B$8="(All)",'Master Database'!$T412=$B$8),OR($B$9="(All)",'Master Database'!$M412=$B$9),OR($B$10="(All)",'Master Database'!$V412=$B$10),OR($E$5="(All)",'Master Database'!$F412=$E$5),OR($E$6="(All)",'Master Database'!$G412=$E$6),OR($E$7="(All)",'Master Database'!$O412=$E$7),OR($E$8="(All)",'Master Database'!$P412=$E$8),OR($E$9="(All)",'Master Database'!$S412=$E$9),OR($E$10="(All)",'Master Database'!$Y412&amp;""=$E$10&amp;""),OR($H$5="(All)",'Master Database'!$BG412=$H$5),OR($H$6&lt;&gt;"Y",ISNUMBER('Master Database'!$AG412)),OR($H$7="",AND(ISNUMBER('Master Database'!$H412),N('Master Database'!$H412)&gt;=$H$7)),OR($I$7="",AND(ISNUMBER('Master Database'!$H412),N('Master Database'!$H412)&lt;=$I$7)),OR($H$8="",AND(ISNUMBER('Master Database'!$I412),N('Master Database'!$I412)&gt;=$H$8)),OR($I$8="",AND(ISNUMBER('Master Database'!$I412),N('Master Database'!$I412)&lt;=$I$8)),OR($H$9="",AND(ISNUMBER('Master Database'!$K412),N('Master Database'!$K412)&gt;=$H$9)),OR($I$9="",AND(ISNUMBER('Master Database'!$K412),N('Master Database'!$K412)&lt;=$I$9))),1,0))</f>
        <v>0</v>
      </c>
      <c r="BB412" t="str">
        <f>IF(BA412=1,COUNTIF($BA$5:BA412,1),"")</f>
        <v/>
      </c>
    </row>
    <row r="413" spans="53:54">
      <c r="BA413">
        <f>IF('Master Database'!$A413="",0,IF(AND(OR($B$5="",ISNUMBER(SEARCH($B$5,'Master Database'!$B413&amp;" "&amp;'Master Database'!$D413))),OR($B$6="(All)",'Master Database'!$C413=$B$6),OR($B$7="(All)",'Master Database'!$E413=$B$7),OR($B$8="(All)",'Master Database'!$T413=$B$8),OR($B$9="(All)",'Master Database'!$M413=$B$9),OR($B$10="(All)",'Master Database'!$V413=$B$10),OR($E$5="(All)",'Master Database'!$F413=$E$5),OR($E$6="(All)",'Master Database'!$G413=$E$6),OR($E$7="(All)",'Master Database'!$O413=$E$7),OR($E$8="(All)",'Master Database'!$P413=$E$8),OR($E$9="(All)",'Master Database'!$S413=$E$9),OR($E$10="(All)",'Master Database'!$Y413&amp;""=$E$10&amp;""),OR($H$5="(All)",'Master Database'!$BG413=$H$5),OR($H$6&lt;&gt;"Y",ISNUMBER('Master Database'!$AG413)),OR($H$7="",AND(ISNUMBER('Master Database'!$H413),N('Master Database'!$H413)&gt;=$H$7)),OR($I$7="",AND(ISNUMBER('Master Database'!$H413),N('Master Database'!$H413)&lt;=$I$7)),OR($H$8="",AND(ISNUMBER('Master Database'!$I413),N('Master Database'!$I413)&gt;=$H$8)),OR($I$8="",AND(ISNUMBER('Master Database'!$I413),N('Master Database'!$I413)&lt;=$I$8)),OR($H$9="",AND(ISNUMBER('Master Database'!$K413),N('Master Database'!$K413)&gt;=$H$9)),OR($I$9="",AND(ISNUMBER('Master Database'!$K413),N('Master Database'!$K413)&lt;=$I$9))),1,0))</f>
        <v>0</v>
      </c>
      <c r="BB413" t="str">
        <f>IF(BA413=1,COUNTIF($BA$5:BA413,1),"")</f>
        <v/>
      </c>
    </row>
    <row r="414" spans="53:54">
      <c r="BA414">
        <f>IF('Master Database'!$A414="",0,IF(AND(OR($B$5="",ISNUMBER(SEARCH($B$5,'Master Database'!$B414&amp;" "&amp;'Master Database'!$D414))),OR($B$6="(All)",'Master Database'!$C414=$B$6),OR($B$7="(All)",'Master Database'!$E414=$B$7),OR($B$8="(All)",'Master Database'!$T414=$B$8),OR($B$9="(All)",'Master Database'!$M414=$B$9),OR($B$10="(All)",'Master Database'!$V414=$B$10),OR($E$5="(All)",'Master Database'!$F414=$E$5),OR($E$6="(All)",'Master Database'!$G414=$E$6),OR($E$7="(All)",'Master Database'!$O414=$E$7),OR($E$8="(All)",'Master Database'!$P414=$E$8),OR($E$9="(All)",'Master Database'!$S414=$E$9),OR($E$10="(All)",'Master Database'!$Y414&amp;""=$E$10&amp;""),OR($H$5="(All)",'Master Database'!$BG414=$H$5),OR($H$6&lt;&gt;"Y",ISNUMBER('Master Database'!$AG414)),OR($H$7="",AND(ISNUMBER('Master Database'!$H414),N('Master Database'!$H414)&gt;=$H$7)),OR($I$7="",AND(ISNUMBER('Master Database'!$H414),N('Master Database'!$H414)&lt;=$I$7)),OR($H$8="",AND(ISNUMBER('Master Database'!$I414),N('Master Database'!$I414)&gt;=$H$8)),OR($I$8="",AND(ISNUMBER('Master Database'!$I414),N('Master Database'!$I414)&lt;=$I$8)),OR($H$9="",AND(ISNUMBER('Master Database'!$K414),N('Master Database'!$K414)&gt;=$H$9)),OR($I$9="",AND(ISNUMBER('Master Database'!$K414),N('Master Database'!$K414)&lt;=$I$9))),1,0))</f>
        <v>0</v>
      </c>
      <c r="BB414" t="str">
        <f>IF(BA414=1,COUNTIF($BA$5:BA414,1),"")</f>
        <v/>
      </c>
    </row>
    <row r="415" spans="53:54">
      <c r="BA415">
        <f>IF('Master Database'!$A415="",0,IF(AND(OR($B$5="",ISNUMBER(SEARCH($B$5,'Master Database'!$B415&amp;" "&amp;'Master Database'!$D415))),OR($B$6="(All)",'Master Database'!$C415=$B$6),OR($B$7="(All)",'Master Database'!$E415=$B$7),OR($B$8="(All)",'Master Database'!$T415=$B$8),OR($B$9="(All)",'Master Database'!$M415=$B$9),OR($B$10="(All)",'Master Database'!$V415=$B$10),OR($E$5="(All)",'Master Database'!$F415=$E$5),OR($E$6="(All)",'Master Database'!$G415=$E$6),OR($E$7="(All)",'Master Database'!$O415=$E$7),OR($E$8="(All)",'Master Database'!$P415=$E$8),OR($E$9="(All)",'Master Database'!$S415=$E$9),OR($E$10="(All)",'Master Database'!$Y415&amp;""=$E$10&amp;""),OR($H$5="(All)",'Master Database'!$BG415=$H$5),OR($H$6&lt;&gt;"Y",ISNUMBER('Master Database'!$AG415)),OR($H$7="",AND(ISNUMBER('Master Database'!$H415),N('Master Database'!$H415)&gt;=$H$7)),OR($I$7="",AND(ISNUMBER('Master Database'!$H415),N('Master Database'!$H415)&lt;=$I$7)),OR($H$8="",AND(ISNUMBER('Master Database'!$I415),N('Master Database'!$I415)&gt;=$H$8)),OR($I$8="",AND(ISNUMBER('Master Database'!$I415),N('Master Database'!$I415)&lt;=$I$8)),OR($H$9="",AND(ISNUMBER('Master Database'!$K415),N('Master Database'!$K415)&gt;=$H$9)),OR($I$9="",AND(ISNUMBER('Master Database'!$K415),N('Master Database'!$K415)&lt;=$I$9))),1,0))</f>
        <v>0</v>
      </c>
      <c r="BB415" t="str">
        <f>IF(BA415=1,COUNTIF($BA$5:BA415,1),"")</f>
        <v/>
      </c>
    </row>
    <row r="416" spans="53:54">
      <c r="BA416">
        <f>IF('Master Database'!$A416="",0,IF(AND(OR($B$5="",ISNUMBER(SEARCH($B$5,'Master Database'!$B416&amp;" "&amp;'Master Database'!$D416))),OR($B$6="(All)",'Master Database'!$C416=$B$6),OR($B$7="(All)",'Master Database'!$E416=$B$7),OR($B$8="(All)",'Master Database'!$T416=$B$8),OR($B$9="(All)",'Master Database'!$M416=$B$9),OR($B$10="(All)",'Master Database'!$V416=$B$10),OR($E$5="(All)",'Master Database'!$F416=$E$5),OR($E$6="(All)",'Master Database'!$G416=$E$6),OR($E$7="(All)",'Master Database'!$O416=$E$7),OR($E$8="(All)",'Master Database'!$P416=$E$8),OR($E$9="(All)",'Master Database'!$S416=$E$9),OR($E$10="(All)",'Master Database'!$Y416&amp;""=$E$10&amp;""),OR($H$5="(All)",'Master Database'!$BG416=$H$5),OR($H$6&lt;&gt;"Y",ISNUMBER('Master Database'!$AG416)),OR($H$7="",AND(ISNUMBER('Master Database'!$H416),N('Master Database'!$H416)&gt;=$H$7)),OR($I$7="",AND(ISNUMBER('Master Database'!$H416),N('Master Database'!$H416)&lt;=$I$7)),OR($H$8="",AND(ISNUMBER('Master Database'!$I416),N('Master Database'!$I416)&gt;=$H$8)),OR($I$8="",AND(ISNUMBER('Master Database'!$I416),N('Master Database'!$I416)&lt;=$I$8)),OR($H$9="",AND(ISNUMBER('Master Database'!$K416),N('Master Database'!$K416)&gt;=$H$9)),OR($I$9="",AND(ISNUMBER('Master Database'!$K416),N('Master Database'!$K416)&lt;=$I$9))),1,0))</f>
        <v>0</v>
      </c>
      <c r="BB416" t="str">
        <f>IF(BA416=1,COUNTIF($BA$5:BA416,1),"")</f>
        <v/>
      </c>
    </row>
    <row r="417" spans="53:54">
      <c r="BA417">
        <f>IF('Master Database'!$A417="",0,IF(AND(OR($B$5="",ISNUMBER(SEARCH($B$5,'Master Database'!$B417&amp;" "&amp;'Master Database'!$D417))),OR($B$6="(All)",'Master Database'!$C417=$B$6),OR($B$7="(All)",'Master Database'!$E417=$B$7),OR($B$8="(All)",'Master Database'!$T417=$B$8),OR($B$9="(All)",'Master Database'!$M417=$B$9),OR($B$10="(All)",'Master Database'!$V417=$B$10),OR($E$5="(All)",'Master Database'!$F417=$E$5),OR($E$6="(All)",'Master Database'!$G417=$E$6),OR($E$7="(All)",'Master Database'!$O417=$E$7),OR($E$8="(All)",'Master Database'!$P417=$E$8),OR($E$9="(All)",'Master Database'!$S417=$E$9),OR($E$10="(All)",'Master Database'!$Y417&amp;""=$E$10&amp;""),OR($H$5="(All)",'Master Database'!$BG417=$H$5),OR($H$6&lt;&gt;"Y",ISNUMBER('Master Database'!$AG417)),OR($H$7="",AND(ISNUMBER('Master Database'!$H417),N('Master Database'!$H417)&gt;=$H$7)),OR($I$7="",AND(ISNUMBER('Master Database'!$H417),N('Master Database'!$H417)&lt;=$I$7)),OR($H$8="",AND(ISNUMBER('Master Database'!$I417),N('Master Database'!$I417)&gt;=$H$8)),OR($I$8="",AND(ISNUMBER('Master Database'!$I417),N('Master Database'!$I417)&lt;=$I$8)),OR($H$9="",AND(ISNUMBER('Master Database'!$K417),N('Master Database'!$K417)&gt;=$H$9)),OR($I$9="",AND(ISNUMBER('Master Database'!$K417),N('Master Database'!$K417)&lt;=$I$9))),1,0))</f>
        <v>0</v>
      </c>
      <c r="BB417" t="str">
        <f>IF(BA417=1,COUNTIF($BA$5:BA417,1),"")</f>
        <v/>
      </c>
    </row>
    <row r="418" spans="53:54">
      <c r="BA418">
        <f>IF('Master Database'!$A418="",0,IF(AND(OR($B$5="",ISNUMBER(SEARCH($B$5,'Master Database'!$B418&amp;" "&amp;'Master Database'!$D418))),OR($B$6="(All)",'Master Database'!$C418=$B$6),OR($B$7="(All)",'Master Database'!$E418=$B$7),OR($B$8="(All)",'Master Database'!$T418=$B$8),OR($B$9="(All)",'Master Database'!$M418=$B$9),OR($B$10="(All)",'Master Database'!$V418=$B$10),OR($E$5="(All)",'Master Database'!$F418=$E$5),OR($E$6="(All)",'Master Database'!$G418=$E$6),OR($E$7="(All)",'Master Database'!$O418=$E$7),OR($E$8="(All)",'Master Database'!$P418=$E$8),OR($E$9="(All)",'Master Database'!$S418=$E$9),OR($E$10="(All)",'Master Database'!$Y418&amp;""=$E$10&amp;""),OR($H$5="(All)",'Master Database'!$BG418=$H$5),OR($H$6&lt;&gt;"Y",ISNUMBER('Master Database'!$AG418)),OR($H$7="",AND(ISNUMBER('Master Database'!$H418),N('Master Database'!$H418)&gt;=$H$7)),OR($I$7="",AND(ISNUMBER('Master Database'!$H418),N('Master Database'!$H418)&lt;=$I$7)),OR($H$8="",AND(ISNUMBER('Master Database'!$I418),N('Master Database'!$I418)&gt;=$H$8)),OR($I$8="",AND(ISNUMBER('Master Database'!$I418),N('Master Database'!$I418)&lt;=$I$8)),OR($H$9="",AND(ISNUMBER('Master Database'!$K418),N('Master Database'!$K418)&gt;=$H$9)),OR($I$9="",AND(ISNUMBER('Master Database'!$K418),N('Master Database'!$K418)&lt;=$I$9))),1,0))</f>
        <v>0</v>
      </c>
      <c r="BB418" t="str">
        <f>IF(BA418=1,COUNTIF($BA$5:BA418,1),"")</f>
        <v/>
      </c>
    </row>
    <row r="419" spans="53:54">
      <c r="BA419">
        <f>IF('Master Database'!$A419="",0,IF(AND(OR($B$5="",ISNUMBER(SEARCH($B$5,'Master Database'!$B419&amp;" "&amp;'Master Database'!$D419))),OR($B$6="(All)",'Master Database'!$C419=$B$6),OR($B$7="(All)",'Master Database'!$E419=$B$7),OR($B$8="(All)",'Master Database'!$T419=$B$8),OR($B$9="(All)",'Master Database'!$M419=$B$9),OR($B$10="(All)",'Master Database'!$V419=$B$10),OR($E$5="(All)",'Master Database'!$F419=$E$5),OR($E$6="(All)",'Master Database'!$G419=$E$6),OR($E$7="(All)",'Master Database'!$O419=$E$7),OR($E$8="(All)",'Master Database'!$P419=$E$8),OR($E$9="(All)",'Master Database'!$S419=$E$9),OR($E$10="(All)",'Master Database'!$Y419&amp;""=$E$10&amp;""),OR($H$5="(All)",'Master Database'!$BG419=$H$5),OR($H$6&lt;&gt;"Y",ISNUMBER('Master Database'!$AG419)),OR($H$7="",AND(ISNUMBER('Master Database'!$H419),N('Master Database'!$H419)&gt;=$H$7)),OR($I$7="",AND(ISNUMBER('Master Database'!$H419),N('Master Database'!$H419)&lt;=$I$7)),OR($H$8="",AND(ISNUMBER('Master Database'!$I419),N('Master Database'!$I419)&gt;=$H$8)),OR($I$8="",AND(ISNUMBER('Master Database'!$I419),N('Master Database'!$I419)&lt;=$I$8)),OR($H$9="",AND(ISNUMBER('Master Database'!$K419),N('Master Database'!$K419)&gt;=$H$9)),OR($I$9="",AND(ISNUMBER('Master Database'!$K419),N('Master Database'!$K419)&lt;=$I$9))),1,0))</f>
        <v>0</v>
      </c>
      <c r="BB419" t="str">
        <f>IF(BA419=1,COUNTIF($BA$5:BA419,1),"")</f>
        <v/>
      </c>
    </row>
    <row r="420" spans="53:54">
      <c r="BA420">
        <f>IF('Master Database'!$A420="",0,IF(AND(OR($B$5="",ISNUMBER(SEARCH($B$5,'Master Database'!$B420&amp;" "&amp;'Master Database'!$D420))),OR($B$6="(All)",'Master Database'!$C420=$B$6),OR($B$7="(All)",'Master Database'!$E420=$B$7),OR($B$8="(All)",'Master Database'!$T420=$B$8),OR($B$9="(All)",'Master Database'!$M420=$B$9),OR($B$10="(All)",'Master Database'!$V420=$B$10),OR($E$5="(All)",'Master Database'!$F420=$E$5),OR($E$6="(All)",'Master Database'!$G420=$E$6),OR($E$7="(All)",'Master Database'!$O420=$E$7),OR($E$8="(All)",'Master Database'!$P420=$E$8),OR($E$9="(All)",'Master Database'!$S420=$E$9),OR($E$10="(All)",'Master Database'!$Y420&amp;""=$E$10&amp;""),OR($H$5="(All)",'Master Database'!$BG420=$H$5),OR($H$6&lt;&gt;"Y",ISNUMBER('Master Database'!$AG420)),OR($H$7="",AND(ISNUMBER('Master Database'!$H420),N('Master Database'!$H420)&gt;=$H$7)),OR($I$7="",AND(ISNUMBER('Master Database'!$H420),N('Master Database'!$H420)&lt;=$I$7)),OR($H$8="",AND(ISNUMBER('Master Database'!$I420),N('Master Database'!$I420)&gt;=$H$8)),OR($I$8="",AND(ISNUMBER('Master Database'!$I420),N('Master Database'!$I420)&lt;=$I$8)),OR($H$9="",AND(ISNUMBER('Master Database'!$K420),N('Master Database'!$K420)&gt;=$H$9)),OR($I$9="",AND(ISNUMBER('Master Database'!$K420),N('Master Database'!$K420)&lt;=$I$9))),1,0))</f>
        <v>0</v>
      </c>
      <c r="BB420" t="str">
        <f>IF(BA420=1,COUNTIF($BA$5:BA420,1),"")</f>
        <v/>
      </c>
    </row>
    <row r="421" spans="53:54">
      <c r="BA421">
        <f>IF('Master Database'!$A421="",0,IF(AND(OR($B$5="",ISNUMBER(SEARCH($B$5,'Master Database'!$B421&amp;" "&amp;'Master Database'!$D421))),OR($B$6="(All)",'Master Database'!$C421=$B$6),OR($B$7="(All)",'Master Database'!$E421=$B$7),OR($B$8="(All)",'Master Database'!$T421=$B$8),OR($B$9="(All)",'Master Database'!$M421=$B$9),OR($B$10="(All)",'Master Database'!$V421=$B$10),OR($E$5="(All)",'Master Database'!$F421=$E$5),OR($E$6="(All)",'Master Database'!$G421=$E$6),OR($E$7="(All)",'Master Database'!$O421=$E$7),OR($E$8="(All)",'Master Database'!$P421=$E$8),OR($E$9="(All)",'Master Database'!$S421=$E$9),OR($E$10="(All)",'Master Database'!$Y421&amp;""=$E$10&amp;""),OR($H$5="(All)",'Master Database'!$BG421=$H$5),OR($H$6&lt;&gt;"Y",ISNUMBER('Master Database'!$AG421)),OR($H$7="",AND(ISNUMBER('Master Database'!$H421),N('Master Database'!$H421)&gt;=$H$7)),OR($I$7="",AND(ISNUMBER('Master Database'!$H421),N('Master Database'!$H421)&lt;=$I$7)),OR($H$8="",AND(ISNUMBER('Master Database'!$I421),N('Master Database'!$I421)&gt;=$H$8)),OR($I$8="",AND(ISNUMBER('Master Database'!$I421),N('Master Database'!$I421)&lt;=$I$8)),OR($H$9="",AND(ISNUMBER('Master Database'!$K421),N('Master Database'!$K421)&gt;=$H$9)),OR($I$9="",AND(ISNUMBER('Master Database'!$K421),N('Master Database'!$K421)&lt;=$I$9))),1,0))</f>
        <v>0</v>
      </c>
      <c r="BB421" t="str">
        <f>IF(BA421=1,COUNTIF($BA$5:BA421,1),"")</f>
        <v/>
      </c>
    </row>
    <row r="422" spans="53:54">
      <c r="BA422">
        <f>IF('Master Database'!$A422="",0,IF(AND(OR($B$5="",ISNUMBER(SEARCH($B$5,'Master Database'!$B422&amp;" "&amp;'Master Database'!$D422))),OR($B$6="(All)",'Master Database'!$C422=$B$6),OR($B$7="(All)",'Master Database'!$E422=$B$7),OR($B$8="(All)",'Master Database'!$T422=$B$8),OR($B$9="(All)",'Master Database'!$M422=$B$9),OR($B$10="(All)",'Master Database'!$V422=$B$10),OR($E$5="(All)",'Master Database'!$F422=$E$5),OR($E$6="(All)",'Master Database'!$G422=$E$6),OR($E$7="(All)",'Master Database'!$O422=$E$7),OR($E$8="(All)",'Master Database'!$P422=$E$8),OR($E$9="(All)",'Master Database'!$S422=$E$9),OR($E$10="(All)",'Master Database'!$Y422&amp;""=$E$10&amp;""),OR($H$5="(All)",'Master Database'!$BG422=$H$5),OR($H$6&lt;&gt;"Y",ISNUMBER('Master Database'!$AG422)),OR($H$7="",AND(ISNUMBER('Master Database'!$H422),N('Master Database'!$H422)&gt;=$H$7)),OR($I$7="",AND(ISNUMBER('Master Database'!$H422),N('Master Database'!$H422)&lt;=$I$7)),OR($H$8="",AND(ISNUMBER('Master Database'!$I422),N('Master Database'!$I422)&gt;=$H$8)),OR($I$8="",AND(ISNUMBER('Master Database'!$I422),N('Master Database'!$I422)&lt;=$I$8)),OR($H$9="",AND(ISNUMBER('Master Database'!$K422),N('Master Database'!$K422)&gt;=$H$9)),OR($I$9="",AND(ISNUMBER('Master Database'!$K422),N('Master Database'!$K422)&lt;=$I$9))),1,0))</f>
        <v>0</v>
      </c>
      <c r="BB422" t="str">
        <f>IF(BA422=1,COUNTIF($BA$5:BA422,1),"")</f>
        <v/>
      </c>
    </row>
    <row r="423" spans="53:54">
      <c r="BA423">
        <f>IF('Master Database'!$A423="",0,IF(AND(OR($B$5="",ISNUMBER(SEARCH($B$5,'Master Database'!$B423&amp;" "&amp;'Master Database'!$D423))),OR($B$6="(All)",'Master Database'!$C423=$B$6),OR($B$7="(All)",'Master Database'!$E423=$B$7),OR($B$8="(All)",'Master Database'!$T423=$B$8),OR($B$9="(All)",'Master Database'!$M423=$B$9),OR($B$10="(All)",'Master Database'!$V423=$B$10),OR($E$5="(All)",'Master Database'!$F423=$E$5),OR($E$6="(All)",'Master Database'!$G423=$E$6),OR($E$7="(All)",'Master Database'!$O423=$E$7),OR($E$8="(All)",'Master Database'!$P423=$E$8),OR($E$9="(All)",'Master Database'!$S423=$E$9),OR($E$10="(All)",'Master Database'!$Y423&amp;""=$E$10&amp;""),OR($H$5="(All)",'Master Database'!$BG423=$H$5),OR($H$6&lt;&gt;"Y",ISNUMBER('Master Database'!$AG423)),OR($H$7="",AND(ISNUMBER('Master Database'!$H423),N('Master Database'!$H423)&gt;=$H$7)),OR($I$7="",AND(ISNUMBER('Master Database'!$H423),N('Master Database'!$H423)&lt;=$I$7)),OR($H$8="",AND(ISNUMBER('Master Database'!$I423),N('Master Database'!$I423)&gt;=$H$8)),OR($I$8="",AND(ISNUMBER('Master Database'!$I423),N('Master Database'!$I423)&lt;=$I$8)),OR($H$9="",AND(ISNUMBER('Master Database'!$K423),N('Master Database'!$K423)&gt;=$H$9)),OR($I$9="",AND(ISNUMBER('Master Database'!$K423),N('Master Database'!$K423)&lt;=$I$9))),1,0))</f>
        <v>0</v>
      </c>
      <c r="BB423" t="str">
        <f>IF(BA423=1,COUNTIF($BA$5:BA423,1),"")</f>
        <v/>
      </c>
    </row>
    <row r="424" spans="53:54">
      <c r="BA424">
        <f>IF('Master Database'!$A424="",0,IF(AND(OR($B$5="",ISNUMBER(SEARCH($B$5,'Master Database'!$B424&amp;" "&amp;'Master Database'!$D424))),OR($B$6="(All)",'Master Database'!$C424=$B$6),OR($B$7="(All)",'Master Database'!$E424=$B$7),OR($B$8="(All)",'Master Database'!$T424=$B$8),OR($B$9="(All)",'Master Database'!$M424=$B$9),OR($B$10="(All)",'Master Database'!$V424=$B$10),OR($E$5="(All)",'Master Database'!$F424=$E$5),OR($E$6="(All)",'Master Database'!$G424=$E$6),OR($E$7="(All)",'Master Database'!$O424=$E$7),OR($E$8="(All)",'Master Database'!$P424=$E$8),OR($E$9="(All)",'Master Database'!$S424=$E$9),OR($E$10="(All)",'Master Database'!$Y424&amp;""=$E$10&amp;""),OR($H$5="(All)",'Master Database'!$BG424=$H$5),OR($H$6&lt;&gt;"Y",ISNUMBER('Master Database'!$AG424)),OR($H$7="",AND(ISNUMBER('Master Database'!$H424),N('Master Database'!$H424)&gt;=$H$7)),OR($I$7="",AND(ISNUMBER('Master Database'!$H424),N('Master Database'!$H424)&lt;=$I$7)),OR($H$8="",AND(ISNUMBER('Master Database'!$I424),N('Master Database'!$I424)&gt;=$H$8)),OR($I$8="",AND(ISNUMBER('Master Database'!$I424),N('Master Database'!$I424)&lt;=$I$8)),OR($H$9="",AND(ISNUMBER('Master Database'!$K424),N('Master Database'!$K424)&gt;=$H$9)),OR($I$9="",AND(ISNUMBER('Master Database'!$K424),N('Master Database'!$K424)&lt;=$I$9))),1,0))</f>
        <v>0</v>
      </c>
      <c r="BB424" t="str">
        <f>IF(BA424=1,COUNTIF($BA$5:BA424,1),"")</f>
        <v/>
      </c>
    </row>
    <row r="425" spans="53:54">
      <c r="BA425">
        <f>IF('Master Database'!$A425="",0,IF(AND(OR($B$5="",ISNUMBER(SEARCH($B$5,'Master Database'!$B425&amp;" "&amp;'Master Database'!$D425))),OR($B$6="(All)",'Master Database'!$C425=$B$6),OR($B$7="(All)",'Master Database'!$E425=$B$7),OR($B$8="(All)",'Master Database'!$T425=$B$8),OR($B$9="(All)",'Master Database'!$M425=$B$9),OR($B$10="(All)",'Master Database'!$V425=$B$10),OR($E$5="(All)",'Master Database'!$F425=$E$5),OR($E$6="(All)",'Master Database'!$G425=$E$6),OR($E$7="(All)",'Master Database'!$O425=$E$7),OR($E$8="(All)",'Master Database'!$P425=$E$8),OR($E$9="(All)",'Master Database'!$S425=$E$9),OR($E$10="(All)",'Master Database'!$Y425&amp;""=$E$10&amp;""),OR($H$5="(All)",'Master Database'!$BG425=$H$5),OR($H$6&lt;&gt;"Y",ISNUMBER('Master Database'!$AG425)),OR($H$7="",AND(ISNUMBER('Master Database'!$H425),N('Master Database'!$H425)&gt;=$H$7)),OR($I$7="",AND(ISNUMBER('Master Database'!$H425),N('Master Database'!$H425)&lt;=$I$7)),OR($H$8="",AND(ISNUMBER('Master Database'!$I425),N('Master Database'!$I425)&gt;=$H$8)),OR($I$8="",AND(ISNUMBER('Master Database'!$I425),N('Master Database'!$I425)&lt;=$I$8)),OR($H$9="",AND(ISNUMBER('Master Database'!$K425),N('Master Database'!$K425)&gt;=$H$9)),OR($I$9="",AND(ISNUMBER('Master Database'!$K425),N('Master Database'!$K425)&lt;=$I$9))),1,0))</f>
        <v>0</v>
      </c>
      <c r="BB425" t="str">
        <f>IF(BA425=1,COUNTIF($BA$5:BA425,1),"")</f>
        <v/>
      </c>
    </row>
    <row r="426" spans="53:54">
      <c r="BA426">
        <f>IF('Master Database'!$A426="",0,IF(AND(OR($B$5="",ISNUMBER(SEARCH($B$5,'Master Database'!$B426&amp;" "&amp;'Master Database'!$D426))),OR($B$6="(All)",'Master Database'!$C426=$B$6),OR($B$7="(All)",'Master Database'!$E426=$B$7),OR($B$8="(All)",'Master Database'!$T426=$B$8),OR($B$9="(All)",'Master Database'!$M426=$B$9),OR($B$10="(All)",'Master Database'!$V426=$B$10),OR($E$5="(All)",'Master Database'!$F426=$E$5),OR($E$6="(All)",'Master Database'!$G426=$E$6),OR($E$7="(All)",'Master Database'!$O426=$E$7),OR($E$8="(All)",'Master Database'!$P426=$E$8),OR($E$9="(All)",'Master Database'!$S426=$E$9),OR($E$10="(All)",'Master Database'!$Y426&amp;""=$E$10&amp;""),OR($H$5="(All)",'Master Database'!$BG426=$H$5),OR($H$6&lt;&gt;"Y",ISNUMBER('Master Database'!$AG426)),OR($H$7="",AND(ISNUMBER('Master Database'!$H426),N('Master Database'!$H426)&gt;=$H$7)),OR($I$7="",AND(ISNUMBER('Master Database'!$H426),N('Master Database'!$H426)&lt;=$I$7)),OR($H$8="",AND(ISNUMBER('Master Database'!$I426),N('Master Database'!$I426)&gt;=$H$8)),OR($I$8="",AND(ISNUMBER('Master Database'!$I426),N('Master Database'!$I426)&lt;=$I$8)),OR($H$9="",AND(ISNUMBER('Master Database'!$K426),N('Master Database'!$K426)&gt;=$H$9)),OR($I$9="",AND(ISNUMBER('Master Database'!$K426),N('Master Database'!$K426)&lt;=$I$9))),1,0))</f>
        <v>0</v>
      </c>
      <c r="BB426" t="str">
        <f>IF(BA426=1,COUNTIF($BA$5:BA426,1),"")</f>
        <v/>
      </c>
    </row>
    <row r="427" spans="53:54">
      <c r="BA427">
        <f>IF('Master Database'!$A427="",0,IF(AND(OR($B$5="",ISNUMBER(SEARCH($B$5,'Master Database'!$B427&amp;" "&amp;'Master Database'!$D427))),OR($B$6="(All)",'Master Database'!$C427=$B$6),OR($B$7="(All)",'Master Database'!$E427=$B$7),OR($B$8="(All)",'Master Database'!$T427=$B$8),OR($B$9="(All)",'Master Database'!$M427=$B$9),OR($B$10="(All)",'Master Database'!$V427=$B$10),OR($E$5="(All)",'Master Database'!$F427=$E$5),OR($E$6="(All)",'Master Database'!$G427=$E$6),OR($E$7="(All)",'Master Database'!$O427=$E$7),OR($E$8="(All)",'Master Database'!$P427=$E$8),OR($E$9="(All)",'Master Database'!$S427=$E$9),OR($E$10="(All)",'Master Database'!$Y427&amp;""=$E$10&amp;""),OR($H$5="(All)",'Master Database'!$BG427=$H$5),OR($H$6&lt;&gt;"Y",ISNUMBER('Master Database'!$AG427)),OR($H$7="",AND(ISNUMBER('Master Database'!$H427),N('Master Database'!$H427)&gt;=$H$7)),OR($I$7="",AND(ISNUMBER('Master Database'!$H427),N('Master Database'!$H427)&lt;=$I$7)),OR($H$8="",AND(ISNUMBER('Master Database'!$I427),N('Master Database'!$I427)&gt;=$H$8)),OR($I$8="",AND(ISNUMBER('Master Database'!$I427),N('Master Database'!$I427)&lt;=$I$8)),OR($H$9="",AND(ISNUMBER('Master Database'!$K427),N('Master Database'!$K427)&gt;=$H$9)),OR($I$9="",AND(ISNUMBER('Master Database'!$K427),N('Master Database'!$K427)&lt;=$I$9))),1,0))</f>
        <v>0</v>
      </c>
      <c r="BB427" t="str">
        <f>IF(BA427=1,COUNTIF($BA$5:BA427,1),"")</f>
        <v/>
      </c>
    </row>
    <row r="428" spans="53:54">
      <c r="BA428">
        <f>IF('Master Database'!$A428="",0,IF(AND(OR($B$5="",ISNUMBER(SEARCH($B$5,'Master Database'!$B428&amp;" "&amp;'Master Database'!$D428))),OR($B$6="(All)",'Master Database'!$C428=$B$6),OR($B$7="(All)",'Master Database'!$E428=$B$7),OR($B$8="(All)",'Master Database'!$T428=$B$8),OR($B$9="(All)",'Master Database'!$M428=$B$9),OR($B$10="(All)",'Master Database'!$V428=$B$10),OR($E$5="(All)",'Master Database'!$F428=$E$5),OR($E$6="(All)",'Master Database'!$G428=$E$6),OR($E$7="(All)",'Master Database'!$O428=$E$7),OR($E$8="(All)",'Master Database'!$P428=$E$8),OR($E$9="(All)",'Master Database'!$S428=$E$9),OR($E$10="(All)",'Master Database'!$Y428&amp;""=$E$10&amp;""),OR($H$5="(All)",'Master Database'!$BG428=$H$5),OR($H$6&lt;&gt;"Y",ISNUMBER('Master Database'!$AG428)),OR($H$7="",AND(ISNUMBER('Master Database'!$H428),N('Master Database'!$H428)&gt;=$H$7)),OR($I$7="",AND(ISNUMBER('Master Database'!$H428),N('Master Database'!$H428)&lt;=$I$7)),OR($H$8="",AND(ISNUMBER('Master Database'!$I428),N('Master Database'!$I428)&gt;=$H$8)),OR($I$8="",AND(ISNUMBER('Master Database'!$I428),N('Master Database'!$I428)&lt;=$I$8)),OR($H$9="",AND(ISNUMBER('Master Database'!$K428),N('Master Database'!$K428)&gt;=$H$9)),OR($I$9="",AND(ISNUMBER('Master Database'!$K428),N('Master Database'!$K428)&lt;=$I$9))),1,0))</f>
        <v>0</v>
      </c>
      <c r="BB428" t="str">
        <f>IF(BA428=1,COUNTIF($BA$5:BA428,1),"")</f>
        <v/>
      </c>
    </row>
    <row r="429" spans="53:54">
      <c r="BA429">
        <f>IF('Master Database'!$A429="",0,IF(AND(OR($B$5="",ISNUMBER(SEARCH($B$5,'Master Database'!$B429&amp;" "&amp;'Master Database'!$D429))),OR($B$6="(All)",'Master Database'!$C429=$B$6),OR($B$7="(All)",'Master Database'!$E429=$B$7),OR($B$8="(All)",'Master Database'!$T429=$B$8),OR($B$9="(All)",'Master Database'!$M429=$B$9),OR($B$10="(All)",'Master Database'!$V429=$B$10),OR($E$5="(All)",'Master Database'!$F429=$E$5),OR($E$6="(All)",'Master Database'!$G429=$E$6),OR($E$7="(All)",'Master Database'!$O429=$E$7),OR($E$8="(All)",'Master Database'!$P429=$E$8),OR($E$9="(All)",'Master Database'!$S429=$E$9),OR($E$10="(All)",'Master Database'!$Y429&amp;""=$E$10&amp;""),OR($H$5="(All)",'Master Database'!$BG429=$H$5),OR($H$6&lt;&gt;"Y",ISNUMBER('Master Database'!$AG429)),OR($H$7="",AND(ISNUMBER('Master Database'!$H429),N('Master Database'!$H429)&gt;=$H$7)),OR($I$7="",AND(ISNUMBER('Master Database'!$H429),N('Master Database'!$H429)&lt;=$I$7)),OR($H$8="",AND(ISNUMBER('Master Database'!$I429),N('Master Database'!$I429)&gt;=$H$8)),OR($I$8="",AND(ISNUMBER('Master Database'!$I429),N('Master Database'!$I429)&lt;=$I$8)),OR($H$9="",AND(ISNUMBER('Master Database'!$K429),N('Master Database'!$K429)&gt;=$H$9)),OR($I$9="",AND(ISNUMBER('Master Database'!$K429),N('Master Database'!$K429)&lt;=$I$9))),1,0))</f>
        <v>0</v>
      </c>
      <c r="BB429" t="str">
        <f>IF(BA429=1,COUNTIF($BA$5:BA429,1),"")</f>
        <v/>
      </c>
    </row>
    <row r="430" spans="53:54">
      <c r="BA430">
        <f>IF('Master Database'!$A430="",0,IF(AND(OR($B$5="",ISNUMBER(SEARCH($B$5,'Master Database'!$B430&amp;" "&amp;'Master Database'!$D430))),OR($B$6="(All)",'Master Database'!$C430=$B$6),OR($B$7="(All)",'Master Database'!$E430=$B$7),OR($B$8="(All)",'Master Database'!$T430=$B$8),OR($B$9="(All)",'Master Database'!$M430=$B$9),OR($B$10="(All)",'Master Database'!$V430=$B$10),OR($E$5="(All)",'Master Database'!$F430=$E$5),OR($E$6="(All)",'Master Database'!$G430=$E$6),OR($E$7="(All)",'Master Database'!$O430=$E$7),OR($E$8="(All)",'Master Database'!$P430=$E$8),OR($E$9="(All)",'Master Database'!$S430=$E$9),OR($E$10="(All)",'Master Database'!$Y430&amp;""=$E$10&amp;""),OR($H$5="(All)",'Master Database'!$BG430=$H$5),OR($H$6&lt;&gt;"Y",ISNUMBER('Master Database'!$AG430)),OR($H$7="",AND(ISNUMBER('Master Database'!$H430),N('Master Database'!$H430)&gt;=$H$7)),OR($I$7="",AND(ISNUMBER('Master Database'!$H430),N('Master Database'!$H430)&lt;=$I$7)),OR($H$8="",AND(ISNUMBER('Master Database'!$I430),N('Master Database'!$I430)&gt;=$H$8)),OR($I$8="",AND(ISNUMBER('Master Database'!$I430),N('Master Database'!$I430)&lt;=$I$8)),OR($H$9="",AND(ISNUMBER('Master Database'!$K430),N('Master Database'!$K430)&gt;=$H$9)),OR($I$9="",AND(ISNUMBER('Master Database'!$K430),N('Master Database'!$K430)&lt;=$I$9))),1,0))</f>
        <v>0</v>
      </c>
      <c r="BB430" t="str">
        <f>IF(BA430=1,COUNTIF($BA$5:BA430,1),"")</f>
        <v/>
      </c>
    </row>
    <row r="431" spans="53:54">
      <c r="BA431">
        <f>IF('Master Database'!$A431="",0,IF(AND(OR($B$5="",ISNUMBER(SEARCH($B$5,'Master Database'!$B431&amp;" "&amp;'Master Database'!$D431))),OR($B$6="(All)",'Master Database'!$C431=$B$6),OR($B$7="(All)",'Master Database'!$E431=$B$7),OR($B$8="(All)",'Master Database'!$T431=$B$8),OR($B$9="(All)",'Master Database'!$M431=$B$9),OR($B$10="(All)",'Master Database'!$V431=$B$10),OR($E$5="(All)",'Master Database'!$F431=$E$5),OR($E$6="(All)",'Master Database'!$G431=$E$6),OR($E$7="(All)",'Master Database'!$O431=$E$7),OR($E$8="(All)",'Master Database'!$P431=$E$8),OR($E$9="(All)",'Master Database'!$S431=$E$9),OR($E$10="(All)",'Master Database'!$Y431&amp;""=$E$10&amp;""),OR($H$5="(All)",'Master Database'!$BG431=$H$5),OR($H$6&lt;&gt;"Y",ISNUMBER('Master Database'!$AG431)),OR($H$7="",AND(ISNUMBER('Master Database'!$H431),N('Master Database'!$H431)&gt;=$H$7)),OR($I$7="",AND(ISNUMBER('Master Database'!$H431),N('Master Database'!$H431)&lt;=$I$7)),OR($H$8="",AND(ISNUMBER('Master Database'!$I431),N('Master Database'!$I431)&gt;=$H$8)),OR($I$8="",AND(ISNUMBER('Master Database'!$I431),N('Master Database'!$I431)&lt;=$I$8)),OR($H$9="",AND(ISNUMBER('Master Database'!$K431),N('Master Database'!$K431)&gt;=$H$9)),OR($I$9="",AND(ISNUMBER('Master Database'!$K431),N('Master Database'!$K431)&lt;=$I$9))),1,0))</f>
        <v>0</v>
      </c>
      <c r="BB431" t="str">
        <f>IF(BA431=1,COUNTIF($BA$5:BA431,1),"")</f>
        <v/>
      </c>
    </row>
    <row r="432" spans="53:54">
      <c r="BA432">
        <f>IF('Master Database'!$A432="",0,IF(AND(OR($B$5="",ISNUMBER(SEARCH($B$5,'Master Database'!$B432&amp;" "&amp;'Master Database'!$D432))),OR($B$6="(All)",'Master Database'!$C432=$B$6),OR($B$7="(All)",'Master Database'!$E432=$B$7),OR($B$8="(All)",'Master Database'!$T432=$B$8),OR($B$9="(All)",'Master Database'!$M432=$B$9),OR($B$10="(All)",'Master Database'!$V432=$B$10),OR($E$5="(All)",'Master Database'!$F432=$E$5),OR($E$6="(All)",'Master Database'!$G432=$E$6),OR($E$7="(All)",'Master Database'!$O432=$E$7),OR($E$8="(All)",'Master Database'!$P432=$E$8),OR($E$9="(All)",'Master Database'!$S432=$E$9),OR($E$10="(All)",'Master Database'!$Y432&amp;""=$E$10&amp;""),OR($H$5="(All)",'Master Database'!$BG432=$H$5),OR($H$6&lt;&gt;"Y",ISNUMBER('Master Database'!$AG432)),OR($H$7="",AND(ISNUMBER('Master Database'!$H432),N('Master Database'!$H432)&gt;=$H$7)),OR($I$7="",AND(ISNUMBER('Master Database'!$H432),N('Master Database'!$H432)&lt;=$I$7)),OR($H$8="",AND(ISNUMBER('Master Database'!$I432),N('Master Database'!$I432)&gt;=$H$8)),OR($I$8="",AND(ISNUMBER('Master Database'!$I432),N('Master Database'!$I432)&lt;=$I$8)),OR($H$9="",AND(ISNUMBER('Master Database'!$K432),N('Master Database'!$K432)&gt;=$H$9)),OR($I$9="",AND(ISNUMBER('Master Database'!$K432),N('Master Database'!$K432)&lt;=$I$9))),1,0))</f>
        <v>0</v>
      </c>
      <c r="BB432" t="str">
        <f>IF(BA432=1,COUNTIF($BA$5:BA432,1),"")</f>
        <v/>
      </c>
    </row>
    <row r="433" spans="53:54">
      <c r="BA433">
        <f>IF('Master Database'!$A433="",0,IF(AND(OR($B$5="",ISNUMBER(SEARCH($B$5,'Master Database'!$B433&amp;" "&amp;'Master Database'!$D433))),OR($B$6="(All)",'Master Database'!$C433=$B$6),OR($B$7="(All)",'Master Database'!$E433=$B$7),OR($B$8="(All)",'Master Database'!$T433=$B$8),OR($B$9="(All)",'Master Database'!$M433=$B$9),OR($B$10="(All)",'Master Database'!$V433=$B$10),OR($E$5="(All)",'Master Database'!$F433=$E$5),OR($E$6="(All)",'Master Database'!$G433=$E$6),OR($E$7="(All)",'Master Database'!$O433=$E$7),OR($E$8="(All)",'Master Database'!$P433=$E$8),OR($E$9="(All)",'Master Database'!$S433=$E$9),OR($E$10="(All)",'Master Database'!$Y433&amp;""=$E$10&amp;""),OR($H$5="(All)",'Master Database'!$BG433=$H$5),OR($H$6&lt;&gt;"Y",ISNUMBER('Master Database'!$AG433)),OR($H$7="",AND(ISNUMBER('Master Database'!$H433),N('Master Database'!$H433)&gt;=$H$7)),OR($I$7="",AND(ISNUMBER('Master Database'!$H433),N('Master Database'!$H433)&lt;=$I$7)),OR($H$8="",AND(ISNUMBER('Master Database'!$I433),N('Master Database'!$I433)&gt;=$H$8)),OR($I$8="",AND(ISNUMBER('Master Database'!$I433),N('Master Database'!$I433)&lt;=$I$8)),OR($H$9="",AND(ISNUMBER('Master Database'!$K433),N('Master Database'!$K433)&gt;=$H$9)),OR($I$9="",AND(ISNUMBER('Master Database'!$K433),N('Master Database'!$K433)&lt;=$I$9))),1,0))</f>
        <v>0</v>
      </c>
      <c r="BB433" t="str">
        <f>IF(BA433=1,COUNTIF($BA$5:BA433,1),"")</f>
        <v/>
      </c>
    </row>
    <row r="434" spans="53:54">
      <c r="BA434">
        <f>IF('Master Database'!$A434="",0,IF(AND(OR($B$5="",ISNUMBER(SEARCH($B$5,'Master Database'!$B434&amp;" "&amp;'Master Database'!$D434))),OR($B$6="(All)",'Master Database'!$C434=$B$6),OR($B$7="(All)",'Master Database'!$E434=$B$7),OR($B$8="(All)",'Master Database'!$T434=$B$8),OR($B$9="(All)",'Master Database'!$M434=$B$9),OR($B$10="(All)",'Master Database'!$V434=$B$10),OR($E$5="(All)",'Master Database'!$F434=$E$5),OR($E$6="(All)",'Master Database'!$G434=$E$6),OR($E$7="(All)",'Master Database'!$O434=$E$7),OR($E$8="(All)",'Master Database'!$P434=$E$8),OR($E$9="(All)",'Master Database'!$S434=$E$9),OR($E$10="(All)",'Master Database'!$Y434&amp;""=$E$10&amp;""),OR($H$5="(All)",'Master Database'!$BG434=$H$5),OR($H$6&lt;&gt;"Y",ISNUMBER('Master Database'!$AG434)),OR($H$7="",AND(ISNUMBER('Master Database'!$H434),N('Master Database'!$H434)&gt;=$H$7)),OR($I$7="",AND(ISNUMBER('Master Database'!$H434),N('Master Database'!$H434)&lt;=$I$7)),OR($H$8="",AND(ISNUMBER('Master Database'!$I434),N('Master Database'!$I434)&gt;=$H$8)),OR($I$8="",AND(ISNUMBER('Master Database'!$I434),N('Master Database'!$I434)&lt;=$I$8)),OR($H$9="",AND(ISNUMBER('Master Database'!$K434),N('Master Database'!$K434)&gt;=$H$9)),OR($I$9="",AND(ISNUMBER('Master Database'!$K434),N('Master Database'!$K434)&lt;=$I$9))),1,0))</f>
        <v>0</v>
      </c>
      <c r="BB434" t="str">
        <f>IF(BA434=1,COUNTIF($BA$5:BA434,1),"")</f>
        <v/>
      </c>
    </row>
    <row r="435" spans="53:54">
      <c r="BA435">
        <f>IF('Master Database'!$A435="",0,IF(AND(OR($B$5="",ISNUMBER(SEARCH($B$5,'Master Database'!$B435&amp;" "&amp;'Master Database'!$D435))),OR($B$6="(All)",'Master Database'!$C435=$B$6),OR($B$7="(All)",'Master Database'!$E435=$B$7),OR($B$8="(All)",'Master Database'!$T435=$B$8),OR($B$9="(All)",'Master Database'!$M435=$B$9),OR($B$10="(All)",'Master Database'!$V435=$B$10),OR($E$5="(All)",'Master Database'!$F435=$E$5),OR($E$6="(All)",'Master Database'!$G435=$E$6),OR($E$7="(All)",'Master Database'!$O435=$E$7),OR($E$8="(All)",'Master Database'!$P435=$E$8),OR($E$9="(All)",'Master Database'!$S435=$E$9),OR($E$10="(All)",'Master Database'!$Y435&amp;""=$E$10&amp;""),OR($H$5="(All)",'Master Database'!$BG435=$H$5),OR($H$6&lt;&gt;"Y",ISNUMBER('Master Database'!$AG435)),OR($H$7="",AND(ISNUMBER('Master Database'!$H435),N('Master Database'!$H435)&gt;=$H$7)),OR($I$7="",AND(ISNUMBER('Master Database'!$H435),N('Master Database'!$H435)&lt;=$I$7)),OR($H$8="",AND(ISNUMBER('Master Database'!$I435),N('Master Database'!$I435)&gt;=$H$8)),OR($I$8="",AND(ISNUMBER('Master Database'!$I435),N('Master Database'!$I435)&lt;=$I$8)),OR($H$9="",AND(ISNUMBER('Master Database'!$K435),N('Master Database'!$K435)&gt;=$H$9)),OR($I$9="",AND(ISNUMBER('Master Database'!$K435),N('Master Database'!$K435)&lt;=$I$9))),1,0))</f>
        <v>0</v>
      </c>
      <c r="BB435" t="str">
        <f>IF(BA435=1,COUNTIF($BA$5:BA435,1),"")</f>
        <v/>
      </c>
    </row>
    <row r="436" spans="53:54">
      <c r="BA436">
        <f>IF('Master Database'!$A436="",0,IF(AND(OR($B$5="",ISNUMBER(SEARCH($B$5,'Master Database'!$B436&amp;" "&amp;'Master Database'!$D436))),OR($B$6="(All)",'Master Database'!$C436=$B$6),OR($B$7="(All)",'Master Database'!$E436=$B$7),OR($B$8="(All)",'Master Database'!$T436=$B$8),OR($B$9="(All)",'Master Database'!$M436=$B$9),OR($B$10="(All)",'Master Database'!$V436=$B$10),OR($E$5="(All)",'Master Database'!$F436=$E$5),OR($E$6="(All)",'Master Database'!$G436=$E$6),OR($E$7="(All)",'Master Database'!$O436=$E$7),OR($E$8="(All)",'Master Database'!$P436=$E$8),OR($E$9="(All)",'Master Database'!$S436=$E$9),OR($E$10="(All)",'Master Database'!$Y436&amp;""=$E$10&amp;""),OR($H$5="(All)",'Master Database'!$BG436=$H$5),OR($H$6&lt;&gt;"Y",ISNUMBER('Master Database'!$AG436)),OR($H$7="",AND(ISNUMBER('Master Database'!$H436),N('Master Database'!$H436)&gt;=$H$7)),OR($I$7="",AND(ISNUMBER('Master Database'!$H436),N('Master Database'!$H436)&lt;=$I$7)),OR($H$8="",AND(ISNUMBER('Master Database'!$I436),N('Master Database'!$I436)&gt;=$H$8)),OR($I$8="",AND(ISNUMBER('Master Database'!$I436),N('Master Database'!$I436)&lt;=$I$8)),OR($H$9="",AND(ISNUMBER('Master Database'!$K436),N('Master Database'!$K436)&gt;=$H$9)),OR($I$9="",AND(ISNUMBER('Master Database'!$K436),N('Master Database'!$K436)&lt;=$I$9))),1,0))</f>
        <v>0</v>
      </c>
      <c r="BB436" t="str">
        <f>IF(BA436=1,COUNTIF($BA$5:BA436,1),"")</f>
        <v/>
      </c>
    </row>
    <row r="437" spans="53:54">
      <c r="BA437">
        <f>IF('Master Database'!$A437="",0,IF(AND(OR($B$5="",ISNUMBER(SEARCH($B$5,'Master Database'!$B437&amp;" "&amp;'Master Database'!$D437))),OR($B$6="(All)",'Master Database'!$C437=$B$6),OR($B$7="(All)",'Master Database'!$E437=$B$7),OR($B$8="(All)",'Master Database'!$T437=$B$8),OR($B$9="(All)",'Master Database'!$M437=$B$9),OR($B$10="(All)",'Master Database'!$V437=$B$10),OR($E$5="(All)",'Master Database'!$F437=$E$5),OR($E$6="(All)",'Master Database'!$G437=$E$6),OR($E$7="(All)",'Master Database'!$O437=$E$7),OR($E$8="(All)",'Master Database'!$P437=$E$8),OR($E$9="(All)",'Master Database'!$S437=$E$9),OR($E$10="(All)",'Master Database'!$Y437&amp;""=$E$10&amp;""),OR($H$5="(All)",'Master Database'!$BG437=$H$5),OR($H$6&lt;&gt;"Y",ISNUMBER('Master Database'!$AG437)),OR($H$7="",AND(ISNUMBER('Master Database'!$H437),N('Master Database'!$H437)&gt;=$H$7)),OR($I$7="",AND(ISNUMBER('Master Database'!$H437),N('Master Database'!$H437)&lt;=$I$7)),OR($H$8="",AND(ISNUMBER('Master Database'!$I437),N('Master Database'!$I437)&gt;=$H$8)),OR($I$8="",AND(ISNUMBER('Master Database'!$I437),N('Master Database'!$I437)&lt;=$I$8)),OR($H$9="",AND(ISNUMBER('Master Database'!$K437),N('Master Database'!$K437)&gt;=$H$9)),OR($I$9="",AND(ISNUMBER('Master Database'!$K437),N('Master Database'!$K437)&lt;=$I$9))),1,0))</f>
        <v>0</v>
      </c>
      <c r="BB437" t="str">
        <f>IF(BA437=1,COUNTIF($BA$5:BA437,1),"")</f>
        <v/>
      </c>
    </row>
    <row r="438" spans="53:54">
      <c r="BA438">
        <f>IF('Master Database'!$A438="",0,IF(AND(OR($B$5="",ISNUMBER(SEARCH($B$5,'Master Database'!$B438&amp;" "&amp;'Master Database'!$D438))),OR($B$6="(All)",'Master Database'!$C438=$B$6),OR($B$7="(All)",'Master Database'!$E438=$B$7),OR($B$8="(All)",'Master Database'!$T438=$B$8),OR($B$9="(All)",'Master Database'!$M438=$B$9),OR($B$10="(All)",'Master Database'!$V438=$B$10),OR($E$5="(All)",'Master Database'!$F438=$E$5),OR($E$6="(All)",'Master Database'!$G438=$E$6),OR($E$7="(All)",'Master Database'!$O438=$E$7),OR($E$8="(All)",'Master Database'!$P438=$E$8),OR($E$9="(All)",'Master Database'!$S438=$E$9),OR($E$10="(All)",'Master Database'!$Y438&amp;""=$E$10&amp;""),OR($H$5="(All)",'Master Database'!$BG438=$H$5),OR($H$6&lt;&gt;"Y",ISNUMBER('Master Database'!$AG438)),OR($H$7="",AND(ISNUMBER('Master Database'!$H438),N('Master Database'!$H438)&gt;=$H$7)),OR($I$7="",AND(ISNUMBER('Master Database'!$H438),N('Master Database'!$H438)&lt;=$I$7)),OR($H$8="",AND(ISNUMBER('Master Database'!$I438),N('Master Database'!$I438)&gt;=$H$8)),OR($I$8="",AND(ISNUMBER('Master Database'!$I438),N('Master Database'!$I438)&lt;=$I$8)),OR($H$9="",AND(ISNUMBER('Master Database'!$K438),N('Master Database'!$K438)&gt;=$H$9)),OR($I$9="",AND(ISNUMBER('Master Database'!$K438),N('Master Database'!$K438)&lt;=$I$9))),1,0))</f>
        <v>0</v>
      </c>
      <c r="BB438" t="str">
        <f>IF(BA438=1,COUNTIF($BA$5:BA438,1),"")</f>
        <v/>
      </c>
    </row>
    <row r="439" spans="53:54">
      <c r="BA439">
        <f>IF('Master Database'!$A439="",0,IF(AND(OR($B$5="",ISNUMBER(SEARCH($B$5,'Master Database'!$B439&amp;" "&amp;'Master Database'!$D439))),OR($B$6="(All)",'Master Database'!$C439=$B$6),OR($B$7="(All)",'Master Database'!$E439=$B$7),OR($B$8="(All)",'Master Database'!$T439=$B$8),OR($B$9="(All)",'Master Database'!$M439=$B$9),OR($B$10="(All)",'Master Database'!$V439=$B$10),OR($E$5="(All)",'Master Database'!$F439=$E$5),OR($E$6="(All)",'Master Database'!$G439=$E$6),OR($E$7="(All)",'Master Database'!$O439=$E$7),OR($E$8="(All)",'Master Database'!$P439=$E$8),OR($E$9="(All)",'Master Database'!$S439=$E$9),OR($E$10="(All)",'Master Database'!$Y439&amp;""=$E$10&amp;""),OR($H$5="(All)",'Master Database'!$BG439=$H$5),OR($H$6&lt;&gt;"Y",ISNUMBER('Master Database'!$AG439)),OR($H$7="",AND(ISNUMBER('Master Database'!$H439),N('Master Database'!$H439)&gt;=$H$7)),OR($I$7="",AND(ISNUMBER('Master Database'!$H439),N('Master Database'!$H439)&lt;=$I$7)),OR($H$8="",AND(ISNUMBER('Master Database'!$I439),N('Master Database'!$I439)&gt;=$H$8)),OR($I$8="",AND(ISNUMBER('Master Database'!$I439),N('Master Database'!$I439)&lt;=$I$8)),OR($H$9="",AND(ISNUMBER('Master Database'!$K439),N('Master Database'!$K439)&gt;=$H$9)),OR($I$9="",AND(ISNUMBER('Master Database'!$K439),N('Master Database'!$K439)&lt;=$I$9))),1,0))</f>
        <v>0</v>
      </c>
      <c r="BB439" t="str">
        <f>IF(BA439=1,COUNTIF($BA$5:BA439,1),"")</f>
        <v/>
      </c>
    </row>
    <row r="440" spans="53:54">
      <c r="BA440">
        <f>IF('Master Database'!$A440="",0,IF(AND(OR($B$5="",ISNUMBER(SEARCH($B$5,'Master Database'!$B440&amp;" "&amp;'Master Database'!$D440))),OR($B$6="(All)",'Master Database'!$C440=$B$6),OR($B$7="(All)",'Master Database'!$E440=$B$7),OR($B$8="(All)",'Master Database'!$T440=$B$8),OR($B$9="(All)",'Master Database'!$M440=$B$9),OR($B$10="(All)",'Master Database'!$V440=$B$10),OR($E$5="(All)",'Master Database'!$F440=$E$5),OR($E$6="(All)",'Master Database'!$G440=$E$6),OR($E$7="(All)",'Master Database'!$O440=$E$7),OR($E$8="(All)",'Master Database'!$P440=$E$8),OR($E$9="(All)",'Master Database'!$S440=$E$9),OR($E$10="(All)",'Master Database'!$Y440&amp;""=$E$10&amp;""),OR($H$5="(All)",'Master Database'!$BG440=$H$5),OR($H$6&lt;&gt;"Y",ISNUMBER('Master Database'!$AG440)),OR($H$7="",AND(ISNUMBER('Master Database'!$H440),N('Master Database'!$H440)&gt;=$H$7)),OR($I$7="",AND(ISNUMBER('Master Database'!$H440),N('Master Database'!$H440)&lt;=$I$7)),OR($H$8="",AND(ISNUMBER('Master Database'!$I440),N('Master Database'!$I440)&gt;=$H$8)),OR($I$8="",AND(ISNUMBER('Master Database'!$I440),N('Master Database'!$I440)&lt;=$I$8)),OR($H$9="",AND(ISNUMBER('Master Database'!$K440),N('Master Database'!$K440)&gt;=$H$9)),OR($I$9="",AND(ISNUMBER('Master Database'!$K440),N('Master Database'!$K440)&lt;=$I$9))),1,0))</f>
        <v>0</v>
      </c>
      <c r="BB440" t="str">
        <f>IF(BA440=1,COUNTIF($BA$5:BA440,1),"")</f>
        <v/>
      </c>
    </row>
    <row r="441" spans="53:54">
      <c r="BA441">
        <f>IF('Master Database'!$A441="",0,IF(AND(OR($B$5="",ISNUMBER(SEARCH($B$5,'Master Database'!$B441&amp;" "&amp;'Master Database'!$D441))),OR($B$6="(All)",'Master Database'!$C441=$B$6),OR($B$7="(All)",'Master Database'!$E441=$B$7),OR($B$8="(All)",'Master Database'!$T441=$B$8),OR($B$9="(All)",'Master Database'!$M441=$B$9),OR($B$10="(All)",'Master Database'!$V441=$B$10),OR($E$5="(All)",'Master Database'!$F441=$E$5),OR($E$6="(All)",'Master Database'!$G441=$E$6),OR($E$7="(All)",'Master Database'!$O441=$E$7),OR($E$8="(All)",'Master Database'!$P441=$E$8),OR($E$9="(All)",'Master Database'!$S441=$E$9),OR($E$10="(All)",'Master Database'!$Y441&amp;""=$E$10&amp;""),OR($H$5="(All)",'Master Database'!$BG441=$H$5),OR($H$6&lt;&gt;"Y",ISNUMBER('Master Database'!$AG441)),OR($H$7="",AND(ISNUMBER('Master Database'!$H441),N('Master Database'!$H441)&gt;=$H$7)),OR($I$7="",AND(ISNUMBER('Master Database'!$H441),N('Master Database'!$H441)&lt;=$I$7)),OR($H$8="",AND(ISNUMBER('Master Database'!$I441),N('Master Database'!$I441)&gt;=$H$8)),OR($I$8="",AND(ISNUMBER('Master Database'!$I441),N('Master Database'!$I441)&lt;=$I$8)),OR($H$9="",AND(ISNUMBER('Master Database'!$K441),N('Master Database'!$K441)&gt;=$H$9)),OR($I$9="",AND(ISNUMBER('Master Database'!$K441),N('Master Database'!$K441)&lt;=$I$9))),1,0))</f>
        <v>0</v>
      </c>
      <c r="BB441" t="str">
        <f>IF(BA441=1,COUNTIF($BA$5:BA441,1),"")</f>
        <v/>
      </c>
    </row>
    <row r="442" spans="53:54">
      <c r="BA442">
        <f>IF('Master Database'!$A442="",0,IF(AND(OR($B$5="",ISNUMBER(SEARCH($B$5,'Master Database'!$B442&amp;" "&amp;'Master Database'!$D442))),OR($B$6="(All)",'Master Database'!$C442=$B$6),OR($B$7="(All)",'Master Database'!$E442=$B$7),OR($B$8="(All)",'Master Database'!$T442=$B$8),OR($B$9="(All)",'Master Database'!$M442=$B$9),OR($B$10="(All)",'Master Database'!$V442=$B$10),OR($E$5="(All)",'Master Database'!$F442=$E$5),OR($E$6="(All)",'Master Database'!$G442=$E$6),OR($E$7="(All)",'Master Database'!$O442=$E$7),OR($E$8="(All)",'Master Database'!$P442=$E$8),OR($E$9="(All)",'Master Database'!$S442=$E$9),OR($E$10="(All)",'Master Database'!$Y442&amp;""=$E$10&amp;""),OR($H$5="(All)",'Master Database'!$BG442=$H$5),OR($H$6&lt;&gt;"Y",ISNUMBER('Master Database'!$AG442)),OR($H$7="",AND(ISNUMBER('Master Database'!$H442),N('Master Database'!$H442)&gt;=$H$7)),OR($I$7="",AND(ISNUMBER('Master Database'!$H442),N('Master Database'!$H442)&lt;=$I$7)),OR($H$8="",AND(ISNUMBER('Master Database'!$I442),N('Master Database'!$I442)&gt;=$H$8)),OR($I$8="",AND(ISNUMBER('Master Database'!$I442),N('Master Database'!$I442)&lt;=$I$8)),OR($H$9="",AND(ISNUMBER('Master Database'!$K442),N('Master Database'!$K442)&gt;=$H$9)),OR($I$9="",AND(ISNUMBER('Master Database'!$K442),N('Master Database'!$K442)&lt;=$I$9))),1,0))</f>
        <v>0</v>
      </c>
      <c r="BB442" t="str">
        <f>IF(BA442=1,COUNTIF($BA$5:BA442,1),"")</f>
        <v/>
      </c>
    </row>
    <row r="443" spans="53:54">
      <c r="BA443">
        <f>IF('Master Database'!$A443="",0,IF(AND(OR($B$5="",ISNUMBER(SEARCH($B$5,'Master Database'!$B443&amp;" "&amp;'Master Database'!$D443))),OR($B$6="(All)",'Master Database'!$C443=$B$6),OR($B$7="(All)",'Master Database'!$E443=$B$7),OR($B$8="(All)",'Master Database'!$T443=$B$8),OR($B$9="(All)",'Master Database'!$M443=$B$9),OR($B$10="(All)",'Master Database'!$V443=$B$10),OR($E$5="(All)",'Master Database'!$F443=$E$5),OR($E$6="(All)",'Master Database'!$G443=$E$6),OR($E$7="(All)",'Master Database'!$O443=$E$7),OR($E$8="(All)",'Master Database'!$P443=$E$8),OR($E$9="(All)",'Master Database'!$S443=$E$9),OR($E$10="(All)",'Master Database'!$Y443&amp;""=$E$10&amp;""),OR($H$5="(All)",'Master Database'!$BG443=$H$5),OR($H$6&lt;&gt;"Y",ISNUMBER('Master Database'!$AG443)),OR($H$7="",AND(ISNUMBER('Master Database'!$H443),N('Master Database'!$H443)&gt;=$H$7)),OR($I$7="",AND(ISNUMBER('Master Database'!$H443),N('Master Database'!$H443)&lt;=$I$7)),OR($H$8="",AND(ISNUMBER('Master Database'!$I443),N('Master Database'!$I443)&gt;=$H$8)),OR($I$8="",AND(ISNUMBER('Master Database'!$I443),N('Master Database'!$I443)&lt;=$I$8)),OR($H$9="",AND(ISNUMBER('Master Database'!$K443),N('Master Database'!$K443)&gt;=$H$9)),OR($I$9="",AND(ISNUMBER('Master Database'!$K443),N('Master Database'!$K443)&lt;=$I$9))),1,0))</f>
        <v>0</v>
      </c>
      <c r="BB443" t="str">
        <f>IF(BA443=1,COUNTIF($BA$5:BA443,1),"")</f>
        <v/>
      </c>
    </row>
    <row r="444" spans="53:54">
      <c r="BA444">
        <f>IF('Master Database'!$A444="",0,IF(AND(OR($B$5="",ISNUMBER(SEARCH($B$5,'Master Database'!$B444&amp;" "&amp;'Master Database'!$D444))),OR($B$6="(All)",'Master Database'!$C444=$B$6),OR($B$7="(All)",'Master Database'!$E444=$B$7),OR($B$8="(All)",'Master Database'!$T444=$B$8),OR($B$9="(All)",'Master Database'!$M444=$B$9),OR($B$10="(All)",'Master Database'!$V444=$B$10),OR($E$5="(All)",'Master Database'!$F444=$E$5),OR($E$6="(All)",'Master Database'!$G444=$E$6),OR($E$7="(All)",'Master Database'!$O444=$E$7),OR($E$8="(All)",'Master Database'!$P444=$E$8),OR($E$9="(All)",'Master Database'!$S444=$E$9),OR($E$10="(All)",'Master Database'!$Y444&amp;""=$E$10&amp;""),OR($H$5="(All)",'Master Database'!$BG444=$H$5),OR($H$6&lt;&gt;"Y",ISNUMBER('Master Database'!$AG444)),OR($H$7="",AND(ISNUMBER('Master Database'!$H444),N('Master Database'!$H444)&gt;=$H$7)),OR($I$7="",AND(ISNUMBER('Master Database'!$H444),N('Master Database'!$H444)&lt;=$I$7)),OR($H$8="",AND(ISNUMBER('Master Database'!$I444),N('Master Database'!$I444)&gt;=$H$8)),OR($I$8="",AND(ISNUMBER('Master Database'!$I444),N('Master Database'!$I444)&lt;=$I$8)),OR($H$9="",AND(ISNUMBER('Master Database'!$K444),N('Master Database'!$K444)&gt;=$H$9)),OR($I$9="",AND(ISNUMBER('Master Database'!$K444),N('Master Database'!$K444)&lt;=$I$9))),1,0))</f>
        <v>0</v>
      </c>
      <c r="BB444" t="str">
        <f>IF(BA444=1,COUNTIF($BA$5:BA444,1),"")</f>
        <v/>
      </c>
    </row>
    <row r="445" spans="53:54">
      <c r="BA445">
        <f>IF('Master Database'!$A445="",0,IF(AND(OR($B$5="",ISNUMBER(SEARCH($B$5,'Master Database'!$B445&amp;" "&amp;'Master Database'!$D445))),OR($B$6="(All)",'Master Database'!$C445=$B$6),OR($B$7="(All)",'Master Database'!$E445=$B$7),OR($B$8="(All)",'Master Database'!$T445=$B$8),OR($B$9="(All)",'Master Database'!$M445=$B$9),OR($B$10="(All)",'Master Database'!$V445=$B$10),OR($E$5="(All)",'Master Database'!$F445=$E$5),OR($E$6="(All)",'Master Database'!$G445=$E$6),OR($E$7="(All)",'Master Database'!$O445=$E$7),OR($E$8="(All)",'Master Database'!$P445=$E$8),OR($E$9="(All)",'Master Database'!$S445=$E$9),OR($E$10="(All)",'Master Database'!$Y445&amp;""=$E$10&amp;""),OR($H$5="(All)",'Master Database'!$BG445=$H$5),OR($H$6&lt;&gt;"Y",ISNUMBER('Master Database'!$AG445)),OR($H$7="",AND(ISNUMBER('Master Database'!$H445),N('Master Database'!$H445)&gt;=$H$7)),OR($I$7="",AND(ISNUMBER('Master Database'!$H445),N('Master Database'!$H445)&lt;=$I$7)),OR($H$8="",AND(ISNUMBER('Master Database'!$I445),N('Master Database'!$I445)&gt;=$H$8)),OR($I$8="",AND(ISNUMBER('Master Database'!$I445),N('Master Database'!$I445)&lt;=$I$8)),OR($H$9="",AND(ISNUMBER('Master Database'!$K445),N('Master Database'!$K445)&gt;=$H$9)),OR($I$9="",AND(ISNUMBER('Master Database'!$K445),N('Master Database'!$K445)&lt;=$I$9))),1,0))</f>
        <v>0</v>
      </c>
      <c r="BB445" t="str">
        <f>IF(BA445=1,COUNTIF($BA$5:BA445,1),"")</f>
        <v/>
      </c>
    </row>
    <row r="446" spans="53:54">
      <c r="BA446">
        <f>IF('Master Database'!$A446="",0,IF(AND(OR($B$5="",ISNUMBER(SEARCH($B$5,'Master Database'!$B446&amp;" "&amp;'Master Database'!$D446))),OR($B$6="(All)",'Master Database'!$C446=$B$6),OR($B$7="(All)",'Master Database'!$E446=$B$7),OR($B$8="(All)",'Master Database'!$T446=$B$8),OR($B$9="(All)",'Master Database'!$M446=$B$9),OR($B$10="(All)",'Master Database'!$V446=$B$10),OR($E$5="(All)",'Master Database'!$F446=$E$5),OR($E$6="(All)",'Master Database'!$G446=$E$6),OR($E$7="(All)",'Master Database'!$O446=$E$7),OR($E$8="(All)",'Master Database'!$P446=$E$8),OR($E$9="(All)",'Master Database'!$S446=$E$9),OR($E$10="(All)",'Master Database'!$Y446&amp;""=$E$10&amp;""),OR($H$5="(All)",'Master Database'!$BG446=$H$5),OR($H$6&lt;&gt;"Y",ISNUMBER('Master Database'!$AG446)),OR($H$7="",AND(ISNUMBER('Master Database'!$H446),N('Master Database'!$H446)&gt;=$H$7)),OR($I$7="",AND(ISNUMBER('Master Database'!$H446),N('Master Database'!$H446)&lt;=$I$7)),OR($H$8="",AND(ISNUMBER('Master Database'!$I446),N('Master Database'!$I446)&gt;=$H$8)),OR($I$8="",AND(ISNUMBER('Master Database'!$I446),N('Master Database'!$I446)&lt;=$I$8)),OR($H$9="",AND(ISNUMBER('Master Database'!$K446),N('Master Database'!$K446)&gt;=$H$9)),OR($I$9="",AND(ISNUMBER('Master Database'!$K446),N('Master Database'!$K446)&lt;=$I$9))),1,0))</f>
        <v>0</v>
      </c>
      <c r="BB446" t="str">
        <f>IF(BA446=1,COUNTIF($BA$5:BA446,1),"")</f>
        <v/>
      </c>
    </row>
    <row r="447" spans="53:54">
      <c r="BA447">
        <f>IF('Master Database'!$A447="",0,IF(AND(OR($B$5="",ISNUMBER(SEARCH($B$5,'Master Database'!$B447&amp;" "&amp;'Master Database'!$D447))),OR($B$6="(All)",'Master Database'!$C447=$B$6),OR($B$7="(All)",'Master Database'!$E447=$B$7),OR($B$8="(All)",'Master Database'!$T447=$B$8),OR($B$9="(All)",'Master Database'!$M447=$B$9),OR($B$10="(All)",'Master Database'!$V447=$B$10),OR($E$5="(All)",'Master Database'!$F447=$E$5),OR($E$6="(All)",'Master Database'!$G447=$E$6),OR($E$7="(All)",'Master Database'!$O447=$E$7),OR($E$8="(All)",'Master Database'!$P447=$E$8),OR($E$9="(All)",'Master Database'!$S447=$E$9),OR($E$10="(All)",'Master Database'!$Y447&amp;""=$E$10&amp;""),OR($H$5="(All)",'Master Database'!$BG447=$H$5),OR($H$6&lt;&gt;"Y",ISNUMBER('Master Database'!$AG447)),OR($H$7="",AND(ISNUMBER('Master Database'!$H447),N('Master Database'!$H447)&gt;=$H$7)),OR($I$7="",AND(ISNUMBER('Master Database'!$H447),N('Master Database'!$H447)&lt;=$I$7)),OR($H$8="",AND(ISNUMBER('Master Database'!$I447),N('Master Database'!$I447)&gt;=$H$8)),OR($I$8="",AND(ISNUMBER('Master Database'!$I447),N('Master Database'!$I447)&lt;=$I$8)),OR($H$9="",AND(ISNUMBER('Master Database'!$K447),N('Master Database'!$K447)&gt;=$H$9)),OR($I$9="",AND(ISNUMBER('Master Database'!$K447),N('Master Database'!$K447)&lt;=$I$9))),1,0))</f>
        <v>0</v>
      </c>
      <c r="BB447" t="str">
        <f>IF(BA447=1,COUNTIF($BA$5:BA447,1),"")</f>
        <v/>
      </c>
    </row>
    <row r="448" spans="53:54">
      <c r="BA448">
        <f>IF('Master Database'!$A448="",0,IF(AND(OR($B$5="",ISNUMBER(SEARCH($B$5,'Master Database'!$B448&amp;" "&amp;'Master Database'!$D448))),OR($B$6="(All)",'Master Database'!$C448=$B$6),OR($B$7="(All)",'Master Database'!$E448=$B$7),OR($B$8="(All)",'Master Database'!$T448=$B$8),OR($B$9="(All)",'Master Database'!$M448=$B$9),OR($B$10="(All)",'Master Database'!$V448=$B$10),OR($E$5="(All)",'Master Database'!$F448=$E$5),OR($E$6="(All)",'Master Database'!$G448=$E$6),OR($E$7="(All)",'Master Database'!$O448=$E$7),OR($E$8="(All)",'Master Database'!$P448=$E$8),OR($E$9="(All)",'Master Database'!$S448=$E$9),OR($E$10="(All)",'Master Database'!$Y448&amp;""=$E$10&amp;""),OR($H$5="(All)",'Master Database'!$BG448=$H$5),OR($H$6&lt;&gt;"Y",ISNUMBER('Master Database'!$AG448)),OR($H$7="",AND(ISNUMBER('Master Database'!$H448),N('Master Database'!$H448)&gt;=$H$7)),OR($I$7="",AND(ISNUMBER('Master Database'!$H448),N('Master Database'!$H448)&lt;=$I$7)),OR($H$8="",AND(ISNUMBER('Master Database'!$I448),N('Master Database'!$I448)&gt;=$H$8)),OR($I$8="",AND(ISNUMBER('Master Database'!$I448),N('Master Database'!$I448)&lt;=$I$8)),OR($H$9="",AND(ISNUMBER('Master Database'!$K448),N('Master Database'!$K448)&gt;=$H$9)),OR($I$9="",AND(ISNUMBER('Master Database'!$K448),N('Master Database'!$K448)&lt;=$I$9))),1,0))</f>
        <v>0</v>
      </c>
      <c r="BB448" t="str">
        <f>IF(BA448=1,COUNTIF($BA$5:BA448,1),"")</f>
        <v/>
      </c>
    </row>
    <row r="449" spans="53:54">
      <c r="BA449">
        <f>IF('Master Database'!$A449="",0,IF(AND(OR($B$5="",ISNUMBER(SEARCH($B$5,'Master Database'!$B449&amp;" "&amp;'Master Database'!$D449))),OR($B$6="(All)",'Master Database'!$C449=$B$6),OR($B$7="(All)",'Master Database'!$E449=$B$7),OR($B$8="(All)",'Master Database'!$T449=$B$8),OR($B$9="(All)",'Master Database'!$M449=$B$9),OR($B$10="(All)",'Master Database'!$V449=$B$10),OR($E$5="(All)",'Master Database'!$F449=$E$5),OR($E$6="(All)",'Master Database'!$G449=$E$6),OR($E$7="(All)",'Master Database'!$O449=$E$7),OR($E$8="(All)",'Master Database'!$P449=$E$8),OR($E$9="(All)",'Master Database'!$S449=$E$9),OR($E$10="(All)",'Master Database'!$Y449&amp;""=$E$10&amp;""),OR($H$5="(All)",'Master Database'!$BG449=$H$5),OR($H$6&lt;&gt;"Y",ISNUMBER('Master Database'!$AG449)),OR($H$7="",AND(ISNUMBER('Master Database'!$H449),N('Master Database'!$H449)&gt;=$H$7)),OR($I$7="",AND(ISNUMBER('Master Database'!$H449),N('Master Database'!$H449)&lt;=$I$7)),OR($H$8="",AND(ISNUMBER('Master Database'!$I449),N('Master Database'!$I449)&gt;=$H$8)),OR($I$8="",AND(ISNUMBER('Master Database'!$I449),N('Master Database'!$I449)&lt;=$I$8)),OR($H$9="",AND(ISNUMBER('Master Database'!$K449),N('Master Database'!$K449)&gt;=$H$9)),OR($I$9="",AND(ISNUMBER('Master Database'!$K449),N('Master Database'!$K449)&lt;=$I$9))),1,0))</f>
        <v>0</v>
      </c>
      <c r="BB449" t="str">
        <f>IF(BA449=1,COUNTIF($BA$5:BA449,1),"")</f>
        <v/>
      </c>
    </row>
    <row r="450" spans="53:54">
      <c r="BA450">
        <f>IF('Master Database'!$A450="",0,IF(AND(OR($B$5="",ISNUMBER(SEARCH($B$5,'Master Database'!$B450&amp;" "&amp;'Master Database'!$D450))),OR($B$6="(All)",'Master Database'!$C450=$B$6),OR($B$7="(All)",'Master Database'!$E450=$B$7),OR($B$8="(All)",'Master Database'!$T450=$B$8),OR($B$9="(All)",'Master Database'!$M450=$B$9),OR($B$10="(All)",'Master Database'!$V450=$B$10),OR($E$5="(All)",'Master Database'!$F450=$E$5),OR($E$6="(All)",'Master Database'!$G450=$E$6),OR($E$7="(All)",'Master Database'!$O450=$E$7),OR($E$8="(All)",'Master Database'!$P450=$E$8),OR($E$9="(All)",'Master Database'!$S450=$E$9),OR($E$10="(All)",'Master Database'!$Y450&amp;""=$E$10&amp;""),OR($H$5="(All)",'Master Database'!$BG450=$H$5),OR($H$6&lt;&gt;"Y",ISNUMBER('Master Database'!$AG450)),OR($H$7="",AND(ISNUMBER('Master Database'!$H450),N('Master Database'!$H450)&gt;=$H$7)),OR($I$7="",AND(ISNUMBER('Master Database'!$H450),N('Master Database'!$H450)&lt;=$I$7)),OR($H$8="",AND(ISNUMBER('Master Database'!$I450),N('Master Database'!$I450)&gt;=$H$8)),OR($I$8="",AND(ISNUMBER('Master Database'!$I450),N('Master Database'!$I450)&lt;=$I$8)),OR($H$9="",AND(ISNUMBER('Master Database'!$K450),N('Master Database'!$K450)&gt;=$H$9)),OR($I$9="",AND(ISNUMBER('Master Database'!$K450),N('Master Database'!$K450)&lt;=$I$9))),1,0))</f>
        <v>0</v>
      </c>
      <c r="BB450" t="str">
        <f>IF(BA450=1,COUNTIF($BA$5:BA450,1),"")</f>
        <v/>
      </c>
    </row>
    <row r="451" spans="53:54">
      <c r="BA451">
        <f>IF('Master Database'!$A451="",0,IF(AND(OR($B$5="",ISNUMBER(SEARCH($B$5,'Master Database'!$B451&amp;" "&amp;'Master Database'!$D451))),OR($B$6="(All)",'Master Database'!$C451=$B$6),OR($B$7="(All)",'Master Database'!$E451=$B$7),OR($B$8="(All)",'Master Database'!$T451=$B$8),OR($B$9="(All)",'Master Database'!$M451=$B$9),OR($B$10="(All)",'Master Database'!$V451=$B$10),OR($E$5="(All)",'Master Database'!$F451=$E$5),OR($E$6="(All)",'Master Database'!$G451=$E$6),OR($E$7="(All)",'Master Database'!$O451=$E$7),OR($E$8="(All)",'Master Database'!$P451=$E$8),OR($E$9="(All)",'Master Database'!$S451=$E$9),OR($E$10="(All)",'Master Database'!$Y451&amp;""=$E$10&amp;""),OR($H$5="(All)",'Master Database'!$BG451=$H$5),OR($H$6&lt;&gt;"Y",ISNUMBER('Master Database'!$AG451)),OR($H$7="",AND(ISNUMBER('Master Database'!$H451),N('Master Database'!$H451)&gt;=$H$7)),OR($I$7="",AND(ISNUMBER('Master Database'!$H451),N('Master Database'!$H451)&lt;=$I$7)),OR($H$8="",AND(ISNUMBER('Master Database'!$I451),N('Master Database'!$I451)&gt;=$H$8)),OR($I$8="",AND(ISNUMBER('Master Database'!$I451),N('Master Database'!$I451)&lt;=$I$8)),OR($H$9="",AND(ISNUMBER('Master Database'!$K451),N('Master Database'!$K451)&gt;=$H$9)),OR($I$9="",AND(ISNUMBER('Master Database'!$K451),N('Master Database'!$K451)&lt;=$I$9))),1,0))</f>
        <v>0</v>
      </c>
      <c r="BB451" t="str">
        <f>IF(BA451=1,COUNTIF($BA$5:BA451,1),"")</f>
        <v/>
      </c>
    </row>
    <row r="452" spans="53:54">
      <c r="BA452">
        <f>IF('Master Database'!$A452="",0,IF(AND(OR($B$5="",ISNUMBER(SEARCH($B$5,'Master Database'!$B452&amp;" "&amp;'Master Database'!$D452))),OR($B$6="(All)",'Master Database'!$C452=$B$6),OR($B$7="(All)",'Master Database'!$E452=$B$7),OR($B$8="(All)",'Master Database'!$T452=$B$8),OR($B$9="(All)",'Master Database'!$M452=$B$9),OR($B$10="(All)",'Master Database'!$V452=$B$10),OR($E$5="(All)",'Master Database'!$F452=$E$5),OR($E$6="(All)",'Master Database'!$G452=$E$6),OR($E$7="(All)",'Master Database'!$O452=$E$7),OR($E$8="(All)",'Master Database'!$P452=$E$8),OR($E$9="(All)",'Master Database'!$S452=$E$9),OR($E$10="(All)",'Master Database'!$Y452&amp;""=$E$10&amp;""),OR($H$5="(All)",'Master Database'!$BG452=$H$5),OR($H$6&lt;&gt;"Y",ISNUMBER('Master Database'!$AG452)),OR($H$7="",AND(ISNUMBER('Master Database'!$H452),N('Master Database'!$H452)&gt;=$H$7)),OR($I$7="",AND(ISNUMBER('Master Database'!$H452),N('Master Database'!$H452)&lt;=$I$7)),OR($H$8="",AND(ISNUMBER('Master Database'!$I452),N('Master Database'!$I452)&gt;=$H$8)),OR($I$8="",AND(ISNUMBER('Master Database'!$I452),N('Master Database'!$I452)&lt;=$I$8)),OR($H$9="",AND(ISNUMBER('Master Database'!$K452),N('Master Database'!$K452)&gt;=$H$9)),OR($I$9="",AND(ISNUMBER('Master Database'!$K452),N('Master Database'!$K452)&lt;=$I$9))),1,0))</f>
        <v>0</v>
      </c>
      <c r="BB452" t="str">
        <f>IF(BA452=1,COUNTIF($BA$5:BA452,1),"")</f>
        <v/>
      </c>
    </row>
    <row r="453" spans="53:54">
      <c r="BA453">
        <f>IF('Master Database'!$A453="",0,IF(AND(OR($B$5="",ISNUMBER(SEARCH($B$5,'Master Database'!$B453&amp;" "&amp;'Master Database'!$D453))),OR($B$6="(All)",'Master Database'!$C453=$B$6),OR($B$7="(All)",'Master Database'!$E453=$B$7),OR($B$8="(All)",'Master Database'!$T453=$B$8),OR($B$9="(All)",'Master Database'!$M453=$B$9),OR($B$10="(All)",'Master Database'!$V453=$B$10),OR($E$5="(All)",'Master Database'!$F453=$E$5),OR($E$6="(All)",'Master Database'!$G453=$E$6),OR($E$7="(All)",'Master Database'!$O453=$E$7),OR($E$8="(All)",'Master Database'!$P453=$E$8),OR($E$9="(All)",'Master Database'!$S453=$E$9),OR($E$10="(All)",'Master Database'!$Y453&amp;""=$E$10&amp;""),OR($H$5="(All)",'Master Database'!$BG453=$H$5),OR($H$6&lt;&gt;"Y",ISNUMBER('Master Database'!$AG453)),OR($H$7="",AND(ISNUMBER('Master Database'!$H453),N('Master Database'!$H453)&gt;=$H$7)),OR($I$7="",AND(ISNUMBER('Master Database'!$H453),N('Master Database'!$H453)&lt;=$I$7)),OR($H$8="",AND(ISNUMBER('Master Database'!$I453),N('Master Database'!$I453)&gt;=$H$8)),OR($I$8="",AND(ISNUMBER('Master Database'!$I453),N('Master Database'!$I453)&lt;=$I$8)),OR($H$9="",AND(ISNUMBER('Master Database'!$K453),N('Master Database'!$K453)&gt;=$H$9)),OR($I$9="",AND(ISNUMBER('Master Database'!$K453),N('Master Database'!$K453)&lt;=$I$9))),1,0))</f>
        <v>0</v>
      </c>
      <c r="BB453" t="str">
        <f>IF(BA453=1,COUNTIF($BA$5:BA453,1),"")</f>
        <v/>
      </c>
    </row>
    <row r="454" spans="53:54">
      <c r="BA454">
        <f>IF('Master Database'!$A454="",0,IF(AND(OR($B$5="",ISNUMBER(SEARCH($B$5,'Master Database'!$B454&amp;" "&amp;'Master Database'!$D454))),OR($B$6="(All)",'Master Database'!$C454=$B$6),OR($B$7="(All)",'Master Database'!$E454=$B$7),OR($B$8="(All)",'Master Database'!$T454=$B$8),OR($B$9="(All)",'Master Database'!$M454=$B$9),OR($B$10="(All)",'Master Database'!$V454=$B$10),OR($E$5="(All)",'Master Database'!$F454=$E$5),OR($E$6="(All)",'Master Database'!$G454=$E$6),OR($E$7="(All)",'Master Database'!$O454=$E$7),OR($E$8="(All)",'Master Database'!$P454=$E$8),OR($E$9="(All)",'Master Database'!$S454=$E$9),OR($E$10="(All)",'Master Database'!$Y454&amp;""=$E$10&amp;""),OR($H$5="(All)",'Master Database'!$BG454=$H$5),OR($H$6&lt;&gt;"Y",ISNUMBER('Master Database'!$AG454)),OR($H$7="",AND(ISNUMBER('Master Database'!$H454),N('Master Database'!$H454)&gt;=$H$7)),OR($I$7="",AND(ISNUMBER('Master Database'!$H454),N('Master Database'!$H454)&lt;=$I$7)),OR($H$8="",AND(ISNUMBER('Master Database'!$I454),N('Master Database'!$I454)&gt;=$H$8)),OR($I$8="",AND(ISNUMBER('Master Database'!$I454),N('Master Database'!$I454)&lt;=$I$8)),OR($H$9="",AND(ISNUMBER('Master Database'!$K454),N('Master Database'!$K454)&gt;=$H$9)),OR($I$9="",AND(ISNUMBER('Master Database'!$K454),N('Master Database'!$K454)&lt;=$I$9))),1,0))</f>
        <v>0</v>
      </c>
      <c r="BB454" t="str">
        <f>IF(BA454=1,COUNTIF($BA$5:BA454,1),"")</f>
        <v/>
      </c>
    </row>
    <row r="455" spans="53:54">
      <c r="BA455">
        <f>IF('Master Database'!$A455="",0,IF(AND(OR($B$5="",ISNUMBER(SEARCH($B$5,'Master Database'!$B455&amp;" "&amp;'Master Database'!$D455))),OR($B$6="(All)",'Master Database'!$C455=$B$6),OR($B$7="(All)",'Master Database'!$E455=$B$7),OR($B$8="(All)",'Master Database'!$T455=$B$8),OR($B$9="(All)",'Master Database'!$M455=$B$9),OR($B$10="(All)",'Master Database'!$V455=$B$10),OR($E$5="(All)",'Master Database'!$F455=$E$5),OR($E$6="(All)",'Master Database'!$G455=$E$6),OR($E$7="(All)",'Master Database'!$O455=$E$7),OR($E$8="(All)",'Master Database'!$P455=$E$8),OR($E$9="(All)",'Master Database'!$S455=$E$9),OR($E$10="(All)",'Master Database'!$Y455&amp;""=$E$10&amp;""),OR($H$5="(All)",'Master Database'!$BG455=$H$5),OR($H$6&lt;&gt;"Y",ISNUMBER('Master Database'!$AG455)),OR($H$7="",AND(ISNUMBER('Master Database'!$H455),N('Master Database'!$H455)&gt;=$H$7)),OR($I$7="",AND(ISNUMBER('Master Database'!$H455),N('Master Database'!$H455)&lt;=$I$7)),OR($H$8="",AND(ISNUMBER('Master Database'!$I455),N('Master Database'!$I455)&gt;=$H$8)),OR($I$8="",AND(ISNUMBER('Master Database'!$I455),N('Master Database'!$I455)&lt;=$I$8)),OR($H$9="",AND(ISNUMBER('Master Database'!$K455),N('Master Database'!$K455)&gt;=$H$9)),OR($I$9="",AND(ISNUMBER('Master Database'!$K455),N('Master Database'!$K455)&lt;=$I$9))),1,0))</f>
        <v>0</v>
      </c>
      <c r="BB455" t="str">
        <f>IF(BA455=1,COUNTIF($BA$5:BA455,1),"")</f>
        <v/>
      </c>
    </row>
    <row r="456" spans="53:54">
      <c r="BA456">
        <f>IF('Master Database'!$A456="",0,IF(AND(OR($B$5="",ISNUMBER(SEARCH($B$5,'Master Database'!$B456&amp;" "&amp;'Master Database'!$D456))),OR($B$6="(All)",'Master Database'!$C456=$B$6),OR($B$7="(All)",'Master Database'!$E456=$B$7),OR($B$8="(All)",'Master Database'!$T456=$B$8),OR($B$9="(All)",'Master Database'!$M456=$B$9),OR($B$10="(All)",'Master Database'!$V456=$B$10),OR($E$5="(All)",'Master Database'!$F456=$E$5),OR($E$6="(All)",'Master Database'!$G456=$E$6),OR($E$7="(All)",'Master Database'!$O456=$E$7),OR($E$8="(All)",'Master Database'!$P456=$E$8),OR($E$9="(All)",'Master Database'!$S456=$E$9),OR($E$10="(All)",'Master Database'!$Y456&amp;""=$E$10&amp;""),OR($H$5="(All)",'Master Database'!$BG456=$H$5),OR($H$6&lt;&gt;"Y",ISNUMBER('Master Database'!$AG456)),OR($H$7="",AND(ISNUMBER('Master Database'!$H456),N('Master Database'!$H456)&gt;=$H$7)),OR($I$7="",AND(ISNUMBER('Master Database'!$H456),N('Master Database'!$H456)&lt;=$I$7)),OR($H$8="",AND(ISNUMBER('Master Database'!$I456),N('Master Database'!$I456)&gt;=$H$8)),OR($I$8="",AND(ISNUMBER('Master Database'!$I456),N('Master Database'!$I456)&lt;=$I$8)),OR($H$9="",AND(ISNUMBER('Master Database'!$K456),N('Master Database'!$K456)&gt;=$H$9)),OR($I$9="",AND(ISNUMBER('Master Database'!$K456),N('Master Database'!$K456)&lt;=$I$9))),1,0))</f>
        <v>0</v>
      </c>
      <c r="BB456" t="str">
        <f>IF(BA456=1,COUNTIF($BA$5:BA456,1),"")</f>
        <v/>
      </c>
    </row>
    <row r="457" spans="53:54">
      <c r="BA457">
        <f>IF('Master Database'!$A457="",0,IF(AND(OR($B$5="",ISNUMBER(SEARCH($B$5,'Master Database'!$B457&amp;" "&amp;'Master Database'!$D457))),OR($B$6="(All)",'Master Database'!$C457=$B$6),OR($B$7="(All)",'Master Database'!$E457=$B$7),OR($B$8="(All)",'Master Database'!$T457=$B$8),OR($B$9="(All)",'Master Database'!$M457=$B$9),OR($B$10="(All)",'Master Database'!$V457=$B$10),OR($E$5="(All)",'Master Database'!$F457=$E$5),OR($E$6="(All)",'Master Database'!$G457=$E$6),OR($E$7="(All)",'Master Database'!$O457=$E$7),OR($E$8="(All)",'Master Database'!$P457=$E$8),OR($E$9="(All)",'Master Database'!$S457=$E$9),OR($E$10="(All)",'Master Database'!$Y457&amp;""=$E$10&amp;""),OR($H$5="(All)",'Master Database'!$BG457=$H$5),OR($H$6&lt;&gt;"Y",ISNUMBER('Master Database'!$AG457)),OR($H$7="",AND(ISNUMBER('Master Database'!$H457),N('Master Database'!$H457)&gt;=$H$7)),OR($I$7="",AND(ISNUMBER('Master Database'!$H457),N('Master Database'!$H457)&lt;=$I$7)),OR($H$8="",AND(ISNUMBER('Master Database'!$I457),N('Master Database'!$I457)&gt;=$H$8)),OR($I$8="",AND(ISNUMBER('Master Database'!$I457),N('Master Database'!$I457)&lt;=$I$8)),OR($H$9="",AND(ISNUMBER('Master Database'!$K457),N('Master Database'!$K457)&gt;=$H$9)),OR($I$9="",AND(ISNUMBER('Master Database'!$K457),N('Master Database'!$K457)&lt;=$I$9))),1,0))</f>
        <v>0</v>
      </c>
      <c r="BB457" t="str">
        <f>IF(BA457=1,COUNTIF($BA$5:BA457,1),"")</f>
        <v/>
      </c>
    </row>
    <row r="458" spans="53:54">
      <c r="BA458">
        <f>IF('Master Database'!$A458="",0,IF(AND(OR($B$5="",ISNUMBER(SEARCH($B$5,'Master Database'!$B458&amp;" "&amp;'Master Database'!$D458))),OR($B$6="(All)",'Master Database'!$C458=$B$6),OR($B$7="(All)",'Master Database'!$E458=$B$7),OR($B$8="(All)",'Master Database'!$T458=$B$8),OR($B$9="(All)",'Master Database'!$M458=$B$9),OR($B$10="(All)",'Master Database'!$V458=$B$10),OR($E$5="(All)",'Master Database'!$F458=$E$5),OR($E$6="(All)",'Master Database'!$G458=$E$6),OR($E$7="(All)",'Master Database'!$O458=$E$7),OR($E$8="(All)",'Master Database'!$P458=$E$8),OR($E$9="(All)",'Master Database'!$S458=$E$9),OR($E$10="(All)",'Master Database'!$Y458&amp;""=$E$10&amp;""),OR($H$5="(All)",'Master Database'!$BG458=$H$5),OR($H$6&lt;&gt;"Y",ISNUMBER('Master Database'!$AG458)),OR($H$7="",AND(ISNUMBER('Master Database'!$H458),N('Master Database'!$H458)&gt;=$H$7)),OR($I$7="",AND(ISNUMBER('Master Database'!$H458),N('Master Database'!$H458)&lt;=$I$7)),OR($H$8="",AND(ISNUMBER('Master Database'!$I458),N('Master Database'!$I458)&gt;=$H$8)),OR($I$8="",AND(ISNUMBER('Master Database'!$I458),N('Master Database'!$I458)&lt;=$I$8)),OR($H$9="",AND(ISNUMBER('Master Database'!$K458),N('Master Database'!$K458)&gt;=$H$9)),OR($I$9="",AND(ISNUMBER('Master Database'!$K458),N('Master Database'!$K458)&lt;=$I$9))),1,0))</f>
        <v>0</v>
      </c>
      <c r="BB458" t="str">
        <f>IF(BA458=1,COUNTIF($BA$5:BA458,1),"")</f>
        <v/>
      </c>
    </row>
    <row r="459" spans="53:54">
      <c r="BA459">
        <f>IF('Master Database'!$A459="",0,IF(AND(OR($B$5="",ISNUMBER(SEARCH($B$5,'Master Database'!$B459&amp;" "&amp;'Master Database'!$D459))),OR($B$6="(All)",'Master Database'!$C459=$B$6),OR($B$7="(All)",'Master Database'!$E459=$B$7),OR($B$8="(All)",'Master Database'!$T459=$B$8),OR($B$9="(All)",'Master Database'!$M459=$B$9),OR($B$10="(All)",'Master Database'!$V459=$B$10),OR($E$5="(All)",'Master Database'!$F459=$E$5),OR($E$6="(All)",'Master Database'!$G459=$E$6),OR($E$7="(All)",'Master Database'!$O459=$E$7),OR($E$8="(All)",'Master Database'!$P459=$E$8),OR($E$9="(All)",'Master Database'!$S459=$E$9),OR($E$10="(All)",'Master Database'!$Y459&amp;""=$E$10&amp;""),OR($H$5="(All)",'Master Database'!$BG459=$H$5),OR($H$6&lt;&gt;"Y",ISNUMBER('Master Database'!$AG459)),OR($H$7="",AND(ISNUMBER('Master Database'!$H459),N('Master Database'!$H459)&gt;=$H$7)),OR($I$7="",AND(ISNUMBER('Master Database'!$H459),N('Master Database'!$H459)&lt;=$I$7)),OR($H$8="",AND(ISNUMBER('Master Database'!$I459),N('Master Database'!$I459)&gt;=$H$8)),OR($I$8="",AND(ISNUMBER('Master Database'!$I459),N('Master Database'!$I459)&lt;=$I$8)),OR($H$9="",AND(ISNUMBER('Master Database'!$K459),N('Master Database'!$K459)&gt;=$H$9)),OR($I$9="",AND(ISNUMBER('Master Database'!$K459),N('Master Database'!$K459)&lt;=$I$9))),1,0))</f>
        <v>0</v>
      </c>
      <c r="BB459" t="str">
        <f>IF(BA459=1,COUNTIF($BA$5:BA459,1),"")</f>
        <v/>
      </c>
    </row>
    <row r="460" spans="53:54">
      <c r="BA460">
        <f>IF('Master Database'!$A460="",0,IF(AND(OR($B$5="",ISNUMBER(SEARCH($B$5,'Master Database'!$B460&amp;" "&amp;'Master Database'!$D460))),OR($B$6="(All)",'Master Database'!$C460=$B$6),OR($B$7="(All)",'Master Database'!$E460=$B$7),OR($B$8="(All)",'Master Database'!$T460=$B$8),OR($B$9="(All)",'Master Database'!$M460=$B$9),OR($B$10="(All)",'Master Database'!$V460=$B$10),OR($E$5="(All)",'Master Database'!$F460=$E$5),OR($E$6="(All)",'Master Database'!$G460=$E$6),OR($E$7="(All)",'Master Database'!$O460=$E$7),OR($E$8="(All)",'Master Database'!$P460=$E$8),OR($E$9="(All)",'Master Database'!$S460=$E$9),OR($E$10="(All)",'Master Database'!$Y460&amp;""=$E$10&amp;""),OR($H$5="(All)",'Master Database'!$BG460=$H$5),OR($H$6&lt;&gt;"Y",ISNUMBER('Master Database'!$AG460)),OR($H$7="",AND(ISNUMBER('Master Database'!$H460),N('Master Database'!$H460)&gt;=$H$7)),OR($I$7="",AND(ISNUMBER('Master Database'!$H460),N('Master Database'!$H460)&lt;=$I$7)),OR($H$8="",AND(ISNUMBER('Master Database'!$I460),N('Master Database'!$I460)&gt;=$H$8)),OR($I$8="",AND(ISNUMBER('Master Database'!$I460),N('Master Database'!$I460)&lt;=$I$8)),OR($H$9="",AND(ISNUMBER('Master Database'!$K460),N('Master Database'!$K460)&gt;=$H$9)),OR($I$9="",AND(ISNUMBER('Master Database'!$K460),N('Master Database'!$K460)&lt;=$I$9))),1,0))</f>
        <v>0</v>
      </c>
      <c r="BB460" t="str">
        <f>IF(BA460=1,COUNTIF($BA$5:BA460,1),"")</f>
        <v/>
      </c>
    </row>
    <row r="461" spans="53:54">
      <c r="BA461">
        <f>IF('Master Database'!$A461="",0,IF(AND(OR($B$5="",ISNUMBER(SEARCH($B$5,'Master Database'!$B461&amp;" "&amp;'Master Database'!$D461))),OR($B$6="(All)",'Master Database'!$C461=$B$6),OR($B$7="(All)",'Master Database'!$E461=$B$7),OR($B$8="(All)",'Master Database'!$T461=$B$8),OR($B$9="(All)",'Master Database'!$M461=$B$9),OR($B$10="(All)",'Master Database'!$V461=$B$10),OR($E$5="(All)",'Master Database'!$F461=$E$5),OR($E$6="(All)",'Master Database'!$G461=$E$6),OR($E$7="(All)",'Master Database'!$O461=$E$7),OR($E$8="(All)",'Master Database'!$P461=$E$8),OR($E$9="(All)",'Master Database'!$S461=$E$9),OR($E$10="(All)",'Master Database'!$Y461&amp;""=$E$10&amp;""),OR($H$5="(All)",'Master Database'!$BG461=$H$5),OR($H$6&lt;&gt;"Y",ISNUMBER('Master Database'!$AG461)),OR($H$7="",AND(ISNUMBER('Master Database'!$H461),N('Master Database'!$H461)&gt;=$H$7)),OR($I$7="",AND(ISNUMBER('Master Database'!$H461),N('Master Database'!$H461)&lt;=$I$7)),OR($H$8="",AND(ISNUMBER('Master Database'!$I461),N('Master Database'!$I461)&gt;=$H$8)),OR($I$8="",AND(ISNUMBER('Master Database'!$I461),N('Master Database'!$I461)&lt;=$I$8)),OR($H$9="",AND(ISNUMBER('Master Database'!$K461),N('Master Database'!$K461)&gt;=$H$9)),OR($I$9="",AND(ISNUMBER('Master Database'!$K461),N('Master Database'!$K461)&lt;=$I$9))),1,0))</f>
        <v>0</v>
      </c>
      <c r="BB461" t="str">
        <f>IF(BA461=1,COUNTIF($BA$5:BA461,1),"")</f>
        <v/>
      </c>
    </row>
    <row r="462" spans="53:54">
      <c r="BA462">
        <f>IF('Master Database'!$A462="",0,IF(AND(OR($B$5="",ISNUMBER(SEARCH($B$5,'Master Database'!$B462&amp;" "&amp;'Master Database'!$D462))),OR($B$6="(All)",'Master Database'!$C462=$B$6),OR($B$7="(All)",'Master Database'!$E462=$B$7),OR($B$8="(All)",'Master Database'!$T462=$B$8),OR($B$9="(All)",'Master Database'!$M462=$B$9),OR($B$10="(All)",'Master Database'!$V462=$B$10),OR($E$5="(All)",'Master Database'!$F462=$E$5),OR($E$6="(All)",'Master Database'!$G462=$E$6),OR($E$7="(All)",'Master Database'!$O462=$E$7),OR($E$8="(All)",'Master Database'!$P462=$E$8),OR($E$9="(All)",'Master Database'!$S462=$E$9),OR($E$10="(All)",'Master Database'!$Y462&amp;""=$E$10&amp;""),OR($H$5="(All)",'Master Database'!$BG462=$H$5),OR($H$6&lt;&gt;"Y",ISNUMBER('Master Database'!$AG462)),OR($H$7="",AND(ISNUMBER('Master Database'!$H462),N('Master Database'!$H462)&gt;=$H$7)),OR($I$7="",AND(ISNUMBER('Master Database'!$H462),N('Master Database'!$H462)&lt;=$I$7)),OR($H$8="",AND(ISNUMBER('Master Database'!$I462),N('Master Database'!$I462)&gt;=$H$8)),OR($I$8="",AND(ISNUMBER('Master Database'!$I462),N('Master Database'!$I462)&lt;=$I$8)),OR($H$9="",AND(ISNUMBER('Master Database'!$K462),N('Master Database'!$K462)&gt;=$H$9)),OR($I$9="",AND(ISNUMBER('Master Database'!$K462),N('Master Database'!$K462)&lt;=$I$9))),1,0))</f>
        <v>0</v>
      </c>
      <c r="BB462" t="str">
        <f>IF(BA462=1,COUNTIF($BA$5:BA462,1),"")</f>
        <v/>
      </c>
    </row>
    <row r="463" spans="53:54">
      <c r="BA463">
        <f>IF('Master Database'!$A463="",0,IF(AND(OR($B$5="",ISNUMBER(SEARCH($B$5,'Master Database'!$B463&amp;" "&amp;'Master Database'!$D463))),OR($B$6="(All)",'Master Database'!$C463=$B$6),OR($B$7="(All)",'Master Database'!$E463=$B$7),OR($B$8="(All)",'Master Database'!$T463=$B$8),OR($B$9="(All)",'Master Database'!$M463=$B$9),OR($B$10="(All)",'Master Database'!$V463=$B$10),OR($E$5="(All)",'Master Database'!$F463=$E$5),OR($E$6="(All)",'Master Database'!$G463=$E$6),OR($E$7="(All)",'Master Database'!$O463=$E$7),OR($E$8="(All)",'Master Database'!$P463=$E$8),OR($E$9="(All)",'Master Database'!$S463=$E$9),OR($E$10="(All)",'Master Database'!$Y463&amp;""=$E$10&amp;""),OR($H$5="(All)",'Master Database'!$BG463=$H$5),OR($H$6&lt;&gt;"Y",ISNUMBER('Master Database'!$AG463)),OR($H$7="",AND(ISNUMBER('Master Database'!$H463),N('Master Database'!$H463)&gt;=$H$7)),OR($I$7="",AND(ISNUMBER('Master Database'!$H463),N('Master Database'!$H463)&lt;=$I$7)),OR($H$8="",AND(ISNUMBER('Master Database'!$I463),N('Master Database'!$I463)&gt;=$H$8)),OR($I$8="",AND(ISNUMBER('Master Database'!$I463),N('Master Database'!$I463)&lt;=$I$8)),OR($H$9="",AND(ISNUMBER('Master Database'!$K463),N('Master Database'!$K463)&gt;=$H$9)),OR($I$9="",AND(ISNUMBER('Master Database'!$K463),N('Master Database'!$K463)&lt;=$I$9))),1,0))</f>
        <v>0</v>
      </c>
      <c r="BB463" t="str">
        <f>IF(BA463=1,COUNTIF($BA$5:BA463,1),"")</f>
        <v/>
      </c>
    </row>
    <row r="464" spans="53:54">
      <c r="BA464">
        <f>IF('Master Database'!$A464="",0,IF(AND(OR($B$5="",ISNUMBER(SEARCH($B$5,'Master Database'!$B464&amp;" "&amp;'Master Database'!$D464))),OR($B$6="(All)",'Master Database'!$C464=$B$6),OR($B$7="(All)",'Master Database'!$E464=$B$7),OR($B$8="(All)",'Master Database'!$T464=$B$8),OR($B$9="(All)",'Master Database'!$M464=$B$9),OR($B$10="(All)",'Master Database'!$V464=$B$10),OR($E$5="(All)",'Master Database'!$F464=$E$5),OR($E$6="(All)",'Master Database'!$G464=$E$6),OR($E$7="(All)",'Master Database'!$O464=$E$7),OR($E$8="(All)",'Master Database'!$P464=$E$8),OR($E$9="(All)",'Master Database'!$S464=$E$9),OR($E$10="(All)",'Master Database'!$Y464&amp;""=$E$10&amp;""),OR($H$5="(All)",'Master Database'!$BG464=$H$5),OR($H$6&lt;&gt;"Y",ISNUMBER('Master Database'!$AG464)),OR($H$7="",AND(ISNUMBER('Master Database'!$H464),N('Master Database'!$H464)&gt;=$H$7)),OR($I$7="",AND(ISNUMBER('Master Database'!$H464),N('Master Database'!$H464)&lt;=$I$7)),OR($H$8="",AND(ISNUMBER('Master Database'!$I464),N('Master Database'!$I464)&gt;=$H$8)),OR($I$8="",AND(ISNUMBER('Master Database'!$I464),N('Master Database'!$I464)&lt;=$I$8)),OR($H$9="",AND(ISNUMBER('Master Database'!$K464),N('Master Database'!$K464)&gt;=$H$9)),OR($I$9="",AND(ISNUMBER('Master Database'!$K464),N('Master Database'!$K464)&lt;=$I$9))),1,0))</f>
        <v>0</v>
      </c>
      <c r="BB464" t="str">
        <f>IF(BA464=1,COUNTIF($BA$5:BA464,1),"")</f>
        <v/>
      </c>
    </row>
    <row r="465" spans="53:54">
      <c r="BA465">
        <f>IF('Master Database'!$A465="",0,IF(AND(OR($B$5="",ISNUMBER(SEARCH($B$5,'Master Database'!$B465&amp;" "&amp;'Master Database'!$D465))),OR($B$6="(All)",'Master Database'!$C465=$B$6),OR($B$7="(All)",'Master Database'!$E465=$B$7),OR($B$8="(All)",'Master Database'!$T465=$B$8),OR($B$9="(All)",'Master Database'!$M465=$B$9),OR($B$10="(All)",'Master Database'!$V465=$B$10),OR($E$5="(All)",'Master Database'!$F465=$E$5),OR($E$6="(All)",'Master Database'!$G465=$E$6),OR($E$7="(All)",'Master Database'!$O465=$E$7),OR($E$8="(All)",'Master Database'!$P465=$E$8),OR($E$9="(All)",'Master Database'!$S465=$E$9),OR($E$10="(All)",'Master Database'!$Y465&amp;""=$E$10&amp;""),OR($H$5="(All)",'Master Database'!$BG465=$H$5),OR($H$6&lt;&gt;"Y",ISNUMBER('Master Database'!$AG465)),OR($H$7="",AND(ISNUMBER('Master Database'!$H465),N('Master Database'!$H465)&gt;=$H$7)),OR($I$7="",AND(ISNUMBER('Master Database'!$H465),N('Master Database'!$H465)&lt;=$I$7)),OR($H$8="",AND(ISNUMBER('Master Database'!$I465),N('Master Database'!$I465)&gt;=$H$8)),OR($I$8="",AND(ISNUMBER('Master Database'!$I465),N('Master Database'!$I465)&lt;=$I$8)),OR($H$9="",AND(ISNUMBER('Master Database'!$K465),N('Master Database'!$K465)&gt;=$H$9)),OR($I$9="",AND(ISNUMBER('Master Database'!$K465),N('Master Database'!$K465)&lt;=$I$9))),1,0))</f>
        <v>0</v>
      </c>
      <c r="BB465" t="str">
        <f>IF(BA465=1,COUNTIF($BA$5:BA465,1),"")</f>
        <v/>
      </c>
    </row>
    <row r="466" spans="53:54">
      <c r="BA466">
        <f>IF('Master Database'!$A466="",0,IF(AND(OR($B$5="",ISNUMBER(SEARCH($B$5,'Master Database'!$B466&amp;" "&amp;'Master Database'!$D466))),OR($B$6="(All)",'Master Database'!$C466=$B$6),OR($B$7="(All)",'Master Database'!$E466=$B$7),OR($B$8="(All)",'Master Database'!$T466=$B$8),OR($B$9="(All)",'Master Database'!$M466=$B$9),OR($B$10="(All)",'Master Database'!$V466=$B$10),OR($E$5="(All)",'Master Database'!$F466=$E$5),OR($E$6="(All)",'Master Database'!$G466=$E$6),OR($E$7="(All)",'Master Database'!$O466=$E$7),OR($E$8="(All)",'Master Database'!$P466=$E$8),OR($E$9="(All)",'Master Database'!$S466=$E$9),OR($E$10="(All)",'Master Database'!$Y466&amp;""=$E$10&amp;""),OR($H$5="(All)",'Master Database'!$BG466=$H$5),OR($H$6&lt;&gt;"Y",ISNUMBER('Master Database'!$AG466)),OR($H$7="",AND(ISNUMBER('Master Database'!$H466),N('Master Database'!$H466)&gt;=$H$7)),OR($I$7="",AND(ISNUMBER('Master Database'!$H466),N('Master Database'!$H466)&lt;=$I$7)),OR($H$8="",AND(ISNUMBER('Master Database'!$I466),N('Master Database'!$I466)&gt;=$H$8)),OR($I$8="",AND(ISNUMBER('Master Database'!$I466),N('Master Database'!$I466)&lt;=$I$8)),OR($H$9="",AND(ISNUMBER('Master Database'!$K466),N('Master Database'!$K466)&gt;=$H$9)),OR($I$9="",AND(ISNUMBER('Master Database'!$K466),N('Master Database'!$K466)&lt;=$I$9))),1,0))</f>
        <v>0</v>
      </c>
      <c r="BB466" t="str">
        <f>IF(BA466=1,COUNTIF($BA$5:BA466,1),"")</f>
        <v/>
      </c>
    </row>
    <row r="467" spans="53:54">
      <c r="BA467">
        <f>IF('Master Database'!$A467="",0,IF(AND(OR($B$5="",ISNUMBER(SEARCH($B$5,'Master Database'!$B467&amp;" "&amp;'Master Database'!$D467))),OR($B$6="(All)",'Master Database'!$C467=$B$6),OR($B$7="(All)",'Master Database'!$E467=$B$7),OR($B$8="(All)",'Master Database'!$T467=$B$8),OR($B$9="(All)",'Master Database'!$M467=$B$9),OR($B$10="(All)",'Master Database'!$V467=$B$10),OR($E$5="(All)",'Master Database'!$F467=$E$5),OR($E$6="(All)",'Master Database'!$G467=$E$6),OR($E$7="(All)",'Master Database'!$O467=$E$7),OR($E$8="(All)",'Master Database'!$P467=$E$8),OR($E$9="(All)",'Master Database'!$S467=$E$9),OR($E$10="(All)",'Master Database'!$Y467&amp;""=$E$10&amp;""),OR($H$5="(All)",'Master Database'!$BG467=$H$5),OR($H$6&lt;&gt;"Y",ISNUMBER('Master Database'!$AG467)),OR($H$7="",AND(ISNUMBER('Master Database'!$H467),N('Master Database'!$H467)&gt;=$H$7)),OR($I$7="",AND(ISNUMBER('Master Database'!$H467),N('Master Database'!$H467)&lt;=$I$7)),OR($H$8="",AND(ISNUMBER('Master Database'!$I467),N('Master Database'!$I467)&gt;=$H$8)),OR($I$8="",AND(ISNUMBER('Master Database'!$I467),N('Master Database'!$I467)&lt;=$I$8)),OR($H$9="",AND(ISNUMBER('Master Database'!$K467),N('Master Database'!$K467)&gt;=$H$9)),OR($I$9="",AND(ISNUMBER('Master Database'!$K467),N('Master Database'!$K467)&lt;=$I$9))),1,0))</f>
        <v>0</v>
      </c>
      <c r="BB467" t="str">
        <f>IF(BA467=1,COUNTIF($BA$5:BA467,1),"")</f>
        <v/>
      </c>
    </row>
    <row r="468" spans="53:54">
      <c r="BA468">
        <f>IF('Master Database'!$A468="",0,IF(AND(OR($B$5="",ISNUMBER(SEARCH($B$5,'Master Database'!$B468&amp;" "&amp;'Master Database'!$D468))),OR($B$6="(All)",'Master Database'!$C468=$B$6),OR($B$7="(All)",'Master Database'!$E468=$B$7),OR($B$8="(All)",'Master Database'!$T468=$B$8),OR($B$9="(All)",'Master Database'!$M468=$B$9),OR($B$10="(All)",'Master Database'!$V468=$B$10),OR($E$5="(All)",'Master Database'!$F468=$E$5),OR($E$6="(All)",'Master Database'!$G468=$E$6),OR($E$7="(All)",'Master Database'!$O468=$E$7),OR($E$8="(All)",'Master Database'!$P468=$E$8),OR($E$9="(All)",'Master Database'!$S468=$E$9),OR($E$10="(All)",'Master Database'!$Y468&amp;""=$E$10&amp;""),OR($H$5="(All)",'Master Database'!$BG468=$H$5),OR($H$6&lt;&gt;"Y",ISNUMBER('Master Database'!$AG468)),OR($H$7="",AND(ISNUMBER('Master Database'!$H468),N('Master Database'!$H468)&gt;=$H$7)),OR($I$7="",AND(ISNUMBER('Master Database'!$H468),N('Master Database'!$H468)&lt;=$I$7)),OR($H$8="",AND(ISNUMBER('Master Database'!$I468),N('Master Database'!$I468)&gt;=$H$8)),OR($I$8="",AND(ISNUMBER('Master Database'!$I468),N('Master Database'!$I468)&lt;=$I$8)),OR($H$9="",AND(ISNUMBER('Master Database'!$K468),N('Master Database'!$K468)&gt;=$H$9)),OR($I$9="",AND(ISNUMBER('Master Database'!$K468),N('Master Database'!$K468)&lt;=$I$9))),1,0))</f>
        <v>0</v>
      </c>
      <c r="BB468" t="str">
        <f>IF(BA468=1,COUNTIF($BA$5:BA468,1),"")</f>
        <v/>
      </c>
    </row>
    <row r="469" spans="53:54">
      <c r="BA469">
        <f>IF('Master Database'!$A469="",0,IF(AND(OR($B$5="",ISNUMBER(SEARCH($B$5,'Master Database'!$B469&amp;" "&amp;'Master Database'!$D469))),OR($B$6="(All)",'Master Database'!$C469=$B$6),OR($B$7="(All)",'Master Database'!$E469=$B$7),OR($B$8="(All)",'Master Database'!$T469=$B$8),OR($B$9="(All)",'Master Database'!$M469=$B$9),OR($B$10="(All)",'Master Database'!$V469=$B$10),OR($E$5="(All)",'Master Database'!$F469=$E$5),OR($E$6="(All)",'Master Database'!$G469=$E$6),OR($E$7="(All)",'Master Database'!$O469=$E$7),OR($E$8="(All)",'Master Database'!$P469=$E$8),OR($E$9="(All)",'Master Database'!$S469=$E$9),OR($E$10="(All)",'Master Database'!$Y469&amp;""=$E$10&amp;""),OR($H$5="(All)",'Master Database'!$BG469=$H$5),OR($H$6&lt;&gt;"Y",ISNUMBER('Master Database'!$AG469)),OR($H$7="",AND(ISNUMBER('Master Database'!$H469),N('Master Database'!$H469)&gt;=$H$7)),OR($I$7="",AND(ISNUMBER('Master Database'!$H469),N('Master Database'!$H469)&lt;=$I$7)),OR($H$8="",AND(ISNUMBER('Master Database'!$I469),N('Master Database'!$I469)&gt;=$H$8)),OR($I$8="",AND(ISNUMBER('Master Database'!$I469),N('Master Database'!$I469)&lt;=$I$8)),OR($H$9="",AND(ISNUMBER('Master Database'!$K469),N('Master Database'!$K469)&gt;=$H$9)),OR($I$9="",AND(ISNUMBER('Master Database'!$K469),N('Master Database'!$K469)&lt;=$I$9))),1,0))</f>
        <v>0</v>
      </c>
      <c r="BB469" t="str">
        <f>IF(BA469=1,COUNTIF($BA$5:BA469,1),"")</f>
        <v/>
      </c>
    </row>
    <row r="470" spans="53:54">
      <c r="BA470">
        <f>IF('Master Database'!$A470="",0,IF(AND(OR($B$5="",ISNUMBER(SEARCH($B$5,'Master Database'!$B470&amp;" "&amp;'Master Database'!$D470))),OR($B$6="(All)",'Master Database'!$C470=$B$6),OR($B$7="(All)",'Master Database'!$E470=$B$7),OR($B$8="(All)",'Master Database'!$T470=$B$8),OR($B$9="(All)",'Master Database'!$M470=$B$9),OR($B$10="(All)",'Master Database'!$V470=$B$10),OR($E$5="(All)",'Master Database'!$F470=$E$5),OR($E$6="(All)",'Master Database'!$G470=$E$6),OR($E$7="(All)",'Master Database'!$O470=$E$7),OR($E$8="(All)",'Master Database'!$P470=$E$8),OR($E$9="(All)",'Master Database'!$S470=$E$9),OR($E$10="(All)",'Master Database'!$Y470&amp;""=$E$10&amp;""),OR($H$5="(All)",'Master Database'!$BG470=$H$5),OR($H$6&lt;&gt;"Y",ISNUMBER('Master Database'!$AG470)),OR($H$7="",AND(ISNUMBER('Master Database'!$H470),N('Master Database'!$H470)&gt;=$H$7)),OR($I$7="",AND(ISNUMBER('Master Database'!$H470),N('Master Database'!$H470)&lt;=$I$7)),OR($H$8="",AND(ISNUMBER('Master Database'!$I470),N('Master Database'!$I470)&gt;=$H$8)),OR($I$8="",AND(ISNUMBER('Master Database'!$I470),N('Master Database'!$I470)&lt;=$I$8)),OR($H$9="",AND(ISNUMBER('Master Database'!$K470),N('Master Database'!$K470)&gt;=$H$9)),OR($I$9="",AND(ISNUMBER('Master Database'!$K470),N('Master Database'!$K470)&lt;=$I$9))),1,0))</f>
        <v>0</v>
      </c>
      <c r="BB470" t="str">
        <f>IF(BA470=1,COUNTIF($BA$5:BA470,1),"")</f>
        <v/>
      </c>
    </row>
    <row r="471" spans="53:54">
      <c r="BA471">
        <f>IF('Master Database'!$A471="",0,IF(AND(OR($B$5="",ISNUMBER(SEARCH($B$5,'Master Database'!$B471&amp;" "&amp;'Master Database'!$D471))),OR($B$6="(All)",'Master Database'!$C471=$B$6),OR($B$7="(All)",'Master Database'!$E471=$B$7),OR($B$8="(All)",'Master Database'!$T471=$B$8),OR($B$9="(All)",'Master Database'!$M471=$B$9),OR($B$10="(All)",'Master Database'!$V471=$B$10),OR($E$5="(All)",'Master Database'!$F471=$E$5),OR($E$6="(All)",'Master Database'!$G471=$E$6),OR($E$7="(All)",'Master Database'!$O471=$E$7),OR($E$8="(All)",'Master Database'!$P471=$E$8),OR($E$9="(All)",'Master Database'!$S471=$E$9),OR($E$10="(All)",'Master Database'!$Y471&amp;""=$E$10&amp;""),OR($H$5="(All)",'Master Database'!$BG471=$H$5),OR($H$6&lt;&gt;"Y",ISNUMBER('Master Database'!$AG471)),OR($H$7="",AND(ISNUMBER('Master Database'!$H471),N('Master Database'!$H471)&gt;=$H$7)),OR($I$7="",AND(ISNUMBER('Master Database'!$H471),N('Master Database'!$H471)&lt;=$I$7)),OR($H$8="",AND(ISNUMBER('Master Database'!$I471),N('Master Database'!$I471)&gt;=$H$8)),OR($I$8="",AND(ISNUMBER('Master Database'!$I471),N('Master Database'!$I471)&lt;=$I$8)),OR($H$9="",AND(ISNUMBER('Master Database'!$K471),N('Master Database'!$K471)&gt;=$H$9)),OR($I$9="",AND(ISNUMBER('Master Database'!$K471),N('Master Database'!$K471)&lt;=$I$9))),1,0))</f>
        <v>0</v>
      </c>
      <c r="BB471" t="str">
        <f>IF(BA471=1,COUNTIF($BA$5:BA471,1),"")</f>
        <v/>
      </c>
    </row>
    <row r="472" spans="53:54">
      <c r="BA472">
        <f>IF('Master Database'!$A472="",0,IF(AND(OR($B$5="",ISNUMBER(SEARCH($B$5,'Master Database'!$B472&amp;" "&amp;'Master Database'!$D472))),OR($B$6="(All)",'Master Database'!$C472=$B$6),OR($B$7="(All)",'Master Database'!$E472=$B$7),OR($B$8="(All)",'Master Database'!$T472=$B$8),OR($B$9="(All)",'Master Database'!$M472=$B$9),OR($B$10="(All)",'Master Database'!$V472=$B$10),OR($E$5="(All)",'Master Database'!$F472=$E$5),OR($E$6="(All)",'Master Database'!$G472=$E$6),OR($E$7="(All)",'Master Database'!$O472=$E$7),OR($E$8="(All)",'Master Database'!$P472=$E$8),OR($E$9="(All)",'Master Database'!$S472=$E$9),OR($E$10="(All)",'Master Database'!$Y472&amp;""=$E$10&amp;""),OR($H$5="(All)",'Master Database'!$BG472=$H$5),OR($H$6&lt;&gt;"Y",ISNUMBER('Master Database'!$AG472)),OR($H$7="",AND(ISNUMBER('Master Database'!$H472),N('Master Database'!$H472)&gt;=$H$7)),OR($I$7="",AND(ISNUMBER('Master Database'!$H472),N('Master Database'!$H472)&lt;=$I$7)),OR($H$8="",AND(ISNUMBER('Master Database'!$I472),N('Master Database'!$I472)&gt;=$H$8)),OR($I$8="",AND(ISNUMBER('Master Database'!$I472),N('Master Database'!$I472)&lt;=$I$8)),OR($H$9="",AND(ISNUMBER('Master Database'!$K472),N('Master Database'!$K472)&gt;=$H$9)),OR($I$9="",AND(ISNUMBER('Master Database'!$K472),N('Master Database'!$K472)&lt;=$I$9))),1,0))</f>
        <v>0</v>
      </c>
      <c r="BB472" t="str">
        <f>IF(BA472=1,COUNTIF($BA$5:BA472,1),"")</f>
        <v/>
      </c>
    </row>
    <row r="473" spans="53:54">
      <c r="BA473">
        <f>IF('Master Database'!$A473="",0,IF(AND(OR($B$5="",ISNUMBER(SEARCH($B$5,'Master Database'!$B473&amp;" "&amp;'Master Database'!$D473))),OR($B$6="(All)",'Master Database'!$C473=$B$6),OR($B$7="(All)",'Master Database'!$E473=$B$7),OR($B$8="(All)",'Master Database'!$T473=$B$8),OR($B$9="(All)",'Master Database'!$M473=$B$9),OR($B$10="(All)",'Master Database'!$V473=$B$10),OR($E$5="(All)",'Master Database'!$F473=$E$5),OR($E$6="(All)",'Master Database'!$G473=$E$6),OR($E$7="(All)",'Master Database'!$O473=$E$7),OR($E$8="(All)",'Master Database'!$P473=$E$8),OR($E$9="(All)",'Master Database'!$S473=$E$9),OR($E$10="(All)",'Master Database'!$Y473&amp;""=$E$10&amp;""),OR($H$5="(All)",'Master Database'!$BG473=$H$5),OR($H$6&lt;&gt;"Y",ISNUMBER('Master Database'!$AG473)),OR($H$7="",AND(ISNUMBER('Master Database'!$H473),N('Master Database'!$H473)&gt;=$H$7)),OR($I$7="",AND(ISNUMBER('Master Database'!$H473),N('Master Database'!$H473)&lt;=$I$7)),OR($H$8="",AND(ISNUMBER('Master Database'!$I473),N('Master Database'!$I473)&gt;=$H$8)),OR($I$8="",AND(ISNUMBER('Master Database'!$I473),N('Master Database'!$I473)&lt;=$I$8)),OR($H$9="",AND(ISNUMBER('Master Database'!$K473),N('Master Database'!$K473)&gt;=$H$9)),OR($I$9="",AND(ISNUMBER('Master Database'!$K473),N('Master Database'!$K473)&lt;=$I$9))),1,0))</f>
        <v>0</v>
      </c>
      <c r="BB473" t="str">
        <f>IF(BA473=1,COUNTIF($BA$5:BA473,1),"")</f>
        <v/>
      </c>
    </row>
    <row r="474" spans="53:54">
      <c r="BA474">
        <f>IF('Master Database'!$A474="",0,IF(AND(OR($B$5="",ISNUMBER(SEARCH($B$5,'Master Database'!$B474&amp;" "&amp;'Master Database'!$D474))),OR($B$6="(All)",'Master Database'!$C474=$B$6),OR($B$7="(All)",'Master Database'!$E474=$B$7),OR($B$8="(All)",'Master Database'!$T474=$B$8),OR($B$9="(All)",'Master Database'!$M474=$B$9),OR($B$10="(All)",'Master Database'!$V474=$B$10),OR($E$5="(All)",'Master Database'!$F474=$E$5),OR($E$6="(All)",'Master Database'!$G474=$E$6),OR($E$7="(All)",'Master Database'!$O474=$E$7),OR($E$8="(All)",'Master Database'!$P474=$E$8),OR($E$9="(All)",'Master Database'!$S474=$E$9),OR($E$10="(All)",'Master Database'!$Y474&amp;""=$E$10&amp;""),OR($H$5="(All)",'Master Database'!$BG474=$H$5),OR($H$6&lt;&gt;"Y",ISNUMBER('Master Database'!$AG474)),OR($H$7="",AND(ISNUMBER('Master Database'!$H474),N('Master Database'!$H474)&gt;=$H$7)),OR($I$7="",AND(ISNUMBER('Master Database'!$H474),N('Master Database'!$H474)&lt;=$I$7)),OR($H$8="",AND(ISNUMBER('Master Database'!$I474),N('Master Database'!$I474)&gt;=$H$8)),OR($I$8="",AND(ISNUMBER('Master Database'!$I474),N('Master Database'!$I474)&lt;=$I$8)),OR($H$9="",AND(ISNUMBER('Master Database'!$K474),N('Master Database'!$K474)&gt;=$H$9)),OR($I$9="",AND(ISNUMBER('Master Database'!$K474),N('Master Database'!$K474)&lt;=$I$9))),1,0))</f>
        <v>0</v>
      </c>
      <c r="BB474" t="str">
        <f>IF(BA474=1,COUNTIF($BA$5:BA474,1),"")</f>
        <v/>
      </c>
    </row>
    <row r="475" spans="53:54">
      <c r="BA475">
        <f>IF('Master Database'!$A475="",0,IF(AND(OR($B$5="",ISNUMBER(SEARCH($B$5,'Master Database'!$B475&amp;" "&amp;'Master Database'!$D475))),OR($B$6="(All)",'Master Database'!$C475=$B$6),OR($B$7="(All)",'Master Database'!$E475=$B$7),OR($B$8="(All)",'Master Database'!$T475=$B$8),OR($B$9="(All)",'Master Database'!$M475=$B$9),OR($B$10="(All)",'Master Database'!$V475=$B$10),OR($E$5="(All)",'Master Database'!$F475=$E$5),OR($E$6="(All)",'Master Database'!$G475=$E$6),OR($E$7="(All)",'Master Database'!$O475=$E$7),OR($E$8="(All)",'Master Database'!$P475=$E$8),OR($E$9="(All)",'Master Database'!$S475=$E$9),OR($E$10="(All)",'Master Database'!$Y475&amp;""=$E$10&amp;""),OR($H$5="(All)",'Master Database'!$BG475=$H$5),OR($H$6&lt;&gt;"Y",ISNUMBER('Master Database'!$AG475)),OR($H$7="",AND(ISNUMBER('Master Database'!$H475),N('Master Database'!$H475)&gt;=$H$7)),OR($I$7="",AND(ISNUMBER('Master Database'!$H475),N('Master Database'!$H475)&lt;=$I$7)),OR($H$8="",AND(ISNUMBER('Master Database'!$I475),N('Master Database'!$I475)&gt;=$H$8)),OR($I$8="",AND(ISNUMBER('Master Database'!$I475),N('Master Database'!$I475)&lt;=$I$8)),OR($H$9="",AND(ISNUMBER('Master Database'!$K475),N('Master Database'!$K475)&gt;=$H$9)),OR($I$9="",AND(ISNUMBER('Master Database'!$K475),N('Master Database'!$K475)&lt;=$I$9))),1,0))</f>
        <v>0</v>
      </c>
      <c r="BB475" t="str">
        <f>IF(BA475=1,COUNTIF($BA$5:BA475,1),"")</f>
        <v/>
      </c>
    </row>
    <row r="476" spans="53:54">
      <c r="BA476">
        <f>IF('Master Database'!$A476="",0,IF(AND(OR($B$5="",ISNUMBER(SEARCH($B$5,'Master Database'!$B476&amp;" "&amp;'Master Database'!$D476))),OR($B$6="(All)",'Master Database'!$C476=$B$6),OR($B$7="(All)",'Master Database'!$E476=$B$7),OR($B$8="(All)",'Master Database'!$T476=$B$8),OR($B$9="(All)",'Master Database'!$M476=$B$9),OR($B$10="(All)",'Master Database'!$V476=$B$10),OR($E$5="(All)",'Master Database'!$F476=$E$5),OR($E$6="(All)",'Master Database'!$G476=$E$6),OR($E$7="(All)",'Master Database'!$O476=$E$7),OR($E$8="(All)",'Master Database'!$P476=$E$8),OR($E$9="(All)",'Master Database'!$S476=$E$9),OR($E$10="(All)",'Master Database'!$Y476&amp;""=$E$10&amp;""),OR($H$5="(All)",'Master Database'!$BG476=$H$5),OR($H$6&lt;&gt;"Y",ISNUMBER('Master Database'!$AG476)),OR($H$7="",AND(ISNUMBER('Master Database'!$H476),N('Master Database'!$H476)&gt;=$H$7)),OR($I$7="",AND(ISNUMBER('Master Database'!$H476),N('Master Database'!$H476)&lt;=$I$7)),OR($H$8="",AND(ISNUMBER('Master Database'!$I476),N('Master Database'!$I476)&gt;=$H$8)),OR($I$8="",AND(ISNUMBER('Master Database'!$I476),N('Master Database'!$I476)&lt;=$I$8)),OR($H$9="",AND(ISNUMBER('Master Database'!$K476),N('Master Database'!$K476)&gt;=$H$9)),OR($I$9="",AND(ISNUMBER('Master Database'!$K476),N('Master Database'!$K476)&lt;=$I$9))),1,0))</f>
        <v>0</v>
      </c>
      <c r="BB476" t="str">
        <f>IF(BA476=1,COUNTIF($BA$5:BA476,1),"")</f>
        <v/>
      </c>
    </row>
    <row r="477" spans="53:54">
      <c r="BA477">
        <f>IF('Master Database'!$A477="",0,IF(AND(OR($B$5="",ISNUMBER(SEARCH($B$5,'Master Database'!$B477&amp;" "&amp;'Master Database'!$D477))),OR($B$6="(All)",'Master Database'!$C477=$B$6),OR($B$7="(All)",'Master Database'!$E477=$B$7),OR($B$8="(All)",'Master Database'!$T477=$B$8),OR($B$9="(All)",'Master Database'!$M477=$B$9),OR($B$10="(All)",'Master Database'!$V477=$B$10),OR($E$5="(All)",'Master Database'!$F477=$E$5),OR($E$6="(All)",'Master Database'!$G477=$E$6),OR($E$7="(All)",'Master Database'!$O477=$E$7),OR($E$8="(All)",'Master Database'!$P477=$E$8),OR($E$9="(All)",'Master Database'!$S477=$E$9),OR($E$10="(All)",'Master Database'!$Y477&amp;""=$E$10&amp;""),OR($H$5="(All)",'Master Database'!$BG477=$H$5),OR($H$6&lt;&gt;"Y",ISNUMBER('Master Database'!$AG477)),OR($H$7="",AND(ISNUMBER('Master Database'!$H477),N('Master Database'!$H477)&gt;=$H$7)),OR($I$7="",AND(ISNUMBER('Master Database'!$H477),N('Master Database'!$H477)&lt;=$I$7)),OR($H$8="",AND(ISNUMBER('Master Database'!$I477),N('Master Database'!$I477)&gt;=$H$8)),OR($I$8="",AND(ISNUMBER('Master Database'!$I477),N('Master Database'!$I477)&lt;=$I$8)),OR($H$9="",AND(ISNUMBER('Master Database'!$K477),N('Master Database'!$K477)&gt;=$H$9)),OR($I$9="",AND(ISNUMBER('Master Database'!$K477),N('Master Database'!$K477)&lt;=$I$9))),1,0))</f>
        <v>0</v>
      </c>
      <c r="BB477" t="str">
        <f>IF(BA477=1,COUNTIF($BA$5:BA477,1),"")</f>
        <v/>
      </c>
    </row>
    <row r="478" spans="53:54">
      <c r="BA478">
        <f>IF('Master Database'!$A478="",0,IF(AND(OR($B$5="",ISNUMBER(SEARCH($B$5,'Master Database'!$B478&amp;" "&amp;'Master Database'!$D478))),OR($B$6="(All)",'Master Database'!$C478=$B$6),OR($B$7="(All)",'Master Database'!$E478=$B$7),OR($B$8="(All)",'Master Database'!$T478=$B$8),OR($B$9="(All)",'Master Database'!$M478=$B$9),OR($B$10="(All)",'Master Database'!$V478=$B$10),OR($E$5="(All)",'Master Database'!$F478=$E$5),OR($E$6="(All)",'Master Database'!$G478=$E$6),OR($E$7="(All)",'Master Database'!$O478=$E$7),OR($E$8="(All)",'Master Database'!$P478=$E$8),OR($E$9="(All)",'Master Database'!$S478=$E$9),OR($E$10="(All)",'Master Database'!$Y478&amp;""=$E$10&amp;""),OR($H$5="(All)",'Master Database'!$BG478=$H$5),OR($H$6&lt;&gt;"Y",ISNUMBER('Master Database'!$AG478)),OR($H$7="",AND(ISNUMBER('Master Database'!$H478),N('Master Database'!$H478)&gt;=$H$7)),OR($I$7="",AND(ISNUMBER('Master Database'!$H478),N('Master Database'!$H478)&lt;=$I$7)),OR($H$8="",AND(ISNUMBER('Master Database'!$I478),N('Master Database'!$I478)&gt;=$H$8)),OR($I$8="",AND(ISNUMBER('Master Database'!$I478),N('Master Database'!$I478)&lt;=$I$8)),OR($H$9="",AND(ISNUMBER('Master Database'!$K478),N('Master Database'!$K478)&gt;=$H$9)),OR($I$9="",AND(ISNUMBER('Master Database'!$K478),N('Master Database'!$K478)&lt;=$I$9))),1,0))</f>
        <v>0</v>
      </c>
      <c r="BB478" t="str">
        <f>IF(BA478=1,COUNTIF($BA$5:BA478,1),"")</f>
        <v/>
      </c>
    </row>
    <row r="479" spans="53:54">
      <c r="BA479">
        <f>IF('Master Database'!$A479="",0,IF(AND(OR($B$5="",ISNUMBER(SEARCH($B$5,'Master Database'!$B479&amp;" "&amp;'Master Database'!$D479))),OR($B$6="(All)",'Master Database'!$C479=$B$6),OR($B$7="(All)",'Master Database'!$E479=$B$7),OR($B$8="(All)",'Master Database'!$T479=$B$8),OR($B$9="(All)",'Master Database'!$M479=$B$9),OR($B$10="(All)",'Master Database'!$V479=$B$10),OR($E$5="(All)",'Master Database'!$F479=$E$5),OR($E$6="(All)",'Master Database'!$G479=$E$6),OR($E$7="(All)",'Master Database'!$O479=$E$7),OR($E$8="(All)",'Master Database'!$P479=$E$8),OR($E$9="(All)",'Master Database'!$S479=$E$9),OR($E$10="(All)",'Master Database'!$Y479&amp;""=$E$10&amp;""),OR($H$5="(All)",'Master Database'!$BG479=$H$5),OR($H$6&lt;&gt;"Y",ISNUMBER('Master Database'!$AG479)),OR($H$7="",AND(ISNUMBER('Master Database'!$H479),N('Master Database'!$H479)&gt;=$H$7)),OR($I$7="",AND(ISNUMBER('Master Database'!$H479),N('Master Database'!$H479)&lt;=$I$7)),OR($H$8="",AND(ISNUMBER('Master Database'!$I479),N('Master Database'!$I479)&gt;=$H$8)),OR($I$8="",AND(ISNUMBER('Master Database'!$I479),N('Master Database'!$I479)&lt;=$I$8)),OR($H$9="",AND(ISNUMBER('Master Database'!$K479),N('Master Database'!$K479)&gt;=$H$9)),OR($I$9="",AND(ISNUMBER('Master Database'!$K479),N('Master Database'!$K479)&lt;=$I$9))),1,0))</f>
        <v>0</v>
      </c>
      <c r="BB479" t="str">
        <f>IF(BA479=1,COUNTIF($BA$5:BA479,1),"")</f>
        <v/>
      </c>
    </row>
    <row r="480" spans="53:54">
      <c r="BA480">
        <f>IF('Master Database'!$A480="",0,IF(AND(OR($B$5="",ISNUMBER(SEARCH($B$5,'Master Database'!$B480&amp;" "&amp;'Master Database'!$D480))),OR($B$6="(All)",'Master Database'!$C480=$B$6),OR($B$7="(All)",'Master Database'!$E480=$B$7),OR($B$8="(All)",'Master Database'!$T480=$B$8),OR($B$9="(All)",'Master Database'!$M480=$B$9),OR($B$10="(All)",'Master Database'!$V480=$B$10),OR($E$5="(All)",'Master Database'!$F480=$E$5),OR($E$6="(All)",'Master Database'!$G480=$E$6),OR($E$7="(All)",'Master Database'!$O480=$E$7),OR($E$8="(All)",'Master Database'!$P480=$E$8),OR($E$9="(All)",'Master Database'!$S480=$E$9),OR($E$10="(All)",'Master Database'!$Y480&amp;""=$E$10&amp;""),OR($H$5="(All)",'Master Database'!$BG480=$H$5),OR($H$6&lt;&gt;"Y",ISNUMBER('Master Database'!$AG480)),OR($H$7="",AND(ISNUMBER('Master Database'!$H480),N('Master Database'!$H480)&gt;=$H$7)),OR($I$7="",AND(ISNUMBER('Master Database'!$H480),N('Master Database'!$H480)&lt;=$I$7)),OR($H$8="",AND(ISNUMBER('Master Database'!$I480),N('Master Database'!$I480)&gt;=$H$8)),OR($I$8="",AND(ISNUMBER('Master Database'!$I480),N('Master Database'!$I480)&lt;=$I$8)),OR($H$9="",AND(ISNUMBER('Master Database'!$K480),N('Master Database'!$K480)&gt;=$H$9)),OR($I$9="",AND(ISNUMBER('Master Database'!$K480),N('Master Database'!$K480)&lt;=$I$9))),1,0))</f>
        <v>0</v>
      </c>
      <c r="BB480" t="str">
        <f>IF(BA480=1,COUNTIF($BA$5:BA480,1),"")</f>
        <v/>
      </c>
    </row>
    <row r="481" spans="53:54">
      <c r="BA481">
        <f>IF('Master Database'!$A481="",0,IF(AND(OR($B$5="",ISNUMBER(SEARCH($B$5,'Master Database'!$B481&amp;" "&amp;'Master Database'!$D481))),OR($B$6="(All)",'Master Database'!$C481=$B$6),OR($B$7="(All)",'Master Database'!$E481=$B$7),OR($B$8="(All)",'Master Database'!$T481=$B$8),OR($B$9="(All)",'Master Database'!$M481=$B$9),OR($B$10="(All)",'Master Database'!$V481=$B$10),OR($E$5="(All)",'Master Database'!$F481=$E$5),OR($E$6="(All)",'Master Database'!$G481=$E$6),OR($E$7="(All)",'Master Database'!$O481=$E$7),OR($E$8="(All)",'Master Database'!$P481=$E$8),OR($E$9="(All)",'Master Database'!$S481=$E$9),OR($E$10="(All)",'Master Database'!$Y481&amp;""=$E$10&amp;""),OR($H$5="(All)",'Master Database'!$BG481=$H$5),OR($H$6&lt;&gt;"Y",ISNUMBER('Master Database'!$AG481)),OR($H$7="",AND(ISNUMBER('Master Database'!$H481),N('Master Database'!$H481)&gt;=$H$7)),OR($I$7="",AND(ISNUMBER('Master Database'!$H481),N('Master Database'!$H481)&lt;=$I$7)),OR($H$8="",AND(ISNUMBER('Master Database'!$I481),N('Master Database'!$I481)&gt;=$H$8)),OR($I$8="",AND(ISNUMBER('Master Database'!$I481),N('Master Database'!$I481)&lt;=$I$8)),OR($H$9="",AND(ISNUMBER('Master Database'!$K481),N('Master Database'!$K481)&gt;=$H$9)),OR($I$9="",AND(ISNUMBER('Master Database'!$K481),N('Master Database'!$K481)&lt;=$I$9))),1,0))</f>
        <v>0</v>
      </c>
      <c r="BB481" t="str">
        <f>IF(BA481=1,COUNTIF($BA$5:BA481,1),"")</f>
        <v/>
      </c>
    </row>
    <row r="482" spans="53:54">
      <c r="BA482">
        <f>IF('Master Database'!$A482="",0,IF(AND(OR($B$5="",ISNUMBER(SEARCH($B$5,'Master Database'!$B482&amp;" "&amp;'Master Database'!$D482))),OR($B$6="(All)",'Master Database'!$C482=$B$6),OR($B$7="(All)",'Master Database'!$E482=$B$7),OR($B$8="(All)",'Master Database'!$T482=$B$8),OR($B$9="(All)",'Master Database'!$M482=$B$9),OR($B$10="(All)",'Master Database'!$V482=$B$10),OR($E$5="(All)",'Master Database'!$F482=$E$5),OR($E$6="(All)",'Master Database'!$G482=$E$6),OR($E$7="(All)",'Master Database'!$O482=$E$7),OR($E$8="(All)",'Master Database'!$P482=$E$8),OR($E$9="(All)",'Master Database'!$S482=$E$9),OR($E$10="(All)",'Master Database'!$Y482&amp;""=$E$10&amp;""),OR($H$5="(All)",'Master Database'!$BG482=$H$5),OR($H$6&lt;&gt;"Y",ISNUMBER('Master Database'!$AG482)),OR($H$7="",AND(ISNUMBER('Master Database'!$H482),N('Master Database'!$H482)&gt;=$H$7)),OR($I$7="",AND(ISNUMBER('Master Database'!$H482),N('Master Database'!$H482)&lt;=$I$7)),OR($H$8="",AND(ISNUMBER('Master Database'!$I482),N('Master Database'!$I482)&gt;=$H$8)),OR($I$8="",AND(ISNUMBER('Master Database'!$I482),N('Master Database'!$I482)&lt;=$I$8)),OR($H$9="",AND(ISNUMBER('Master Database'!$K482),N('Master Database'!$K482)&gt;=$H$9)),OR($I$9="",AND(ISNUMBER('Master Database'!$K482),N('Master Database'!$K482)&lt;=$I$9))),1,0))</f>
        <v>0</v>
      </c>
      <c r="BB482" t="str">
        <f>IF(BA482=1,COUNTIF($BA$5:BA482,1),"")</f>
        <v/>
      </c>
    </row>
    <row r="483" spans="53:54">
      <c r="BA483">
        <f>IF('Master Database'!$A483="",0,IF(AND(OR($B$5="",ISNUMBER(SEARCH($B$5,'Master Database'!$B483&amp;" "&amp;'Master Database'!$D483))),OR($B$6="(All)",'Master Database'!$C483=$B$6),OR($B$7="(All)",'Master Database'!$E483=$B$7),OR($B$8="(All)",'Master Database'!$T483=$B$8),OR($B$9="(All)",'Master Database'!$M483=$B$9),OR($B$10="(All)",'Master Database'!$V483=$B$10),OR($E$5="(All)",'Master Database'!$F483=$E$5),OR($E$6="(All)",'Master Database'!$G483=$E$6),OR($E$7="(All)",'Master Database'!$O483=$E$7),OR($E$8="(All)",'Master Database'!$P483=$E$8),OR($E$9="(All)",'Master Database'!$S483=$E$9),OR($E$10="(All)",'Master Database'!$Y483&amp;""=$E$10&amp;""),OR($H$5="(All)",'Master Database'!$BG483=$H$5),OR($H$6&lt;&gt;"Y",ISNUMBER('Master Database'!$AG483)),OR($H$7="",AND(ISNUMBER('Master Database'!$H483),N('Master Database'!$H483)&gt;=$H$7)),OR($I$7="",AND(ISNUMBER('Master Database'!$H483),N('Master Database'!$H483)&lt;=$I$7)),OR($H$8="",AND(ISNUMBER('Master Database'!$I483),N('Master Database'!$I483)&gt;=$H$8)),OR($I$8="",AND(ISNUMBER('Master Database'!$I483),N('Master Database'!$I483)&lt;=$I$8)),OR($H$9="",AND(ISNUMBER('Master Database'!$K483),N('Master Database'!$K483)&gt;=$H$9)),OR($I$9="",AND(ISNUMBER('Master Database'!$K483),N('Master Database'!$K483)&lt;=$I$9))),1,0))</f>
        <v>0</v>
      </c>
      <c r="BB483" t="str">
        <f>IF(BA483=1,COUNTIF($BA$5:BA483,1),"")</f>
        <v/>
      </c>
    </row>
    <row r="484" spans="53:54">
      <c r="BA484">
        <f>IF('Master Database'!$A484="",0,IF(AND(OR($B$5="",ISNUMBER(SEARCH($B$5,'Master Database'!$B484&amp;" "&amp;'Master Database'!$D484))),OR($B$6="(All)",'Master Database'!$C484=$B$6),OR($B$7="(All)",'Master Database'!$E484=$B$7),OR($B$8="(All)",'Master Database'!$T484=$B$8),OR($B$9="(All)",'Master Database'!$M484=$B$9),OR($B$10="(All)",'Master Database'!$V484=$B$10),OR($E$5="(All)",'Master Database'!$F484=$E$5),OR($E$6="(All)",'Master Database'!$G484=$E$6),OR($E$7="(All)",'Master Database'!$O484=$E$7),OR($E$8="(All)",'Master Database'!$P484=$E$8),OR($E$9="(All)",'Master Database'!$S484=$E$9),OR($E$10="(All)",'Master Database'!$Y484&amp;""=$E$10&amp;""),OR($H$5="(All)",'Master Database'!$BG484=$H$5),OR($H$6&lt;&gt;"Y",ISNUMBER('Master Database'!$AG484)),OR($H$7="",AND(ISNUMBER('Master Database'!$H484),N('Master Database'!$H484)&gt;=$H$7)),OR($I$7="",AND(ISNUMBER('Master Database'!$H484),N('Master Database'!$H484)&lt;=$I$7)),OR($H$8="",AND(ISNUMBER('Master Database'!$I484),N('Master Database'!$I484)&gt;=$H$8)),OR($I$8="",AND(ISNUMBER('Master Database'!$I484),N('Master Database'!$I484)&lt;=$I$8)),OR($H$9="",AND(ISNUMBER('Master Database'!$K484),N('Master Database'!$K484)&gt;=$H$9)),OR($I$9="",AND(ISNUMBER('Master Database'!$K484),N('Master Database'!$K484)&lt;=$I$9))),1,0))</f>
        <v>0</v>
      </c>
      <c r="BB484" t="str">
        <f>IF(BA484=1,COUNTIF($BA$5:BA484,1),"")</f>
        <v/>
      </c>
    </row>
    <row r="485" spans="53:54">
      <c r="BA485">
        <f>IF('Master Database'!$A485="",0,IF(AND(OR($B$5="",ISNUMBER(SEARCH($B$5,'Master Database'!$B485&amp;" "&amp;'Master Database'!$D485))),OR($B$6="(All)",'Master Database'!$C485=$B$6),OR($B$7="(All)",'Master Database'!$E485=$B$7),OR($B$8="(All)",'Master Database'!$T485=$B$8),OR($B$9="(All)",'Master Database'!$M485=$B$9),OR($B$10="(All)",'Master Database'!$V485=$B$10),OR($E$5="(All)",'Master Database'!$F485=$E$5),OR($E$6="(All)",'Master Database'!$G485=$E$6),OR($E$7="(All)",'Master Database'!$O485=$E$7),OR($E$8="(All)",'Master Database'!$P485=$E$8),OR($E$9="(All)",'Master Database'!$S485=$E$9),OR($E$10="(All)",'Master Database'!$Y485&amp;""=$E$10&amp;""),OR($H$5="(All)",'Master Database'!$BG485=$H$5),OR($H$6&lt;&gt;"Y",ISNUMBER('Master Database'!$AG485)),OR($H$7="",AND(ISNUMBER('Master Database'!$H485),N('Master Database'!$H485)&gt;=$H$7)),OR($I$7="",AND(ISNUMBER('Master Database'!$H485),N('Master Database'!$H485)&lt;=$I$7)),OR($H$8="",AND(ISNUMBER('Master Database'!$I485),N('Master Database'!$I485)&gt;=$H$8)),OR($I$8="",AND(ISNUMBER('Master Database'!$I485),N('Master Database'!$I485)&lt;=$I$8)),OR($H$9="",AND(ISNUMBER('Master Database'!$K485),N('Master Database'!$K485)&gt;=$H$9)),OR($I$9="",AND(ISNUMBER('Master Database'!$K485),N('Master Database'!$K485)&lt;=$I$9))),1,0))</f>
        <v>0</v>
      </c>
      <c r="BB485" t="str">
        <f>IF(BA485=1,COUNTIF($BA$5:BA485,1),"")</f>
        <v/>
      </c>
    </row>
    <row r="486" spans="53:54">
      <c r="BA486">
        <f>IF('Master Database'!$A486="",0,IF(AND(OR($B$5="",ISNUMBER(SEARCH($B$5,'Master Database'!$B486&amp;" "&amp;'Master Database'!$D486))),OR($B$6="(All)",'Master Database'!$C486=$B$6),OR($B$7="(All)",'Master Database'!$E486=$B$7),OR($B$8="(All)",'Master Database'!$T486=$B$8),OR($B$9="(All)",'Master Database'!$M486=$B$9),OR($B$10="(All)",'Master Database'!$V486=$B$10),OR($E$5="(All)",'Master Database'!$F486=$E$5),OR($E$6="(All)",'Master Database'!$G486=$E$6),OR($E$7="(All)",'Master Database'!$O486=$E$7),OR($E$8="(All)",'Master Database'!$P486=$E$8),OR($E$9="(All)",'Master Database'!$S486=$E$9),OR($E$10="(All)",'Master Database'!$Y486&amp;""=$E$10&amp;""),OR($H$5="(All)",'Master Database'!$BG486=$H$5),OR($H$6&lt;&gt;"Y",ISNUMBER('Master Database'!$AG486)),OR($H$7="",AND(ISNUMBER('Master Database'!$H486),N('Master Database'!$H486)&gt;=$H$7)),OR($I$7="",AND(ISNUMBER('Master Database'!$H486),N('Master Database'!$H486)&lt;=$I$7)),OR($H$8="",AND(ISNUMBER('Master Database'!$I486),N('Master Database'!$I486)&gt;=$H$8)),OR($I$8="",AND(ISNUMBER('Master Database'!$I486),N('Master Database'!$I486)&lt;=$I$8)),OR($H$9="",AND(ISNUMBER('Master Database'!$K486),N('Master Database'!$K486)&gt;=$H$9)),OR($I$9="",AND(ISNUMBER('Master Database'!$K486),N('Master Database'!$K486)&lt;=$I$9))),1,0))</f>
        <v>0</v>
      </c>
      <c r="BB486" t="str">
        <f>IF(BA486=1,COUNTIF($BA$5:BA486,1),"")</f>
        <v/>
      </c>
    </row>
    <row r="487" spans="53:54">
      <c r="BA487">
        <f>IF('Master Database'!$A487="",0,IF(AND(OR($B$5="",ISNUMBER(SEARCH($B$5,'Master Database'!$B487&amp;" "&amp;'Master Database'!$D487))),OR($B$6="(All)",'Master Database'!$C487=$B$6),OR($B$7="(All)",'Master Database'!$E487=$B$7),OR($B$8="(All)",'Master Database'!$T487=$B$8),OR($B$9="(All)",'Master Database'!$M487=$B$9),OR($B$10="(All)",'Master Database'!$V487=$B$10),OR($E$5="(All)",'Master Database'!$F487=$E$5),OR($E$6="(All)",'Master Database'!$G487=$E$6),OR($E$7="(All)",'Master Database'!$O487=$E$7),OR($E$8="(All)",'Master Database'!$P487=$E$8),OR($E$9="(All)",'Master Database'!$S487=$E$9),OR($E$10="(All)",'Master Database'!$Y487&amp;""=$E$10&amp;""),OR($H$5="(All)",'Master Database'!$BG487=$H$5),OR($H$6&lt;&gt;"Y",ISNUMBER('Master Database'!$AG487)),OR($H$7="",AND(ISNUMBER('Master Database'!$H487),N('Master Database'!$H487)&gt;=$H$7)),OR($I$7="",AND(ISNUMBER('Master Database'!$H487),N('Master Database'!$H487)&lt;=$I$7)),OR($H$8="",AND(ISNUMBER('Master Database'!$I487),N('Master Database'!$I487)&gt;=$H$8)),OR($I$8="",AND(ISNUMBER('Master Database'!$I487),N('Master Database'!$I487)&lt;=$I$8)),OR($H$9="",AND(ISNUMBER('Master Database'!$K487),N('Master Database'!$K487)&gt;=$H$9)),OR($I$9="",AND(ISNUMBER('Master Database'!$K487),N('Master Database'!$K487)&lt;=$I$9))),1,0))</f>
        <v>0</v>
      </c>
      <c r="BB487" t="str">
        <f>IF(BA487=1,COUNTIF($BA$5:BA487,1),"")</f>
        <v/>
      </c>
    </row>
    <row r="488" spans="53:54">
      <c r="BA488">
        <f>IF('Master Database'!$A488="",0,IF(AND(OR($B$5="",ISNUMBER(SEARCH($B$5,'Master Database'!$B488&amp;" "&amp;'Master Database'!$D488))),OR($B$6="(All)",'Master Database'!$C488=$B$6),OR($B$7="(All)",'Master Database'!$E488=$B$7),OR($B$8="(All)",'Master Database'!$T488=$B$8),OR($B$9="(All)",'Master Database'!$M488=$B$9),OR($B$10="(All)",'Master Database'!$V488=$B$10),OR($E$5="(All)",'Master Database'!$F488=$E$5),OR($E$6="(All)",'Master Database'!$G488=$E$6),OR($E$7="(All)",'Master Database'!$O488=$E$7),OR($E$8="(All)",'Master Database'!$P488=$E$8),OR($E$9="(All)",'Master Database'!$S488=$E$9),OR($E$10="(All)",'Master Database'!$Y488&amp;""=$E$10&amp;""),OR($H$5="(All)",'Master Database'!$BG488=$H$5),OR($H$6&lt;&gt;"Y",ISNUMBER('Master Database'!$AG488)),OR($H$7="",AND(ISNUMBER('Master Database'!$H488),N('Master Database'!$H488)&gt;=$H$7)),OR($I$7="",AND(ISNUMBER('Master Database'!$H488),N('Master Database'!$H488)&lt;=$I$7)),OR($H$8="",AND(ISNUMBER('Master Database'!$I488),N('Master Database'!$I488)&gt;=$H$8)),OR($I$8="",AND(ISNUMBER('Master Database'!$I488),N('Master Database'!$I488)&lt;=$I$8)),OR($H$9="",AND(ISNUMBER('Master Database'!$K488),N('Master Database'!$K488)&gt;=$H$9)),OR($I$9="",AND(ISNUMBER('Master Database'!$K488),N('Master Database'!$K488)&lt;=$I$9))),1,0))</f>
        <v>0</v>
      </c>
      <c r="BB488" t="str">
        <f>IF(BA488=1,COUNTIF($BA$5:BA488,1),"")</f>
        <v/>
      </c>
    </row>
    <row r="489" spans="53:54">
      <c r="BA489">
        <f>IF('Master Database'!$A489="",0,IF(AND(OR($B$5="",ISNUMBER(SEARCH($B$5,'Master Database'!$B489&amp;" "&amp;'Master Database'!$D489))),OR($B$6="(All)",'Master Database'!$C489=$B$6),OR($B$7="(All)",'Master Database'!$E489=$B$7),OR($B$8="(All)",'Master Database'!$T489=$B$8),OR($B$9="(All)",'Master Database'!$M489=$B$9),OR($B$10="(All)",'Master Database'!$V489=$B$10),OR($E$5="(All)",'Master Database'!$F489=$E$5),OR($E$6="(All)",'Master Database'!$G489=$E$6),OR($E$7="(All)",'Master Database'!$O489=$E$7),OR($E$8="(All)",'Master Database'!$P489=$E$8),OR($E$9="(All)",'Master Database'!$S489=$E$9),OR($E$10="(All)",'Master Database'!$Y489&amp;""=$E$10&amp;""),OR($H$5="(All)",'Master Database'!$BG489=$H$5),OR($H$6&lt;&gt;"Y",ISNUMBER('Master Database'!$AG489)),OR($H$7="",AND(ISNUMBER('Master Database'!$H489),N('Master Database'!$H489)&gt;=$H$7)),OR($I$7="",AND(ISNUMBER('Master Database'!$H489),N('Master Database'!$H489)&lt;=$I$7)),OR($H$8="",AND(ISNUMBER('Master Database'!$I489),N('Master Database'!$I489)&gt;=$H$8)),OR($I$8="",AND(ISNUMBER('Master Database'!$I489),N('Master Database'!$I489)&lt;=$I$8)),OR($H$9="",AND(ISNUMBER('Master Database'!$K489),N('Master Database'!$K489)&gt;=$H$9)),OR($I$9="",AND(ISNUMBER('Master Database'!$K489),N('Master Database'!$K489)&lt;=$I$9))),1,0))</f>
        <v>0</v>
      </c>
      <c r="BB489" t="str">
        <f>IF(BA489=1,COUNTIF($BA$5:BA489,1),"")</f>
        <v/>
      </c>
    </row>
    <row r="490" spans="53:54">
      <c r="BA490">
        <f>IF('Master Database'!$A490="",0,IF(AND(OR($B$5="",ISNUMBER(SEARCH($B$5,'Master Database'!$B490&amp;" "&amp;'Master Database'!$D490))),OR($B$6="(All)",'Master Database'!$C490=$B$6),OR($B$7="(All)",'Master Database'!$E490=$B$7),OR($B$8="(All)",'Master Database'!$T490=$B$8),OR($B$9="(All)",'Master Database'!$M490=$B$9),OR($B$10="(All)",'Master Database'!$V490=$B$10),OR($E$5="(All)",'Master Database'!$F490=$E$5),OR($E$6="(All)",'Master Database'!$G490=$E$6),OR($E$7="(All)",'Master Database'!$O490=$E$7),OR($E$8="(All)",'Master Database'!$P490=$E$8),OR($E$9="(All)",'Master Database'!$S490=$E$9),OR($E$10="(All)",'Master Database'!$Y490&amp;""=$E$10&amp;""),OR($H$5="(All)",'Master Database'!$BG490=$H$5),OR($H$6&lt;&gt;"Y",ISNUMBER('Master Database'!$AG490)),OR($H$7="",AND(ISNUMBER('Master Database'!$H490),N('Master Database'!$H490)&gt;=$H$7)),OR($I$7="",AND(ISNUMBER('Master Database'!$H490),N('Master Database'!$H490)&lt;=$I$7)),OR($H$8="",AND(ISNUMBER('Master Database'!$I490),N('Master Database'!$I490)&gt;=$H$8)),OR($I$8="",AND(ISNUMBER('Master Database'!$I490),N('Master Database'!$I490)&lt;=$I$8)),OR($H$9="",AND(ISNUMBER('Master Database'!$K490),N('Master Database'!$K490)&gt;=$H$9)),OR($I$9="",AND(ISNUMBER('Master Database'!$K490),N('Master Database'!$K490)&lt;=$I$9))),1,0))</f>
        <v>0</v>
      </c>
      <c r="BB490" t="str">
        <f>IF(BA490=1,COUNTIF($BA$5:BA490,1),"")</f>
        <v/>
      </c>
    </row>
    <row r="491" spans="53:54">
      <c r="BA491">
        <f>IF('Master Database'!$A491="",0,IF(AND(OR($B$5="",ISNUMBER(SEARCH($B$5,'Master Database'!$B491&amp;" "&amp;'Master Database'!$D491))),OR($B$6="(All)",'Master Database'!$C491=$B$6),OR($B$7="(All)",'Master Database'!$E491=$B$7),OR($B$8="(All)",'Master Database'!$T491=$B$8),OR($B$9="(All)",'Master Database'!$M491=$B$9),OR($B$10="(All)",'Master Database'!$V491=$B$10),OR($E$5="(All)",'Master Database'!$F491=$E$5),OR($E$6="(All)",'Master Database'!$G491=$E$6),OR($E$7="(All)",'Master Database'!$O491=$E$7),OR($E$8="(All)",'Master Database'!$P491=$E$8),OR($E$9="(All)",'Master Database'!$S491=$E$9),OR($E$10="(All)",'Master Database'!$Y491&amp;""=$E$10&amp;""),OR($H$5="(All)",'Master Database'!$BG491=$H$5),OR($H$6&lt;&gt;"Y",ISNUMBER('Master Database'!$AG491)),OR($H$7="",AND(ISNUMBER('Master Database'!$H491),N('Master Database'!$H491)&gt;=$H$7)),OR($I$7="",AND(ISNUMBER('Master Database'!$H491),N('Master Database'!$H491)&lt;=$I$7)),OR($H$8="",AND(ISNUMBER('Master Database'!$I491),N('Master Database'!$I491)&gt;=$H$8)),OR($I$8="",AND(ISNUMBER('Master Database'!$I491),N('Master Database'!$I491)&lt;=$I$8)),OR($H$9="",AND(ISNUMBER('Master Database'!$K491),N('Master Database'!$K491)&gt;=$H$9)),OR($I$9="",AND(ISNUMBER('Master Database'!$K491),N('Master Database'!$K491)&lt;=$I$9))),1,0))</f>
        <v>0</v>
      </c>
      <c r="BB491" t="str">
        <f>IF(BA491=1,COUNTIF($BA$5:BA491,1),"")</f>
        <v/>
      </c>
    </row>
    <row r="492" spans="53:54">
      <c r="BA492">
        <f>IF('Master Database'!$A492="",0,IF(AND(OR($B$5="",ISNUMBER(SEARCH($B$5,'Master Database'!$B492&amp;" "&amp;'Master Database'!$D492))),OR($B$6="(All)",'Master Database'!$C492=$B$6),OR($B$7="(All)",'Master Database'!$E492=$B$7),OR($B$8="(All)",'Master Database'!$T492=$B$8),OR($B$9="(All)",'Master Database'!$M492=$B$9),OR($B$10="(All)",'Master Database'!$V492=$B$10),OR($E$5="(All)",'Master Database'!$F492=$E$5),OR($E$6="(All)",'Master Database'!$G492=$E$6),OR($E$7="(All)",'Master Database'!$O492=$E$7),OR($E$8="(All)",'Master Database'!$P492=$E$8),OR($E$9="(All)",'Master Database'!$S492=$E$9),OR($E$10="(All)",'Master Database'!$Y492&amp;""=$E$10&amp;""),OR($H$5="(All)",'Master Database'!$BG492=$H$5),OR($H$6&lt;&gt;"Y",ISNUMBER('Master Database'!$AG492)),OR($H$7="",AND(ISNUMBER('Master Database'!$H492),N('Master Database'!$H492)&gt;=$H$7)),OR($I$7="",AND(ISNUMBER('Master Database'!$H492),N('Master Database'!$H492)&lt;=$I$7)),OR($H$8="",AND(ISNUMBER('Master Database'!$I492),N('Master Database'!$I492)&gt;=$H$8)),OR($I$8="",AND(ISNUMBER('Master Database'!$I492),N('Master Database'!$I492)&lt;=$I$8)),OR($H$9="",AND(ISNUMBER('Master Database'!$K492),N('Master Database'!$K492)&gt;=$H$9)),OR($I$9="",AND(ISNUMBER('Master Database'!$K492),N('Master Database'!$K492)&lt;=$I$9))),1,0))</f>
        <v>0</v>
      </c>
      <c r="BB492" t="str">
        <f>IF(BA492=1,COUNTIF($BA$5:BA492,1),"")</f>
        <v/>
      </c>
    </row>
    <row r="493" spans="53:54">
      <c r="BA493">
        <f>IF('Master Database'!$A493="",0,IF(AND(OR($B$5="",ISNUMBER(SEARCH($B$5,'Master Database'!$B493&amp;" "&amp;'Master Database'!$D493))),OR($B$6="(All)",'Master Database'!$C493=$B$6),OR($B$7="(All)",'Master Database'!$E493=$B$7),OR($B$8="(All)",'Master Database'!$T493=$B$8),OR($B$9="(All)",'Master Database'!$M493=$B$9),OR($B$10="(All)",'Master Database'!$V493=$B$10),OR($E$5="(All)",'Master Database'!$F493=$E$5),OR($E$6="(All)",'Master Database'!$G493=$E$6),OR($E$7="(All)",'Master Database'!$O493=$E$7),OR($E$8="(All)",'Master Database'!$P493=$E$8),OR($E$9="(All)",'Master Database'!$S493=$E$9),OR($E$10="(All)",'Master Database'!$Y493&amp;""=$E$10&amp;""),OR($H$5="(All)",'Master Database'!$BG493=$H$5),OR($H$6&lt;&gt;"Y",ISNUMBER('Master Database'!$AG493)),OR($H$7="",AND(ISNUMBER('Master Database'!$H493),N('Master Database'!$H493)&gt;=$H$7)),OR($I$7="",AND(ISNUMBER('Master Database'!$H493),N('Master Database'!$H493)&lt;=$I$7)),OR($H$8="",AND(ISNUMBER('Master Database'!$I493),N('Master Database'!$I493)&gt;=$H$8)),OR($I$8="",AND(ISNUMBER('Master Database'!$I493),N('Master Database'!$I493)&lt;=$I$8)),OR($H$9="",AND(ISNUMBER('Master Database'!$K493),N('Master Database'!$K493)&gt;=$H$9)),OR($I$9="",AND(ISNUMBER('Master Database'!$K493),N('Master Database'!$K493)&lt;=$I$9))),1,0))</f>
        <v>0</v>
      </c>
      <c r="BB493" t="str">
        <f>IF(BA493=1,COUNTIF($BA$5:BA493,1),"")</f>
        <v/>
      </c>
    </row>
    <row r="494" spans="53:54">
      <c r="BA494">
        <f>IF('Master Database'!$A494="",0,IF(AND(OR($B$5="",ISNUMBER(SEARCH($B$5,'Master Database'!$B494&amp;" "&amp;'Master Database'!$D494))),OR($B$6="(All)",'Master Database'!$C494=$B$6),OR($B$7="(All)",'Master Database'!$E494=$B$7),OR($B$8="(All)",'Master Database'!$T494=$B$8),OR($B$9="(All)",'Master Database'!$M494=$B$9),OR($B$10="(All)",'Master Database'!$V494=$B$10),OR($E$5="(All)",'Master Database'!$F494=$E$5),OR($E$6="(All)",'Master Database'!$G494=$E$6),OR($E$7="(All)",'Master Database'!$O494=$E$7),OR($E$8="(All)",'Master Database'!$P494=$E$8),OR($E$9="(All)",'Master Database'!$S494=$E$9),OR($E$10="(All)",'Master Database'!$Y494&amp;""=$E$10&amp;""),OR($H$5="(All)",'Master Database'!$BG494=$H$5),OR($H$6&lt;&gt;"Y",ISNUMBER('Master Database'!$AG494)),OR($H$7="",AND(ISNUMBER('Master Database'!$H494),N('Master Database'!$H494)&gt;=$H$7)),OR($I$7="",AND(ISNUMBER('Master Database'!$H494),N('Master Database'!$H494)&lt;=$I$7)),OR($H$8="",AND(ISNUMBER('Master Database'!$I494),N('Master Database'!$I494)&gt;=$H$8)),OR($I$8="",AND(ISNUMBER('Master Database'!$I494),N('Master Database'!$I494)&lt;=$I$8)),OR($H$9="",AND(ISNUMBER('Master Database'!$K494),N('Master Database'!$K494)&gt;=$H$9)),OR($I$9="",AND(ISNUMBER('Master Database'!$K494),N('Master Database'!$K494)&lt;=$I$9))),1,0))</f>
        <v>0</v>
      </c>
      <c r="BB494" t="str">
        <f>IF(BA494=1,COUNTIF($BA$5:BA494,1),"")</f>
        <v/>
      </c>
    </row>
    <row r="495" spans="53:54">
      <c r="BA495">
        <f>IF('Master Database'!$A495="",0,IF(AND(OR($B$5="",ISNUMBER(SEARCH($B$5,'Master Database'!$B495&amp;" "&amp;'Master Database'!$D495))),OR($B$6="(All)",'Master Database'!$C495=$B$6),OR($B$7="(All)",'Master Database'!$E495=$B$7),OR($B$8="(All)",'Master Database'!$T495=$B$8),OR($B$9="(All)",'Master Database'!$M495=$B$9),OR($B$10="(All)",'Master Database'!$V495=$B$10),OR($E$5="(All)",'Master Database'!$F495=$E$5),OR($E$6="(All)",'Master Database'!$G495=$E$6),OR($E$7="(All)",'Master Database'!$O495=$E$7),OR($E$8="(All)",'Master Database'!$P495=$E$8),OR($E$9="(All)",'Master Database'!$S495=$E$9),OR($E$10="(All)",'Master Database'!$Y495&amp;""=$E$10&amp;""),OR($H$5="(All)",'Master Database'!$BG495=$H$5),OR($H$6&lt;&gt;"Y",ISNUMBER('Master Database'!$AG495)),OR($H$7="",AND(ISNUMBER('Master Database'!$H495),N('Master Database'!$H495)&gt;=$H$7)),OR($I$7="",AND(ISNUMBER('Master Database'!$H495),N('Master Database'!$H495)&lt;=$I$7)),OR($H$8="",AND(ISNUMBER('Master Database'!$I495),N('Master Database'!$I495)&gt;=$H$8)),OR($I$8="",AND(ISNUMBER('Master Database'!$I495),N('Master Database'!$I495)&lt;=$I$8)),OR($H$9="",AND(ISNUMBER('Master Database'!$K495),N('Master Database'!$K495)&gt;=$H$9)),OR($I$9="",AND(ISNUMBER('Master Database'!$K495),N('Master Database'!$K495)&lt;=$I$9))),1,0))</f>
        <v>0</v>
      </c>
      <c r="BB495" t="str">
        <f>IF(BA495=1,COUNTIF($BA$5:BA495,1),"")</f>
        <v/>
      </c>
    </row>
    <row r="496" spans="53:54">
      <c r="BA496">
        <f>IF('Master Database'!$A496="",0,IF(AND(OR($B$5="",ISNUMBER(SEARCH($B$5,'Master Database'!$B496&amp;" "&amp;'Master Database'!$D496))),OR($B$6="(All)",'Master Database'!$C496=$B$6),OR($B$7="(All)",'Master Database'!$E496=$B$7),OR($B$8="(All)",'Master Database'!$T496=$B$8),OR($B$9="(All)",'Master Database'!$M496=$B$9),OR($B$10="(All)",'Master Database'!$V496=$B$10),OR($E$5="(All)",'Master Database'!$F496=$E$5),OR($E$6="(All)",'Master Database'!$G496=$E$6),OR($E$7="(All)",'Master Database'!$O496=$E$7),OR($E$8="(All)",'Master Database'!$P496=$E$8),OR($E$9="(All)",'Master Database'!$S496=$E$9),OR($E$10="(All)",'Master Database'!$Y496&amp;""=$E$10&amp;""),OR($H$5="(All)",'Master Database'!$BG496=$H$5),OR($H$6&lt;&gt;"Y",ISNUMBER('Master Database'!$AG496)),OR($H$7="",AND(ISNUMBER('Master Database'!$H496),N('Master Database'!$H496)&gt;=$H$7)),OR($I$7="",AND(ISNUMBER('Master Database'!$H496),N('Master Database'!$H496)&lt;=$I$7)),OR($H$8="",AND(ISNUMBER('Master Database'!$I496),N('Master Database'!$I496)&gt;=$H$8)),OR($I$8="",AND(ISNUMBER('Master Database'!$I496),N('Master Database'!$I496)&lt;=$I$8)),OR($H$9="",AND(ISNUMBER('Master Database'!$K496),N('Master Database'!$K496)&gt;=$H$9)),OR($I$9="",AND(ISNUMBER('Master Database'!$K496),N('Master Database'!$K496)&lt;=$I$9))),1,0))</f>
        <v>0</v>
      </c>
      <c r="BB496" t="str">
        <f>IF(BA496=1,COUNTIF($BA$5:BA496,1),"")</f>
        <v/>
      </c>
    </row>
    <row r="497" spans="53:54">
      <c r="BA497">
        <f>IF('Master Database'!$A497="",0,IF(AND(OR($B$5="",ISNUMBER(SEARCH($B$5,'Master Database'!$B497&amp;" "&amp;'Master Database'!$D497))),OR($B$6="(All)",'Master Database'!$C497=$B$6),OR($B$7="(All)",'Master Database'!$E497=$B$7),OR($B$8="(All)",'Master Database'!$T497=$B$8),OR($B$9="(All)",'Master Database'!$M497=$B$9),OR($B$10="(All)",'Master Database'!$V497=$B$10),OR($E$5="(All)",'Master Database'!$F497=$E$5),OR($E$6="(All)",'Master Database'!$G497=$E$6),OR($E$7="(All)",'Master Database'!$O497=$E$7),OR($E$8="(All)",'Master Database'!$P497=$E$8),OR($E$9="(All)",'Master Database'!$S497=$E$9),OR($E$10="(All)",'Master Database'!$Y497&amp;""=$E$10&amp;""),OR($H$5="(All)",'Master Database'!$BG497=$H$5),OR($H$6&lt;&gt;"Y",ISNUMBER('Master Database'!$AG497)),OR($H$7="",AND(ISNUMBER('Master Database'!$H497),N('Master Database'!$H497)&gt;=$H$7)),OR($I$7="",AND(ISNUMBER('Master Database'!$H497),N('Master Database'!$H497)&lt;=$I$7)),OR($H$8="",AND(ISNUMBER('Master Database'!$I497),N('Master Database'!$I497)&gt;=$H$8)),OR($I$8="",AND(ISNUMBER('Master Database'!$I497),N('Master Database'!$I497)&lt;=$I$8)),OR($H$9="",AND(ISNUMBER('Master Database'!$K497),N('Master Database'!$K497)&gt;=$H$9)),OR($I$9="",AND(ISNUMBER('Master Database'!$K497),N('Master Database'!$K497)&lt;=$I$9))),1,0))</f>
        <v>0</v>
      </c>
      <c r="BB497" t="str">
        <f>IF(BA497=1,COUNTIF($BA$5:BA497,1),"")</f>
        <v/>
      </c>
    </row>
    <row r="498" spans="53:54">
      <c r="BA498">
        <f>IF('Master Database'!$A498="",0,IF(AND(OR($B$5="",ISNUMBER(SEARCH($B$5,'Master Database'!$B498&amp;" "&amp;'Master Database'!$D498))),OR($B$6="(All)",'Master Database'!$C498=$B$6),OR($B$7="(All)",'Master Database'!$E498=$B$7),OR($B$8="(All)",'Master Database'!$T498=$B$8),OR($B$9="(All)",'Master Database'!$M498=$B$9),OR($B$10="(All)",'Master Database'!$V498=$B$10),OR($E$5="(All)",'Master Database'!$F498=$E$5),OR($E$6="(All)",'Master Database'!$G498=$E$6),OR($E$7="(All)",'Master Database'!$O498=$E$7),OR($E$8="(All)",'Master Database'!$P498=$E$8),OR($E$9="(All)",'Master Database'!$S498=$E$9),OR($E$10="(All)",'Master Database'!$Y498&amp;""=$E$10&amp;""),OR($H$5="(All)",'Master Database'!$BG498=$H$5),OR($H$6&lt;&gt;"Y",ISNUMBER('Master Database'!$AG498)),OR($H$7="",AND(ISNUMBER('Master Database'!$H498),N('Master Database'!$H498)&gt;=$H$7)),OR($I$7="",AND(ISNUMBER('Master Database'!$H498),N('Master Database'!$H498)&lt;=$I$7)),OR($H$8="",AND(ISNUMBER('Master Database'!$I498),N('Master Database'!$I498)&gt;=$H$8)),OR($I$8="",AND(ISNUMBER('Master Database'!$I498),N('Master Database'!$I498)&lt;=$I$8)),OR($H$9="",AND(ISNUMBER('Master Database'!$K498),N('Master Database'!$K498)&gt;=$H$9)),OR($I$9="",AND(ISNUMBER('Master Database'!$K498),N('Master Database'!$K498)&lt;=$I$9))),1,0))</f>
        <v>0</v>
      </c>
      <c r="BB498" t="str">
        <f>IF(BA498=1,COUNTIF($BA$5:BA498,1),"")</f>
        <v/>
      </c>
    </row>
    <row r="499" spans="53:54">
      <c r="BA499">
        <f>IF('Master Database'!$A499="",0,IF(AND(OR($B$5="",ISNUMBER(SEARCH($B$5,'Master Database'!$B499&amp;" "&amp;'Master Database'!$D499))),OR($B$6="(All)",'Master Database'!$C499=$B$6),OR($B$7="(All)",'Master Database'!$E499=$B$7),OR($B$8="(All)",'Master Database'!$T499=$B$8),OR($B$9="(All)",'Master Database'!$M499=$B$9),OR($B$10="(All)",'Master Database'!$V499=$B$10),OR($E$5="(All)",'Master Database'!$F499=$E$5),OR($E$6="(All)",'Master Database'!$G499=$E$6),OR($E$7="(All)",'Master Database'!$O499=$E$7),OR($E$8="(All)",'Master Database'!$P499=$E$8),OR($E$9="(All)",'Master Database'!$S499=$E$9),OR($E$10="(All)",'Master Database'!$Y499&amp;""=$E$10&amp;""),OR($H$5="(All)",'Master Database'!$BG499=$H$5),OR($H$6&lt;&gt;"Y",ISNUMBER('Master Database'!$AG499)),OR($H$7="",AND(ISNUMBER('Master Database'!$H499),N('Master Database'!$H499)&gt;=$H$7)),OR($I$7="",AND(ISNUMBER('Master Database'!$H499),N('Master Database'!$H499)&lt;=$I$7)),OR($H$8="",AND(ISNUMBER('Master Database'!$I499),N('Master Database'!$I499)&gt;=$H$8)),OR($I$8="",AND(ISNUMBER('Master Database'!$I499),N('Master Database'!$I499)&lt;=$I$8)),OR($H$9="",AND(ISNUMBER('Master Database'!$K499),N('Master Database'!$K499)&gt;=$H$9)),OR($I$9="",AND(ISNUMBER('Master Database'!$K499),N('Master Database'!$K499)&lt;=$I$9))),1,0))</f>
        <v>0</v>
      </c>
      <c r="BB499" t="str">
        <f>IF(BA499=1,COUNTIF($BA$5:BA499,1),"")</f>
        <v/>
      </c>
    </row>
    <row r="500" spans="53:54">
      <c r="BA500">
        <f>IF('Master Database'!$A500="",0,IF(AND(OR($B$5="",ISNUMBER(SEARCH($B$5,'Master Database'!$B500&amp;" "&amp;'Master Database'!$D500))),OR($B$6="(All)",'Master Database'!$C500=$B$6),OR($B$7="(All)",'Master Database'!$E500=$B$7),OR($B$8="(All)",'Master Database'!$T500=$B$8),OR($B$9="(All)",'Master Database'!$M500=$B$9),OR($B$10="(All)",'Master Database'!$V500=$B$10),OR($E$5="(All)",'Master Database'!$F500=$E$5),OR($E$6="(All)",'Master Database'!$G500=$E$6),OR($E$7="(All)",'Master Database'!$O500=$E$7),OR($E$8="(All)",'Master Database'!$P500=$E$8),OR($E$9="(All)",'Master Database'!$S500=$E$9),OR($E$10="(All)",'Master Database'!$Y500&amp;""=$E$10&amp;""),OR($H$5="(All)",'Master Database'!$BG500=$H$5),OR($H$6&lt;&gt;"Y",ISNUMBER('Master Database'!$AG500)),OR($H$7="",AND(ISNUMBER('Master Database'!$H500),N('Master Database'!$H500)&gt;=$H$7)),OR($I$7="",AND(ISNUMBER('Master Database'!$H500),N('Master Database'!$H500)&lt;=$I$7)),OR($H$8="",AND(ISNUMBER('Master Database'!$I500),N('Master Database'!$I500)&gt;=$H$8)),OR($I$8="",AND(ISNUMBER('Master Database'!$I500),N('Master Database'!$I500)&lt;=$I$8)),OR($H$9="",AND(ISNUMBER('Master Database'!$K500),N('Master Database'!$K500)&gt;=$H$9)),OR($I$9="",AND(ISNUMBER('Master Database'!$K500),N('Master Database'!$K500)&lt;=$I$9))),1,0))</f>
        <v>0</v>
      </c>
      <c r="BB500" t="str">
        <f>IF(BA500=1,COUNTIF($BA$5:BA500,1),"")</f>
        <v/>
      </c>
    </row>
    <row r="501" spans="53:54">
      <c r="BA501">
        <f>IF('Master Database'!$A501="",0,IF(AND(OR($B$5="",ISNUMBER(SEARCH($B$5,'Master Database'!$B501&amp;" "&amp;'Master Database'!$D501))),OR($B$6="(All)",'Master Database'!$C501=$B$6),OR($B$7="(All)",'Master Database'!$E501=$B$7),OR($B$8="(All)",'Master Database'!$T501=$B$8),OR($B$9="(All)",'Master Database'!$M501=$B$9),OR($B$10="(All)",'Master Database'!$V501=$B$10),OR($E$5="(All)",'Master Database'!$F501=$E$5),OR($E$6="(All)",'Master Database'!$G501=$E$6),OR($E$7="(All)",'Master Database'!$O501=$E$7),OR($E$8="(All)",'Master Database'!$P501=$E$8),OR($E$9="(All)",'Master Database'!$S501=$E$9),OR($E$10="(All)",'Master Database'!$Y501&amp;""=$E$10&amp;""),OR($H$5="(All)",'Master Database'!$BG501=$H$5),OR($H$6&lt;&gt;"Y",ISNUMBER('Master Database'!$AG501)),OR($H$7="",AND(ISNUMBER('Master Database'!$H501),N('Master Database'!$H501)&gt;=$H$7)),OR($I$7="",AND(ISNUMBER('Master Database'!$H501),N('Master Database'!$H501)&lt;=$I$7)),OR($H$8="",AND(ISNUMBER('Master Database'!$I501),N('Master Database'!$I501)&gt;=$H$8)),OR($I$8="",AND(ISNUMBER('Master Database'!$I501),N('Master Database'!$I501)&lt;=$I$8)),OR($H$9="",AND(ISNUMBER('Master Database'!$K501),N('Master Database'!$K501)&gt;=$H$9)),OR($I$9="",AND(ISNUMBER('Master Database'!$K501),N('Master Database'!$K501)&lt;=$I$9))),1,0))</f>
        <v>0</v>
      </c>
      <c r="BB501" t="str">
        <f>IF(BA501=1,COUNTIF($BA$5:BA501,1),"")</f>
        <v/>
      </c>
    </row>
    <row r="502" spans="53:54">
      <c r="BA502">
        <f>IF('Master Database'!$A502="",0,IF(AND(OR($B$5="",ISNUMBER(SEARCH($B$5,'Master Database'!$B502&amp;" "&amp;'Master Database'!$D502))),OR($B$6="(All)",'Master Database'!$C502=$B$6),OR($B$7="(All)",'Master Database'!$E502=$B$7),OR($B$8="(All)",'Master Database'!$T502=$B$8),OR($B$9="(All)",'Master Database'!$M502=$B$9),OR($B$10="(All)",'Master Database'!$V502=$B$10),OR($E$5="(All)",'Master Database'!$F502=$E$5),OR($E$6="(All)",'Master Database'!$G502=$E$6),OR($E$7="(All)",'Master Database'!$O502=$E$7),OR($E$8="(All)",'Master Database'!$P502=$E$8),OR($E$9="(All)",'Master Database'!$S502=$E$9),OR($E$10="(All)",'Master Database'!$Y502&amp;""=$E$10&amp;""),OR($H$5="(All)",'Master Database'!$BG502=$H$5),OR($H$6&lt;&gt;"Y",ISNUMBER('Master Database'!$AG502)),OR($H$7="",AND(ISNUMBER('Master Database'!$H502),N('Master Database'!$H502)&gt;=$H$7)),OR($I$7="",AND(ISNUMBER('Master Database'!$H502),N('Master Database'!$H502)&lt;=$I$7)),OR($H$8="",AND(ISNUMBER('Master Database'!$I502),N('Master Database'!$I502)&gt;=$H$8)),OR($I$8="",AND(ISNUMBER('Master Database'!$I502),N('Master Database'!$I502)&lt;=$I$8)),OR($H$9="",AND(ISNUMBER('Master Database'!$K502),N('Master Database'!$K502)&gt;=$H$9)),OR($I$9="",AND(ISNUMBER('Master Database'!$K502),N('Master Database'!$K502)&lt;=$I$9))),1,0))</f>
        <v>0</v>
      </c>
      <c r="BB502" t="str">
        <f>IF(BA502=1,COUNTIF($BA$5:BA502,1),"")</f>
        <v/>
      </c>
    </row>
    <row r="503" spans="53:54">
      <c r="BA503">
        <f>IF('Master Database'!$A503="",0,IF(AND(OR($B$5="",ISNUMBER(SEARCH($B$5,'Master Database'!$B503&amp;" "&amp;'Master Database'!$D503))),OR($B$6="(All)",'Master Database'!$C503=$B$6),OR($B$7="(All)",'Master Database'!$E503=$B$7),OR($B$8="(All)",'Master Database'!$T503=$B$8),OR($B$9="(All)",'Master Database'!$M503=$B$9),OR($B$10="(All)",'Master Database'!$V503=$B$10),OR($E$5="(All)",'Master Database'!$F503=$E$5),OR($E$6="(All)",'Master Database'!$G503=$E$6),OR($E$7="(All)",'Master Database'!$O503=$E$7),OR($E$8="(All)",'Master Database'!$P503=$E$8),OR($E$9="(All)",'Master Database'!$S503=$E$9),OR($E$10="(All)",'Master Database'!$Y503&amp;""=$E$10&amp;""),OR($H$5="(All)",'Master Database'!$BG503=$H$5),OR($H$6&lt;&gt;"Y",ISNUMBER('Master Database'!$AG503)),OR($H$7="",AND(ISNUMBER('Master Database'!$H503),N('Master Database'!$H503)&gt;=$H$7)),OR($I$7="",AND(ISNUMBER('Master Database'!$H503),N('Master Database'!$H503)&lt;=$I$7)),OR($H$8="",AND(ISNUMBER('Master Database'!$I503),N('Master Database'!$I503)&gt;=$H$8)),OR($I$8="",AND(ISNUMBER('Master Database'!$I503),N('Master Database'!$I503)&lt;=$I$8)),OR($H$9="",AND(ISNUMBER('Master Database'!$K503),N('Master Database'!$K503)&gt;=$H$9)),OR($I$9="",AND(ISNUMBER('Master Database'!$K503),N('Master Database'!$K503)&lt;=$I$9))),1,0))</f>
        <v>0</v>
      </c>
      <c r="BB503" t="str">
        <f>IF(BA503=1,COUNTIF($BA$5:BA503,1),"")</f>
        <v/>
      </c>
    </row>
    <row r="504" spans="53:54">
      <c r="BA504">
        <f>IF('Master Database'!$A504="",0,IF(AND(OR($B$5="",ISNUMBER(SEARCH($B$5,'Master Database'!$B504&amp;" "&amp;'Master Database'!$D504))),OR($B$6="(All)",'Master Database'!$C504=$B$6),OR($B$7="(All)",'Master Database'!$E504=$B$7),OR($B$8="(All)",'Master Database'!$T504=$B$8),OR($B$9="(All)",'Master Database'!$M504=$B$9),OR($B$10="(All)",'Master Database'!$V504=$B$10),OR($E$5="(All)",'Master Database'!$F504=$E$5),OR($E$6="(All)",'Master Database'!$G504=$E$6),OR($E$7="(All)",'Master Database'!$O504=$E$7),OR($E$8="(All)",'Master Database'!$P504=$E$8),OR($E$9="(All)",'Master Database'!$S504=$E$9),OR($E$10="(All)",'Master Database'!$Y504&amp;""=$E$10&amp;""),OR($H$5="(All)",'Master Database'!$BG504=$H$5),OR($H$6&lt;&gt;"Y",ISNUMBER('Master Database'!$AG504)),OR($H$7="",AND(ISNUMBER('Master Database'!$H504),N('Master Database'!$H504)&gt;=$H$7)),OR($I$7="",AND(ISNUMBER('Master Database'!$H504),N('Master Database'!$H504)&lt;=$I$7)),OR($H$8="",AND(ISNUMBER('Master Database'!$I504),N('Master Database'!$I504)&gt;=$H$8)),OR($I$8="",AND(ISNUMBER('Master Database'!$I504),N('Master Database'!$I504)&lt;=$I$8)),OR($H$9="",AND(ISNUMBER('Master Database'!$K504),N('Master Database'!$K504)&gt;=$H$9)),OR($I$9="",AND(ISNUMBER('Master Database'!$K504),N('Master Database'!$K504)&lt;=$I$9))),1,0))</f>
        <v>0</v>
      </c>
      <c r="BB504" t="str">
        <f>IF(BA504=1,COUNTIF($BA$5:BA504,1),"")</f>
        <v/>
      </c>
    </row>
    <row r="505" spans="53:54">
      <c r="BA505">
        <f>IF('Master Database'!$A505="",0,IF(AND(OR($B$5="",ISNUMBER(SEARCH($B$5,'Master Database'!$B505&amp;" "&amp;'Master Database'!$D505))),OR($B$6="(All)",'Master Database'!$C505=$B$6),OR($B$7="(All)",'Master Database'!$E505=$B$7),OR($B$8="(All)",'Master Database'!$T505=$B$8),OR($B$9="(All)",'Master Database'!$M505=$B$9),OR($B$10="(All)",'Master Database'!$V505=$B$10),OR($E$5="(All)",'Master Database'!$F505=$E$5),OR($E$6="(All)",'Master Database'!$G505=$E$6),OR($E$7="(All)",'Master Database'!$O505=$E$7),OR($E$8="(All)",'Master Database'!$P505=$E$8),OR($E$9="(All)",'Master Database'!$S505=$E$9),OR($E$10="(All)",'Master Database'!$Y505&amp;""=$E$10&amp;""),OR($H$5="(All)",'Master Database'!$BG505=$H$5),OR($H$6&lt;&gt;"Y",ISNUMBER('Master Database'!$AG505)),OR($H$7="",AND(ISNUMBER('Master Database'!$H505),N('Master Database'!$H505)&gt;=$H$7)),OR($I$7="",AND(ISNUMBER('Master Database'!$H505),N('Master Database'!$H505)&lt;=$I$7)),OR($H$8="",AND(ISNUMBER('Master Database'!$I505),N('Master Database'!$I505)&gt;=$H$8)),OR($I$8="",AND(ISNUMBER('Master Database'!$I505),N('Master Database'!$I505)&lt;=$I$8)),OR($H$9="",AND(ISNUMBER('Master Database'!$K505),N('Master Database'!$K505)&gt;=$H$9)),OR($I$9="",AND(ISNUMBER('Master Database'!$K505),N('Master Database'!$K505)&lt;=$I$9))),1,0))</f>
        <v>0</v>
      </c>
      <c r="BB505" t="str">
        <f>IF(BA505=1,COUNTIF($BA$5:BA505,1),"")</f>
        <v/>
      </c>
    </row>
    <row r="506" spans="53:54">
      <c r="BA506">
        <f>IF('Master Database'!$A506="",0,IF(AND(OR($B$5="",ISNUMBER(SEARCH($B$5,'Master Database'!$B506&amp;" "&amp;'Master Database'!$D506))),OR($B$6="(All)",'Master Database'!$C506=$B$6),OR($B$7="(All)",'Master Database'!$E506=$B$7),OR($B$8="(All)",'Master Database'!$T506=$B$8),OR($B$9="(All)",'Master Database'!$M506=$B$9),OR($B$10="(All)",'Master Database'!$V506=$B$10),OR($E$5="(All)",'Master Database'!$F506=$E$5),OR($E$6="(All)",'Master Database'!$G506=$E$6),OR($E$7="(All)",'Master Database'!$O506=$E$7),OR($E$8="(All)",'Master Database'!$P506=$E$8),OR($E$9="(All)",'Master Database'!$S506=$E$9),OR($E$10="(All)",'Master Database'!$Y506&amp;""=$E$10&amp;""),OR($H$5="(All)",'Master Database'!$BG506=$H$5),OR($H$6&lt;&gt;"Y",ISNUMBER('Master Database'!$AG506)),OR($H$7="",AND(ISNUMBER('Master Database'!$H506),N('Master Database'!$H506)&gt;=$H$7)),OR($I$7="",AND(ISNUMBER('Master Database'!$H506),N('Master Database'!$H506)&lt;=$I$7)),OR($H$8="",AND(ISNUMBER('Master Database'!$I506),N('Master Database'!$I506)&gt;=$H$8)),OR($I$8="",AND(ISNUMBER('Master Database'!$I506),N('Master Database'!$I506)&lt;=$I$8)),OR($H$9="",AND(ISNUMBER('Master Database'!$K506),N('Master Database'!$K506)&gt;=$H$9)),OR($I$9="",AND(ISNUMBER('Master Database'!$K506),N('Master Database'!$K506)&lt;=$I$9))),1,0))</f>
        <v>0</v>
      </c>
      <c r="BB506" t="str">
        <f>IF(BA506=1,COUNTIF($BA$5:BA506,1),"")</f>
        <v/>
      </c>
    </row>
    <row r="507" spans="53:54">
      <c r="BA507">
        <f>IF('Master Database'!$A507="",0,IF(AND(OR($B$5="",ISNUMBER(SEARCH($B$5,'Master Database'!$B507&amp;" "&amp;'Master Database'!$D507))),OR($B$6="(All)",'Master Database'!$C507=$B$6),OR($B$7="(All)",'Master Database'!$E507=$B$7),OR($B$8="(All)",'Master Database'!$T507=$B$8),OR($B$9="(All)",'Master Database'!$M507=$B$9),OR($B$10="(All)",'Master Database'!$V507=$B$10),OR($E$5="(All)",'Master Database'!$F507=$E$5),OR($E$6="(All)",'Master Database'!$G507=$E$6),OR($E$7="(All)",'Master Database'!$O507=$E$7),OR($E$8="(All)",'Master Database'!$P507=$E$8),OR($E$9="(All)",'Master Database'!$S507=$E$9),OR($E$10="(All)",'Master Database'!$Y507&amp;""=$E$10&amp;""),OR($H$5="(All)",'Master Database'!$BG507=$H$5),OR($H$6&lt;&gt;"Y",ISNUMBER('Master Database'!$AG507)),OR($H$7="",AND(ISNUMBER('Master Database'!$H507),N('Master Database'!$H507)&gt;=$H$7)),OR($I$7="",AND(ISNUMBER('Master Database'!$H507),N('Master Database'!$H507)&lt;=$I$7)),OR($H$8="",AND(ISNUMBER('Master Database'!$I507),N('Master Database'!$I507)&gt;=$H$8)),OR($I$8="",AND(ISNUMBER('Master Database'!$I507),N('Master Database'!$I507)&lt;=$I$8)),OR($H$9="",AND(ISNUMBER('Master Database'!$K507),N('Master Database'!$K507)&gt;=$H$9)),OR($I$9="",AND(ISNUMBER('Master Database'!$K507),N('Master Database'!$K507)&lt;=$I$9))),1,0))</f>
        <v>0</v>
      </c>
      <c r="BB507" t="str">
        <f>IF(BA507=1,COUNTIF($BA$5:BA507,1),"")</f>
        <v/>
      </c>
    </row>
    <row r="508" spans="53:54">
      <c r="BA508">
        <f>IF('Master Database'!$A508="",0,IF(AND(OR($B$5="",ISNUMBER(SEARCH($B$5,'Master Database'!$B508&amp;" "&amp;'Master Database'!$D508))),OR($B$6="(All)",'Master Database'!$C508=$B$6),OR($B$7="(All)",'Master Database'!$E508=$B$7),OR($B$8="(All)",'Master Database'!$T508=$B$8),OR($B$9="(All)",'Master Database'!$M508=$B$9),OR($B$10="(All)",'Master Database'!$V508=$B$10),OR($E$5="(All)",'Master Database'!$F508=$E$5),OR($E$6="(All)",'Master Database'!$G508=$E$6),OR($E$7="(All)",'Master Database'!$O508=$E$7),OR($E$8="(All)",'Master Database'!$P508=$E$8),OR($E$9="(All)",'Master Database'!$S508=$E$9),OR($E$10="(All)",'Master Database'!$Y508&amp;""=$E$10&amp;""),OR($H$5="(All)",'Master Database'!$BG508=$H$5),OR($H$6&lt;&gt;"Y",ISNUMBER('Master Database'!$AG508)),OR($H$7="",AND(ISNUMBER('Master Database'!$H508),N('Master Database'!$H508)&gt;=$H$7)),OR($I$7="",AND(ISNUMBER('Master Database'!$H508),N('Master Database'!$H508)&lt;=$I$7)),OR($H$8="",AND(ISNUMBER('Master Database'!$I508),N('Master Database'!$I508)&gt;=$H$8)),OR($I$8="",AND(ISNUMBER('Master Database'!$I508),N('Master Database'!$I508)&lt;=$I$8)),OR($H$9="",AND(ISNUMBER('Master Database'!$K508),N('Master Database'!$K508)&gt;=$H$9)),OR($I$9="",AND(ISNUMBER('Master Database'!$K508),N('Master Database'!$K508)&lt;=$I$9))),1,0))</f>
        <v>0</v>
      </c>
      <c r="BB508" t="str">
        <f>IF(BA508=1,COUNTIF($BA$5:BA508,1),"")</f>
        <v/>
      </c>
    </row>
    <row r="509" spans="53:54">
      <c r="BA509">
        <f>IF('Master Database'!$A509="",0,IF(AND(OR($B$5="",ISNUMBER(SEARCH($B$5,'Master Database'!$B509&amp;" "&amp;'Master Database'!$D509))),OR($B$6="(All)",'Master Database'!$C509=$B$6),OR($B$7="(All)",'Master Database'!$E509=$B$7),OR($B$8="(All)",'Master Database'!$T509=$B$8),OR($B$9="(All)",'Master Database'!$M509=$B$9),OR($B$10="(All)",'Master Database'!$V509=$B$10),OR($E$5="(All)",'Master Database'!$F509=$E$5),OR($E$6="(All)",'Master Database'!$G509=$E$6),OR($E$7="(All)",'Master Database'!$O509=$E$7),OR($E$8="(All)",'Master Database'!$P509=$E$8),OR($E$9="(All)",'Master Database'!$S509=$E$9),OR($E$10="(All)",'Master Database'!$Y509&amp;""=$E$10&amp;""),OR($H$5="(All)",'Master Database'!$BG509=$H$5),OR($H$6&lt;&gt;"Y",ISNUMBER('Master Database'!$AG509)),OR($H$7="",AND(ISNUMBER('Master Database'!$H509),N('Master Database'!$H509)&gt;=$H$7)),OR($I$7="",AND(ISNUMBER('Master Database'!$H509),N('Master Database'!$H509)&lt;=$I$7)),OR($H$8="",AND(ISNUMBER('Master Database'!$I509),N('Master Database'!$I509)&gt;=$H$8)),OR($I$8="",AND(ISNUMBER('Master Database'!$I509),N('Master Database'!$I509)&lt;=$I$8)),OR($H$9="",AND(ISNUMBER('Master Database'!$K509),N('Master Database'!$K509)&gt;=$H$9)),OR($I$9="",AND(ISNUMBER('Master Database'!$K509),N('Master Database'!$K509)&lt;=$I$9))),1,0))</f>
        <v>0</v>
      </c>
      <c r="BB509" t="str">
        <f>IF(BA509=1,COUNTIF($BA$5:BA509,1),"")</f>
        <v/>
      </c>
    </row>
    <row r="510" spans="53:54">
      <c r="BA510">
        <f>IF('Master Database'!$A510="",0,IF(AND(OR($B$5="",ISNUMBER(SEARCH($B$5,'Master Database'!$B510&amp;" "&amp;'Master Database'!$D510))),OR($B$6="(All)",'Master Database'!$C510=$B$6),OR($B$7="(All)",'Master Database'!$E510=$B$7),OR($B$8="(All)",'Master Database'!$T510=$B$8),OR($B$9="(All)",'Master Database'!$M510=$B$9),OR($B$10="(All)",'Master Database'!$V510=$B$10),OR($E$5="(All)",'Master Database'!$F510=$E$5),OR($E$6="(All)",'Master Database'!$G510=$E$6),OR($E$7="(All)",'Master Database'!$O510=$E$7),OR($E$8="(All)",'Master Database'!$P510=$E$8),OR($E$9="(All)",'Master Database'!$S510=$E$9),OR($E$10="(All)",'Master Database'!$Y510&amp;""=$E$10&amp;""),OR($H$5="(All)",'Master Database'!$BG510=$H$5),OR($H$6&lt;&gt;"Y",ISNUMBER('Master Database'!$AG510)),OR($H$7="",AND(ISNUMBER('Master Database'!$H510),N('Master Database'!$H510)&gt;=$H$7)),OR($I$7="",AND(ISNUMBER('Master Database'!$H510),N('Master Database'!$H510)&lt;=$I$7)),OR($H$8="",AND(ISNUMBER('Master Database'!$I510),N('Master Database'!$I510)&gt;=$H$8)),OR($I$8="",AND(ISNUMBER('Master Database'!$I510),N('Master Database'!$I510)&lt;=$I$8)),OR($H$9="",AND(ISNUMBER('Master Database'!$K510),N('Master Database'!$K510)&gt;=$H$9)),OR($I$9="",AND(ISNUMBER('Master Database'!$K510),N('Master Database'!$K510)&lt;=$I$9))),1,0))</f>
        <v>0</v>
      </c>
      <c r="BB510" t="str">
        <f>IF(BA510=1,COUNTIF($BA$5:BA510,1),"")</f>
        <v/>
      </c>
    </row>
    <row r="511" spans="53:54">
      <c r="BA511">
        <f>IF('Master Database'!$A511="",0,IF(AND(OR($B$5="",ISNUMBER(SEARCH($B$5,'Master Database'!$B511&amp;" "&amp;'Master Database'!$D511))),OR($B$6="(All)",'Master Database'!$C511=$B$6),OR($B$7="(All)",'Master Database'!$E511=$B$7),OR($B$8="(All)",'Master Database'!$T511=$B$8),OR($B$9="(All)",'Master Database'!$M511=$B$9),OR($B$10="(All)",'Master Database'!$V511=$B$10),OR($E$5="(All)",'Master Database'!$F511=$E$5),OR($E$6="(All)",'Master Database'!$G511=$E$6),OR($E$7="(All)",'Master Database'!$O511=$E$7),OR($E$8="(All)",'Master Database'!$P511=$E$8),OR($E$9="(All)",'Master Database'!$S511=$E$9),OR($E$10="(All)",'Master Database'!$Y511&amp;""=$E$10&amp;""),OR($H$5="(All)",'Master Database'!$BG511=$H$5),OR($H$6&lt;&gt;"Y",ISNUMBER('Master Database'!$AG511)),OR($H$7="",AND(ISNUMBER('Master Database'!$H511),N('Master Database'!$H511)&gt;=$H$7)),OR($I$7="",AND(ISNUMBER('Master Database'!$H511),N('Master Database'!$H511)&lt;=$I$7)),OR($H$8="",AND(ISNUMBER('Master Database'!$I511),N('Master Database'!$I511)&gt;=$H$8)),OR($I$8="",AND(ISNUMBER('Master Database'!$I511),N('Master Database'!$I511)&lt;=$I$8)),OR($H$9="",AND(ISNUMBER('Master Database'!$K511),N('Master Database'!$K511)&gt;=$H$9)),OR($I$9="",AND(ISNUMBER('Master Database'!$K511),N('Master Database'!$K511)&lt;=$I$9))),1,0))</f>
        <v>0</v>
      </c>
      <c r="BB511" t="str">
        <f>IF(BA511=1,COUNTIF($BA$5:BA511,1),"")</f>
        <v/>
      </c>
    </row>
    <row r="512" spans="53:54">
      <c r="BA512">
        <f>IF('Master Database'!$A512="",0,IF(AND(OR($B$5="",ISNUMBER(SEARCH($B$5,'Master Database'!$B512&amp;" "&amp;'Master Database'!$D512))),OR($B$6="(All)",'Master Database'!$C512=$B$6),OR($B$7="(All)",'Master Database'!$E512=$B$7),OR($B$8="(All)",'Master Database'!$T512=$B$8),OR($B$9="(All)",'Master Database'!$M512=$B$9),OR($B$10="(All)",'Master Database'!$V512=$B$10),OR($E$5="(All)",'Master Database'!$F512=$E$5),OR($E$6="(All)",'Master Database'!$G512=$E$6),OR($E$7="(All)",'Master Database'!$O512=$E$7),OR($E$8="(All)",'Master Database'!$P512=$E$8),OR($E$9="(All)",'Master Database'!$S512=$E$9),OR($E$10="(All)",'Master Database'!$Y512&amp;""=$E$10&amp;""),OR($H$5="(All)",'Master Database'!$BG512=$H$5),OR($H$6&lt;&gt;"Y",ISNUMBER('Master Database'!$AG512)),OR($H$7="",AND(ISNUMBER('Master Database'!$H512),N('Master Database'!$H512)&gt;=$H$7)),OR($I$7="",AND(ISNUMBER('Master Database'!$H512),N('Master Database'!$H512)&lt;=$I$7)),OR($H$8="",AND(ISNUMBER('Master Database'!$I512),N('Master Database'!$I512)&gt;=$H$8)),OR($I$8="",AND(ISNUMBER('Master Database'!$I512),N('Master Database'!$I512)&lt;=$I$8)),OR($H$9="",AND(ISNUMBER('Master Database'!$K512),N('Master Database'!$K512)&gt;=$H$9)),OR($I$9="",AND(ISNUMBER('Master Database'!$K512),N('Master Database'!$K512)&lt;=$I$9))),1,0))</f>
        <v>0</v>
      </c>
      <c r="BB512" t="str">
        <f>IF(BA512=1,COUNTIF($BA$5:BA512,1),"")</f>
        <v/>
      </c>
    </row>
    <row r="513" spans="53:54">
      <c r="BA513">
        <f>IF('Master Database'!$A513="",0,IF(AND(OR($B$5="",ISNUMBER(SEARCH($B$5,'Master Database'!$B513&amp;" "&amp;'Master Database'!$D513))),OR($B$6="(All)",'Master Database'!$C513=$B$6),OR($B$7="(All)",'Master Database'!$E513=$B$7),OR($B$8="(All)",'Master Database'!$T513=$B$8),OR($B$9="(All)",'Master Database'!$M513=$B$9),OR($B$10="(All)",'Master Database'!$V513=$B$10),OR($E$5="(All)",'Master Database'!$F513=$E$5),OR($E$6="(All)",'Master Database'!$G513=$E$6),OR($E$7="(All)",'Master Database'!$O513=$E$7),OR($E$8="(All)",'Master Database'!$P513=$E$8),OR($E$9="(All)",'Master Database'!$S513=$E$9),OR($E$10="(All)",'Master Database'!$Y513&amp;""=$E$10&amp;""),OR($H$5="(All)",'Master Database'!$BG513=$H$5),OR($H$6&lt;&gt;"Y",ISNUMBER('Master Database'!$AG513)),OR($H$7="",AND(ISNUMBER('Master Database'!$H513),N('Master Database'!$H513)&gt;=$H$7)),OR($I$7="",AND(ISNUMBER('Master Database'!$H513),N('Master Database'!$H513)&lt;=$I$7)),OR($H$8="",AND(ISNUMBER('Master Database'!$I513),N('Master Database'!$I513)&gt;=$H$8)),OR($I$8="",AND(ISNUMBER('Master Database'!$I513),N('Master Database'!$I513)&lt;=$I$8)),OR($H$9="",AND(ISNUMBER('Master Database'!$K513),N('Master Database'!$K513)&gt;=$H$9)),OR($I$9="",AND(ISNUMBER('Master Database'!$K513),N('Master Database'!$K513)&lt;=$I$9))),1,0))</f>
        <v>0</v>
      </c>
      <c r="BB513" t="str">
        <f>IF(BA513=1,COUNTIF($BA$5:BA513,1),"")</f>
        <v/>
      </c>
    </row>
    <row r="514" spans="53:54">
      <c r="BA514">
        <f>IF('Master Database'!$A514="",0,IF(AND(OR($B$5="",ISNUMBER(SEARCH($B$5,'Master Database'!$B514&amp;" "&amp;'Master Database'!$D514))),OR($B$6="(All)",'Master Database'!$C514=$B$6),OR($B$7="(All)",'Master Database'!$E514=$B$7),OR($B$8="(All)",'Master Database'!$T514=$B$8),OR($B$9="(All)",'Master Database'!$M514=$B$9),OR($B$10="(All)",'Master Database'!$V514=$B$10),OR($E$5="(All)",'Master Database'!$F514=$E$5),OR($E$6="(All)",'Master Database'!$G514=$E$6),OR($E$7="(All)",'Master Database'!$O514=$E$7),OR($E$8="(All)",'Master Database'!$P514=$E$8),OR($E$9="(All)",'Master Database'!$S514=$E$9),OR($E$10="(All)",'Master Database'!$Y514&amp;""=$E$10&amp;""),OR($H$5="(All)",'Master Database'!$BG514=$H$5),OR($H$6&lt;&gt;"Y",ISNUMBER('Master Database'!$AG514)),OR($H$7="",AND(ISNUMBER('Master Database'!$H514),N('Master Database'!$H514)&gt;=$H$7)),OR($I$7="",AND(ISNUMBER('Master Database'!$H514),N('Master Database'!$H514)&lt;=$I$7)),OR($H$8="",AND(ISNUMBER('Master Database'!$I514),N('Master Database'!$I514)&gt;=$H$8)),OR($I$8="",AND(ISNUMBER('Master Database'!$I514),N('Master Database'!$I514)&lt;=$I$8)),OR($H$9="",AND(ISNUMBER('Master Database'!$K514),N('Master Database'!$K514)&gt;=$H$9)),OR($I$9="",AND(ISNUMBER('Master Database'!$K514),N('Master Database'!$K514)&lt;=$I$9))),1,0))</f>
        <v>0</v>
      </c>
      <c r="BB514" t="str">
        <f>IF(BA514=1,COUNTIF($BA$5:BA514,1),"")</f>
        <v/>
      </c>
    </row>
    <row r="515" spans="53:54">
      <c r="BA515">
        <f>IF('Master Database'!$A515="",0,IF(AND(OR($B$5="",ISNUMBER(SEARCH($B$5,'Master Database'!$B515&amp;" "&amp;'Master Database'!$D515))),OR($B$6="(All)",'Master Database'!$C515=$B$6),OR($B$7="(All)",'Master Database'!$E515=$B$7),OR($B$8="(All)",'Master Database'!$T515=$B$8),OR($B$9="(All)",'Master Database'!$M515=$B$9),OR($B$10="(All)",'Master Database'!$V515=$B$10),OR($E$5="(All)",'Master Database'!$F515=$E$5),OR($E$6="(All)",'Master Database'!$G515=$E$6),OR($E$7="(All)",'Master Database'!$O515=$E$7),OR($E$8="(All)",'Master Database'!$P515=$E$8),OR($E$9="(All)",'Master Database'!$S515=$E$9),OR($E$10="(All)",'Master Database'!$Y515&amp;""=$E$10&amp;""),OR($H$5="(All)",'Master Database'!$BG515=$H$5),OR($H$6&lt;&gt;"Y",ISNUMBER('Master Database'!$AG515)),OR($H$7="",AND(ISNUMBER('Master Database'!$H515),N('Master Database'!$H515)&gt;=$H$7)),OR($I$7="",AND(ISNUMBER('Master Database'!$H515),N('Master Database'!$H515)&lt;=$I$7)),OR($H$8="",AND(ISNUMBER('Master Database'!$I515),N('Master Database'!$I515)&gt;=$H$8)),OR($I$8="",AND(ISNUMBER('Master Database'!$I515),N('Master Database'!$I515)&lt;=$I$8)),OR($H$9="",AND(ISNUMBER('Master Database'!$K515),N('Master Database'!$K515)&gt;=$H$9)),OR($I$9="",AND(ISNUMBER('Master Database'!$K515),N('Master Database'!$K515)&lt;=$I$9))),1,0))</f>
        <v>0</v>
      </c>
      <c r="BB515" t="str">
        <f>IF(BA515=1,COUNTIF($BA$5:BA515,1),"")</f>
        <v/>
      </c>
    </row>
    <row r="516" spans="53:54">
      <c r="BA516">
        <f>IF('Master Database'!$A516="",0,IF(AND(OR($B$5="",ISNUMBER(SEARCH($B$5,'Master Database'!$B516&amp;" "&amp;'Master Database'!$D516))),OR($B$6="(All)",'Master Database'!$C516=$B$6),OR($B$7="(All)",'Master Database'!$E516=$B$7),OR($B$8="(All)",'Master Database'!$T516=$B$8),OR($B$9="(All)",'Master Database'!$M516=$B$9),OR($B$10="(All)",'Master Database'!$V516=$B$10),OR($E$5="(All)",'Master Database'!$F516=$E$5),OR($E$6="(All)",'Master Database'!$G516=$E$6),OR($E$7="(All)",'Master Database'!$O516=$E$7),OR($E$8="(All)",'Master Database'!$P516=$E$8),OR($E$9="(All)",'Master Database'!$S516=$E$9),OR($E$10="(All)",'Master Database'!$Y516&amp;""=$E$10&amp;""),OR($H$5="(All)",'Master Database'!$BG516=$H$5),OR($H$6&lt;&gt;"Y",ISNUMBER('Master Database'!$AG516)),OR($H$7="",AND(ISNUMBER('Master Database'!$H516),N('Master Database'!$H516)&gt;=$H$7)),OR($I$7="",AND(ISNUMBER('Master Database'!$H516),N('Master Database'!$H516)&lt;=$I$7)),OR($H$8="",AND(ISNUMBER('Master Database'!$I516),N('Master Database'!$I516)&gt;=$H$8)),OR($I$8="",AND(ISNUMBER('Master Database'!$I516),N('Master Database'!$I516)&lt;=$I$8)),OR($H$9="",AND(ISNUMBER('Master Database'!$K516),N('Master Database'!$K516)&gt;=$H$9)),OR($I$9="",AND(ISNUMBER('Master Database'!$K516),N('Master Database'!$K516)&lt;=$I$9))),1,0))</f>
        <v>0</v>
      </c>
      <c r="BB516" t="str">
        <f>IF(BA516=1,COUNTIF($BA$5:BA516,1),"")</f>
        <v/>
      </c>
    </row>
    <row r="517" spans="53:54">
      <c r="BA517">
        <f>IF('Master Database'!$A517="",0,IF(AND(OR($B$5="",ISNUMBER(SEARCH($B$5,'Master Database'!$B517&amp;" "&amp;'Master Database'!$D517))),OR($B$6="(All)",'Master Database'!$C517=$B$6),OR($B$7="(All)",'Master Database'!$E517=$B$7),OR($B$8="(All)",'Master Database'!$T517=$B$8),OR($B$9="(All)",'Master Database'!$M517=$B$9),OR($B$10="(All)",'Master Database'!$V517=$B$10),OR($E$5="(All)",'Master Database'!$F517=$E$5),OR($E$6="(All)",'Master Database'!$G517=$E$6),OR($E$7="(All)",'Master Database'!$O517=$E$7),OR($E$8="(All)",'Master Database'!$P517=$E$8),OR($E$9="(All)",'Master Database'!$S517=$E$9),OR($E$10="(All)",'Master Database'!$Y517&amp;""=$E$10&amp;""),OR($H$5="(All)",'Master Database'!$BG517=$H$5),OR($H$6&lt;&gt;"Y",ISNUMBER('Master Database'!$AG517)),OR($H$7="",AND(ISNUMBER('Master Database'!$H517),N('Master Database'!$H517)&gt;=$H$7)),OR($I$7="",AND(ISNUMBER('Master Database'!$H517),N('Master Database'!$H517)&lt;=$I$7)),OR($H$8="",AND(ISNUMBER('Master Database'!$I517),N('Master Database'!$I517)&gt;=$H$8)),OR($I$8="",AND(ISNUMBER('Master Database'!$I517),N('Master Database'!$I517)&lt;=$I$8)),OR($H$9="",AND(ISNUMBER('Master Database'!$K517),N('Master Database'!$K517)&gt;=$H$9)),OR($I$9="",AND(ISNUMBER('Master Database'!$K517),N('Master Database'!$K517)&lt;=$I$9))),1,0))</f>
        <v>0</v>
      </c>
      <c r="BB517" t="str">
        <f>IF(BA517=1,COUNTIF($BA$5:BA517,1),"")</f>
        <v/>
      </c>
    </row>
    <row r="518" spans="53:54">
      <c r="BA518">
        <f>IF('Master Database'!$A518="",0,IF(AND(OR($B$5="",ISNUMBER(SEARCH($B$5,'Master Database'!$B518&amp;" "&amp;'Master Database'!$D518))),OR($B$6="(All)",'Master Database'!$C518=$B$6),OR($B$7="(All)",'Master Database'!$E518=$B$7),OR($B$8="(All)",'Master Database'!$T518=$B$8),OR($B$9="(All)",'Master Database'!$M518=$B$9),OR($B$10="(All)",'Master Database'!$V518=$B$10),OR($E$5="(All)",'Master Database'!$F518=$E$5),OR($E$6="(All)",'Master Database'!$G518=$E$6),OR($E$7="(All)",'Master Database'!$O518=$E$7),OR($E$8="(All)",'Master Database'!$P518=$E$8),OR($E$9="(All)",'Master Database'!$S518=$E$9),OR($E$10="(All)",'Master Database'!$Y518&amp;""=$E$10&amp;""),OR($H$5="(All)",'Master Database'!$BG518=$H$5),OR($H$6&lt;&gt;"Y",ISNUMBER('Master Database'!$AG518)),OR($H$7="",AND(ISNUMBER('Master Database'!$H518),N('Master Database'!$H518)&gt;=$H$7)),OR($I$7="",AND(ISNUMBER('Master Database'!$H518),N('Master Database'!$H518)&lt;=$I$7)),OR($H$8="",AND(ISNUMBER('Master Database'!$I518),N('Master Database'!$I518)&gt;=$H$8)),OR($I$8="",AND(ISNUMBER('Master Database'!$I518),N('Master Database'!$I518)&lt;=$I$8)),OR($H$9="",AND(ISNUMBER('Master Database'!$K518),N('Master Database'!$K518)&gt;=$H$9)),OR($I$9="",AND(ISNUMBER('Master Database'!$K518),N('Master Database'!$K518)&lt;=$I$9))),1,0))</f>
        <v>0</v>
      </c>
      <c r="BB518" t="str">
        <f>IF(BA518=1,COUNTIF($BA$5:BA518,1),"")</f>
        <v/>
      </c>
    </row>
    <row r="519" spans="53:54">
      <c r="BA519">
        <f>IF('Master Database'!$A519="",0,IF(AND(OR($B$5="",ISNUMBER(SEARCH($B$5,'Master Database'!$B519&amp;" "&amp;'Master Database'!$D519))),OR($B$6="(All)",'Master Database'!$C519=$B$6),OR($B$7="(All)",'Master Database'!$E519=$B$7),OR($B$8="(All)",'Master Database'!$T519=$B$8),OR($B$9="(All)",'Master Database'!$M519=$B$9),OR($B$10="(All)",'Master Database'!$V519=$B$10),OR($E$5="(All)",'Master Database'!$F519=$E$5),OR($E$6="(All)",'Master Database'!$G519=$E$6),OR($E$7="(All)",'Master Database'!$O519=$E$7),OR($E$8="(All)",'Master Database'!$P519=$E$8),OR($E$9="(All)",'Master Database'!$S519=$E$9),OR($E$10="(All)",'Master Database'!$Y519&amp;""=$E$10&amp;""),OR($H$5="(All)",'Master Database'!$BG519=$H$5),OR($H$6&lt;&gt;"Y",ISNUMBER('Master Database'!$AG519)),OR($H$7="",AND(ISNUMBER('Master Database'!$H519),N('Master Database'!$H519)&gt;=$H$7)),OR($I$7="",AND(ISNUMBER('Master Database'!$H519),N('Master Database'!$H519)&lt;=$I$7)),OR($H$8="",AND(ISNUMBER('Master Database'!$I519),N('Master Database'!$I519)&gt;=$H$8)),OR($I$8="",AND(ISNUMBER('Master Database'!$I519),N('Master Database'!$I519)&lt;=$I$8)),OR($H$9="",AND(ISNUMBER('Master Database'!$K519),N('Master Database'!$K519)&gt;=$H$9)),OR($I$9="",AND(ISNUMBER('Master Database'!$K519),N('Master Database'!$K519)&lt;=$I$9))),1,0))</f>
        <v>0</v>
      </c>
      <c r="BB519" t="str">
        <f>IF(BA519=1,COUNTIF($BA$5:BA519,1),"")</f>
        <v/>
      </c>
    </row>
    <row r="520" spans="53:54">
      <c r="BA520">
        <f>IF('Master Database'!$A520="",0,IF(AND(OR($B$5="",ISNUMBER(SEARCH($B$5,'Master Database'!$B520&amp;" "&amp;'Master Database'!$D520))),OR($B$6="(All)",'Master Database'!$C520=$B$6),OR($B$7="(All)",'Master Database'!$E520=$B$7),OR($B$8="(All)",'Master Database'!$T520=$B$8),OR($B$9="(All)",'Master Database'!$M520=$B$9),OR($B$10="(All)",'Master Database'!$V520=$B$10),OR($E$5="(All)",'Master Database'!$F520=$E$5),OR($E$6="(All)",'Master Database'!$G520=$E$6),OR($E$7="(All)",'Master Database'!$O520=$E$7),OR($E$8="(All)",'Master Database'!$P520=$E$8),OR($E$9="(All)",'Master Database'!$S520=$E$9),OR($E$10="(All)",'Master Database'!$Y520&amp;""=$E$10&amp;""),OR($H$5="(All)",'Master Database'!$BG520=$H$5),OR($H$6&lt;&gt;"Y",ISNUMBER('Master Database'!$AG520)),OR($H$7="",AND(ISNUMBER('Master Database'!$H520),N('Master Database'!$H520)&gt;=$H$7)),OR($I$7="",AND(ISNUMBER('Master Database'!$H520),N('Master Database'!$H520)&lt;=$I$7)),OR($H$8="",AND(ISNUMBER('Master Database'!$I520),N('Master Database'!$I520)&gt;=$H$8)),OR($I$8="",AND(ISNUMBER('Master Database'!$I520),N('Master Database'!$I520)&lt;=$I$8)),OR($H$9="",AND(ISNUMBER('Master Database'!$K520),N('Master Database'!$K520)&gt;=$H$9)),OR($I$9="",AND(ISNUMBER('Master Database'!$K520),N('Master Database'!$K520)&lt;=$I$9))),1,0))</f>
        <v>0</v>
      </c>
      <c r="BB520" t="str">
        <f>IF(BA520=1,COUNTIF($BA$5:BA520,1),"")</f>
        <v/>
      </c>
    </row>
    <row r="521" spans="53:54">
      <c r="BA521">
        <f>IF('Master Database'!$A521="",0,IF(AND(OR($B$5="",ISNUMBER(SEARCH($B$5,'Master Database'!$B521&amp;" "&amp;'Master Database'!$D521))),OR($B$6="(All)",'Master Database'!$C521=$B$6),OR($B$7="(All)",'Master Database'!$E521=$B$7),OR($B$8="(All)",'Master Database'!$T521=$B$8),OR($B$9="(All)",'Master Database'!$M521=$B$9),OR($B$10="(All)",'Master Database'!$V521=$B$10),OR($E$5="(All)",'Master Database'!$F521=$E$5),OR($E$6="(All)",'Master Database'!$G521=$E$6),OR($E$7="(All)",'Master Database'!$O521=$E$7),OR($E$8="(All)",'Master Database'!$P521=$E$8),OR($E$9="(All)",'Master Database'!$S521=$E$9),OR($E$10="(All)",'Master Database'!$Y521&amp;""=$E$10&amp;""),OR($H$5="(All)",'Master Database'!$BG521=$H$5),OR($H$6&lt;&gt;"Y",ISNUMBER('Master Database'!$AG521)),OR($H$7="",AND(ISNUMBER('Master Database'!$H521),N('Master Database'!$H521)&gt;=$H$7)),OR($I$7="",AND(ISNUMBER('Master Database'!$H521),N('Master Database'!$H521)&lt;=$I$7)),OR($H$8="",AND(ISNUMBER('Master Database'!$I521),N('Master Database'!$I521)&gt;=$H$8)),OR($I$8="",AND(ISNUMBER('Master Database'!$I521),N('Master Database'!$I521)&lt;=$I$8)),OR($H$9="",AND(ISNUMBER('Master Database'!$K521),N('Master Database'!$K521)&gt;=$H$9)),OR($I$9="",AND(ISNUMBER('Master Database'!$K521),N('Master Database'!$K521)&lt;=$I$9))),1,0))</f>
        <v>0</v>
      </c>
      <c r="BB521" t="str">
        <f>IF(BA521=1,COUNTIF($BA$5:BA521,1),"")</f>
        <v/>
      </c>
    </row>
    <row r="522" spans="53:54">
      <c r="BA522">
        <f>IF('Master Database'!$A522="",0,IF(AND(OR($B$5="",ISNUMBER(SEARCH($B$5,'Master Database'!$B522&amp;" "&amp;'Master Database'!$D522))),OR($B$6="(All)",'Master Database'!$C522=$B$6),OR($B$7="(All)",'Master Database'!$E522=$B$7),OR($B$8="(All)",'Master Database'!$T522=$B$8),OR($B$9="(All)",'Master Database'!$M522=$B$9),OR($B$10="(All)",'Master Database'!$V522=$B$10),OR($E$5="(All)",'Master Database'!$F522=$E$5),OR($E$6="(All)",'Master Database'!$G522=$E$6),OR($E$7="(All)",'Master Database'!$O522=$E$7),OR($E$8="(All)",'Master Database'!$P522=$E$8),OR($E$9="(All)",'Master Database'!$S522=$E$9),OR($E$10="(All)",'Master Database'!$Y522&amp;""=$E$10&amp;""),OR($H$5="(All)",'Master Database'!$BG522=$H$5),OR($H$6&lt;&gt;"Y",ISNUMBER('Master Database'!$AG522)),OR($H$7="",AND(ISNUMBER('Master Database'!$H522),N('Master Database'!$H522)&gt;=$H$7)),OR($I$7="",AND(ISNUMBER('Master Database'!$H522),N('Master Database'!$H522)&lt;=$I$7)),OR($H$8="",AND(ISNUMBER('Master Database'!$I522),N('Master Database'!$I522)&gt;=$H$8)),OR($I$8="",AND(ISNUMBER('Master Database'!$I522),N('Master Database'!$I522)&lt;=$I$8)),OR($H$9="",AND(ISNUMBER('Master Database'!$K522),N('Master Database'!$K522)&gt;=$H$9)),OR($I$9="",AND(ISNUMBER('Master Database'!$K522),N('Master Database'!$K522)&lt;=$I$9))),1,0))</f>
        <v>0</v>
      </c>
      <c r="BB522" t="str">
        <f>IF(BA522=1,COUNTIF($BA$5:BA522,1),"")</f>
        <v/>
      </c>
    </row>
    <row r="523" spans="53:54">
      <c r="BA523">
        <f>IF('Master Database'!$A523="",0,IF(AND(OR($B$5="",ISNUMBER(SEARCH($B$5,'Master Database'!$B523&amp;" "&amp;'Master Database'!$D523))),OR($B$6="(All)",'Master Database'!$C523=$B$6),OR($B$7="(All)",'Master Database'!$E523=$B$7),OR($B$8="(All)",'Master Database'!$T523=$B$8),OR($B$9="(All)",'Master Database'!$M523=$B$9),OR($B$10="(All)",'Master Database'!$V523=$B$10),OR($E$5="(All)",'Master Database'!$F523=$E$5),OR($E$6="(All)",'Master Database'!$G523=$E$6),OR($E$7="(All)",'Master Database'!$O523=$E$7),OR($E$8="(All)",'Master Database'!$P523=$E$8),OR($E$9="(All)",'Master Database'!$S523=$E$9),OR($E$10="(All)",'Master Database'!$Y523&amp;""=$E$10&amp;""),OR($H$5="(All)",'Master Database'!$BG523=$H$5),OR($H$6&lt;&gt;"Y",ISNUMBER('Master Database'!$AG523)),OR($H$7="",AND(ISNUMBER('Master Database'!$H523),N('Master Database'!$H523)&gt;=$H$7)),OR($I$7="",AND(ISNUMBER('Master Database'!$H523),N('Master Database'!$H523)&lt;=$I$7)),OR($H$8="",AND(ISNUMBER('Master Database'!$I523),N('Master Database'!$I523)&gt;=$H$8)),OR($I$8="",AND(ISNUMBER('Master Database'!$I523),N('Master Database'!$I523)&lt;=$I$8)),OR($H$9="",AND(ISNUMBER('Master Database'!$K523),N('Master Database'!$K523)&gt;=$H$9)),OR($I$9="",AND(ISNUMBER('Master Database'!$K523),N('Master Database'!$K523)&lt;=$I$9))),1,0))</f>
        <v>0</v>
      </c>
      <c r="BB523" t="str">
        <f>IF(BA523=1,COUNTIF($BA$5:BA523,1),"")</f>
        <v/>
      </c>
    </row>
    <row r="524" spans="53:54">
      <c r="BA524">
        <f>IF('Master Database'!$A524="",0,IF(AND(OR($B$5="",ISNUMBER(SEARCH($B$5,'Master Database'!$B524&amp;" "&amp;'Master Database'!$D524))),OR($B$6="(All)",'Master Database'!$C524=$B$6),OR($B$7="(All)",'Master Database'!$E524=$B$7),OR($B$8="(All)",'Master Database'!$T524=$B$8),OR($B$9="(All)",'Master Database'!$M524=$B$9),OR($B$10="(All)",'Master Database'!$V524=$B$10),OR($E$5="(All)",'Master Database'!$F524=$E$5),OR($E$6="(All)",'Master Database'!$G524=$E$6),OR($E$7="(All)",'Master Database'!$O524=$E$7),OR($E$8="(All)",'Master Database'!$P524=$E$8),OR($E$9="(All)",'Master Database'!$S524=$E$9),OR($E$10="(All)",'Master Database'!$Y524&amp;""=$E$10&amp;""),OR($H$5="(All)",'Master Database'!$BG524=$H$5),OR($H$6&lt;&gt;"Y",ISNUMBER('Master Database'!$AG524)),OR($H$7="",AND(ISNUMBER('Master Database'!$H524),N('Master Database'!$H524)&gt;=$H$7)),OR($I$7="",AND(ISNUMBER('Master Database'!$H524),N('Master Database'!$H524)&lt;=$I$7)),OR($H$8="",AND(ISNUMBER('Master Database'!$I524),N('Master Database'!$I524)&gt;=$H$8)),OR($I$8="",AND(ISNUMBER('Master Database'!$I524),N('Master Database'!$I524)&lt;=$I$8)),OR($H$9="",AND(ISNUMBER('Master Database'!$K524),N('Master Database'!$K524)&gt;=$H$9)),OR($I$9="",AND(ISNUMBER('Master Database'!$K524),N('Master Database'!$K524)&lt;=$I$9))),1,0))</f>
        <v>0</v>
      </c>
      <c r="BB524" t="str">
        <f>IF(BA524=1,COUNTIF($BA$5:BA524,1),"")</f>
        <v/>
      </c>
    </row>
    <row r="525" spans="53:54">
      <c r="BA525">
        <f>IF('Master Database'!$A525="",0,IF(AND(OR($B$5="",ISNUMBER(SEARCH($B$5,'Master Database'!$B525&amp;" "&amp;'Master Database'!$D525))),OR($B$6="(All)",'Master Database'!$C525=$B$6),OR($B$7="(All)",'Master Database'!$E525=$B$7),OR($B$8="(All)",'Master Database'!$T525=$B$8),OR($B$9="(All)",'Master Database'!$M525=$B$9),OR($B$10="(All)",'Master Database'!$V525=$B$10),OR($E$5="(All)",'Master Database'!$F525=$E$5),OR($E$6="(All)",'Master Database'!$G525=$E$6),OR($E$7="(All)",'Master Database'!$O525=$E$7),OR($E$8="(All)",'Master Database'!$P525=$E$8),OR($E$9="(All)",'Master Database'!$S525=$E$9),OR($E$10="(All)",'Master Database'!$Y525&amp;""=$E$10&amp;""),OR($H$5="(All)",'Master Database'!$BG525=$H$5),OR($H$6&lt;&gt;"Y",ISNUMBER('Master Database'!$AG525)),OR($H$7="",AND(ISNUMBER('Master Database'!$H525),N('Master Database'!$H525)&gt;=$H$7)),OR($I$7="",AND(ISNUMBER('Master Database'!$H525),N('Master Database'!$H525)&lt;=$I$7)),OR($H$8="",AND(ISNUMBER('Master Database'!$I525),N('Master Database'!$I525)&gt;=$H$8)),OR($I$8="",AND(ISNUMBER('Master Database'!$I525),N('Master Database'!$I525)&lt;=$I$8)),OR($H$9="",AND(ISNUMBER('Master Database'!$K525),N('Master Database'!$K525)&gt;=$H$9)),OR($I$9="",AND(ISNUMBER('Master Database'!$K525),N('Master Database'!$K525)&lt;=$I$9))),1,0))</f>
        <v>0</v>
      </c>
      <c r="BB525" t="str">
        <f>IF(BA525=1,COUNTIF($BA$5:BA525,1),"")</f>
        <v/>
      </c>
    </row>
    <row r="526" spans="53:54">
      <c r="BA526">
        <f>IF('Master Database'!$A526="",0,IF(AND(OR($B$5="",ISNUMBER(SEARCH($B$5,'Master Database'!$B526&amp;" "&amp;'Master Database'!$D526))),OR($B$6="(All)",'Master Database'!$C526=$B$6),OR($B$7="(All)",'Master Database'!$E526=$B$7),OR($B$8="(All)",'Master Database'!$T526=$B$8),OR($B$9="(All)",'Master Database'!$M526=$B$9),OR($B$10="(All)",'Master Database'!$V526=$B$10),OR($E$5="(All)",'Master Database'!$F526=$E$5),OR($E$6="(All)",'Master Database'!$G526=$E$6),OR($E$7="(All)",'Master Database'!$O526=$E$7),OR($E$8="(All)",'Master Database'!$P526=$E$8),OR($E$9="(All)",'Master Database'!$S526=$E$9),OR($E$10="(All)",'Master Database'!$Y526&amp;""=$E$10&amp;""),OR($H$5="(All)",'Master Database'!$BG526=$H$5),OR($H$6&lt;&gt;"Y",ISNUMBER('Master Database'!$AG526)),OR($H$7="",AND(ISNUMBER('Master Database'!$H526),N('Master Database'!$H526)&gt;=$H$7)),OR($I$7="",AND(ISNUMBER('Master Database'!$H526),N('Master Database'!$H526)&lt;=$I$7)),OR($H$8="",AND(ISNUMBER('Master Database'!$I526),N('Master Database'!$I526)&gt;=$H$8)),OR($I$8="",AND(ISNUMBER('Master Database'!$I526),N('Master Database'!$I526)&lt;=$I$8)),OR($H$9="",AND(ISNUMBER('Master Database'!$K526),N('Master Database'!$K526)&gt;=$H$9)),OR($I$9="",AND(ISNUMBER('Master Database'!$K526),N('Master Database'!$K526)&lt;=$I$9))),1,0))</f>
        <v>0</v>
      </c>
      <c r="BB526" t="str">
        <f>IF(BA526=1,COUNTIF($BA$5:BA526,1),"")</f>
        <v/>
      </c>
    </row>
    <row r="527" spans="53:54">
      <c r="BA527">
        <f>IF('Master Database'!$A527="",0,IF(AND(OR($B$5="",ISNUMBER(SEARCH($B$5,'Master Database'!$B527&amp;" "&amp;'Master Database'!$D527))),OR($B$6="(All)",'Master Database'!$C527=$B$6),OR($B$7="(All)",'Master Database'!$E527=$B$7),OR($B$8="(All)",'Master Database'!$T527=$B$8),OR($B$9="(All)",'Master Database'!$M527=$B$9),OR($B$10="(All)",'Master Database'!$V527=$B$10),OR($E$5="(All)",'Master Database'!$F527=$E$5),OR($E$6="(All)",'Master Database'!$G527=$E$6),OR($E$7="(All)",'Master Database'!$O527=$E$7),OR($E$8="(All)",'Master Database'!$P527=$E$8),OR($E$9="(All)",'Master Database'!$S527=$E$9),OR($E$10="(All)",'Master Database'!$Y527&amp;""=$E$10&amp;""),OR($H$5="(All)",'Master Database'!$BG527=$H$5),OR($H$6&lt;&gt;"Y",ISNUMBER('Master Database'!$AG527)),OR($H$7="",AND(ISNUMBER('Master Database'!$H527),N('Master Database'!$H527)&gt;=$H$7)),OR($I$7="",AND(ISNUMBER('Master Database'!$H527),N('Master Database'!$H527)&lt;=$I$7)),OR($H$8="",AND(ISNUMBER('Master Database'!$I527),N('Master Database'!$I527)&gt;=$H$8)),OR($I$8="",AND(ISNUMBER('Master Database'!$I527),N('Master Database'!$I527)&lt;=$I$8)),OR($H$9="",AND(ISNUMBER('Master Database'!$K527),N('Master Database'!$K527)&gt;=$H$9)),OR($I$9="",AND(ISNUMBER('Master Database'!$K527),N('Master Database'!$K527)&lt;=$I$9))),1,0))</f>
        <v>0</v>
      </c>
      <c r="BB527" t="str">
        <f>IF(BA527=1,COUNTIF($BA$5:BA527,1),"")</f>
        <v/>
      </c>
    </row>
    <row r="528" spans="53:54">
      <c r="BA528">
        <f>IF('Master Database'!$A528="",0,IF(AND(OR($B$5="",ISNUMBER(SEARCH($B$5,'Master Database'!$B528&amp;" "&amp;'Master Database'!$D528))),OR($B$6="(All)",'Master Database'!$C528=$B$6),OR($B$7="(All)",'Master Database'!$E528=$B$7),OR($B$8="(All)",'Master Database'!$T528=$B$8),OR($B$9="(All)",'Master Database'!$M528=$B$9),OR($B$10="(All)",'Master Database'!$V528=$B$10),OR($E$5="(All)",'Master Database'!$F528=$E$5),OR($E$6="(All)",'Master Database'!$G528=$E$6),OR($E$7="(All)",'Master Database'!$O528=$E$7),OR($E$8="(All)",'Master Database'!$P528=$E$8),OR($E$9="(All)",'Master Database'!$S528=$E$9),OR($E$10="(All)",'Master Database'!$Y528&amp;""=$E$10&amp;""),OR($H$5="(All)",'Master Database'!$BG528=$H$5),OR($H$6&lt;&gt;"Y",ISNUMBER('Master Database'!$AG528)),OR($H$7="",AND(ISNUMBER('Master Database'!$H528),N('Master Database'!$H528)&gt;=$H$7)),OR($I$7="",AND(ISNUMBER('Master Database'!$H528),N('Master Database'!$H528)&lt;=$I$7)),OR($H$8="",AND(ISNUMBER('Master Database'!$I528),N('Master Database'!$I528)&gt;=$H$8)),OR($I$8="",AND(ISNUMBER('Master Database'!$I528),N('Master Database'!$I528)&lt;=$I$8)),OR($H$9="",AND(ISNUMBER('Master Database'!$K528),N('Master Database'!$K528)&gt;=$H$9)),OR($I$9="",AND(ISNUMBER('Master Database'!$K528),N('Master Database'!$K528)&lt;=$I$9))),1,0))</f>
        <v>0</v>
      </c>
      <c r="BB528" t="str">
        <f>IF(BA528=1,COUNTIF($BA$5:BA528,1),"")</f>
        <v/>
      </c>
    </row>
    <row r="529" spans="53:54">
      <c r="BA529">
        <f>IF('Master Database'!$A529="",0,IF(AND(OR($B$5="",ISNUMBER(SEARCH($B$5,'Master Database'!$B529&amp;" "&amp;'Master Database'!$D529))),OR($B$6="(All)",'Master Database'!$C529=$B$6),OR($B$7="(All)",'Master Database'!$E529=$B$7),OR($B$8="(All)",'Master Database'!$T529=$B$8),OR($B$9="(All)",'Master Database'!$M529=$B$9),OR($B$10="(All)",'Master Database'!$V529=$B$10),OR($E$5="(All)",'Master Database'!$F529=$E$5),OR($E$6="(All)",'Master Database'!$G529=$E$6),OR($E$7="(All)",'Master Database'!$O529=$E$7),OR($E$8="(All)",'Master Database'!$P529=$E$8),OR($E$9="(All)",'Master Database'!$S529=$E$9),OR($E$10="(All)",'Master Database'!$Y529&amp;""=$E$10&amp;""),OR($H$5="(All)",'Master Database'!$BG529=$H$5),OR($H$6&lt;&gt;"Y",ISNUMBER('Master Database'!$AG529)),OR($H$7="",AND(ISNUMBER('Master Database'!$H529),N('Master Database'!$H529)&gt;=$H$7)),OR($I$7="",AND(ISNUMBER('Master Database'!$H529),N('Master Database'!$H529)&lt;=$I$7)),OR($H$8="",AND(ISNUMBER('Master Database'!$I529),N('Master Database'!$I529)&gt;=$H$8)),OR($I$8="",AND(ISNUMBER('Master Database'!$I529),N('Master Database'!$I529)&lt;=$I$8)),OR($H$9="",AND(ISNUMBER('Master Database'!$K529),N('Master Database'!$K529)&gt;=$H$9)),OR($I$9="",AND(ISNUMBER('Master Database'!$K529),N('Master Database'!$K529)&lt;=$I$9))),1,0))</f>
        <v>0</v>
      </c>
      <c r="BB529" t="str">
        <f>IF(BA529=1,COUNTIF($BA$5:BA529,1),"")</f>
        <v/>
      </c>
    </row>
    <row r="530" spans="53:54">
      <c r="BA530">
        <f>IF('Master Database'!$A530="",0,IF(AND(OR($B$5="",ISNUMBER(SEARCH($B$5,'Master Database'!$B530&amp;" "&amp;'Master Database'!$D530))),OR($B$6="(All)",'Master Database'!$C530=$B$6),OR($B$7="(All)",'Master Database'!$E530=$B$7),OR($B$8="(All)",'Master Database'!$T530=$B$8),OR($B$9="(All)",'Master Database'!$M530=$B$9),OR($B$10="(All)",'Master Database'!$V530=$B$10),OR($E$5="(All)",'Master Database'!$F530=$E$5),OR($E$6="(All)",'Master Database'!$G530=$E$6),OR($E$7="(All)",'Master Database'!$O530=$E$7),OR($E$8="(All)",'Master Database'!$P530=$E$8),OR($E$9="(All)",'Master Database'!$S530=$E$9),OR($E$10="(All)",'Master Database'!$Y530&amp;""=$E$10&amp;""),OR($H$5="(All)",'Master Database'!$BG530=$H$5),OR($H$6&lt;&gt;"Y",ISNUMBER('Master Database'!$AG530)),OR($H$7="",AND(ISNUMBER('Master Database'!$H530),N('Master Database'!$H530)&gt;=$H$7)),OR($I$7="",AND(ISNUMBER('Master Database'!$H530),N('Master Database'!$H530)&lt;=$I$7)),OR($H$8="",AND(ISNUMBER('Master Database'!$I530),N('Master Database'!$I530)&gt;=$H$8)),OR($I$8="",AND(ISNUMBER('Master Database'!$I530),N('Master Database'!$I530)&lt;=$I$8)),OR($H$9="",AND(ISNUMBER('Master Database'!$K530),N('Master Database'!$K530)&gt;=$H$9)),OR($I$9="",AND(ISNUMBER('Master Database'!$K530),N('Master Database'!$K530)&lt;=$I$9))),1,0))</f>
        <v>0</v>
      </c>
      <c r="BB530" t="str">
        <f>IF(BA530=1,COUNTIF($BA$5:BA530,1),"")</f>
        <v/>
      </c>
    </row>
    <row r="531" spans="53:54">
      <c r="BA531">
        <f>IF('Master Database'!$A531="",0,IF(AND(OR($B$5="",ISNUMBER(SEARCH($B$5,'Master Database'!$B531&amp;" "&amp;'Master Database'!$D531))),OR($B$6="(All)",'Master Database'!$C531=$B$6),OR($B$7="(All)",'Master Database'!$E531=$B$7),OR($B$8="(All)",'Master Database'!$T531=$B$8),OR($B$9="(All)",'Master Database'!$M531=$B$9),OR($B$10="(All)",'Master Database'!$V531=$B$10),OR($E$5="(All)",'Master Database'!$F531=$E$5),OR($E$6="(All)",'Master Database'!$G531=$E$6),OR($E$7="(All)",'Master Database'!$O531=$E$7),OR($E$8="(All)",'Master Database'!$P531=$E$8),OR($E$9="(All)",'Master Database'!$S531=$E$9),OR($E$10="(All)",'Master Database'!$Y531&amp;""=$E$10&amp;""),OR($H$5="(All)",'Master Database'!$BG531=$H$5),OR($H$6&lt;&gt;"Y",ISNUMBER('Master Database'!$AG531)),OR($H$7="",AND(ISNUMBER('Master Database'!$H531),N('Master Database'!$H531)&gt;=$H$7)),OR($I$7="",AND(ISNUMBER('Master Database'!$H531),N('Master Database'!$H531)&lt;=$I$7)),OR($H$8="",AND(ISNUMBER('Master Database'!$I531),N('Master Database'!$I531)&gt;=$H$8)),OR($I$8="",AND(ISNUMBER('Master Database'!$I531),N('Master Database'!$I531)&lt;=$I$8)),OR($H$9="",AND(ISNUMBER('Master Database'!$K531),N('Master Database'!$K531)&gt;=$H$9)),OR($I$9="",AND(ISNUMBER('Master Database'!$K531),N('Master Database'!$K531)&lt;=$I$9))),1,0))</f>
        <v>0</v>
      </c>
      <c r="BB531" t="str">
        <f>IF(BA531=1,COUNTIF($BA$5:BA531,1),"")</f>
        <v/>
      </c>
    </row>
    <row r="532" spans="53:54">
      <c r="BA532">
        <f>IF('Master Database'!$A532="",0,IF(AND(OR($B$5="",ISNUMBER(SEARCH($B$5,'Master Database'!$B532&amp;" "&amp;'Master Database'!$D532))),OR($B$6="(All)",'Master Database'!$C532=$B$6),OR($B$7="(All)",'Master Database'!$E532=$B$7),OR($B$8="(All)",'Master Database'!$T532=$B$8),OR($B$9="(All)",'Master Database'!$M532=$B$9),OR($B$10="(All)",'Master Database'!$V532=$B$10),OR($E$5="(All)",'Master Database'!$F532=$E$5),OR($E$6="(All)",'Master Database'!$G532=$E$6),OR($E$7="(All)",'Master Database'!$O532=$E$7),OR($E$8="(All)",'Master Database'!$P532=$E$8),OR($E$9="(All)",'Master Database'!$S532=$E$9),OR($E$10="(All)",'Master Database'!$Y532&amp;""=$E$10&amp;""),OR($H$5="(All)",'Master Database'!$BG532=$H$5),OR($H$6&lt;&gt;"Y",ISNUMBER('Master Database'!$AG532)),OR($H$7="",AND(ISNUMBER('Master Database'!$H532),N('Master Database'!$H532)&gt;=$H$7)),OR($I$7="",AND(ISNUMBER('Master Database'!$H532),N('Master Database'!$H532)&lt;=$I$7)),OR($H$8="",AND(ISNUMBER('Master Database'!$I532),N('Master Database'!$I532)&gt;=$H$8)),OR($I$8="",AND(ISNUMBER('Master Database'!$I532),N('Master Database'!$I532)&lt;=$I$8)),OR($H$9="",AND(ISNUMBER('Master Database'!$K532),N('Master Database'!$K532)&gt;=$H$9)),OR($I$9="",AND(ISNUMBER('Master Database'!$K532),N('Master Database'!$K532)&lt;=$I$9))),1,0))</f>
        <v>0</v>
      </c>
      <c r="BB532" t="str">
        <f>IF(BA532=1,COUNTIF($BA$5:BA532,1),"")</f>
        <v/>
      </c>
    </row>
    <row r="533" spans="53:54">
      <c r="BA533">
        <f>IF('Master Database'!$A533="",0,IF(AND(OR($B$5="",ISNUMBER(SEARCH($B$5,'Master Database'!$B533&amp;" "&amp;'Master Database'!$D533))),OR($B$6="(All)",'Master Database'!$C533=$B$6),OR($B$7="(All)",'Master Database'!$E533=$B$7),OR($B$8="(All)",'Master Database'!$T533=$B$8),OR($B$9="(All)",'Master Database'!$M533=$B$9),OR($B$10="(All)",'Master Database'!$V533=$B$10),OR($E$5="(All)",'Master Database'!$F533=$E$5),OR($E$6="(All)",'Master Database'!$G533=$E$6),OR($E$7="(All)",'Master Database'!$O533=$E$7),OR($E$8="(All)",'Master Database'!$P533=$E$8),OR($E$9="(All)",'Master Database'!$S533=$E$9),OR($E$10="(All)",'Master Database'!$Y533&amp;""=$E$10&amp;""),OR($H$5="(All)",'Master Database'!$BG533=$H$5),OR($H$6&lt;&gt;"Y",ISNUMBER('Master Database'!$AG533)),OR($H$7="",AND(ISNUMBER('Master Database'!$H533),N('Master Database'!$H533)&gt;=$H$7)),OR($I$7="",AND(ISNUMBER('Master Database'!$H533),N('Master Database'!$H533)&lt;=$I$7)),OR($H$8="",AND(ISNUMBER('Master Database'!$I533),N('Master Database'!$I533)&gt;=$H$8)),OR($I$8="",AND(ISNUMBER('Master Database'!$I533),N('Master Database'!$I533)&lt;=$I$8)),OR($H$9="",AND(ISNUMBER('Master Database'!$K533),N('Master Database'!$K533)&gt;=$H$9)),OR($I$9="",AND(ISNUMBER('Master Database'!$K533),N('Master Database'!$K533)&lt;=$I$9))),1,0))</f>
        <v>0</v>
      </c>
      <c r="BB533" t="str">
        <f>IF(BA533=1,COUNTIF($BA$5:BA533,1),"")</f>
        <v/>
      </c>
    </row>
    <row r="534" spans="53:54">
      <c r="BA534">
        <f>IF('Master Database'!$A534="",0,IF(AND(OR($B$5="",ISNUMBER(SEARCH($B$5,'Master Database'!$B534&amp;" "&amp;'Master Database'!$D534))),OR($B$6="(All)",'Master Database'!$C534=$B$6),OR($B$7="(All)",'Master Database'!$E534=$B$7),OR($B$8="(All)",'Master Database'!$T534=$B$8),OR($B$9="(All)",'Master Database'!$M534=$B$9),OR($B$10="(All)",'Master Database'!$V534=$B$10),OR($E$5="(All)",'Master Database'!$F534=$E$5),OR($E$6="(All)",'Master Database'!$G534=$E$6),OR($E$7="(All)",'Master Database'!$O534=$E$7),OR($E$8="(All)",'Master Database'!$P534=$E$8),OR($E$9="(All)",'Master Database'!$S534=$E$9),OR($E$10="(All)",'Master Database'!$Y534&amp;""=$E$10&amp;""),OR($H$5="(All)",'Master Database'!$BG534=$H$5),OR($H$6&lt;&gt;"Y",ISNUMBER('Master Database'!$AG534)),OR($H$7="",AND(ISNUMBER('Master Database'!$H534),N('Master Database'!$H534)&gt;=$H$7)),OR($I$7="",AND(ISNUMBER('Master Database'!$H534),N('Master Database'!$H534)&lt;=$I$7)),OR($H$8="",AND(ISNUMBER('Master Database'!$I534),N('Master Database'!$I534)&gt;=$H$8)),OR($I$8="",AND(ISNUMBER('Master Database'!$I534),N('Master Database'!$I534)&lt;=$I$8)),OR($H$9="",AND(ISNUMBER('Master Database'!$K534),N('Master Database'!$K534)&gt;=$H$9)),OR($I$9="",AND(ISNUMBER('Master Database'!$K534),N('Master Database'!$K534)&lt;=$I$9))),1,0))</f>
        <v>0</v>
      </c>
      <c r="BB534" t="str">
        <f>IF(BA534=1,COUNTIF($BA$5:BA534,1),"")</f>
        <v/>
      </c>
    </row>
    <row r="535" spans="53:54">
      <c r="BA535">
        <f>IF('Master Database'!$A535="",0,IF(AND(OR($B$5="",ISNUMBER(SEARCH($B$5,'Master Database'!$B535&amp;" "&amp;'Master Database'!$D535))),OR($B$6="(All)",'Master Database'!$C535=$B$6),OR($B$7="(All)",'Master Database'!$E535=$B$7),OR($B$8="(All)",'Master Database'!$T535=$B$8),OR($B$9="(All)",'Master Database'!$M535=$B$9),OR($B$10="(All)",'Master Database'!$V535=$B$10),OR($E$5="(All)",'Master Database'!$F535=$E$5),OR($E$6="(All)",'Master Database'!$G535=$E$6),OR($E$7="(All)",'Master Database'!$O535=$E$7),OR($E$8="(All)",'Master Database'!$P535=$E$8),OR($E$9="(All)",'Master Database'!$S535=$E$9),OR($E$10="(All)",'Master Database'!$Y535&amp;""=$E$10&amp;""),OR($H$5="(All)",'Master Database'!$BG535=$H$5),OR($H$6&lt;&gt;"Y",ISNUMBER('Master Database'!$AG535)),OR($H$7="",AND(ISNUMBER('Master Database'!$H535),N('Master Database'!$H535)&gt;=$H$7)),OR($I$7="",AND(ISNUMBER('Master Database'!$H535),N('Master Database'!$H535)&lt;=$I$7)),OR($H$8="",AND(ISNUMBER('Master Database'!$I535),N('Master Database'!$I535)&gt;=$H$8)),OR($I$8="",AND(ISNUMBER('Master Database'!$I535),N('Master Database'!$I535)&lt;=$I$8)),OR($H$9="",AND(ISNUMBER('Master Database'!$K535),N('Master Database'!$K535)&gt;=$H$9)),OR($I$9="",AND(ISNUMBER('Master Database'!$K535),N('Master Database'!$K535)&lt;=$I$9))),1,0))</f>
        <v>0</v>
      </c>
      <c r="BB535" t="str">
        <f>IF(BA535=1,COUNTIF($BA$5:BA535,1),"")</f>
        <v/>
      </c>
    </row>
    <row r="536" spans="53:54">
      <c r="BA536">
        <f>IF('Master Database'!$A536="",0,IF(AND(OR($B$5="",ISNUMBER(SEARCH($B$5,'Master Database'!$B536&amp;" "&amp;'Master Database'!$D536))),OR($B$6="(All)",'Master Database'!$C536=$B$6),OR($B$7="(All)",'Master Database'!$E536=$B$7),OR($B$8="(All)",'Master Database'!$T536=$B$8),OR($B$9="(All)",'Master Database'!$M536=$B$9),OR($B$10="(All)",'Master Database'!$V536=$B$10),OR($E$5="(All)",'Master Database'!$F536=$E$5),OR($E$6="(All)",'Master Database'!$G536=$E$6),OR($E$7="(All)",'Master Database'!$O536=$E$7),OR($E$8="(All)",'Master Database'!$P536=$E$8),OR($E$9="(All)",'Master Database'!$S536=$E$9),OR($E$10="(All)",'Master Database'!$Y536&amp;""=$E$10&amp;""),OR($H$5="(All)",'Master Database'!$BG536=$H$5),OR($H$6&lt;&gt;"Y",ISNUMBER('Master Database'!$AG536)),OR($H$7="",AND(ISNUMBER('Master Database'!$H536),N('Master Database'!$H536)&gt;=$H$7)),OR($I$7="",AND(ISNUMBER('Master Database'!$H536),N('Master Database'!$H536)&lt;=$I$7)),OR($H$8="",AND(ISNUMBER('Master Database'!$I536),N('Master Database'!$I536)&gt;=$H$8)),OR($I$8="",AND(ISNUMBER('Master Database'!$I536),N('Master Database'!$I536)&lt;=$I$8)),OR($H$9="",AND(ISNUMBER('Master Database'!$K536),N('Master Database'!$K536)&gt;=$H$9)),OR($I$9="",AND(ISNUMBER('Master Database'!$K536),N('Master Database'!$K536)&lt;=$I$9))),1,0))</f>
        <v>0</v>
      </c>
      <c r="BB536" t="str">
        <f>IF(BA536=1,COUNTIF($BA$5:BA536,1),"")</f>
        <v/>
      </c>
    </row>
    <row r="537" spans="53:54">
      <c r="BA537">
        <f>IF('Master Database'!$A537="",0,IF(AND(OR($B$5="",ISNUMBER(SEARCH($B$5,'Master Database'!$B537&amp;" "&amp;'Master Database'!$D537))),OR($B$6="(All)",'Master Database'!$C537=$B$6),OR($B$7="(All)",'Master Database'!$E537=$B$7),OR($B$8="(All)",'Master Database'!$T537=$B$8),OR($B$9="(All)",'Master Database'!$M537=$B$9),OR($B$10="(All)",'Master Database'!$V537=$B$10),OR($E$5="(All)",'Master Database'!$F537=$E$5),OR($E$6="(All)",'Master Database'!$G537=$E$6),OR($E$7="(All)",'Master Database'!$O537=$E$7),OR($E$8="(All)",'Master Database'!$P537=$E$8),OR($E$9="(All)",'Master Database'!$S537=$E$9),OR($E$10="(All)",'Master Database'!$Y537&amp;""=$E$10&amp;""),OR($H$5="(All)",'Master Database'!$BG537=$H$5),OR($H$6&lt;&gt;"Y",ISNUMBER('Master Database'!$AG537)),OR($H$7="",AND(ISNUMBER('Master Database'!$H537),N('Master Database'!$H537)&gt;=$H$7)),OR($I$7="",AND(ISNUMBER('Master Database'!$H537),N('Master Database'!$H537)&lt;=$I$7)),OR($H$8="",AND(ISNUMBER('Master Database'!$I537),N('Master Database'!$I537)&gt;=$H$8)),OR($I$8="",AND(ISNUMBER('Master Database'!$I537),N('Master Database'!$I537)&lt;=$I$8)),OR($H$9="",AND(ISNUMBER('Master Database'!$K537),N('Master Database'!$K537)&gt;=$H$9)),OR($I$9="",AND(ISNUMBER('Master Database'!$K537),N('Master Database'!$K537)&lt;=$I$9))),1,0))</f>
        <v>0</v>
      </c>
      <c r="BB537" t="str">
        <f>IF(BA537=1,COUNTIF($BA$5:BA537,1),"")</f>
        <v/>
      </c>
    </row>
    <row r="538" spans="53:54">
      <c r="BA538">
        <f>IF('Master Database'!$A538="",0,IF(AND(OR($B$5="",ISNUMBER(SEARCH($B$5,'Master Database'!$B538&amp;" "&amp;'Master Database'!$D538))),OR($B$6="(All)",'Master Database'!$C538=$B$6),OR($B$7="(All)",'Master Database'!$E538=$B$7),OR($B$8="(All)",'Master Database'!$T538=$B$8),OR($B$9="(All)",'Master Database'!$M538=$B$9),OR($B$10="(All)",'Master Database'!$V538=$B$10),OR($E$5="(All)",'Master Database'!$F538=$E$5),OR($E$6="(All)",'Master Database'!$G538=$E$6),OR($E$7="(All)",'Master Database'!$O538=$E$7),OR($E$8="(All)",'Master Database'!$P538=$E$8),OR($E$9="(All)",'Master Database'!$S538=$E$9),OR($E$10="(All)",'Master Database'!$Y538&amp;""=$E$10&amp;""),OR($H$5="(All)",'Master Database'!$BG538=$H$5),OR($H$6&lt;&gt;"Y",ISNUMBER('Master Database'!$AG538)),OR($H$7="",AND(ISNUMBER('Master Database'!$H538),N('Master Database'!$H538)&gt;=$H$7)),OR($I$7="",AND(ISNUMBER('Master Database'!$H538),N('Master Database'!$H538)&lt;=$I$7)),OR($H$8="",AND(ISNUMBER('Master Database'!$I538),N('Master Database'!$I538)&gt;=$H$8)),OR($I$8="",AND(ISNUMBER('Master Database'!$I538),N('Master Database'!$I538)&lt;=$I$8)),OR($H$9="",AND(ISNUMBER('Master Database'!$K538),N('Master Database'!$K538)&gt;=$H$9)),OR($I$9="",AND(ISNUMBER('Master Database'!$K538),N('Master Database'!$K538)&lt;=$I$9))),1,0))</f>
        <v>0</v>
      </c>
      <c r="BB538" t="str">
        <f>IF(BA538=1,COUNTIF($BA$5:BA538,1),"")</f>
        <v/>
      </c>
    </row>
    <row r="539" spans="53:54">
      <c r="BA539">
        <f>IF('Master Database'!$A539="",0,IF(AND(OR($B$5="",ISNUMBER(SEARCH($B$5,'Master Database'!$B539&amp;" "&amp;'Master Database'!$D539))),OR($B$6="(All)",'Master Database'!$C539=$B$6),OR($B$7="(All)",'Master Database'!$E539=$B$7),OR($B$8="(All)",'Master Database'!$T539=$B$8),OR($B$9="(All)",'Master Database'!$M539=$B$9),OR($B$10="(All)",'Master Database'!$V539=$B$10),OR($E$5="(All)",'Master Database'!$F539=$E$5),OR($E$6="(All)",'Master Database'!$G539=$E$6),OR($E$7="(All)",'Master Database'!$O539=$E$7),OR($E$8="(All)",'Master Database'!$P539=$E$8),OR($E$9="(All)",'Master Database'!$S539=$E$9),OR($E$10="(All)",'Master Database'!$Y539&amp;""=$E$10&amp;""),OR($H$5="(All)",'Master Database'!$BG539=$H$5),OR($H$6&lt;&gt;"Y",ISNUMBER('Master Database'!$AG539)),OR($H$7="",AND(ISNUMBER('Master Database'!$H539),N('Master Database'!$H539)&gt;=$H$7)),OR($I$7="",AND(ISNUMBER('Master Database'!$H539),N('Master Database'!$H539)&lt;=$I$7)),OR($H$8="",AND(ISNUMBER('Master Database'!$I539),N('Master Database'!$I539)&gt;=$H$8)),OR($I$8="",AND(ISNUMBER('Master Database'!$I539),N('Master Database'!$I539)&lt;=$I$8)),OR($H$9="",AND(ISNUMBER('Master Database'!$K539),N('Master Database'!$K539)&gt;=$H$9)),OR($I$9="",AND(ISNUMBER('Master Database'!$K539),N('Master Database'!$K539)&lt;=$I$9))),1,0))</f>
        <v>0</v>
      </c>
      <c r="BB539" t="str">
        <f>IF(BA539=1,COUNTIF($BA$5:BA539,1),"")</f>
        <v/>
      </c>
    </row>
    <row r="540" spans="53:54">
      <c r="BA540">
        <f>IF('Master Database'!$A540="",0,IF(AND(OR($B$5="",ISNUMBER(SEARCH($B$5,'Master Database'!$B540&amp;" "&amp;'Master Database'!$D540))),OR($B$6="(All)",'Master Database'!$C540=$B$6),OR($B$7="(All)",'Master Database'!$E540=$B$7),OR($B$8="(All)",'Master Database'!$T540=$B$8),OR($B$9="(All)",'Master Database'!$M540=$B$9),OR($B$10="(All)",'Master Database'!$V540=$B$10),OR($E$5="(All)",'Master Database'!$F540=$E$5),OR($E$6="(All)",'Master Database'!$G540=$E$6),OR($E$7="(All)",'Master Database'!$O540=$E$7),OR($E$8="(All)",'Master Database'!$P540=$E$8),OR($E$9="(All)",'Master Database'!$S540=$E$9),OR($E$10="(All)",'Master Database'!$Y540&amp;""=$E$10&amp;""),OR($H$5="(All)",'Master Database'!$BG540=$H$5),OR($H$6&lt;&gt;"Y",ISNUMBER('Master Database'!$AG540)),OR($H$7="",AND(ISNUMBER('Master Database'!$H540),N('Master Database'!$H540)&gt;=$H$7)),OR($I$7="",AND(ISNUMBER('Master Database'!$H540),N('Master Database'!$H540)&lt;=$I$7)),OR($H$8="",AND(ISNUMBER('Master Database'!$I540),N('Master Database'!$I540)&gt;=$H$8)),OR($I$8="",AND(ISNUMBER('Master Database'!$I540),N('Master Database'!$I540)&lt;=$I$8)),OR($H$9="",AND(ISNUMBER('Master Database'!$K540),N('Master Database'!$K540)&gt;=$H$9)),OR($I$9="",AND(ISNUMBER('Master Database'!$K540),N('Master Database'!$K540)&lt;=$I$9))),1,0))</f>
        <v>0</v>
      </c>
      <c r="BB540" t="str">
        <f>IF(BA540=1,COUNTIF($BA$5:BA540,1),"")</f>
        <v/>
      </c>
    </row>
    <row r="541" spans="53:54">
      <c r="BA541">
        <f>IF('Master Database'!$A541="",0,IF(AND(OR($B$5="",ISNUMBER(SEARCH($B$5,'Master Database'!$B541&amp;" "&amp;'Master Database'!$D541))),OR($B$6="(All)",'Master Database'!$C541=$B$6),OR($B$7="(All)",'Master Database'!$E541=$B$7),OR($B$8="(All)",'Master Database'!$T541=$B$8),OR($B$9="(All)",'Master Database'!$M541=$B$9),OR($B$10="(All)",'Master Database'!$V541=$B$10),OR($E$5="(All)",'Master Database'!$F541=$E$5),OR($E$6="(All)",'Master Database'!$G541=$E$6),OR($E$7="(All)",'Master Database'!$O541=$E$7),OR($E$8="(All)",'Master Database'!$P541=$E$8),OR($E$9="(All)",'Master Database'!$S541=$E$9),OR($E$10="(All)",'Master Database'!$Y541&amp;""=$E$10&amp;""),OR($H$5="(All)",'Master Database'!$BG541=$H$5),OR($H$6&lt;&gt;"Y",ISNUMBER('Master Database'!$AG541)),OR($H$7="",AND(ISNUMBER('Master Database'!$H541),N('Master Database'!$H541)&gt;=$H$7)),OR($I$7="",AND(ISNUMBER('Master Database'!$H541),N('Master Database'!$H541)&lt;=$I$7)),OR($H$8="",AND(ISNUMBER('Master Database'!$I541),N('Master Database'!$I541)&gt;=$H$8)),OR($I$8="",AND(ISNUMBER('Master Database'!$I541),N('Master Database'!$I541)&lt;=$I$8)),OR($H$9="",AND(ISNUMBER('Master Database'!$K541),N('Master Database'!$K541)&gt;=$H$9)),OR($I$9="",AND(ISNUMBER('Master Database'!$K541),N('Master Database'!$K541)&lt;=$I$9))),1,0))</f>
        <v>0</v>
      </c>
      <c r="BB541" t="str">
        <f>IF(BA541=1,COUNTIF($BA$5:BA541,1),"")</f>
        <v/>
      </c>
    </row>
    <row r="542" spans="53:54">
      <c r="BA542">
        <f>IF('Master Database'!$A542="",0,IF(AND(OR($B$5="",ISNUMBER(SEARCH($B$5,'Master Database'!$B542&amp;" "&amp;'Master Database'!$D542))),OR($B$6="(All)",'Master Database'!$C542=$B$6),OR($B$7="(All)",'Master Database'!$E542=$B$7),OR($B$8="(All)",'Master Database'!$T542=$B$8),OR($B$9="(All)",'Master Database'!$M542=$B$9),OR($B$10="(All)",'Master Database'!$V542=$B$10),OR($E$5="(All)",'Master Database'!$F542=$E$5),OR($E$6="(All)",'Master Database'!$G542=$E$6),OR($E$7="(All)",'Master Database'!$O542=$E$7),OR($E$8="(All)",'Master Database'!$P542=$E$8),OR($E$9="(All)",'Master Database'!$S542=$E$9),OR($E$10="(All)",'Master Database'!$Y542&amp;""=$E$10&amp;""),OR($H$5="(All)",'Master Database'!$BG542=$H$5),OR($H$6&lt;&gt;"Y",ISNUMBER('Master Database'!$AG542)),OR($H$7="",AND(ISNUMBER('Master Database'!$H542),N('Master Database'!$H542)&gt;=$H$7)),OR($I$7="",AND(ISNUMBER('Master Database'!$H542),N('Master Database'!$H542)&lt;=$I$7)),OR($H$8="",AND(ISNUMBER('Master Database'!$I542),N('Master Database'!$I542)&gt;=$H$8)),OR($I$8="",AND(ISNUMBER('Master Database'!$I542),N('Master Database'!$I542)&lt;=$I$8)),OR($H$9="",AND(ISNUMBER('Master Database'!$K542),N('Master Database'!$K542)&gt;=$H$9)),OR($I$9="",AND(ISNUMBER('Master Database'!$K542),N('Master Database'!$K542)&lt;=$I$9))),1,0))</f>
        <v>0</v>
      </c>
      <c r="BB542" t="str">
        <f>IF(BA542=1,COUNTIF($BA$5:BA542,1),"")</f>
        <v/>
      </c>
    </row>
    <row r="543" spans="53:54">
      <c r="BA543">
        <f>IF('Master Database'!$A543="",0,IF(AND(OR($B$5="",ISNUMBER(SEARCH($B$5,'Master Database'!$B543&amp;" "&amp;'Master Database'!$D543))),OR($B$6="(All)",'Master Database'!$C543=$B$6),OR($B$7="(All)",'Master Database'!$E543=$B$7),OR($B$8="(All)",'Master Database'!$T543=$B$8),OR($B$9="(All)",'Master Database'!$M543=$B$9),OR($B$10="(All)",'Master Database'!$V543=$B$10),OR($E$5="(All)",'Master Database'!$F543=$E$5),OR($E$6="(All)",'Master Database'!$G543=$E$6),OR($E$7="(All)",'Master Database'!$O543=$E$7),OR($E$8="(All)",'Master Database'!$P543=$E$8),OR($E$9="(All)",'Master Database'!$S543=$E$9),OR($E$10="(All)",'Master Database'!$Y543&amp;""=$E$10&amp;""),OR($H$5="(All)",'Master Database'!$BG543=$H$5),OR($H$6&lt;&gt;"Y",ISNUMBER('Master Database'!$AG543)),OR($H$7="",AND(ISNUMBER('Master Database'!$H543),N('Master Database'!$H543)&gt;=$H$7)),OR($I$7="",AND(ISNUMBER('Master Database'!$H543),N('Master Database'!$H543)&lt;=$I$7)),OR($H$8="",AND(ISNUMBER('Master Database'!$I543),N('Master Database'!$I543)&gt;=$H$8)),OR($I$8="",AND(ISNUMBER('Master Database'!$I543),N('Master Database'!$I543)&lt;=$I$8)),OR($H$9="",AND(ISNUMBER('Master Database'!$K543),N('Master Database'!$K543)&gt;=$H$9)),OR($I$9="",AND(ISNUMBER('Master Database'!$K543),N('Master Database'!$K543)&lt;=$I$9))),1,0))</f>
        <v>0</v>
      </c>
      <c r="BB543" t="str">
        <f>IF(BA543=1,COUNTIF($BA$5:BA543,1),"")</f>
        <v/>
      </c>
    </row>
    <row r="544" spans="53:54">
      <c r="BA544">
        <f>IF('Master Database'!$A544="",0,IF(AND(OR($B$5="",ISNUMBER(SEARCH($B$5,'Master Database'!$B544&amp;" "&amp;'Master Database'!$D544))),OR($B$6="(All)",'Master Database'!$C544=$B$6),OR($B$7="(All)",'Master Database'!$E544=$B$7),OR($B$8="(All)",'Master Database'!$T544=$B$8),OR($B$9="(All)",'Master Database'!$M544=$B$9),OR($B$10="(All)",'Master Database'!$V544=$B$10),OR($E$5="(All)",'Master Database'!$F544=$E$5),OR($E$6="(All)",'Master Database'!$G544=$E$6),OR($E$7="(All)",'Master Database'!$O544=$E$7),OR($E$8="(All)",'Master Database'!$P544=$E$8),OR($E$9="(All)",'Master Database'!$S544=$E$9),OR($E$10="(All)",'Master Database'!$Y544&amp;""=$E$10&amp;""),OR($H$5="(All)",'Master Database'!$BG544=$H$5),OR($H$6&lt;&gt;"Y",ISNUMBER('Master Database'!$AG544)),OR($H$7="",AND(ISNUMBER('Master Database'!$H544),N('Master Database'!$H544)&gt;=$H$7)),OR($I$7="",AND(ISNUMBER('Master Database'!$H544),N('Master Database'!$H544)&lt;=$I$7)),OR($H$8="",AND(ISNUMBER('Master Database'!$I544),N('Master Database'!$I544)&gt;=$H$8)),OR($I$8="",AND(ISNUMBER('Master Database'!$I544),N('Master Database'!$I544)&lt;=$I$8)),OR($H$9="",AND(ISNUMBER('Master Database'!$K544),N('Master Database'!$K544)&gt;=$H$9)),OR($I$9="",AND(ISNUMBER('Master Database'!$K544),N('Master Database'!$K544)&lt;=$I$9))),1,0))</f>
        <v>0</v>
      </c>
      <c r="BB544" t="str">
        <f>IF(BA544=1,COUNTIF($BA$5:BA544,1),"")</f>
        <v/>
      </c>
    </row>
    <row r="545" spans="53:54">
      <c r="BA545">
        <f>IF('Master Database'!$A545="",0,IF(AND(OR($B$5="",ISNUMBER(SEARCH($B$5,'Master Database'!$B545&amp;" "&amp;'Master Database'!$D545))),OR($B$6="(All)",'Master Database'!$C545=$B$6),OR($B$7="(All)",'Master Database'!$E545=$B$7),OR($B$8="(All)",'Master Database'!$T545=$B$8),OR($B$9="(All)",'Master Database'!$M545=$B$9),OR($B$10="(All)",'Master Database'!$V545=$B$10),OR($E$5="(All)",'Master Database'!$F545=$E$5),OR($E$6="(All)",'Master Database'!$G545=$E$6),OR($E$7="(All)",'Master Database'!$O545=$E$7),OR($E$8="(All)",'Master Database'!$P545=$E$8),OR($E$9="(All)",'Master Database'!$S545=$E$9),OR($E$10="(All)",'Master Database'!$Y545&amp;""=$E$10&amp;""),OR($H$5="(All)",'Master Database'!$BG545=$H$5),OR($H$6&lt;&gt;"Y",ISNUMBER('Master Database'!$AG545)),OR($H$7="",AND(ISNUMBER('Master Database'!$H545),N('Master Database'!$H545)&gt;=$H$7)),OR($I$7="",AND(ISNUMBER('Master Database'!$H545),N('Master Database'!$H545)&lt;=$I$7)),OR($H$8="",AND(ISNUMBER('Master Database'!$I545),N('Master Database'!$I545)&gt;=$H$8)),OR($I$8="",AND(ISNUMBER('Master Database'!$I545),N('Master Database'!$I545)&lt;=$I$8)),OR($H$9="",AND(ISNUMBER('Master Database'!$K545),N('Master Database'!$K545)&gt;=$H$9)),OR($I$9="",AND(ISNUMBER('Master Database'!$K545),N('Master Database'!$K545)&lt;=$I$9))),1,0))</f>
        <v>0</v>
      </c>
      <c r="BB545" t="str">
        <f>IF(BA545=1,COUNTIF($BA$5:BA545,1),"")</f>
        <v/>
      </c>
    </row>
    <row r="546" spans="53:54">
      <c r="BA546">
        <f>IF('Master Database'!$A546="",0,IF(AND(OR($B$5="",ISNUMBER(SEARCH($B$5,'Master Database'!$B546&amp;" "&amp;'Master Database'!$D546))),OR($B$6="(All)",'Master Database'!$C546=$B$6),OR($B$7="(All)",'Master Database'!$E546=$B$7),OR($B$8="(All)",'Master Database'!$T546=$B$8),OR($B$9="(All)",'Master Database'!$M546=$B$9),OR($B$10="(All)",'Master Database'!$V546=$B$10),OR($E$5="(All)",'Master Database'!$F546=$E$5),OR($E$6="(All)",'Master Database'!$G546=$E$6),OR($E$7="(All)",'Master Database'!$O546=$E$7),OR($E$8="(All)",'Master Database'!$P546=$E$8),OR($E$9="(All)",'Master Database'!$S546=$E$9),OR($E$10="(All)",'Master Database'!$Y546&amp;""=$E$10&amp;""),OR($H$5="(All)",'Master Database'!$BG546=$H$5),OR($H$6&lt;&gt;"Y",ISNUMBER('Master Database'!$AG546)),OR($H$7="",AND(ISNUMBER('Master Database'!$H546),N('Master Database'!$H546)&gt;=$H$7)),OR($I$7="",AND(ISNUMBER('Master Database'!$H546),N('Master Database'!$H546)&lt;=$I$7)),OR($H$8="",AND(ISNUMBER('Master Database'!$I546),N('Master Database'!$I546)&gt;=$H$8)),OR($I$8="",AND(ISNUMBER('Master Database'!$I546),N('Master Database'!$I546)&lt;=$I$8)),OR($H$9="",AND(ISNUMBER('Master Database'!$K546),N('Master Database'!$K546)&gt;=$H$9)),OR($I$9="",AND(ISNUMBER('Master Database'!$K546),N('Master Database'!$K546)&lt;=$I$9))),1,0))</f>
        <v>0</v>
      </c>
      <c r="BB546" t="str">
        <f>IF(BA546=1,COUNTIF($BA$5:BA546,1),"")</f>
        <v/>
      </c>
    </row>
    <row r="547" spans="53:54">
      <c r="BA547">
        <f>IF('Master Database'!$A547="",0,IF(AND(OR($B$5="",ISNUMBER(SEARCH($B$5,'Master Database'!$B547&amp;" "&amp;'Master Database'!$D547))),OR($B$6="(All)",'Master Database'!$C547=$B$6),OR($B$7="(All)",'Master Database'!$E547=$B$7),OR($B$8="(All)",'Master Database'!$T547=$B$8),OR($B$9="(All)",'Master Database'!$M547=$B$9),OR($B$10="(All)",'Master Database'!$V547=$B$10),OR($E$5="(All)",'Master Database'!$F547=$E$5),OR($E$6="(All)",'Master Database'!$G547=$E$6),OR($E$7="(All)",'Master Database'!$O547=$E$7),OR($E$8="(All)",'Master Database'!$P547=$E$8),OR($E$9="(All)",'Master Database'!$S547=$E$9),OR($E$10="(All)",'Master Database'!$Y547&amp;""=$E$10&amp;""),OR($H$5="(All)",'Master Database'!$BG547=$H$5),OR($H$6&lt;&gt;"Y",ISNUMBER('Master Database'!$AG547)),OR($H$7="",AND(ISNUMBER('Master Database'!$H547),N('Master Database'!$H547)&gt;=$H$7)),OR($I$7="",AND(ISNUMBER('Master Database'!$H547),N('Master Database'!$H547)&lt;=$I$7)),OR($H$8="",AND(ISNUMBER('Master Database'!$I547),N('Master Database'!$I547)&gt;=$H$8)),OR($I$8="",AND(ISNUMBER('Master Database'!$I547),N('Master Database'!$I547)&lt;=$I$8)),OR($H$9="",AND(ISNUMBER('Master Database'!$K547),N('Master Database'!$K547)&gt;=$H$9)),OR($I$9="",AND(ISNUMBER('Master Database'!$K547),N('Master Database'!$K547)&lt;=$I$9))),1,0))</f>
        <v>0</v>
      </c>
      <c r="BB547" t="str">
        <f>IF(BA547=1,COUNTIF($BA$5:BA547,1),"")</f>
        <v/>
      </c>
    </row>
    <row r="548" spans="53:54">
      <c r="BA548">
        <f>IF('Master Database'!$A548="",0,IF(AND(OR($B$5="",ISNUMBER(SEARCH($B$5,'Master Database'!$B548&amp;" "&amp;'Master Database'!$D548))),OR($B$6="(All)",'Master Database'!$C548=$B$6),OR($B$7="(All)",'Master Database'!$E548=$B$7),OR($B$8="(All)",'Master Database'!$T548=$B$8),OR($B$9="(All)",'Master Database'!$M548=$B$9),OR($B$10="(All)",'Master Database'!$V548=$B$10),OR($E$5="(All)",'Master Database'!$F548=$E$5),OR($E$6="(All)",'Master Database'!$G548=$E$6),OR($E$7="(All)",'Master Database'!$O548=$E$7),OR($E$8="(All)",'Master Database'!$P548=$E$8),OR($E$9="(All)",'Master Database'!$S548=$E$9),OR($E$10="(All)",'Master Database'!$Y548&amp;""=$E$10&amp;""),OR($H$5="(All)",'Master Database'!$BG548=$H$5),OR($H$6&lt;&gt;"Y",ISNUMBER('Master Database'!$AG548)),OR($H$7="",AND(ISNUMBER('Master Database'!$H548),N('Master Database'!$H548)&gt;=$H$7)),OR($I$7="",AND(ISNUMBER('Master Database'!$H548),N('Master Database'!$H548)&lt;=$I$7)),OR($H$8="",AND(ISNUMBER('Master Database'!$I548),N('Master Database'!$I548)&gt;=$H$8)),OR($I$8="",AND(ISNUMBER('Master Database'!$I548),N('Master Database'!$I548)&lt;=$I$8)),OR($H$9="",AND(ISNUMBER('Master Database'!$K548),N('Master Database'!$K548)&gt;=$H$9)),OR($I$9="",AND(ISNUMBER('Master Database'!$K548),N('Master Database'!$K548)&lt;=$I$9))),1,0))</f>
        <v>0</v>
      </c>
      <c r="BB548" t="str">
        <f>IF(BA548=1,COUNTIF($BA$5:BA548,1),"")</f>
        <v/>
      </c>
    </row>
    <row r="549" spans="53:54">
      <c r="BA549">
        <f>IF('Master Database'!$A549="",0,IF(AND(OR($B$5="",ISNUMBER(SEARCH($B$5,'Master Database'!$B549&amp;" "&amp;'Master Database'!$D549))),OR($B$6="(All)",'Master Database'!$C549=$B$6),OR($B$7="(All)",'Master Database'!$E549=$B$7),OR($B$8="(All)",'Master Database'!$T549=$B$8),OR($B$9="(All)",'Master Database'!$M549=$B$9),OR($B$10="(All)",'Master Database'!$V549=$B$10),OR($E$5="(All)",'Master Database'!$F549=$E$5),OR($E$6="(All)",'Master Database'!$G549=$E$6),OR($E$7="(All)",'Master Database'!$O549=$E$7),OR($E$8="(All)",'Master Database'!$P549=$E$8),OR($E$9="(All)",'Master Database'!$S549=$E$9),OR($E$10="(All)",'Master Database'!$Y549&amp;""=$E$10&amp;""),OR($H$5="(All)",'Master Database'!$BG549=$H$5),OR($H$6&lt;&gt;"Y",ISNUMBER('Master Database'!$AG549)),OR($H$7="",AND(ISNUMBER('Master Database'!$H549),N('Master Database'!$H549)&gt;=$H$7)),OR($I$7="",AND(ISNUMBER('Master Database'!$H549),N('Master Database'!$H549)&lt;=$I$7)),OR($H$8="",AND(ISNUMBER('Master Database'!$I549),N('Master Database'!$I549)&gt;=$H$8)),OR($I$8="",AND(ISNUMBER('Master Database'!$I549),N('Master Database'!$I549)&lt;=$I$8)),OR($H$9="",AND(ISNUMBER('Master Database'!$K549),N('Master Database'!$K549)&gt;=$H$9)),OR($I$9="",AND(ISNUMBER('Master Database'!$K549),N('Master Database'!$K549)&lt;=$I$9))),1,0))</f>
        <v>0</v>
      </c>
      <c r="BB549" t="str">
        <f>IF(BA549=1,COUNTIF($BA$5:BA549,1),"")</f>
        <v/>
      </c>
    </row>
    <row r="550" spans="53:54">
      <c r="BA550">
        <f>IF('Master Database'!$A550="",0,IF(AND(OR($B$5="",ISNUMBER(SEARCH($B$5,'Master Database'!$B550&amp;" "&amp;'Master Database'!$D550))),OR($B$6="(All)",'Master Database'!$C550=$B$6),OR($B$7="(All)",'Master Database'!$E550=$B$7),OR($B$8="(All)",'Master Database'!$T550=$B$8),OR($B$9="(All)",'Master Database'!$M550=$B$9),OR($B$10="(All)",'Master Database'!$V550=$B$10),OR($E$5="(All)",'Master Database'!$F550=$E$5),OR($E$6="(All)",'Master Database'!$G550=$E$6),OR($E$7="(All)",'Master Database'!$O550=$E$7),OR($E$8="(All)",'Master Database'!$P550=$E$8),OR($E$9="(All)",'Master Database'!$S550=$E$9),OR($E$10="(All)",'Master Database'!$Y550&amp;""=$E$10&amp;""),OR($H$5="(All)",'Master Database'!$BG550=$H$5),OR($H$6&lt;&gt;"Y",ISNUMBER('Master Database'!$AG550)),OR($H$7="",AND(ISNUMBER('Master Database'!$H550),N('Master Database'!$H550)&gt;=$H$7)),OR($I$7="",AND(ISNUMBER('Master Database'!$H550),N('Master Database'!$H550)&lt;=$I$7)),OR($H$8="",AND(ISNUMBER('Master Database'!$I550),N('Master Database'!$I550)&gt;=$H$8)),OR($I$8="",AND(ISNUMBER('Master Database'!$I550),N('Master Database'!$I550)&lt;=$I$8)),OR($H$9="",AND(ISNUMBER('Master Database'!$K550),N('Master Database'!$K550)&gt;=$H$9)),OR($I$9="",AND(ISNUMBER('Master Database'!$K550),N('Master Database'!$K550)&lt;=$I$9))),1,0))</f>
        <v>0</v>
      </c>
      <c r="BB550" t="str">
        <f>IF(BA550=1,COUNTIF($BA$5:BA550,1),"")</f>
        <v/>
      </c>
    </row>
    <row r="551" spans="53:54">
      <c r="BA551">
        <f>IF('Master Database'!$A551="",0,IF(AND(OR($B$5="",ISNUMBER(SEARCH($B$5,'Master Database'!$B551&amp;" "&amp;'Master Database'!$D551))),OR($B$6="(All)",'Master Database'!$C551=$B$6),OR($B$7="(All)",'Master Database'!$E551=$B$7),OR($B$8="(All)",'Master Database'!$T551=$B$8),OR($B$9="(All)",'Master Database'!$M551=$B$9),OR($B$10="(All)",'Master Database'!$V551=$B$10),OR($E$5="(All)",'Master Database'!$F551=$E$5),OR($E$6="(All)",'Master Database'!$G551=$E$6),OR($E$7="(All)",'Master Database'!$O551=$E$7),OR($E$8="(All)",'Master Database'!$P551=$E$8),OR($E$9="(All)",'Master Database'!$S551=$E$9),OR($E$10="(All)",'Master Database'!$Y551&amp;""=$E$10&amp;""),OR($H$5="(All)",'Master Database'!$BG551=$H$5),OR($H$6&lt;&gt;"Y",ISNUMBER('Master Database'!$AG551)),OR($H$7="",AND(ISNUMBER('Master Database'!$H551),N('Master Database'!$H551)&gt;=$H$7)),OR($I$7="",AND(ISNUMBER('Master Database'!$H551),N('Master Database'!$H551)&lt;=$I$7)),OR($H$8="",AND(ISNUMBER('Master Database'!$I551),N('Master Database'!$I551)&gt;=$H$8)),OR($I$8="",AND(ISNUMBER('Master Database'!$I551),N('Master Database'!$I551)&lt;=$I$8)),OR($H$9="",AND(ISNUMBER('Master Database'!$K551),N('Master Database'!$K551)&gt;=$H$9)),OR($I$9="",AND(ISNUMBER('Master Database'!$K551),N('Master Database'!$K551)&lt;=$I$9))),1,0))</f>
        <v>0</v>
      </c>
      <c r="BB551" t="str">
        <f>IF(BA551=1,COUNTIF($BA$5:BA551,1),"")</f>
        <v/>
      </c>
    </row>
    <row r="552" spans="53:54">
      <c r="BA552">
        <f>IF('Master Database'!$A552="",0,IF(AND(OR($B$5="",ISNUMBER(SEARCH($B$5,'Master Database'!$B552&amp;" "&amp;'Master Database'!$D552))),OR($B$6="(All)",'Master Database'!$C552=$B$6),OR($B$7="(All)",'Master Database'!$E552=$B$7),OR($B$8="(All)",'Master Database'!$T552=$B$8),OR($B$9="(All)",'Master Database'!$M552=$B$9),OR($B$10="(All)",'Master Database'!$V552=$B$10),OR($E$5="(All)",'Master Database'!$F552=$E$5),OR($E$6="(All)",'Master Database'!$G552=$E$6),OR($E$7="(All)",'Master Database'!$O552=$E$7),OR($E$8="(All)",'Master Database'!$P552=$E$8),OR($E$9="(All)",'Master Database'!$S552=$E$9),OR($E$10="(All)",'Master Database'!$Y552&amp;""=$E$10&amp;""),OR($H$5="(All)",'Master Database'!$BG552=$H$5),OR($H$6&lt;&gt;"Y",ISNUMBER('Master Database'!$AG552)),OR($H$7="",AND(ISNUMBER('Master Database'!$H552),N('Master Database'!$H552)&gt;=$H$7)),OR($I$7="",AND(ISNUMBER('Master Database'!$H552),N('Master Database'!$H552)&lt;=$I$7)),OR($H$8="",AND(ISNUMBER('Master Database'!$I552),N('Master Database'!$I552)&gt;=$H$8)),OR($I$8="",AND(ISNUMBER('Master Database'!$I552),N('Master Database'!$I552)&lt;=$I$8)),OR($H$9="",AND(ISNUMBER('Master Database'!$K552),N('Master Database'!$K552)&gt;=$H$9)),OR($I$9="",AND(ISNUMBER('Master Database'!$K552),N('Master Database'!$K552)&lt;=$I$9))),1,0))</f>
        <v>0</v>
      </c>
      <c r="BB552" t="str">
        <f>IF(BA552=1,COUNTIF($BA$5:BA552,1),"")</f>
        <v/>
      </c>
    </row>
    <row r="553" spans="53:54">
      <c r="BA553">
        <f>IF('Master Database'!$A553="",0,IF(AND(OR($B$5="",ISNUMBER(SEARCH($B$5,'Master Database'!$B553&amp;" "&amp;'Master Database'!$D553))),OR($B$6="(All)",'Master Database'!$C553=$B$6),OR($B$7="(All)",'Master Database'!$E553=$B$7),OR($B$8="(All)",'Master Database'!$T553=$B$8),OR($B$9="(All)",'Master Database'!$M553=$B$9),OR($B$10="(All)",'Master Database'!$V553=$B$10),OR($E$5="(All)",'Master Database'!$F553=$E$5),OR($E$6="(All)",'Master Database'!$G553=$E$6),OR($E$7="(All)",'Master Database'!$O553=$E$7),OR($E$8="(All)",'Master Database'!$P553=$E$8),OR($E$9="(All)",'Master Database'!$S553=$E$9),OR($E$10="(All)",'Master Database'!$Y553&amp;""=$E$10&amp;""),OR($H$5="(All)",'Master Database'!$BG553=$H$5),OR($H$6&lt;&gt;"Y",ISNUMBER('Master Database'!$AG553)),OR($H$7="",AND(ISNUMBER('Master Database'!$H553),N('Master Database'!$H553)&gt;=$H$7)),OR($I$7="",AND(ISNUMBER('Master Database'!$H553),N('Master Database'!$H553)&lt;=$I$7)),OR($H$8="",AND(ISNUMBER('Master Database'!$I553),N('Master Database'!$I553)&gt;=$H$8)),OR($I$8="",AND(ISNUMBER('Master Database'!$I553),N('Master Database'!$I553)&lt;=$I$8)),OR($H$9="",AND(ISNUMBER('Master Database'!$K553),N('Master Database'!$K553)&gt;=$H$9)),OR($I$9="",AND(ISNUMBER('Master Database'!$K553),N('Master Database'!$K553)&lt;=$I$9))),1,0))</f>
        <v>0</v>
      </c>
      <c r="BB553" t="str">
        <f>IF(BA553=1,COUNTIF($BA$5:BA553,1),"")</f>
        <v/>
      </c>
    </row>
    <row r="554" spans="53:54">
      <c r="BA554">
        <f>IF('Master Database'!$A554="",0,IF(AND(OR($B$5="",ISNUMBER(SEARCH($B$5,'Master Database'!$B554&amp;" "&amp;'Master Database'!$D554))),OR($B$6="(All)",'Master Database'!$C554=$B$6),OR($B$7="(All)",'Master Database'!$E554=$B$7),OR($B$8="(All)",'Master Database'!$T554=$B$8),OR($B$9="(All)",'Master Database'!$M554=$B$9),OR($B$10="(All)",'Master Database'!$V554=$B$10),OR($E$5="(All)",'Master Database'!$F554=$E$5),OR($E$6="(All)",'Master Database'!$G554=$E$6),OR($E$7="(All)",'Master Database'!$O554=$E$7),OR($E$8="(All)",'Master Database'!$P554=$E$8),OR($E$9="(All)",'Master Database'!$S554=$E$9),OR($E$10="(All)",'Master Database'!$Y554&amp;""=$E$10&amp;""),OR($H$5="(All)",'Master Database'!$BG554=$H$5),OR($H$6&lt;&gt;"Y",ISNUMBER('Master Database'!$AG554)),OR($H$7="",AND(ISNUMBER('Master Database'!$H554),N('Master Database'!$H554)&gt;=$H$7)),OR($I$7="",AND(ISNUMBER('Master Database'!$H554),N('Master Database'!$H554)&lt;=$I$7)),OR($H$8="",AND(ISNUMBER('Master Database'!$I554),N('Master Database'!$I554)&gt;=$H$8)),OR($I$8="",AND(ISNUMBER('Master Database'!$I554),N('Master Database'!$I554)&lt;=$I$8)),OR($H$9="",AND(ISNUMBER('Master Database'!$K554),N('Master Database'!$K554)&gt;=$H$9)),OR($I$9="",AND(ISNUMBER('Master Database'!$K554),N('Master Database'!$K554)&lt;=$I$9))),1,0))</f>
        <v>0</v>
      </c>
      <c r="BB554" t="str">
        <f>IF(BA554=1,COUNTIF($BA$5:BA554,1),"")</f>
        <v/>
      </c>
    </row>
    <row r="555" spans="53:54">
      <c r="BA555">
        <f>IF('Master Database'!$A555="",0,IF(AND(OR($B$5="",ISNUMBER(SEARCH($B$5,'Master Database'!$B555&amp;" "&amp;'Master Database'!$D555))),OR($B$6="(All)",'Master Database'!$C555=$B$6),OR($B$7="(All)",'Master Database'!$E555=$B$7),OR($B$8="(All)",'Master Database'!$T555=$B$8),OR($B$9="(All)",'Master Database'!$M555=$B$9),OR($B$10="(All)",'Master Database'!$V555=$B$10),OR($E$5="(All)",'Master Database'!$F555=$E$5),OR($E$6="(All)",'Master Database'!$G555=$E$6),OR($E$7="(All)",'Master Database'!$O555=$E$7),OR($E$8="(All)",'Master Database'!$P555=$E$8),OR($E$9="(All)",'Master Database'!$S555=$E$9),OR($E$10="(All)",'Master Database'!$Y555&amp;""=$E$10&amp;""),OR($H$5="(All)",'Master Database'!$BG555=$H$5),OR($H$6&lt;&gt;"Y",ISNUMBER('Master Database'!$AG555)),OR($H$7="",AND(ISNUMBER('Master Database'!$H555),N('Master Database'!$H555)&gt;=$H$7)),OR($I$7="",AND(ISNUMBER('Master Database'!$H555),N('Master Database'!$H555)&lt;=$I$7)),OR($H$8="",AND(ISNUMBER('Master Database'!$I555),N('Master Database'!$I555)&gt;=$H$8)),OR($I$8="",AND(ISNUMBER('Master Database'!$I555),N('Master Database'!$I555)&lt;=$I$8)),OR($H$9="",AND(ISNUMBER('Master Database'!$K555),N('Master Database'!$K555)&gt;=$H$9)),OR($I$9="",AND(ISNUMBER('Master Database'!$K555),N('Master Database'!$K555)&lt;=$I$9))),1,0))</f>
        <v>0</v>
      </c>
      <c r="BB555" t="str">
        <f>IF(BA555=1,COUNTIF($BA$5:BA555,1),"")</f>
        <v/>
      </c>
    </row>
    <row r="556" spans="53:54">
      <c r="BA556">
        <f>IF('Master Database'!$A556="",0,IF(AND(OR($B$5="",ISNUMBER(SEARCH($B$5,'Master Database'!$B556&amp;" "&amp;'Master Database'!$D556))),OR($B$6="(All)",'Master Database'!$C556=$B$6),OR($B$7="(All)",'Master Database'!$E556=$B$7),OR($B$8="(All)",'Master Database'!$T556=$B$8),OR($B$9="(All)",'Master Database'!$M556=$B$9),OR($B$10="(All)",'Master Database'!$V556=$B$10),OR($E$5="(All)",'Master Database'!$F556=$E$5),OR($E$6="(All)",'Master Database'!$G556=$E$6),OR($E$7="(All)",'Master Database'!$O556=$E$7),OR($E$8="(All)",'Master Database'!$P556=$E$8),OR($E$9="(All)",'Master Database'!$S556=$E$9),OR($E$10="(All)",'Master Database'!$Y556&amp;""=$E$10&amp;""),OR($H$5="(All)",'Master Database'!$BG556=$H$5),OR($H$6&lt;&gt;"Y",ISNUMBER('Master Database'!$AG556)),OR($H$7="",AND(ISNUMBER('Master Database'!$H556),N('Master Database'!$H556)&gt;=$H$7)),OR($I$7="",AND(ISNUMBER('Master Database'!$H556),N('Master Database'!$H556)&lt;=$I$7)),OR($H$8="",AND(ISNUMBER('Master Database'!$I556),N('Master Database'!$I556)&gt;=$H$8)),OR($I$8="",AND(ISNUMBER('Master Database'!$I556),N('Master Database'!$I556)&lt;=$I$8)),OR($H$9="",AND(ISNUMBER('Master Database'!$K556),N('Master Database'!$K556)&gt;=$H$9)),OR($I$9="",AND(ISNUMBER('Master Database'!$K556),N('Master Database'!$K556)&lt;=$I$9))),1,0))</f>
        <v>0</v>
      </c>
      <c r="BB556" t="str">
        <f>IF(BA556=1,COUNTIF($BA$5:BA556,1),"")</f>
        <v/>
      </c>
    </row>
    <row r="557" spans="53:54">
      <c r="BA557">
        <f>IF('Master Database'!$A557="",0,IF(AND(OR($B$5="",ISNUMBER(SEARCH($B$5,'Master Database'!$B557&amp;" "&amp;'Master Database'!$D557))),OR($B$6="(All)",'Master Database'!$C557=$B$6),OR($B$7="(All)",'Master Database'!$E557=$B$7),OR($B$8="(All)",'Master Database'!$T557=$B$8),OR($B$9="(All)",'Master Database'!$M557=$B$9),OR($B$10="(All)",'Master Database'!$V557=$B$10),OR($E$5="(All)",'Master Database'!$F557=$E$5),OR($E$6="(All)",'Master Database'!$G557=$E$6),OR($E$7="(All)",'Master Database'!$O557=$E$7),OR($E$8="(All)",'Master Database'!$P557=$E$8),OR($E$9="(All)",'Master Database'!$S557=$E$9),OR($E$10="(All)",'Master Database'!$Y557&amp;""=$E$10&amp;""),OR($H$5="(All)",'Master Database'!$BG557=$H$5),OR($H$6&lt;&gt;"Y",ISNUMBER('Master Database'!$AG557)),OR($H$7="",AND(ISNUMBER('Master Database'!$H557),N('Master Database'!$H557)&gt;=$H$7)),OR($I$7="",AND(ISNUMBER('Master Database'!$H557),N('Master Database'!$H557)&lt;=$I$7)),OR($H$8="",AND(ISNUMBER('Master Database'!$I557),N('Master Database'!$I557)&gt;=$H$8)),OR($I$8="",AND(ISNUMBER('Master Database'!$I557),N('Master Database'!$I557)&lt;=$I$8)),OR($H$9="",AND(ISNUMBER('Master Database'!$K557),N('Master Database'!$K557)&gt;=$H$9)),OR($I$9="",AND(ISNUMBER('Master Database'!$K557),N('Master Database'!$K557)&lt;=$I$9))),1,0))</f>
        <v>0</v>
      </c>
      <c r="BB557" t="str">
        <f>IF(BA557=1,COUNTIF($BA$5:BA557,1),"")</f>
        <v/>
      </c>
    </row>
    <row r="558" spans="53:54">
      <c r="BA558">
        <f>IF('Master Database'!$A558="",0,IF(AND(OR($B$5="",ISNUMBER(SEARCH($B$5,'Master Database'!$B558&amp;" "&amp;'Master Database'!$D558))),OR($B$6="(All)",'Master Database'!$C558=$B$6),OR($B$7="(All)",'Master Database'!$E558=$B$7),OR($B$8="(All)",'Master Database'!$T558=$B$8),OR($B$9="(All)",'Master Database'!$M558=$B$9),OR($B$10="(All)",'Master Database'!$V558=$B$10),OR($E$5="(All)",'Master Database'!$F558=$E$5),OR($E$6="(All)",'Master Database'!$G558=$E$6),OR($E$7="(All)",'Master Database'!$O558=$E$7),OR($E$8="(All)",'Master Database'!$P558=$E$8),OR($E$9="(All)",'Master Database'!$S558=$E$9),OR($E$10="(All)",'Master Database'!$Y558&amp;""=$E$10&amp;""),OR($H$5="(All)",'Master Database'!$BG558=$H$5),OR($H$6&lt;&gt;"Y",ISNUMBER('Master Database'!$AG558)),OR($H$7="",AND(ISNUMBER('Master Database'!$H558),N('Master Database'!$H558)&gt;=$H$7)),OR($I$7="",AND(ISNUMBER('Master Database'!$H558),N('Master Database'!$H558)&lt;=$I$7)),OR($H$8="",AND(ISNUMBER('Master Database'!$I558),N('Master Database'!$I558)&gt;=$H$8)),OR($I$8="",AND(ISNUMBER('Master Database'!$I558),N('Master Database'!$I558)&lt;=$I$8)),OR($H$9="",AND(ISNUMBER('Master Database'!$K558),N('Master Database'!$K558)&gt;=$H$9)),OR($I$9="",AND(ISNUMBER('Master Database'!$K558),N('Master Database'!$K558)&lt;=$I$9))),1,0))</f>
        <v>0</v>
      </c>
      <c r="BB558" t="str">
        <f>IF(BA558=1,COUNTIF($BA$5:BA558,1),"")</f>
        <v/>
      </c>
    </row>
    <row r="559" spans="53:54">
      <c r="BA559">
        <f>IF('Master Database'!$A559="",0,IF(AND(OR($B$5="",ISNUMBER(SEARCH($B$5,'Master Database'!$B559&amp;" "&amp;'Master Database'!$D559))),OR($B$6="(All)",'Master Database'!$C559=$B$6),OR($B$7="(All)",'Master Database'!$E559=$B$7),OR($B$8="(All)",'Master Database'!$T559=$B$8),OR($B$9="(All)",'Master Database'!$M559=$B$9),OR($B$10="(All)",'Master Database'!$V559=$B$10),OR($E$5="(All)",'Master Database'!$F559=$E$5),OR($E$6="(All)",'Master Database'!$G559=$E$6),OR($E$7="(All)",'Master Database'!$O559=$E$7),OR($E$8="(All)",'Master Database'!$P559=$E$8),OR($E$9="(All)",'Master Database'!$S559=$E$9),OR($E$10="(All)",'Master Database'!$Y559&amp;""=$E$10&amp;""),OR($H$5="(All)",'Master Database'!$BG559=$H$5),OR($H$6&lt;&gt;"Y",ISNUMBER('Master Database'!$AG559)),OR($H$7="",AND(ISNUMBER('Master Database'!$H559),N('Master Database'!$H559)&gt;=$H$7)),OR($I$7="",AND(ISNUMBER('Master Database'!$H559),N('Master Database'!$H559)&lt;=$I$7)),OR($H$8="",AND(ISNUMBER('Master Database'!$I559),N('Master Database'!$I559)&gt;=$H$8)),OR($I$8="",AND(ISNUMBER('Master Database'!$I559),N('Master Database'!$I559)&lt;=$I$8)),OR($H$9="",AND(ISNUMBER('Master Database'!$K559),N('Master Database'!$K559)&gt;=$H$9)),OR($I$9="",AND(ISNUMBER('Master Database'!$K559),N('Master Database'!$K559)&lt;=$I$9))),1,0))</f>
        <v>0</v>
      </c>
      <c r="BB559" t="str">
        <f>IF(BA559=1,COUNTIF($BA$5:BA559,1),"")</f>
        <v/>
      </c>
    </row>
    <row r="560" spans="53:54">
      <c r="BA560">
        <f>IF('Master Database'!$A560="",0,IF(AND(OR($B$5="",ISNUMBER(SEARCH($B$5,'Master Database'!$B560&amp;" "&amp;'Master Database'!$D560))),OR($B$6="(All)",'Master Database'!$C560=$B$6),OR($B$7="(All)",'Master Database'!$E560=$B$7),OR($B$8="(All)",'Master Database'!$T560=$B$8),OR($B$9="(All)",'Master Database'!$M560=$B$9),OR($B$10="(All)",'Master Database'!$V560=$B$10),OR($E$5="(All)",'Master Database'!$F560=$E$5),OR($E$6="(All)",'Master Database'!$G560=$E$6),OR($E$7="(All)",'Master Database'!$O560=$E$7),OR($E$8="(All)",'Master Database'!$P560=$E$8),OR($E$9="(All)",'Master Database'!$S560=$E$9),OR($E$10="(All)",'Master Database'!$Y560&amp;""=$E$10&amp;""),OR($H$5="(All)",'Master Database'!$BG560=$H$5),OR($H$6&lt;&gt;"Y",ISNUMBER('Master Database'!$AG560)),OR($H$7="",AND(ISNUMBER('Master Database'!$H560),N('Master Database'!$H560)&gt;=$H$7)),OR($I$7="",AND(ISNUMBER('Master Database'!$H560),N('Master Database'!$H560)&lt;=$I$7)),OR($H$8="",AND(ISNUMBER('Master Database'!$I560),N('Master Database'!$I560)&gt;=$H$8)),OR($I$8="",AND(ISNUMBER('Master Database'!$I560),N('Master Database'!$I560)&lt;=$I$8)),OR($H$9="",AND(ISNUMBER('Master Database'!$K560),N('Master Database'!$K560)&gt;=$H$9)),OR($I$9="",AND(ISNUMBER('Master Database'!$K560),N('Master Database'!$K560)&lt;=$I$9))),1,0))</f>
        <v>0</v>
      </c>
      <c r="BB560" t="str">
        <f>IF(BA560=1,COUNTIF($BA$5:BA560,1),"")</f>
        <v/>
      </c>
    </row>
    <row r="561" spans="53:54">
      <c r="BA561">
        <f>IF('Master Database'!$A561="",0,IF(AND(OR($B$5="",ISNUMBER(SEARCH($B$5,'Master Database'!$B561&amp;" "&amp;'Master Database'!$D561))),OR($B$6="(All)",'Master Database'!$C561=$B$6),OR($B$7="(All)",'Master Database'!$E561=$B$7),OR($B$8="(All)",'Master Database'!$T561=$B$8),OR($B$9="(All)",'Master Database'!$M561=$B$9),OR($B$10="(All)",'Master Database'!$V561=$B$10),OR($E$5="(All)",'Master Database'!$F561=$E$5),OR($E$6="(All)",'Master Database'!$G561=$E$6),OR($E$7="(All)",'Master Database'!$O561=$E$7),OR($E$8="(All)",'Master Database'!$P561=$E$8),OR($E$9="(All)",'Master Database'!$S561=$E$9),OR($E$10="(All)",'Master Database'!$Y561&amp;""=$E$10&amp;""),OR($H$5="(All)",'Master Database'!$BG561=$H$5),OR($H$6&lt;&gt;"Y",ISNUMBER('Master Database'!$AG561)),OR($H$7="",AND(ISNUMBER('Master Database'!$H561),N('Master Database'!$H561)&gt;=$H$7)),OR($I$7="",AND(ISNUMBER('Master Database'!$H561),N('Master Database'!$H561)&lt;=$I$7)),OR($H$8="",AND(ISNUMBER('Master Database'!$I561),N('Master Database'!$I561)&gt;=$H$8)),OR($I$8="",AND(ISNUMBER('Master Database'!$I561),N('Master Database'!$I561)&lt;=$I$8)),OR($H$9="",AND(ISNUMBER('Master Database'!$K561),N('Master Database'!$K561)&gt;=$H$9)),OR($I$9="",AND(ISNUMBER('Master Database'!$K561),N('Master Database'!$K561)&lt;=$I$9))),1,0))</f>
        <v>0</v>
      </c>
      <c r="BB561" t="str">
        <f>IF(BA561=1,COUNTIF($BA$5:BA561,1),"")</f>
        <v/>
      </c>
    </row>
    <row r="562" spans="53:54">
      <c r="BA562">
        <f>IF('Master Database'!$A562="",0,IF(AND(OR($B$5="",ISNUMBER(SEARCH($B$5,'Master Database'!$B562&amp;" "&amp;'Master Database'!$D562))),OR($B$6="(All)",'Master Database'!$C562=$B$6),OR($B$7="(All)",'Master Database'!$E562=$B$7),OR($B$8="(All)",'Master Database'!$T562=$B$8),OR($B$9="(All)",'Master Database'!$M562=$B$9),OR($B$10="(All)",'Master Database'!$V562=$B$10),OR($E$5="(All)",'Master Database'!$F562=$E$5),OR($E$6="(All)",'Master Database'!$G562=$E$6),OR($E$7="(All)",'Master Database'!$O562=$E$7),OR($E$8="(All)",'Master Database'!$P562=$E$8),OR($E$9="(All)",'Master Database'!$S562=$E$9),OR($E$10="(All)",'Master Database'!$Y562&amp;""=$E$10&amp;""),OR($H$5="(All)",'Master Database'!$BG562=$H$5),OR($H$6&lt;&gt;"Y",ISNUMBER('Master Database'!$AG562)),OR($H$7="",AND(ISNUMBER('Master Database'!$H562),N('Master Database'!$H562)&gt;=$H$7)),OR($I$7="",AND(ISNUMBER('Master Database'!$H562),N('Master Database'!$H562)&lt;=$I$7)),OR($H$8="",AND(ISNUMBER('Master Database'!$I562),N('Master Database'!$I562)&gt;=$H$8)),OR($I$8="",AND(ISNUMBER('Master Database'!$I562),N('Master Database'!$I562)&lt;=$I$8)),OR($H$9="",AND(ISNUMBER('Master Database'!$K562),N('Master Database'!$K562)&gt;=$H$9)),OR($I$9="",AND(ISNUMBER('Master Database'!$K562),N('Master Database'!$K562)&lt;=$I$9))),1,0))</f>
        <v>0</v>
      </c>
      <c r="BB562" t="str">
        <f>IF(BA562=1,COUNTIF($BA$5:BA562,1),"")</f>
        <v/>
      </c>
    </row>
    <row r="563" spans="53:54">
      <c r="BA563">
        <f>IF('Master Database'!$A563="",0,IF(AND(OR($B$5="",ISNUMBER(SEARCH($B$5,'Master Database'!$B563&amp;" "&amp;'Master Database'!$D563))),OR($B$6="(All)",'Master Database'!$C563=$B$6),OR($B$7="(All)",'Master Database'!$E563=$B$7),OR($B$8="(All)",'Master Database'!$T563=$B$8),OR($B$9="(All)",'Master Database'!$M563=$B$9),OR($B$10="(All)",'Master Database'!$V563=$B$10),OR($E$5="(All)",'Master Database'!$F563=$E$5),OR($E$6="(All)",'Master Database'!$G563=$E$6),OR($E$7="(All)",'Master Database'!$O563=$E$7),OR($E$8="(All)",'Master Database'!$P563=$E$8),OR($E$9="(All)",'Master Database'!$S563=$E$9),OR($E$10="(All)",'Master Database'!$Y563&amp;""=$E$10&amp;""),OR($H$5="(All)",'Master Database'!$BG563=$H$5),OR($H$6&lt;&gt;"Y",ISNUMBER('Master Database'!$AG563)),OR($H$7="",AND(ISNUMBER('Master Database'!$H563),N('Master Database'!$H563)&gt;=$H$7)),OR($I$7="",AND(ISNUMBER('Master Database'!$H563),N('Master Database'!$H563)&lt;=$I$7)),OR($H$8="",AND(ISNUMBER('Master Database'!$I563),N('Master Database'!$I563)&gt;=$H$8)),OR($I$8="",AND(ISNUMBER('Master Database'!$I563),N('Master Database'!$I563)&lt;=$I$8)),OR($H$9="",AND(ISNUMBER('Master Database'!$K563),N('Master Database'!$K563)&gt;=$H$9)),OR($I$9="",AND(ISNUMBER('Master Database'!$K563),N('Master Database'!$K563)&lt;=$I$9))),1,0))</f>
        <v>0</v>
      </c>
      <c r="BB563" t="str">
        <f>IF(BA563=1,COUNTIF($BA$5:BA563,1),"")</f>
        <v/>
      </c>
    </row>
    <row r="564" spans="53:54">
      <c r="BA564">
        <f>IF('Master Database'!$A564="",0,IF(AND(OR($B$5="",ISNUMBER(SEARCH($B$5,'Master Database'!$B564&amp;" "&amp;'Master Database'!$D564))),OR($B$6="(All)",'Master Database'!$C564=$B$6),OR($B$7="(All)",'Master Database'!$E564=$B$7),OR($B$8="(All)",'Master Database'!$T564=$B$8),OR($B$9="(All)",'Master Database'!$M564=$B$9),OR($B$10="(All)",'Master Database'!$V564=$B$10),OR($E$5="(All)",'Master Database'!$F564=$E$5),OR($E$6="(All)",'Master Database'!$G564=$E$6),OR($E$7="(All)",'Master Database'!$O564=$E$7),OR($E$8="(All)",'Master Database'!$P564=$E$8),OR($E$9="(All)",'Master Database'!$S564=$E$9),OR($E$10="(All)",'Master Database'!$Y564&amp;""=$E$10&amp;""),OR($H$5="(All)",'Master Database'!$BG564=$H$5),OR($H$6&lt;&gt;"Y",ISNUMBER('Master Database'!$AG564)),OR($H$7="",AND(ISNUMBER('Master Database'!$H564),N('Master Database'!$H564)&gt;=$H$7)),OR($I$7="",AND(ISNUMBER('Master Database'!$H564),N('Master Database'!$H564)&lt;=$I$7)),OR($H$8="",AND(ISNUMBER('Master Database'!$I564),N('Master Database'!$I564)&gt;=$H$8)),OR($I$8="",AND(ISNUMBER('Master Database'!$I564),N('Master Database'!$I564)&lt;=$I$8)),OR($H$9="",AND(ISNUMBER('Master Database'!$K564),N('Master Database'!$K564)&gt;=$H$9)),OR($I$9="",AND(ISNUMBER('Master Database'!$K564),N('Master Database'!$K564)&lt;=$I$9))),1,0))</f>
        <v>0</v>
      </c>
      <c r="BB564" t="str">
        <f>IF(BA564=1,COUNTIF($BA$5:BA564,1),"")</f>
        <v/>
      </c>
    </row>
    <row r="565" spans="53:54">
      <c r="BA565">
        <f>IF('Master Database'!$A565="",0,IF(AND(OR($B$5="",ISNUMBER(SEARCH($B$5,'Master Database'!$B565&amp;" "&amp;'Master Database'!$D565))),OR($B$6="(All)",'Master Database'!$C565=$B$6),OR($B$7="(All)",'Master Database'!$E565=$B$7),OR($B$8="(All)",'Master Database'!$T565=$B$8),OR($B$9="(All)",'Master Database'!$M565=$B$9),OR($B$10="(All)",'Master Database'!$V565=$B$10),OR($E$5="(All)",'Master Database'!$F565=$E$5),OR($E$6="(All)",'Master Database'!$G565=$E$6),OR($E$7="(All)",'Master Database'!$O565=$E$7),OR($E$8="(All)",'Master Database'!$P565=$E$8),OR($E$9="(All)",'Master Database'!$S565=$E$9),OR($E$10="(All)",'Master Database'!$Y565&amp;""=$E$10&amp;""),OR($H$5="(All)",'Master Database'!$BG565=$H$5),OR($H$6&lt;&gt;"Y",ISNUMBER('Master Database'!$AG565)),OR($H$7="",AND(ISNUMBER('Master Database'!$H565),N('Master Database'!$H565)&gt;=$H$7)),OR($I$7="",AND(ISNUMBER('Master Database'!$H565),N('Master Database'!$H565)&lt;=$I$7)),OR($H$8="",AND(ISNUMBER('Master Database'!$I565),N('Master Database'!$I565)&gt;=$H$8)),OR($I$8="",AND(ISNUMBER('Master Database'!$I565),N('Master Database'!$I565)&lt;=$I$8)),OR($H$9="",AND(ISNUMBER('Master Database'!$K565),N('Master Database'!$K565)&gt;=$H$9)),OR($I$9="",AND(ISNUMBER('Master Database'!$K565),N('Master Database'!$K565)&lt;=$I$9))),1,0))</f>
        <v>0</v>
      </c>
      <c r="BB565" t="str">
        <f>IF(BA565=1,COUNTIF($BA$5:BA565,1),"")</f>
        <v/>
      </c>
    </row>
    <row r="566" spans="53:54">
      <c r="BA566">
        <f>IF('Master Database'!$A566="",0,IF(AND(OR($B$5="",ISNUMBER(SEARCH($B$5,'Master Database'!$B566&amp;" "&amp;'Master Database'!$D566))),OR($B$6="(All)",'Master Database'!$C566=$B$6),OR($B$7="(All)",'Master Database'!$E566=$B$7),OR($B$8="(All)",'Master Database'!$T566=$B$8),OR($B$9="(All)",'Master Database'!$M566=$B$9),OR($B$10="(All)",'Master Database'!$V566=$B$10),OR($E$5="(All)",'Master Database'!$F566=$E$5),OR($E$6="(All)",'Master Database'!$G566=$E$6),OR($E$7="(All)",'Master Database'!$O566=$E$7),OR($E$8="(All)",'Master Database'!$P566=$E$8),OR($E$9="(All)",'Master Database'!$S566=$E$9),OR($E$10="(All)",'Master Database'!$Y566&amp;""=$E$10&amp;""),OR($H$5="(All)",'Master Database'!$BG566=$H$5),OR($H$6&lt;&gt;"Y",ISNUMBER('Master Database'!$AG566)),OR($H$7="",AND(ISNUMBER('Master Database'!$H566),N('Master Database'!$H566)&gt;=$H$7)),OR($I$7="",AND(ISNUMBER('Master Database'!$H566),N('Master Database'!$H566)&lt;=$I$7)),OR($H$8="",AND(ISNUMBER('Master Database'!$I566),N('Master Database'!$I566)&gt;=$H$8)),OR($I$8="",AND(ISNUMBER('Master Database'!$I566),N('Master Database'!$I566)&lt;=$I$8)),OR($H$9="",AND(ISNUMBER('Master Database'!$K566),N('Master Database'!$K566)&gt;=$H$9)),OR($I$9="",AND(ISNUMBER('Master Database'!$K566),N('Master Database'!$K566)&lt;=$I$9))),1,0))</f>
        <v>0</v>
      </c>
      <c r="BB566" t="str">
        <f>IF(BA566=1,COUNTIF($BA$5:BA566,1),"")</f>
        <v/>
      </c>
    </row>
    <row r="567" spans="53:54">
      <c r="BA567">
        <f>IF('Master Database'!$A567="",0,IF(AND(OR($B$5="",ISNUMBER(SEARCH($B$5,'Master Database'!$B567&amp;" "&amp;'Master Database'!$D567))),OR($B$6="(All)",'Master Database'!$C567=$B$6),OR($B$7="(All)",'Master Database'!$E567=$B$7),OR($B$8="(All)",'Master Database'!$T567=$B$8),OR($B$9="(All)",'Master Database'!$M567=$B$9),OR($B$10="(All)",'Master Database'!$V567=$B$10),OR($E$5="(All)",'Master Database'!$F567=$E$5),OR($E$6="(All)",'Master Database'!$G567=$E$6),OR($E$7="(All)",'Master Database'!$O567=$E$7),OR($E$8="(All)",'Master Database'!$P567=$E$8),OR($E$9="(All)",'Master Database'!$S567=$E$9),OR($E$10="(All)",'Master Database'!$Y567&amp;""=$E$10&amp;""),OR($H$5="(All)",'Master Database'!$BG567=$H$5),OR($H$6&lt;&gt;"Y",ISNUMBER('Master Database'!$AG567)),OR($H$7="",AND(ISNUMBER('Master Database'!$H567),N('Master Database'!$H567)&gt;=$H$7)),OR($I$7="",AND(ISNUMBER('Master Database'!$H567),N('Master Database'!$H567)&lt;=$I$7)),OR($H$8="",AND(ISNUMBER('Master Database'!$I567),N('Master Database'!$I567)&gt;=$H$8)),OR($I$8="",AND(ISNUMBER('Master Database'!$I567),N('Master Database'!$I567)&lt;=$I$8)),OR($H$9="",AND(ISNUMBER('Master Database'!$K567),N('Master Database'!$K567)&gt;=$H$9)),OR($I$9="",AND(ISNUMBER('Master Database'!$K567),N('Master Database'!$K567)&lt;=$I$9))),1,0))</f>
        <v>0</v>
      </c>
      <c r="BB567" t="str">
        <f>IF(BA567=1,COUNTIF($BA$5:BA567,1),"")</f>
        <v/>
      </c>
    </row>
    <row r="568" spans="53:54">
      <c r="BA568">
        <f>IF('Master Database'!$A568="",0,IF(AND(OR($B$5="",ISNUMBER(SEARCH($B$5,'Master Database'!$B568&amp;" "&amp;'Master Database'!$D568))),OR($B$6="(All)",'Master Database'!$C568=$B$6),OR($B$7="(All)",'Master Database'!$E568=$B$7),OR($B$8="(All)",'Master Database'!$T568=$B$8),OR($B$9="(All)",'Master Database'!$M568=$B$9),OR($B$10="(All)",'Master Database'!$V568=$B$10),OR($E$5="(All)",'Master Database'!$F568=$E$5),OR($E$6="(All)",'Master Database'!$G568=$E$6),OR($E$7="(All)",'Master Database'!$O568=$E$7),OR($E$8="(All)",'Master Database'!$P568=$E$8),OR($E$9="(All)",'Master Database'!$S568=$E$9),OR($E$10="(All)",'Master Database'!$Y568&amp;""=$E$10&amp;""),OR($H$5="(All)",'Master Database'!$BG568=$H$5),OR($H$6&lt;&gt;"Y",ISNUMBER('Master Database'!$AG568)),OR($H$7="",AND(ISNUMBER('Master Database'!$H568),N('Master Database'!$H568)&gt;=$H$7)),OR($I$7="",AND(ISNUMBER('Master Database'!$H568),N('Master Database'!$H568)&lt;=$I$7)),OR($H$8="",AND(ISNUMBER('Master Database'!$I568),N('Master Database'!$I568)&gt;=$H$8)),OR($I$8="",AND(ISNUMBER('Master Database'!$I568),N('Master Database'!$I568)&lt;=$I$8)),OR($H$9="",AND(ISNUMBER('Master Database'!$K568),N('Master Database'!$K568)&gt;=$H$9)),OR($I$9="",AND(ISNUMBER('Master Database'!$K568),N('Master Database'!$K568)&lt;=$I$9))),1,0))</f>
        <v>0</v>
      </c>
      <c r="BB568" t="str">
        <f>IF(BA568=1,COUNTIF($BA$5:BA568,1),"")</f>
        <v/>
      </c>
    </row>
    <row r="569" spans="53:54">
      <c r="BA569">
        <f>IF('Master Database'!$A569="",0,IF(AND(OR($B$5="",ISNUMBER(SEARCH($B$5,'Master Database'!$B569&amp;" "&amp;'Master Database'!$D569))),OR($B$6="(All)",'Master Database'!$C569=$B$6),OR($B$7="(All)",'Master Database'!$E569=$B$7),OR($B$8="(All)",'Master Database'!$T569=$B$8),OR($B$9="(All)",'Master Database'!$M569=$B$9),OR($B$10="(All)",'Master Database'!$V569=$B$10),OR($E$5="(All)",'Master Database'!$F569=$E$5),OR($E$6="(All)",'Master Database'!$G569=$E$6),OR($E$7="(All)",'Master Database'!$O569=$E$7),OR($E$8="(All)",'Master Database'!$P569=$E$8),OR($E$9="(All)",'Master Database'!$S569=$E$9),OR($E$10="(All)",'Master Database'!$Y569&amp;""=$E$10&amp;""),OR($H$5="(All)",'Master Database'!$BG569=$H$5),OR($H$6&lt;&gt;"Y",ISNUMBER('Master Database'!$AG569)),OR($H$7="",AND(ISNUMBER('Master Database'!$H569),N('Master Database'!$H569)&gt;=$H$7)),OR($I$7="",AND(ISNUMBER('Master Database'!$H569),N('Master Database'!$H569)&lt;=$I$7)),OR($H$8="",AND(ISNUMBER('Master Database'!$I569),N('Master Database'!$I569)&gt;=$H$8)),OR($I$8="",AND(ISNUMBER('Master Database'!$I569),N('Master Database'!$I569)&lt;=$I$8)),OR($H$9="",AND(ISNUMBER('Master Database'!$K569),N('Master Database'!$K569)&gt;=$H$9)),OR($I$9="",AND(ISNUMBER('Master Database'!$K569),N('Master Database'!$K569)&lt;=$I$9))),1,0))</f>
        <v>0</v>
      </c>
      <c r="BB569" t="str">
        <f>IF(BA569=1,COUNTIF($BA$5:BA569,1),"")</f>
        <v/>
      </c>
    </row>
    <row r="570" spans="53:54">
      <c r="BA570">
        <f>IF('Master Database'!$A570="",0,IF(AND(OR($B$5="",ISNUMBER(SEARCH($B$5,'Master Database'!$B570&amp;" "&amp;'Master Database'!$D570))),OR($B$6="(All)",'Master Database'!$C570=$B$6),OR($B$7="(All)",'Master Database'!$E570=$B$7),OR($B$8="(All)",'Master Database'!$T570=$B$8),OR($B$9="(All)",'Master Database'!$M570=$B$9),OR($B$10="(All)",'Master Database'!$V570=$B$10),OR($E$5="(All)",'Master Database'!$F570=$E$5),OR($E$6="(All)",'Master Database'!$G570=$E$6),OR($E$7="(All)",'Master Database'!$O570=$E$7),OR($E$8="(All)",'Master Database'!$P570=$E$8),OR($E$9="(All)",'Master Database'!$S570=$E$9),OR($E$10="(All)",'Master Database'!$Y570&amp;""=$E$10&amp;""),OR($H$5="(All)",'Master Database'!$BG570=$H$5),OR($H$6&lt;&gt;"Y",ISNUMBER('Master Database'!$AG570)),OR($H$7="",AND(ISNUMBER('Master Database'!$H570),N('Master Database'!$H570)&gt;=$H$7)),OR($I$7="",AND(ISNUMBER('Master Database'!$H570),N('Master Database'!$H570)&lt;=$I$7)),OR($H$8="",AND(ISNUMBER('Master Database'!$I570),N('Master Database'!$I570)&gt;=$H$8)),OR($I$8="",AND(ISNUMBER('Master Database'!$I570),N('Master Database'!$I570)&lt;=$I$8)),OR($H$9="",AND(ISNUMBER('Master Database'!$K570),N('Master Database'!$K570)&gt;=$H$9)),OR($I$9="",AND(ISNUMBER('Master Database'!$K570),N('Master Database'!$K570)&lt;=$I$9))),1,0))</f>
        <v>0</v>
      </c>
      <c r="BB570" t="str">
        <f>IF(BA570=1,COUNTIF($BA$5:BA570,1),"")</f>
        <v/>
      </c>
    </row>
    <row r="571" spans="53:54">
      <c r="BA571">
        <f>IF('Master Database'!$A571="",0,IF(AND(OR($B$5="",ISNUMBER(SEARCH($B$5,'Master Database'!$B571&amp;" "&amp;'Master Database'!$D571))),OR($B$6="(All)",'Master Database'!$C571=$B$6),OR($B$7="(All)",'Master Database'!$E571=$B$7),OR($B$8="(All)",'Master Database'!$T571=$B$8),OR($B$9="(All)",'Master Database'!$M571=$B$9),OR($B$10="(All)",'Master Database'!$V571=$B$10),OR($E$5="(All)",'Master Database'!$F571=$E$5),OR($E$6="(All)",'Master Database'!$G571=$E$6),OR($E$7="(All)",'Master Database'!$O571=$E$7),OR($E$8="(All)",'Master Database'!$P571=$E$8),OR($E$9="(All)",'Master Database'!$S571=$E$9),OR($E$10="(All)",'Master Database'!$Y571&amp;""=$E$10&amp;""),OR($H$5="(All)",'Master Database'!$BG571=$H$5),OR($H$6&lt;&gt;"Y",ISNUMBER('Master Database'!$AG571)),OR($H$7="",AND(ISNUMBER('Master Database'!$H571),N('Master Database'!$H571)&gt;=$H$7)),OR($I$7="",AND(ISNUMBER('Master Database'!$H571),N('Master Database'!$H571)&lt;=$I$7)),OR($H$8="",AND(ISNUMBER('Master Database'!$I571),N('Master Database'!$I571)&gt;=$H$8)),OR($I$8="",AND(ISNUMBER('Master Database'!$I571),N('Master Database'!$I571)&lt;=$I$8)),OR($H$9="",AND(ISNUMBER('Master Database'!$K571),N('Master Database'!$K571)&gt;=$H$9)),OR($I$9="",AND(ISNUMBER('Master Database'!$K571),N('Master Database'!$K571)&lt;=$I$9))),1,0))</f>
        <v>0</v>
      </c>
      <c r="BB571" t="str">
        <f>IF(BA571=1,COUNTIF($BA$5:BA571,1),"")</f>
        <v/>
      </c>
    </row>
    <row r="572" spans="53:54">
      <c r="BA572">
        <f>IF('Master Database'!$A572="",0,IF(AND(OR($B$5="",ISNUMBER(SEARCH($B$5,'Master Database'!$B572&amp;" "&amp;'Master Database'!$D572))),OR($B$6="(All)",'Master Database'!$C572=$B$6),OR($B$7="(All)",'Master Database'!$E572=$B$7),OR($B$8="(All)",'Master Database'!$T572=$B$8),OR($B$9="(All)",'Master Database'!$M572=$B$9),OR($B$10="(All)",'Master Database'!$V572=$B$10),OR($E$5="(All)",'Master Database'!$F572=$E$5),OR($E$6="(All)",'Master Database'!$G572=$E$6),OR($E$7="(All)",'Master Database'!$O572=$E$7),OR($E$8="(All)",'Master Database'!$P572=$E$8),OR($E$9="(All)",'Master Database'!$S572=$E$9),OR($E$10="(All)",'Master Database'!$Y572&amp;""=$E$10&amp;""),OR($H$5="(All)",'Master Database'!$BG572=$H$5),OR($H$6&lt;&gt;"Y",ISNUMBER('Master Database'!$AG572)),OR($H$7="",AND(ISNUMBER('Master Database'!$H572),N('Master Database'!$H572)&gt;=$H$7)),OR($I$7="",AND(ISNUMBER('Master Database'!$H572),N('Master Database'!$H572)&lt;=$I$7)),OR($H$8="",AND(ISNUMBER('Master Database'!$I572),N('Master Database'!$I572)&gt;=$H$8)),OR($I$8="",AND(ISNUMBER('Master Database'!$I572),N('Master Database'!$I572)&lt;=$I$8)),OR($H$9="",AND(ISNUMBER('Master Database'!$K572),N('Master Database'!$K572)&gt;=$H$9)),OR($I$9="",AND(ISNUMBER('Master Database'!$K572),N('Master Database'!$K572)&lt;=$I$9))),1,0))</f>
        <v>0</v>
      </c>
      <c r="BB572" t="str">
        <f>IF(BA572=1,COUNTIF($BA$5:BA572,1),"")</f>
        <v/>
      </c>
    </row>
    <row r="573" spans="53:54">
      <c r="BA573">
        <f>IF('Master Database'!$A573="",0,IF(AND(OR($B$5="",ISNUMBER(SEARCH($B$5,'Master Database'!$B573&amp;" "&amp;'Master Database'!$D573))),OR($B$6="(All)",'Master Database'!$C573=$B$6),OR($B$7="(All)",'Master Database'!$E573=$B$7),OR($B$8="(All)",'Master Database'!$T573=$B$8),OR($B$9="(All)",'Master Database'!$M573=$B$9),OR($B$10="(All)",'Master Database'!$V573=$B$10),OR($E$5="(All)",'Master Database'!$F573=$E$5),OR($E$6="(All)",'Master Database'!$G573=$E$6),OR($E$7="(All)",'Master Database'!$O573=$E$7),OR($E$8="(All)",'Master Database'!$P573=$E$8),OR($E$9="(All)",'Master Database'!$S573=$E$9),OR($E$10="(All)",'Master Database'!$Y573&amp;""=$E$10&amp;""),OR($H$5="(All)",'Master Database'!$BG573=$H$5),OR($H$6&lt;&gt;"Y",ISNUMBER('Master Database'!$AG573)),OR($H$7="",AND(ISNUMBER('Master Database'!$H573),N('Master Database'!$H573)&gt;=$H$7)),OR($I$7="",AND(ISNUMBER('Master Database'!$H573),N('Master Database'!$H573)&lt;=$I$7)),OR($H$8="",AND(ISNUMBER('Master Database'!$I573),N('Master Database'!$I573)&gt;=$H$8)),OR($I$8="",AND(ISNUMBER('Master Database'!$I573),N('Master Database'!$I573)&lt;=$I$8)),OR($H$9="",AND(ISNUMBER('Master Database'!$K573),N('Master Database'!$K573)&gt;=$H$9)),OR($I$9="",AND(ISNUMBER('Master Database'!$K573),N('Master Database'!$K573)&lt;=$I$9))),1,0))</f>
        <v>0</v>
      </c>
      <c r="BB573" t="str">
        <f>IF(BA573=1,COUNTIF($BA$5:BA573,1),"")</f>
        <v/>
      </c>
    </row>
    <row r="574" spans="53:54">
      <c r="BA574">
        <f>IF('Master Database'!$A574="",0,IF(AND(OR($B$5="",ISNUMBER(SEARCH($B$5,'Master Database'!$B574&amp;" "&amp;'Master Database'!$D574))),OR($B$6="(All)",'Master Database'!$C574=$B$6),OR($B$7="(All)",'Master Database'!$E574=$B$7),OR($B$8="(All)",'Master Database'!$T574=$B$8),OR($B$9="(All)",'Master Database'!$M574=$B$9),OR($B$10="(All)",'Master Database'!$V574=$B$10),OR($E$5="(All)",'Master Database'!$F574=$E$5),OR($E$6="(All)",'Master Database'!$G574=$E$6),OR($E$7="(All)",'Master Database'!$O574=$E$7),OR($E$8="(All)",'Master Database'!$P574=$E$8),OR($E$9="(All)",'Master Database'!$S574=$E$9),OR($E$10="(All)",'Master Database'!$Y574&amp;""=$E$10&amp;""),OR($H$5="(All)",'Master Database'!$BG574=$H$5),OR($H$6&lt;&gt;"Y",ISNUMBER('Master Database'!$AG574)),OR($H$7="",AND(ISNUMBER('Master Database'!$H574),N('Master Database'!$H574)&gt;=$H$7)),OR($I$7="",AND(ISNUMBER('Master Database'!$H574),N('Master Database'!$H574)&lt;=$I$7)),OR($H$8="",AND(ISNUMBER('Master Database'!$I574),N('Master Database'!$I574)&gt;=$H$8)),OR($I$8="",AND(ISNUMBER('Master Database'!$I574),N('Master Database'!$I574)&lt;=$I$8)),OR($H$9="",AND(ISNUMBER('Master Database'!$K574),N('Master Database'!$K574)&gt;=$H$9)),OR($I$9="",AND(ISNUMBER('Master Database'!$K574),N('Master Database'!$K574)&lt;=$I$9))),1,0))</f>
        <v>0</v>
      </c>
      <c r="BB574" t="str">
        <f>IF(BA574=1,COUNTIF($BA$5:BA574,1),"")</f>
        <v/>
      </c>
    </row>
    <row r="575" spans="53:54">
      <c r="BA575">
        <f>IF('Master Database'!$A575="",0,IF(AND(OR($B$5="",ISNUMBER(SEARCH($B$5,'Master Database'!$B575&amp;" "&amp;'Master Database'!$D575))),OR($B$6="(All)",'Master Database'!$C575=$B$6),OR($B$7="(All)",'Master Database'!$E575=$B$7),OR($B$8="(All)",'Master Database'!$T575=$B$8),OR($B$9="(All)",'Master Database'!$M575=$B$9),OR($B$10="(All)",'Master Database'!$V575=$B$10),OR($E$5="(All)",'Master Database'!$F575=$E$5),OR($E$6="(All)",'Master Database'!$G575=$E$6),OR($E$7="(All)",'Master Database'!$O575=$E$7),OR($E$8="(All)",'Master Database'!$P575=$E$8),OR($E$9="(All)",'Master Database'!$S575=$E$9),OR($E$10="(All)",'Master Database'!$Y575&amp;""=$E$10&amp;""),OR($H$5="(All)",'Master Database'!$BG575=$H$5),OR($H$6&lt;&gt;"Y",ISNUMBER('Master Database'!$AG575)),OR($H$7="",AND(ISNUMBER('Master Database'!$H575),N('Master Database'!$H575)&gt;=$H$7)),OR($I$7="",AND(ISNUMBER('Master Database'!$H575),N('Master Database'!$H575)&lt;=$I$7)),OR($H$8="",AND(ISNUMBER('Master Database'!$I575),N('Master Database'!$I575)&gt;=$H$8)),OR($I$8="",AND(ISNUMBER('Master Database'!$I575),N('Master Database'!$I575)&lt;=$I$8)),OR($H$9="",AND(ISNUMBER('Master Database'!$K575),N('Master Database'!$K575)&gt;=$H$9)),OR($I$9="",AND(ISNUMBER('Master Database'!$K575),N('Master Database'!$K575)&lt;=$I$9))),1,0))</f>
        <v>0</v>
      </c>
      <c r="BB575" t="str">
        <f>IF(BA575=1,COUNTIF($BA$5:BA575,1),"")</f>
        <v/>
      </c>
    </row>
    <row r="576" spans="53:54">
      <c r="BA576">
        <f>IF('Master Database'!$A576="",0,IF(AND(OR($B$5="",ISNUMBER(SEARCH($B$5,'Master Database'!$B576&amp;" "&amp;'Master Database'!$D576))),OR($B$6="(All)",'Master Database'!$C576=$B$6),OR($B$7="(All)",'Master Database'!$E576=$B$7),OR($B$8="(All)",'Master Database'!$T576=$B$8),OR($B$9="(All)",'Master Database'!$M576=$B$9),OR($B$10="(All)",'Master Database'!$V576=$B$10),OR($E$5="(All)",'Master Database'!$F576=$E$5),OR($E$6="(All)",'Master Database'!$G576=$E$6),OR($E$7="(All)",'Master Database'!$O576=$E$7),OR($E$8="(All)",'Master Database'!$P576=$E$8),OR($E$9="(All)",'Master Database'!$S576=$E$9),OR($E$10="(All)",'Master Database'!$Y576&amp;""=$E$10&amp;""),OR($H$5="(All)",'Master Database'!$BG576=$H$5),OR($H$6&lt;&gt;"Y",ISNUMBER('Master Database'!$AG576)),OR($H$7="",AND(ISNUMBER('Master Database'!$H576),N('Master Database'!$H576)&gt;=$H$7)),OR($I$7="",AND(ISNUMBER('Master Database'!$H576),N('Master Database'!$H576)&lt;=$I$7)),OR($H$8="",AND(ISNUMBER('Master Database'!$I576),N('Master Database'!$I576)&gt;=$H$8)),OR($I$8="",AND(ISNUMBER('Master Database'!$I576),N('Master Database'!$I576)&lt;=$I$8)),OR($H$9="",AND(ISNUMBER('Master Database'!$K576),N('Master Database'!$K576)&gt;=$H$9)),OR($I$9="",AND(ISNUMBER('Master Database'!$K576),N('Master Database'!$K576)&lt;=$I$9))),1,0))</f>
        <v>0</v>
      </c>
      <c r="BB576" t="str">
        <f>IF(BA576=1,COUNTIF($BA$5:BA576,1),"")</f>
        <v/>
      </c>
    </row>
    <row r="577" spans="53:54">
      <c r="BA577">
        <f>IF('Master Database'!$A577="",0,IF(AND(OR($B$5="",ISNUMBER(SEARCH($B$5,'Master Database'!$B577&amp;" "&amp;'Master Database'!$D577))),OR($B$6="(All)",'Master Database'!$C577=$B$6),OR($B$7="(All)",'Master Database'!$E577=$B$7),OR($B$8="(All)",'Master Database'!$T577=$B$8),OR($B$9="(All)",'Master Database'!$M577=$B$9),OR($B$10="(All)",'Master Database'!$V577=$B$10),OR($E$5="(All)",'Master Database'!$F577=$E$5),OR($E$6="(All)",'Master Database'!$G577=$E$6),OR($E$7="(All)",'Master Database'!$O577=$E$7),OR($E$8="(All)",'Master Database'!$P577=$E$8),OR($E$9="(All)",'Master Database'!$S577=$E$9),OR($E$10="(All)",'Master Database'!$Y577&amp;""=$E$10&amp;""),OR($H$5="(All)",'Master Database'!$BG577=$H$5),OR($H$6&lt;&gt;"Y",ISNUMBER('Master Database'!$AG577)),OR($H$7="",AND(ISNUMBER('Master Database'!$H577),N('Master Database'!$H577)&gt;=$H$7)),OR($I$7="",AND(ISNUMBER('Master Database'!$H577),N('Master Database'!$H577)&lt;=$I$7)),OR($H$8="",AND(ISNUMBER('Master Database'!$I577),N('Master Database'!$I577)&gt;=$H$8)),OR($I$8="",AND(ISNUMBER('Master Database'!$I577),N('Master Database'!$I577)&lt;=$I$8)),OR($H$9="",AND(ISNUMBER('Master Database'!$K577),N('Master Database'!$K577)&gt;=$H$9)),OR($I$9="",AND(ISNUMBER('Master Database'!$K577),N('Master Database'!$K577)&lt;=$I$9))),1,0))</f>
        <v>0</v>
      </c>
      <c r="BB577" t="str">
        <f>IF(BA577=1,COUNTIF($BA$5:BA577,1),"")</f>
        <v/>
      </c>
    </row>
    <row r="578" spans="53:54">
      <c r="BA578">
        <f>IF('Master Database'!$A578="",0,IF(AND(OR($B$5="",ISNUMBER(SEARCH($B$5,'Master Database'!$B578&amp;" "&amp;'Master Database'!$D578))),OR($B$6="(All)",'Master Database'!$C578=$B$6),OR($B$7="(All)",'Master Database'!$E578=$B$7),OR($B$8="(All)",'Master Database'!$T578=$B$8),OR($B$9="(All)",'Master Database'!$M578=$B$9),OR($B$10="(All)",'Master Database'!$V578=$B$10),OR($E$5="(All)",'Master Database'!$F578=$E$5),OR($E$6="(All)",'Master Database'!$G578=$E$6),OR($E$7="(All)",'Master Database'!$O578=$E$7),OR($E$8="(All)",'Master Database'!$P578=$E$8),OR($E$9="(All)",'Master Database'!$S578=$E$9),OR($E$10="(All)",'Master Database'!$Y578&amp;""=$E$10&amp;""),OR($H$5="(All)",'Master Database'!$BG578=$H$5),OR($H$6&lt;&gt;"Y",ISNUMBER('Master Database'!$AG578)),OR($H$7="",AND(ISNUMBER('Master Database'!$H578),N('Master Database'!$H578)&gt;=$H$7)),OR($I$7="",AND(ISNUMBER('Master Database'!$H578),N('Master Database'!$H578)&lt;=$I$7)),OR($H$8="",AND(ISNUMBER('Master Database'!$I578),N('Master Database'!$I578)&gt;=$H$8)),OR($I$8="",AND(ISNUMBER('Master Database'!$I578),N('Master Database'!$I578)&lt;=$I$8)),OR($H$9="",AND(ISNUMBER('Master Database'!$K578),N('Master Database'!$K578)&gt;=$H$9)),OR($I$9="",AND(ISNUMBER('Master Database'!$K578),N('Master Database'!$K578)&lt;=$I$9))),1,0))</f>
        <v>0</v>
      </c>
      <c r="BB578" t="str">
        <f>IF(BA578=1,COUNTIF($BA$5:BA578,1),"")</f>
        <v/>
      </c>
    </row>
    <row r="579" spans="53:54">
      <c r="BA579">
        <f>IF('Master Database'!$A579="",0,IF(AND(OR($B$5="",ISNUMBER(SEARCH($B$5,'Master Database'!$B579&amp;" "&amp;'Master Database'!$D579))),OR($B$6="(All)",'Master Database'!$C579=$B$6),OR($B$7="(All)",'Master Database'!$E579=$B$7),OR($B$8="(All)",'Master Database'!$T579=$B$8),OR($B$9="(All)",'Master Database'!$M579=$B$9),OR($B$10="(All)",'Master Database'!$V579=$B$10),OR($E$5="(All)",'Master Database'!$F579=$E$5),OR($E$6="(All)",'Master Database'!$G579=$E$6),OR($E$7="(All)",'Master Database'!$O579=$E$7),OR($E$8="(All)",'Master Database'!$P579=$E$8),OR($E$9="(All)",'Master Database'!$S579=$E$9),OR($E$10="(All)",'Master Database'!$Y579&amp;""=$E$10&amp;""),OR($H$5="(All)",'Master Database'!$BG579=$H$5),OR($H$6&lt;&gt;"Y",ISNUMBER('Master Database'!$AG579)),OR($H$7="",AND(ISNUMBER('Master Database'!$H579),N('Master Database'!$H579)&gt;=$H$7)),OR($I$7="",AND(ISNUMBER('Master Database'!$H579),N('Master Database'!$H579)&lt;=$I$7)),OR($H$8="",AND(ISNUMBER('Master Database'!$I579),N('Master Database'!$I579)&gt;=$H$8)),OR($I$8="",AND(ISNUMBER('Master Database'!$I579),N('Master Database'!$I579)&lt;=$I$8)),OR($H$9="",AND(ISNUMBER('Master Database'!$K579),N('Master Database'!$K579)&gt;=$H$9)),OR($I$9="",AND(ISNUMBER('Master Database'!$K579),N('Master Database'!$K579)&lt;=$I$9))),1,0))</f>
        <v>0</v>
      </c>
      <c r="BB579" t="str">
        <f>IF(BA579=1,COUNTIF($BA$5:BA579,1),"")</f>
        <v/>
      </c>
    </row>
    <row r="580" spans="53:54">
      <c r="BA580">
        <f>IF('Master Database'!$A580="",0,IF(AND(OR($B$5="",ISNUMBER(SEARCH($B$5,'Master Database'!$B580&amp;" "&amp;'Master Database'!$D580))),OR($B$6="(All)",'Master Database'!$C580=$B$6),OR($B$7="(All)",'Master Database'!$E580=$B$7),OR($B$8="(All)",'Master Database'!$T580=$B$8),OR($B$9="(All)",'Master Database'!$M580=$B$9),OR($B$10="(All)",'Master Database'!$V580=$B$10),OR($E$5="(All)",'Master Database'!$F580=$E$5),OR($E$6="(All)",'Master Database'!$G580=$E$6),OR($E$7="(All)",'Master Database'!$O580=$E$7),OR($E$8="(All)",'Master Database'!$P580=$E$8),OR($E$9="(All)",'Master Database'!$S580=$E$9),OR($E$10="(All)",'Master Database'!$Y580&amp;""=$E$10&amp;""),OR($H$5="(All)",'Master Database'!$BG580=$H$5),OR($H$6&lt;&gt;"Y",ISNUMBER('Master Database'!$AG580)),OR($H$7="",AND(ISNUMBER('Master Database'!$H580),N('Master Database'!$H580)&gt;=$H$7)),OR($I$7="",AND(ISNUMBER('Master Database'!$H580),N('Master Database'!$H580)&lt;=$I$7)),OR($H$8="",AND(ISNUMBER('Master Database'!$I580),N('Master Database'!$I580)&gt;=$H$8)),OR($I$8="",AND(ISNUMBER('Master Database'!$I580),N('Master Database'!$I580)&lt;=$I$8)),OR($H$9="",AND(ISNUMBER('Master Database'!$K580),N('Master Database'!$K580)&gt;=$H$9)),OR($I$9="",AND(ISNUMBER('Master Database'!$K580),N('Master Database'!$K580)&lt;=$I$9))),1,0))</f>
        <v>0</v>
      </c>
      <c r="BB580" t="str">
        <f>IF(BA580=1,COUNTIF($BA$5:BA580,1),"")</f>
        <v/>
      </c>
    </row>
    <row r="581" spans="53:54">
      <c r="BA581">
        <f>IF('Master Database'!$A581="",0,IF(AND(OR($B$5="",ISNUMBER(SEARCH($B$5,'Master Database'!$B581&amp;" "&amp;'Master Database'!$D581))),OR($B$6="(All)",'Master Database'!$C581=$B$6),OR($B$7="(All)",'Master Database'!$E581=$B$7),OR($B$8="(All)",'Master Database'!$T581=$B$8),OR($B$9="(All)",'Master Database'!$M581=$B$9),OR($B$10="(All)",'Master Database'!$V581=$B$10),OR($E$5="(All)",'Master Database'!$F581=$E$5),OR($E$6="(All)",'Master Database'!$G581=$E$6),OR($E$7="(All)",'Master Database'!$O581=$E$7),OR($E$8="(All)",'Master Database'!$P581=$E$8),OR($E$9="(All)",'Master Database'!$S581=$E$9),OR($E$10="(All)",'Master Database'!$Y581&amp;""=$E$10&amp;""),OR($H$5="(All)",'Master Database'!$BG581=$H$5),OR($H$6&lt;&gt;"Y",ISNUMBER('Master Database'!$AG581)),OR($H$7="",AND(ISNUMBER('Master Database'!$H581),N('Master Database'!$H581)&gt;=$H$7)),OR($I$7="",AND(ISNUMBER('Master Database'!$H581),N('Master Database'!$H581)&lt;=$I$7)),OR($H$8="",AND(ISNUMBER('Master Database'!$I581),N('Master Database'!$I581)&gt;=$H$8)),OR($I$8="",AND(ISNUMBER('Master Database'!$I581),N('Master Database'!$I581)&lt;=$I$8)),OR($H$9="",AND(ISNUMBER('Master Database'!$K581),N('Master Database'!$K581)&gt;=$H$9)),OR($I$9="",AND(ISNUMBER('Master Database'!$K581),N('Master Database'!$K581)&lt;=$I$9))),1,0))</f>
        <v>0</v>
      </c>
      <c r="BB581" t="str">
        <f>IF(BA581=1,COUNTIF($BA$5:BA581,1),"")</f>
        <v/>
      </c>
    </row>
    <row r="582" spans="53:54">
      <c r="BA582">
        <f>IF('Master Database'!$A582="",0,IF(AND(OR($B$5="",ISNUMBER(SEARCH($B$5,'Master Database'!$B582&amp;" "&amp;'Master Database'!$D582))),OR($B$6="(All)",'Master Database'!$C582=$B$6),OR($B$7="(All)",'Master Database'!$E582=$B$7),OR($B$8="(All)",'Master Database'!$T582=$B$8),OR($B$9="(All)",'Master Database'!$M582=$B$9),OR($B$10="(All)",'Master Database'!$V582=$B$10),OR($E$5="(All)",'Master Database'!$F582=$E$5),OR($E$6="(All)",'Master Database'!$G582=$E$6),OR($E$7="(All)",'Master Database'!$O582=$E$7),OR($E$8="(All)",'Master Database'!$P582=$E$8),OR($E$9="(All)",'Master Database'!$S582=$E$9),OR($E$10="(All)",'Master Database'!$Y582&amp;""=$E$10&amp;""),OR($H$5="(All)",'Master Database'!$BG582=$H$5),OR($H$6&lt;&gt;"Y",ISNUMBER('Master Database'!$AG582)),OR($H$7="",AND(ISNUMBER('Master Database'!$H582),N('Master Database'!$H582)&gt;=$H$7)),OR($I$7="",AND(ISNUMBER('Master Database'!$H582),N('Master Database'!$H582)&lt;=$I$7)),OR($H$8="",AND(ISNUMBER('Master Database'!$I582),N('Master Database'!$I582)&gt;=$H$8)),OR($I$8="",AND(ISNUMBER('Master Database'!$I582),N('Master Database'!$I582)&lt;=$I$8)),OR($H$9="",AND(ISNUMBER('Master Database'!$K582),N('Master Database'!$K582)&gt;=$H$9)),OR($I$9="",AND(ISNUMBER('Master Database'!$K582),N('Master Database'!$K582)&lt;=$I$9))),1,0))</f>
        <v>0</v>
      </c>
      <c r="BB582" t="str">
        <f>IF(BA582=1,COUNTIF($BA$5:BA582,1),"")</f>
        <v/>
      </c>
    </row>
    <row r="583" spans="53:54">
      <c r="BA583">
        <f>IF('Master Database'!$A583="",0,IF(AND(OR($B$5="",ISNUMBER(SEARCH($B$5,'Master Database'!$B583&amp;" "&amp;'Master Database'!$D583))),OR($B$6="(All)",'Master Database'!$C583=$B$6),OR($B$7="(All)",'Master Database'!$E583=$B$7),OR($B$8="(All)",'Master Database'!$T583=$B$8),OR($B$9="(All)",'Master Database'!$M583=$B$9),OR($B$10="(All)",'Master Database'!$V583=$B$10),OR($E$5="(All)",'Master Database'!$F583=$E$5),OR($E$6="(All)",'Master Database'!$G583=$E$6),OR($E$7="(All)",'Master Database'!$O583=$E$7),OR($E$8="(All)",'Master Database'!$P583=$E$8),OR($E$9="(All)",'Master Database'!$S583=$E$9),OR($E$10="(All)",'Master Database'!$Y583&amp;""=$E$10&amp;""),OR($H$5="(All)",'Master Database'!$BG583=$H$5),OR($H$6&lt;&gt;"Y",ISNUMBER('Master Database'!$AG583)),OR($H$7="",AND(ISNUMBER('Master Database'!$H583),N('Master Database'!$H583)&gt;=$H$7)),OR($I$7="",AND(ISNUMBER('Master Database'!$H583),N('Master Database'!$H583)&lt;=$I$7)),OR($H$8="",AND(ISNUMBER('Master Database'!$I583),N('Master Database'!$I583)&gt;=$H$8)),OR($I$8="",AND(ISNUMBER('Master Database'!$I583),N('Master Database'!$I583)&lt;=$I$8)),OR($H$9="",AND(ISNUMBER('Master Database'!$K583),N('Master Database'!$K583)&gt;=$H$9)),OR($I$9="",AND(ISNUMBER('Master Database'!$K583),N('Master Database'!$K583)&lt;=$I$9))),1,0))</f>
        <v>0</v>
      </c>
      <c r="BB583" t="str">
        <f>IF(BA583=1,COUNTIF($BA$5:BA583,1),"")</f>
        <v/>
      </c>
    </row>
    <row r="584" spans="53:54">
      <c r="BA584">
        <f>IF('Master Database'!$A584="",0,IF(AND(OR($B$5="",ISNUMBER(SEARCH($B$5,'Master Database'!$B584&amp;" "&amp;'Master Database'!$D584))),OR($B$6="(All)",'Master Database'!$C584=$B$6),OR($B$7="(All)",'Master Database'!$E584=$B$7),OR($B$8="(All)",'Master Database'!$T584=$B$8),OR($B$9="(All)",'Master Database'!$M584=$B$9),OR($B$10="(All)",'Master Database'!$V584=$B$10),OR($E$5="(All)",'Master Database'!$F584=$E$5),OR($E$6="(All)",'Master Database'!$G584=$E$6),OR($E$7="(All)",'Master Database'!$O584=$E$7),OR($E$8="(All)",'Master Database'!$P584=$E$8),OR($E$9="(All)",'Master Database'!$S584=$E$9),OR($E$10="(All)",'Master Database'!$Y584&amp;""=$E$10&amp;""),OR($H$5="(All)",'Master Database'!$BG584=$H$5),OR($H$6&lt;&gt;"Y",ISNUMBER('Master Database'!$AG584)),OR($H$7="",AND(ISNUMBER('Master Database'!$H584),N('Master Database'!$H584)&gt;=$H$7)),OR($I$7="",AND(ISNUMBER('Master Database'!$H584),N('Master Database'!$H584)&lt;=$I$7)),OR($H$8="",AND(ISNUMBER('Master Database'!$I584),N('Master Database'!$I584)&gt;=$H$8)),OR($I$8="",AND(ISNUMBER('Master Database'!$I584),N('Master Database'!$I584)&lt;=$I$8)),OR($H$9="",AND(ISNUMBER('Master Database'!$K584),N('Master Database'!$K584)&gt;=$H$9)),OR($I$9="",AND(ISNUMBER('Master Database'!$K584),N('Master Database'!$K584)&lt;=$I$9))),1,0))</f>
        <v>0</v>
      </c>
      <c r="BB584" t="str">
        <f>IF(BA584=1,COUNTIF($BA$5:BA584,1),"")</f>
        <v/>
      </c>
    </row>
    <row r="585" spans="53:54">
      <c r="BA585">
        <f>IF('Master Database'!$A585="",0,IF(AND(OR($B$5="",ISNUMBER(SEARCH($B$5,'Master Database'!$B585&amp;" "&amp;'Master Database'!$D585))),OR($B$6="(All)",'Master Database'!$C585=$B$6),OR($B$7="(All)",'Master Database'!$E585=$B$7),OR($B$8="(All)",'Master Database'!$T585=$B$8),OR($B$9="(All)",'Master Database'!$M585=$B$9),OR($B$10="(All)",'Master Database'!$V585=$B$10),OR($E$5="(All)",'Master Database'!$F585=$E$5),OR($E$6="(All)",'Master Database'!$G585=$E$6),OR($E$7="(All)",'Master Database'!$O585=$E$7),OR($E$8="(All)",'Master Database'!$P585=$E$8),OR($E$9="(All)",'Master Database'!$S585=$E$9),OR($E$10="(All)",'Master Database'!$Y585&amp;""=$E$10&amp;""),OR($H$5="(All)",'Master Database'!$BG585=$H$5),OR($H$6&lt;&gt;"Y",ISNUMBER('Master Database'!$AG585)),OR($H$7="",AND(ISNUMBER('Master Database'!$H585),N('Master Database'!$H585)&gt;=$H$7)),OR($I$7="",AND(ISNUMBER('Master Database'!$H585),N('Master Database'!$H585)&lt;=$I$7)),OR($H$8="",AND(ISNUMBER('Master Database'!$I585),N('Master Database'!$I585)&gt;=$H$8)),OR($I$8="",AND(ISNUMBER('Master Database'!$I585),N('Master Database'!$I585)&lt;=$I$8)),OR($H$9="",AND(ISNUMBER('Master Database'!$K585),N('Master Database'!$K585)&gt;=$H$9)),OR($I$9="",AND(ISNUMBER('Master Database'!$K585),N('Master Database'!$K585)&lt;=$I$9))),1,0))</f>
        <v>0</v>
      </c>
      <c r="BB585" t="str">
        <f>IF(BA585=1,COUNTIF($BA$5:BA585,1),"")</f>
        <v/>
      </c>
    </row>
    <row r="586" spans="53:54">
      <c r="BA586">
        <f>IF('Master Database'!$A586="",0,IF(AND(OR($B$5="",ISNUMBER(SEARCH($B$5,'Master Database'!$B586&amp;" "&amp;'Master Database'!$D586))),OR($B$6="(All)",'Master Database'!$C586=$B$6),OR($B$7="(All)",'Master Database'!$E586=$B$7),OR($B$8="(All)",'Master Database'!$T586=$B$8),OR($B$9="(All)",'Master Database'!$M586=$B$9),OR($B$10="(All)",'Master Database'!$V586=$B$10),OR($E$5="(All)",'Master Database'!$F586=$E$5),OR($E$6="(All)",'Master Database'!$G586=$E$6),OR($E$7="(All)",'Master Database'!$O586=$E$7),OR($E$8="(All)",'Master Database'!$P586=$E$8),OR($E$9="(All)",'Master Database'!$S586=$E$9),OR($E$10="(All)",'Master Database'!$Y586&amp;""=$E$10&amp;""),OR($H$5="(All)",'Master Database'!$BG586=$H$5),OR($H$6&lt;&gt;"Y",ISNUMBER('Master Database'!$AG586)),OR($H$7="",AND(ISNUMBER('Master Database'!$H586),N('Master Database'!$H586)&gt;=$H$7)),OR($I$7="",AND(ISNUMBER('Master Database'!$H586),N('Master Database'!$H586)&lt;=$I$7)),OR($H$8="",AND(ISNUMBER('Master Database'!$I586),N('Master Database'!$I586)&gt;=$H$8)),OR($I$8="",AND(ISNUMBER('Master Database'!$I586),N('Master Database'!$I586)&lt;=$I$8)),OR($H$9="",AND(ISNUMBER('Master Database'!$K586),N('Master Database'!$K586)&gt;=$H$9)),OR($I$9="",AND(ISNUMBER('Master Database'!$K586),N('Master Database'!$K586)&lt;=$I$9))),1,0))</f>
        <v>0</v>
      </c>
      <c r="BB586" t="str">
        <f>IF(BA586=1,COUNTIF($BA$5:BA586,1),"")</f>
        <v/>
      </c>
    </row>
    <row r="587" spans="53:54">
      <c r="BA587">
        <f>IF('Master Database'!$A587="",0,IF(AND(OR($B$5="",ISNUMBER(SEARCH($B$5,'Master Database'!$B587&amp;" "&amp;'Master Database'!$D587))),OR($B$6="(All)",'Master Database'!$C587=$B$6),OR($B$7="(All)",'Master Database'!$E587=$B$7),OR($B$8="(All)",'Master Database'!$T587=$B$8),OR($B$9="(All)",'Master Database'!$M587=$B$9),OR($B$10="(All)",'Master Database'!$V587=$B$10),OR($E$5="(All)",'Master Database'!$F587=$E$5),OR($E$6="(All)",'Master Database'!$G587=$E$6),OR($E$7="(All)",'Master Database'!$O587=$E$7),OR($E$8="(All)",'Master Database'!$P587=$E$8),OR($E$9="(All)",'Master Database'!$S587=$E$9),OR($E$10="(All)",'Master Database'!$Y587&amp;""=$E$10&amp;""),OR($H$5="(All)",'Master Database'!$BG587=$H$5),OR($H$6&lt;&gt;"Y",ISNUMBER('Master Database'!$AG587)),OR($H$7="",AND(ISNUMBER('Master Database'!$H587),N('Master Database'!$H587)&gt;=$H$7)),OR($I$7="",AND(ISNUMBER('Master Database'!$H587),N('Master Database'!$H587)&lt;=$I$7)),OR($H$8="",AND(ISNUMBER('Master Database'!$I587),N('Master Database'!$I587)&gt;=$H$8)),OR($I$8="",AND(ISNUMBER('Master Database'!$I587),N('Master Database'!$I587)&lt;=$I$8)),OR($H$9="",AND(ISNUMBER('Master Database'!$K587),N('Master Database'!$K587)&gt;=$H$9)),OR($I$9="",AND(ISNUMBER('Master Database'!$K587),N('Master Database'!$K587)&lt;=$I$9))),1,0))</f>
        <v>0</v>
      </c>
      <c r="BB587" t="str">
        <f>IF(BA587=1,COUNTIF($BA$5:BA587,1),"")</f>
        <v/>
      </c>
    </row>
    <row r="588" spans="53:54">
      <c r="BA588">
        <f>IF('Master Database'!$A588="",0,IF(AND(OR($B$5="",ISNUMBER(SEARCH($B$5,'Master Database'!$B588&amp;" "&amp;'Master Database'!$D588))),OR($B$6="(All)",'Master Database'!$C588=$B$6),OR($B$7="(All)",'Master Database'!$E588=$B$7),OR($B$8="(All)",'Master Database'!$T588=$B$8),OR($B$9="(All)",'Master Database'!$M588=$B$9),OR($B$10="(All)",'Master Database'!$V588=$B$10),OR($E$5="(All)",'Master Database'!$F588=$E$5),OR($E$6="(All)",'Master Database'!$G588=$E$6),OR($E$7="(All)",'Master Database'!$O588=$E$7),OR($E$8="(All)",'Master Database'!$P588=$E$8),OR($E$9="(All)",'Master Database'!$S588=$E$9),OR($E$10="(All)",'Master Database'!$Y588&amp;""=$E$10&amp;""),OR($H$5="(All)",'Master Database'!$BG588=$H$5),OR($H$6&lt;&gt;"Y",ISNUMBER('Master Database'!$AG588)),OR($H$7="",AND(ISNUMBER('Master Database'!$H588),N('Master Database'!$H588)&gt;=$H$7)),OR($I$7="",AND(ISNUMBER('Master Database'!$H588),N('Master Database'!$H588)&lt;=$I$7)),OR($H$8="",AND(ISNUMBER('Master Database'!$I588),N('Master Database'!$I588)&gt;=$H$8)),OR($I$8="",AND(ISNUMBER('Master Database'!$I588),N('Master Database'!$I588)&lt;=$I$8)),OR($H$9="",AND(ISNUMBER('Master Database'!$K588),N('Master Database'!$K588)&gt;=$H$9)),OR($I$9="",AND(ISNUMBER('Master Database'!$K588),N('Master Database'!$K588)&lt;=$I$9))),1,0))</f>
        <v>0</v>
      </c>
      <c r="BB588" t="str">
        <f>IF(BA588=1,COUNTIF($BA$5:BA588,1),"")</f>
        <v/>
      </c>
    </row>
    <row r="589" spans="53:54">
      <c r="BA589">
        <f>IF('Master Database'!$A589="",0,IF(AND(OR($B$5="",ISNUMBER(SEARCH($B$5,'Master Database'!$B589&amp;" "&amp;'Master Database'!$D589))),OR($B$6="(All)",'Master Database'!$C589=$B$6),OR($B$7="(All)",'Master Database'!$E589=$B$7),OR($B$8="(All)",'Master Database'!$T589=$B$8),OR($B$9="(All)",'Master Database'!$M589=$B$9),OR($B$10="(All)",'Master Database'!$V589=$B$10),OR($E$5="(All)",'Master Database'!$F589=$E$5),OR($E$6="(All)",'Master Database'!$G589=$E$6),OR($E$7="(All)",'Master Database'!$O589=$E$7),OR($E$8="(All)",'Master Database'!$P589=$E$8),OR($E$9="(All)",'Master Database'!$S589=$E$9),OR($E$10="(All)",'Master Database'!$Y589&amp;""=$E$10&amp;""),OR($H$5="(All)",'Master Database'!$BG589=$H$5),OR($H$6&lt;&gt;"Y",ISNUMBER('Master Database'!$AG589)),OR($H$7="",AND(ISNUMBER('Master Database'!$H589),N('Master Database'!$H589)&gt;=$H$7)),OR($I$7="",AND(ISNUMBER('Master Database'!$H589),N('Master Database'!$H589)&lt;=$I$7)),OR($H$8="",AND(ISNUMBER('Master Database'!$I589),N('Master Database'!$I589)&gt;=$H$8)),OR($I$8="",AND(ISNUMBER('Master Database'!$I589),N('Master Database'!$I589)&lt;=$I$8)),OR($H$9="",AND(ISNUMBER('Master Database'!$K589),N('Master Database'!$K589)&gt;=$H$9)),OR($I$9="",AND(ISNUMBER('Master Database'!$K589),N('Master Database'!$K589)&lt;=$I$9))),1,0))</f>
        <v>0</v>
      </c>
      <c r="BB589" t="str">
        <f>IF(BA589=1,COUNTIF($BA$5:BA589,1),"")</f>
        <v/>
      </c>
    </row>
    <row r="590" spans="53:54">
      <c r="BA590">
        <f>IF('Master Database'!$A590="",0,IF(AND(OR($B$5="",ISNUMBER(SEARCH($B$5,'Master Database'!$B590&amp;" "&amp;'Master Database'!$D590))),OR($B$6="(All)",'Master Database'!$C590=$B$6),OR($B$7="(All)",'Master Database'!$E590=$B$7),OR($B$8="(All)",'Master Database'!$T590=$B$8),OR($B$9="(All)",'Master Database'!$M590=$B$9),OR($B$10="(All)",'Master Database'!$V590=$B$10),OR($E$5="(All)",'Master Database'!$F590=$E$5),OR($E$6="(All)",'Master Database'!$G590=$E$6),OR($E$7="(All)",'Master Database'!$O590=$E$7),OR($E$8="(All)",'Master Database'!$P590=$E$8),OR($E$9="(All)",'Master Database'!$S590=$E$9),OR($E$10="(All)",'Master Database'!$Y590&amp;""=$E$10&amp;""),OR($H$5="(All)",'Master Database'!$BG590=$H$5),OR($H$6&lt;&gt;"Y",ISNUMBER('Master Database'!$AG590)),OR($H$7="",AND(ISNUMBER('Master Database'!$H590),N('Master Database'!$H590)&gt;=$H$7)),OR($I$7="",AND(ISNUMBER('Master Database'!$H590),N('Master Database'!$H590)&lt;=$I$7)),OR($H$8="",AND(ISNUMBER('Master Database'!$I590),N('Master Database'!$I590)&gt;=$H$8)),OR($I$8="",AND(ISNUMBER('Master Database'!$I590),N('Master Database'!$I590)&lt;=$I$8)),OR($H$9="",AND(ISNUMBER('Master Database'!$K590),N('Master Database'!$K590)&gt;=$H$9)),OR($I$9="",AND(ISNUMBER('Master Database'!$K590),N('Master Database'!$K590)&lt;=$I$9))),1,0))</f>
        <v>0</v>
      </c>
      <c r="BB590" t="str">
        <f>IF(BA590=1,COUNTIF($BA$5:BA590,1),"")</f>
        <v/>
      </c>
    </row>
    <row r="591" spans="53:54">
      <c r="BA591">
        <f>IF('Master Database'!$A591="",0,IF(AND(OR($B$5="",ISNUMBER(SEARCH($B$5,'Master Database'!$B591&amp;" "&amp;'Master Database'!$D591))),OR($B$6="(All)",'Master Database'!$C591=$B$6),OR($B$7="(All)",'Master Database'!$E591=$B$7),OR($B$8="(All)",'Master Database'!$T591=$B$8),OR($B$9="(All)",'Master Database'!$M591=$B$9),OR($B$10="(All)",'Master Database'!$V591=$B$10),OR($E$5="(All)",'Master Database'!$F591=$E$5),OR($E$6="(All)",'Master Database'!$G591=$E$6),OR($E$7="(All)",'Master Database'!$O591=$E$7),OR($E$8="(All)",'Master Database'!$P591=$E$8),OR($E$9="(All)",'Master Database'!$S591=$E$9),OR($E$10="(All)",'Master Database'!$Y591&amp;""=$E$10&amp;""),OR($H$5="(All)",'Master Database'!$BG591=$H$5),OR($H$6&lt;&gt;"Y",ISNUMBER('Master Database'!$AG591)),OR($H$7="",AND(ISNUMBER('Master Database'!$H591),N('Master Database'!$H591)&gt;=$H$7)),OR($I$7="",AND(ISNUMBER('Master Database'!$H591),N('Master Database'!$H591)&lt;=$I$7)),OR($H$8="",AND(ISNUMBER('Master Database'!$I591),N('Master Database'!$I591)&gt;=$H$8)),OR($I$8="",AND(ISNUMBER('Master Database'!$I591),N('Master Database'!$I591)&lt;=$I$8)),OR($H$9="",AND(ISNUMBER('Master Database'!$K591),N('Master Database'!$K591)&gt;=$H$9)),OR($I$9="",AND(ISNUMBER('Master Database'!$K591),N('Master Database'!$K591)&lt;=$I$9))),1,0))</f>
        <v>0</v>
      </c>
      <c r="BB591" t="str">
        <f>IF(BA591=1,COUNTIF($BA$5:BA591,1),"")</f>
        <v/>
      </c>
    </row>
    <row r="592" spans="53:54">
      <c r="BA592">
        <f>IF('Master Database'!$A592="",0,IF(AND(OR($B$5="",ISNUMBER(SEARCH($B$5,'Master Database'!$B592&amp;" "&amp;'Master Database'!$D592))),OR($B$6="(All)",'Master Database'!$C592=$B$6),OR($B$7="(All)",'Master Database'!$E592=$B$7),OR($B$8="(All)",'Master Database'!$T592=$B$8),OR($B$9="(All)",'Master Database'!$M592=$B$9),OR($B$10="(All)",'Master Database'!$V592=$B$10),OR($E$5="(All)",'Master Database'!$F592=$E$5),OR($E$6="(All)",'Master Database'!$G592=$E$6),OR($E$7="(All)",'Master Database'!$O592=$E$7),OR($E$8="(All)",'Master Database'!$P592=$E$8),OR($E$9="(All)",'Master Database'!$S592=$E$9),OR($E$10="(All)",'Master Database'!$Y592&amp;""=$E$10&amp;""),OR($H$5="(All)",'Master Database'!$BG592=$H$5),OR($H$6&lt;&gt;"Y",ISNUMBER('Master Database'!$AG592)),OR($H$7="",AND(ISNUMBER('Master Database'!$H592),N('Master Database'!$H592)&gt;=$H$7)),OR($I$7="",AND(ISNUMBER('Master Database'!$H592),N('Master Database'!$H592)&lt;=$I$7)),OR($H$8="",AND(ISNUMBER('Master Database'!$I592),N('Master Database'!$I592)&gt;=$H$8)),OR($I$8="",AND(ISNUMBER('Master Database'!$I592),N('Master Database'!$I592)&lt;=$I$8)),OR($H$9="",AND(ISNUMBER('Master Database'!$K592),N('Master Database'!$K592)&gt;=$H$9)),OR($I$9="",AND(ISNUMBER('Master Database'!$K592),N('Master Database'!$K592)&lt;=$I$9))),1,0))</f>
        <v>0</v>
      </c>
      <c r="BB592" t="str">
        <f>IF(BA592=1,COUNTIF($BA$5:BA592,1),"")</f>
        <v/>
      </c>
    </row>
    <row r="593" spans="53:54">
      <c r="BA593">
        <f>IF('Master Database'!$A593="",0,IF(AND(OR($B$5="",ISNUMBER(SEARCH($B$5,'Master Database'!$B593&amp;" "&amp;'Master Database'!$D593))),OR($B$6="(All)",'Master Database'!$C593=$B$6),OR($B$7="(All)",'Master Database'!$E593=$B$7),OR($B$8="(All)",'Master Database'!$T593=$B$8),OR($B$9="(All)",'Master Database'!$M593=$B$9),OR($B$10="(All)",'Master Database'!$V593=$B$10),OR($E$5="(All)",'Master Database'!$F593=$E$5),OR($E$6="(All)",'Master Database'!$G593=$E$6),OR($E$7="(All)",'Master Database'!$O593=$E$7),OR($E$8="(All)",'Master Database'!$P593=$E$8),OR($E$9="(All)",'Master Database'!$S593=$E$9),OR($E$10="(All)",'Master Database'!$Y593&amp;""=$E$10&amp;""),OR($H$5="(All)",'Master Database'!$BG593=$H$5),OR($H$6&lt;&gt;"Y",ISNUMBER('Master Database'!$AG593)),OR($H$7="",AND(ISNUMBER('Master Database'!$H593),N('Master Database'!$H593)&gt;=$H$7)),OR($I$7="",AND(ISNUMBER('Master Database'!$H593),N('Master Database'!$H593)&lt;=$I$7)),OR($H$8="",AND(ISNUMBER('Master Database'!$I593),N('Master Database'!$I593)&gt;=$H$8)),OR($I$8="",AND(ISNUMBER('Master Database'!$I593),N('Master Database'!$I593)&lt;=$I$8)),OR($H$9="",AND(ISNUMBER('Master Database'!$K593),N('Master Database'!$K593)&gt;=$H$9)),OR($I$9="",AND(ISNUMBER('Master Database'!$K593),N('Master Database'!$K593)&lt;=$I$9))),1,0))</f>
        <v>0</v>
      </c>
      <c r="BB593" t="str">
        <f>IF(BA593=1,COUNTIF($BA$5:BA593,1),"")</f>
        <v/>
      </c>
    </row>
    <row r="594" spans="53:54">
      <c r="BA594">
        <f>IF('Master Database'!$A594="",0,IF(AND(OR($B$5="",ISNUMBER(SEARCH($B$5,'Master Database'!$B594&amp;" "&amp;'Master Database'!$D594))),OR($B$6="(All)",'Master Database'!$C594=$B$6),OR($B$7="(All)",'Master Database'!$E594=$B$7),OR($B$8="(All)",'Master Database'!$T594=$B$8),OR($B$9="(All)",'Master Database'!$M594=$B$9),OR($B$10="(All)",'Master Database'!$V594=$B$10),OR($E$5="(All)",'Master Database'!$F594=$E$5),OR($E$6="(All)",'Master Database'!$G594=$E$6),OR($E$7="(All)",'Master Database'!$O594=$E$7),OR($E$8="(All)",'Master Database'!$P594=$E$8),OR($E$9="(All)",'Master Database'!$S594=$E$9),OR($E$10="(All)",'Master Database'!$Y594&amp;""=$E$10&amp;""),OR($H$5="(All)",'Master Database'!$BG594=$H$5),OR($H$6&lt;&gt;"Y",ISNUMBER('Master Database'!$AG594)),OR($H$7="",AND(ISNUMBER('Master Database'!$H594),N('Master Database'!$H594)&gt;=$H$7)),OR($I$7="",AND(ISNUMBER('Master Database'!$H594),N('Master Database'!$H594)&lt;=$I$7)),OR($H$8="",AND(ISNUMBER('Master Database'!$I594),N('Master Database'!$I594)&gt;=$H$8)),OR($I$8="",AND(ISNUMBER('Master Database'!$I594),N('Master Database'!$I594)&lt;=$I$8)),OR($H$9="",AND(ISNUMBER('Master Database'!$K594),N('Master Database'!$K594)&gt;=$H$9)),OR($I$9="",AND(ISNUMBER('Master Database'!$K594),N('Master Database'!$K594)&lt;=$I$9))),1,0))</f>
        <v>0</v>
      </c>
      <c r="BB594" t="str">
        <f>IF(BA594=1,COUNTIF($BA$5:BA594,1),"")</f>
        <v/>
      </c>
    </row>
    <row r="595" spans="53:54">
      <c r="BA595">
        <f>IF('Master Database'!$A595="",0,IF(AND(OR($B$5="",ISNUMBER(SEARCH($B$5,'Master Database'!$B595&amp;" "&amp;'Master Database'!$D595))),OR($B$6="(All)",'Master Database'!$C595=$B$6),OR($B$7="(All)",'Master Database'!$E595=$B$7),OR($B$8="(All)",'Master Database'!$T595=$B$8),OR($B$9="(All)",'Master Database'!$M595=$B$9),OR($B$10="(All)",'Master Database'!$V595=$B$10),OR($E$5="(All)",'Master Database'!$F595=$E$5),OR($E$6="(All)",'Master Database'!$G595=$E$6),OR($E$7="(All)",'Master Database'!$O595=$E$7),OR($E$8="(All)",'Master Database'!$P595=$E$8),OR($E$9="(All)",'Master Database'!$S595=$E$9),OR($E$10="(All)",'Master Database'!$Y595&amp;""=$E$10&amp;""),OR($H$5="(All)",'Master Database'!$BG595=$H$5),OR($H$6&lt;&gt;"Y",ISNUMBER('Master Database'!$AG595)),OR($H$7="",AND(ISNUMBER('Master Database'!$H595),N('Master Database'!$H595)&gt;=$H$7)),OR($I$7="",AND(ISNUMBER('Master Database'!$H595),N('Master Database'!$H595)&lt;=$I$7)),OR($H$8="",AND(ISNUMBER('Master Database'!$I595),N('Master Database'!$I595)&gt;=$H$8)),OR($I$8="",AND(ISNUMBER('Master Database'!$I595),N('Master Database'!$I595)&lt;=$I$8)),OR($H$9="",AND(ISNUMBER('Master Database'!$K595),N('Master Database'!$K595)&gt;=$H$9)),OR($I$9="",AND(ISNUMBER('Master Database'!$K595),N('Master Database'!$K595)&lt;=$I$9))),1,0))</f>
        <v>0</v>
      </c>
      <c r="BB595" t="str">
        <f>IF(BA595=1,COUNTIF($BA$5:BA595,1),"")</f>
        <v/>
      </c>
    </row>
    <row r="596" spans="53:54">
      <c r="BA596">
        <f>IF('Master Database'!$A596="",0,IF(AND(OR($B$5="",ISNUMBER(SEARCH($B$5,'Master Database'!$B596&amp;" "&amp;'Master Database'!$D596))),OR($B$6="(All)",'Master Database'!$C596=$B$6),OR($B$7="(All)",'Master Database'!$E596=$B$7),OR($B$8="(All)",'Master Database'!$T596=$B$8),OR($B$9="(All)",'Master Database'!$M596=$B$9),OR($B$10="(All)",'Master Database'!$V596=$B$10),OR($E$5="(All)",'Master Database'!$F596=$E$5),OR($E$6="(All)",'Master Database'!$G596=$E$6),OR($E$7="(All)",'Master Database'!$O596=$E$7),OR($E$8="(All)",'Master Database'!$P596=$E$8),OR($E$9="(All)",'Master Database'!$S596=$E$9),OR($E$10="(All)",'Master Database'!$Y596&amp;""=$E$10&amp;""),OR($H$5="(All)",'Master Database'!$BG596=$H$5),OR($H$6&lt;&gt;"Y",ISNUMBER('Master Database'!$AG596)),OR($H$7="",AND(ISNUMBER('Master Database'!$H596),N('Master Database'!$H596)&gt;=$H$7)),OR($I$7="",AND(ISNUMBER('Master Database'!$H596),N('Master Database'!$H596)&lt;=$I$7)),OR($H$8="",AND(ISNUMBER('Master Database'!$I596),N('Master Database'!$I596)&gt;=$H$8)),OR($I$8="",AND(ISNUMBER('Master Database'!$I596),N('Master Database'!$I596)&lt;=$I$8)),OR($H$9="",AND(ISNUMBER('Master Database'!$K596),N('Master Database'!$K596)&gt;=$H$9)),OR($I$9="",AND(ISNUMBER('Master Database'!$K596),N('Master Database'!$K596)&lt;=$I$9))),1,0))</f>
        <v>0</v>
      </c>
      <c r="BB596" t="str">
        <f>IF(BA596=1,COUNTIF($BA$5:BA596,1),"")</f>
        <v/>
      </c>
    </row>
    <row r="597" spans="53:54">
      <c r="BA597">
        <f>IF('Master Database'!$A597="",0,IF(AND(OR($B$5="",ISNUMBER(SEARCH($B$5,'Master Database'!$B597&amp;" "&amp;'Master Database'!$D597))),OR($B$6="(All)",'Master Database'!$C597=$B$6),OR($B$7="(All)",'Master Database'!$E597=$B$7),OR($B$8="(All)",'Master Database'!$T597=$B$8),OR($B$9="(All)",'Master Database'!$M597=$B$9),OR($B$10="(All)",'Master Database'!$V597=$B$10),OR($E$5="(All)",'Master Database'!$F597=$E$5),OR($E$6="(All)",'Master Database'!$G597=$E$6),OR($E$7="(All)",'Master Database'!$O597=$E$7),OR($E$8="(All)",'Master Database'!$P597=$E$8),OR($E$9="(All)",'Master Database'!$S597=$E$9),OR($E$10="(All)",'Master Database'!$Y597&amp;""=$E$10&amp;""),OR($H$5="(All)",'Master Database'!$BG597=$H$5),OR($H$6&lt;&gt;"Y",ISNUMBER('Master Database'!$AG597)),OR($H$7="",AND(ISNUMBER('Master Database'!$H597),N('Master Database'!$H597)&gt;=$H$7)),OR($I$7="",AND(ISNUMBER('Master Database'!$H597),N('Master Database'!$H597)&lt;=$I$7)),OR($H$8="",AND(ISNUMBER('Master Database'!$I597),N('Master Database'!$I597)&gt;=$H$8)),OR($I$8="",AND(ISNUMBER('Master Database'!$I597),N('Master Database'!$I597)&lt;=$I$8)),OR($H$9="",AND(ISNUMBER('Master Database'!$K597),N('Master Database'!$K597)&gt;=$H$9)),OR($I$9="",AND(ISNUMBER('Master Database'!$K597),N('Master Database'!$K597)&lt;=$I$9))),1,0))</f>
        <v>0</v>
      </c>
      <c r="BB597" t="str">
        <f>IF(BA597=1,COUNTIF($BA$5:BA597,1),"")</f>
        <v/>
      </c>
    </row>
    <row r="598" spans="53:54">
      <c r="BA598">
        <f>IF('Master Database'!$A598="",0,IF(AND(OR($B$5="",ISNUMBER(SEARCH($B$5,'Master Database'!$B598&amp;" "&amp;'Master Database'!$D598))),OR($B$6="(All)",'Master Database'!$C598=$B$6),OR($B$7="(All)",'Master Database'!$E598=$B$7),OR($B$8="(All)",'Master Database'!$T598=$B$8),OR($B$9="(All)",'Master Database'!$M598=$B$9),OR($B$10="(All)",'Master Database'!$V598=$B$10),OR($E$5="(All)",'Master Database'!$F598=$E$5),OR($E$6="(All)",'Master Database'!$G598=$E$6),OR($E$7="(All)",'Master Database'!$O598=$E$7),OR($E$8="(All)",'Master Database'!$P598=$E$8),OR($E$9="(All)",'Master Database'!$S598=$E$9),OR($E$10="(All)",'Master Database'!$Y598&amp;""=$E$10&amp;""),OR($H$5="(All)",'Master Database'!$BG598=$H$5),OR($H$6&lt;&gt;"Y",ISNUMBER('Master Database'!$AG598)),OR($H$7="",AND(ISNUMBER('Master Database'!$H598),N('Master Database'!$H598)&gt;=$H$7)),OR($I$7="",AND(ISNUMBER('Master Database'!$H598),N('Master Database'!$H598)&lt;=$I$7)),OR($H$8="",AND(ISNUMBER('Master Database'!$I598),N('Master Database'!$I598)&gt;=$H$8)),OR($I$8="",AND(ISNUMBER('Master Database'!$I598),N('Master Database'!$I598)&lt;=$I$8)),OR($H$9="",AND(ISNUMBER('Master Database'!$K598),N('Master Database'!$K598)&gt;=$H$9)),OR($I$9="",AND(ISNUMBER('Master Database'!$K598),N('Master Database'!$K598)&lt;=$I$9))),1,0))</f>
        <v>0</v>
      </c>
      <c r="BB598" t="str">
        <f>IF(BA598=1,COUNTIF($BA$5:BA598,1),"")</f>
        <v/>
      </c>
    </row>
    <row r="599" spans="53:54">
      <c r="BA599">
        <f>IF('Master Database'!$A599="",0,IF(AND(OR($B$5="",ISNUMBER(SEARCH($B$5,'Master Database'!$B599&amp;" "&amp;'Master Database'!$D599))),OR($B$6="(All)",'Master Database'!$C599=$B$6),OR($B$7="(All)",'Master Database'!$E599=$B$7),OR($B$8="(All)",'Master Database'!$T599=$B$8),OR($B$9="(All)",'Master Database'!$M599=$B$9),OR($B$10="(All)",'Master Database'!$V599=$B$10),OR($E$5="(All)",'Master Database'!$F599=$E$5),OR($E$6="(All)",'Master Database'!$G599=$E$6),OR($E$7="(All)",'Master Database'!$O599=$E$7),OR($E$8="(All)",'Master Database'!$P599=$E$8),OR($E$9="(All)",'Master Database'!$S599=$E$9),OR($E$10="(All)",'Master Database'!$Y599&amp;""=$E$10&amp;""),OR($H$5="(All)",'Master Database'!$BG599=$H$5),OR($H$6&lt;&gt;"Y",ISNUMBER('Master Database'!$AG599)),OR($H$7="",AND(ISNUMBER('Master Database'!$H599),N('Master Database'!$H599)&gt;=$H$7)),OR($I$7="",AND(ISNUMBER('Master Database'!$H599),N('Master Database'!$H599)&lt;=$I$7)),OR($H$8="",AND(ISNUMBER('Master Database'!$I599),N('Master Database'!$I599)&gt;=$H$8)),OR($I$8="",AND(ISNUMBER('Master Database'!$I599),N('Master Database'!$I599)&lt;=$I$8)),OR($H$9="",AND(ISNUMBER('Master Database'!$K599),N('Master Database'!$K599)&gt;=$H$9)),OR($I$9="",AND(ISNUMBER('Master Database'!$K599),N('Master Database'!$K599)&lt;=$I$9))),1,0))</f>
        <v>0</v>
      </c>
      <c r="BB599" t="str">
        <f>IF(BA599=1,COUNTIF($BA$5:BA599,1),"")</f>
        <v/>
      </c>
    </row>
    <row r="600" spans="53:54">
      <c r="BA600">
        <f>IF('Master Database'!$A600="",0,IF(AND(OR($B$5="",ISNUMBER(SEARCH($B$5,'Master Database'!$B600&amp;" "&amp;'Master Database'!$D600))),OR($B$6="(All)",'Master Database'!$C600=$B$6),OR($B$7="(All)",'Master Database'!$E600=$B$7),OR($B$8="(All)",'Master Database'!$T600=$B$8),OR($B$9="(All)",'Master Database'!$M600=$B$9),OR($B$10="(All)",'Master Database'!$V600=$B$10),OR($E$5="(All)",'Master Database'!$F600=$E$5),OR($E$6="(All)",'Master Database'!$G600=$E$6),OR($E$7="(All)",'Master Database'!$O600=$E$7),OR($E$8="(All)",'Master Database'!$P600=$E$8),OR($E$9="(All)",'Master Database'!$S600=$E$9),OR($E$10="(All)",'Master Database'!$Y600&amp;""=$E$10&amp;""),OR($H$5="(All)",'Master Database'!$BG600=$H$5),OR($H$6&lt;&gt;"Y",ISNUMBER('Master Database'!$AG600)),OR($H$7="",AND(ISNUMBER('Master Database'!$H600),N('Master Database'!$H600)&gt;=$H$7)),OR($I$7="",AND(ISNUMBER('Master Database'!$H600),N('Master Database'!$H600)&lt;=$I$7)),OR($H$8="",AND(ISNUMBER('Master Database'!$I600),N('Master Database'!$I600)&gt;=$H$8)),OR($I$8="",AND(ISNUMBER('Master Database'!$I600),N('Master Database'!$I600)&lt;=$I$8)),OR($H$9="",AND(ISNUMBER('Master Database'!$K600),N('Master Database'!$K600)&gt;=$H$9)),OR($I$9="",AND(ISNUMBER('Master Database'!$K600),N('Master Database'!$K600)&lt;=$I$9))),1,0))</f>
        <v>0</v>
      </c>
      <c r="BB600" t="str">
        <f>IF(BA600=1,COUNTIF($BA$5:BA600,1),"")</f>
        <v/>
      </c>
    </row>
  </sheetData>
  <conditionalFormatting sqref="A16:X215">
    <cfRule type="expression" dxfId="0" priority="2">
      <formula>AND($A16&lt;&gt;"",MOD($A16,2)=0)</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xr:uid="{00000000-0002-0000-0400-000000000000}">
          <x14:formula1>
            <xm:f>Lookup_Codes!$X$5:$X$11</xm:f>
          </x14:formula1>
          <x14:formula2>
            <xm:f>0</xm:f>
          </x14:formula2>
          <xm:sqref>B6</xm:sqref>
        </x14:dataValidation>
        <x14:dataValidation type="list" xr:uid="{00000000-0002-0000-0400-000001000000}">
          <x14:formula1>
            <xm:f>Lookup_Codes!$Y$5:$Y$11</xm:f>
          </x14:formula1>
          <x14:formula2>
            <xm:f>0</xm:f>
          </x14:formula2>
          <xm:sqref>B7</xm:sqref>
        </x14:dataValidation>
        <x14:dataValidation type="list" xr:uid="{00000000-0002-0000-0400-000002000000}">
          <x14:formula1>
            <xm:f>Lookup_Codes!$Z$5:$Z$18</xm:f>
          </x14:formula1>
          <x14:formula2>
            <xm:f>0</xm:f>
          </x14:formula2>
          <xm:sqref>B8</xm:sqref>
        </x14:dataValidation>
        <x14:dataValidation type="list" xr:uid="{00000000-0002-0000-0400-000003000000}">
          <x14:formula1>
            <xm:f>Lookup_Codes!$AA$5:$AA$16</xm:f>
          </x14:formula1>
          <x14:formula2>
            <xm:f>0</xm:f>
          </x14:formula2>
          <xm:sqref>B9</xm:sqref>
        </x14:dataValidation>
        <x14:dataValidation type="list" xr:uid="{00000000-0002-0000-0400-000004000000}">
          <x14:formula1>
            <xm:f>Lookup_Codes!$AB$5:$AB$17</xm:f>
          </x14:formula1>
          <x14:formula2>
            <xm:f>0</xm:f>
          </x14:formula2>
          <xm:sqref>B10</xm:sqref>
        </x14:dataValidation>
        <x14:dataValidation type="list" xr:uid="{00000000-0002-0000-0400-000005000000}">
          <x14:formula1>
            <xm:f>Lookup_Codes!$AC$5:$AC$28</xm:f>
          </x14:formula1>
          <x14:formula2>
            <xm:f>0</xm:f>
          </x14:formula2>
          <xm:sqref>E5</xm:sqref>
        </x14:dataValidation>
        <x14:dataValidation type="list" xr:uid="{00000000-0002-0000-0400-000006000000}">
          <x14:formula1>
            <xm:f>Lookup_Codes!$AD$5:$AD$21</xm:f>
          </x14:formula1>
          <x14:formula2>
            <xm:f>0</xm:f>
          </x14:formula2>
          <xm:sqref>E6</xm:sqref>
        </x14:dataValidation>
        <x14:dataValidation type="list" xr:uid="{00000000-0002-0000-0400-000007000000}">
          <x14:formula1>
            <xm:f>Lookup_Codes!$AE$5:$AE$8</xm:f>
          </x14:formula1>
          <x14:formula2>
            <xm:f>0</xm:f>
          </x14:formula2>
          <xm:sqref>E7</xm:sqref>
        </x14:dataValidation>
        <x14:dataValidation type="list" xr:uid="{00000000-0002-0000-0400-000008000000}">
          <x14:formula1>
            <xm:f>Lookup_Codes!$AF$5:$AF$12</xm:f>
          </x14:formula1>
          <x14:formula2>
            <xm:f>0</xm:f>
          </x14:formula2>
          <xm:sqref>E8</xm:sqref>
        </x14:dataValidation>
        <x14:dataValidation type="list" xr:uid="{00000000-0002-0000-0400-000009000000}">
          <x14:formula1>
            <xm:f>Lookup_Codes!$AG$5:$AG$11</xm:f>
          </x14:formula1>
          <x14:formula2>
            <xm:f>0</xm:f>
          </x14:formula2>
          <xm:sqref>E9</xm:sqref>
        </x14:dataValidation>
        <x14:dataValidation type="list" xr:uid="{00000000-0002-0000-0400-00000A000000}">
          <x14:formula1>
            <xm:f>Lookup_Codes!$AH$5:$AH$9</xm:f>
          </x14:formula1>
          <x14:formula2>
            <xm:f>0</xm:f>
          </x14:formula2>
          <xm:sqref>E10</xm:sqref>
        </x14:dataValidation>
        <x14:dataValidation type="list" xr:uid="{00000000-0002-0000-0400-00000B000000}">
          <x14:formula1>
            <xm:f>Lookup_Codes!$AI$5:$AI$7</xm:f>
          </x14:formula1>
          <x14:formula2>
            <xm:f>0</xm:f>
          </x14:formula2>
          <xm:sqref>H5:H6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005"/>
  <sheetViews>
    <sheetView showGridLines="0" zoomScaleNormal="100" workbookViewId="0">
      <pane xSplit="4" ySplit="4" topLeftCell="E5" activePane="bottomRight" state="frozen"/>
      <selection pane="topRight" activeCell="E1" sqref="E1"/>
      <selection pane="bottomLeft" activeCell="A5" sqref="A5"/>
      <selection pane="bottomRight"/>
    </sheetView>
  </sheetViews>
  <sheetFormatPr defaultColWidth="8.7109375" defaultRowHeight="15"/>
  <cols>
    <col min="1" max="1" width="12" customWidth="1"/>
    <col min="2" max="2" width="8" customWidth="1"/>
    <col min="3" max="3" width="14" customWidth="1"/>
    <col min="4" max="4" width="32" customWidth="1"/>
    <col min="5" max="5" width="9" customWidth="1"/>
    <col min="6" max="6" width="24" customWidth="1"/>
    <col min="7" max="7" width="16" customWidth="1"/>
    <col min="8" max="8" width="9" customWidth="1"/>
    <col min="9" max="9" width="13" customWidth="1"/>
    <col min="10" max="10" width="8" customWidth="1"/>
    <col min="11" max="11" width="10" customWidth="1"/>
    <col min="12" max="12" width="8" customWidth="1"/>
    <col min="13" max="13" width="13" customWidth="1"/>
    <col min="14" max="14" width="8" customWidth="1"/>
    <col min="15" max="15" width="13" customWidth="1"/>
    <col min="16" max="16" width="9" customWidth="1"/>
    <col min="17" max="21" width="8" customWidth="1"/>
    <col min="22" max="22" width="34" customWidth="1"/>
  </cols>
  <sheetData>
    <row r="1" spans="1:22" ht="18">
      <c r="A1" s="10" t="s">
        <v>902</v>
      </c>
    </row>
    <row r="2" spans="1:22">
      <c r="A2" s="11" t="s">
        <v>903</v>
      </c>
    </row>
    <row r="4" spans="1:22" ht="36">
      <c r="A4" s="27" t="s">
        <v>904</v>
      </c>
      <c r="B4" s="27" t="s">
        <v>905</v>
      </c>
      <c r="C4" s="29" t="s">
        <v>906</v>
      </c>
      <c r="D4" s="29" t="s">
        <v>907</v>
      </c>
      <c r="E4" s="28" t="s">
        <v>908</v>
      </c>
      <c r="F4" s="29" t="s">
        <v>909</v>
      </c>
      <c r="G4" s="29" t="s">
        <v>910</v>
      </c>
      <c r="H4" s="28" t="s">
        <v>911</v>
      </c>
      <c r="I4" s="27" t="s">
        <v>912</v>
      </c>
      <c r="J4" s="27" t="s">
        <v>913</v>
      </c>
      <c r="K4" s="28" t="s">
        <v>193</v>
      </c>
      <c r="L4" s="28" t="s">
        <v>914</v>
      </c>
      <c r="M4" s="27" t="s">
        <v>915</v>
      </c>
      <c r="N4" s="28" t="s">
        <v>916</v>
      </c>
      <c r="O4" s="29" t="s">
        <v>917</v>
      </c>
      <c r="P4" s="27" t="s">
        <v>918</v>
      </c>
      <c r="Q4" s="28" t="s">
        <v>919</v>
      </c>
      <c r="R4" s="28" t="s">
        <v>920</v>
      </c>
      <c r="S4" s="28" t="s">
        <v>921</v>
      </c>
      <c r="T4" s="28" t="s">
        <v>922</v>
      </c>
      <c r="U4" s="28" t="s">
        <v>923</v>
      </c>
      <c r="V4" s="27" t="s">
        <v>924</v>
      </c>
    </row>
    <row r="5" spans="1:22">
      <c r="A5" s="48" t="s">
        <v>925</v>
      </c>
      <c r="B5" s="48" t="s">
        <v>926</v>
      </c>
      <c r="C5" s="48" t="s">
        <v>117</v>
      </c>
      <c r="D5" s="48" t="s">
        <v>117</v>
      </c>
      <c r="E5" s="48" t="s">
        <v>927</v>
      </c>
      <c r="F5" s="48" t="str">
        <f>IF(E5="","",IFERROR(INDEX(Vendor_Register!$B$5:$B$205,MATCH(E5,Vendor_Register!$A$5:$A$205,0)),"(not in register)"))</f>
        <v>(Example vendor)</v>
      </c>
      <c r="G5" s="48" t="str">
        <f>IF(E5="","",IFERROR(INDEX(Vendor_Register!$E$5:$E$205,MATCH(E5,Vendor_Register!$A$5:$A$205,0)),"(not in register)"))</f>
        <v>NIOC/NISOC Approved</v>
      </c>
      <c r="H5" s="48">
        <v>1404</v>
      </c>
      <c r="I5" s="48" t="s">
        <v>928</v>
      </c>
      <c r="J5" s="48">
        <v>90</v>
      </c>
      <c r="K5" s="48" t="s">
        <v>204</v>
      </c>
      <c r="L5" s="48" t="s">
        <v>355</v>
      </c>
      <c r="M5" s="49">
        <v>317500</v>
      </c>
      <c r="N5" s="48" t="s">
        <v>361</v>
      </c>
      <c r="O5" s="49">
        <f>IF(NOT(ISNUMBER(M5)),"",IFERROR(IF(L5="EUR",M5,IF(L5="IRR",M5/INDEX('Assumptions &amp; FX Reference'!$C$5:$C$25,MATCH(H5,'Assumptions &amp; FX Reference'!$A$5:$A$25,0)),IF(L5="USD",M5*INDEX('Assumptions &amp; FX Reference'!$B$5:$B$25,MATCH(H5,'Assumptions &amp; FX Reference'!$A$5:$A$25,0))/INDEX('Assumptions &amp; FX Reference'!$C$5:$C$25,MATCH(H5,'Assumptions &amp; FX Reference'!$A$5:$A$25,0)),""))),"(FX missing)"))</f>
        <v>317500</v>
      </c>
      <c r="P5" s="48">
        <v>32</v>
      </c>
      <c r="Q5" s="48" t="s">
        <v>361</v>
      </c>
      <c r="R5" s="48" t="s">
        <v>361</v>
      </c>
      <c r="S5" s="48" t="s">
        <v>361</v>
      </c>
      <c r="T5" s="48" t="s">
        <v>361</v>
      </c>
      <c r="U5" s="48" t="s">
        <v>305</v>
      </c>
      <c r="V5" s="48" t="s">
        <v>929</v>
      </c>
    </row>
    <row r="6" spans="1:22">
      <c r="A6" s="30" t="s">
        <v>930</v>
      </c>
      <c r="B6" s="30">
        <v>94</v>
      </c>
      <c r="C6" s="33" t="str">
        <f>IF(B6="","",IFERROR(INDEX('Master Database'!$D$5:$D$600,MATCH(B6,'Master Database'!$A$5:$A$600,0)),"(row not found)"))</f>
        <v>P-111 A/B</v>
      </c>
      <c r="D6" s="33" t="str">
        <f>IF(B6="","",IFERROR(INDEX('Master Database'!$B$5:$B$600,MATCH(B6,'Master Database'!$A$5:$A$600,0)),"(row not found)"))</f>
        <v>Off Spec. Crude Pumps</v>
      </c>
      <c r="E6" s="30" t="s">
        <v>931</v>
      </c>
      <c r="F6" s="33" t="str">
        <f>IF(E6="","",IFERROR(INDEX(Vendor_Register!$B$5:$B$205,MATCH(E6,Vendor_Register!$A$5:$A$205,0)),"(not in register)"))</f>
        <v>آریا سپهر کیهان</v>
      </c>
      <c r="G6" s="33" t="str">
        <f>IF(E6="","",IFERROR(INDEX(Vendor_Register!$E$5:$E$205,MATCH(E6,Vendor_Register!$A$5:$A$205,0)),"(not in register)"))</f>
        <v>Not checked</v>
      </c>
      <c r="H6" s="30">
        <v>1403</v>
      </c>
      <c r="I6" s="30" t="s">
        <v>932</v>
      </c>
      <c r="J6" s="30"/>
      <c r="K6" s="38" t="s">
        <v>204</v>
      </c>
      <c r="L6" s="30" t="s">
        <v>355</v>
      </c>
      <c r="M6" s="34">
        <v>43000</v>
      </c>
      <c r="N6" s="30" t="s">
        <v>933</v>
      </c>
      <c r="O6" s="35">
        <f>IF(NOT(ISNUMBER(M6)),"",IFERROR(IF(L6="EUR",M6,IF(L6="IRR",M6/INDEX('Assumptions &amp; FX Reference'!$C$5:$C$25,MATCH(H6,'Assumptions &amp; FX Reference'!$A$5:$A$25,0)),IF(L6="USD",M6*INDEX('Assumptions &amp; FX Reference'!$B$5:$B$25,MATCH(H6,'Assumptions &amp; FX Reference'!$A$5:$A$25,0))/INDEX('Assumptions &amp; FX Reference'!$C$5:$C$25,MATCH(H6,'Assumptions &amp; FX Reference'!$A$5:$A$25,0)),""))),"(FX missing)"))</f>
        <v>43000</v>
      </c>
      <c r="P6" s="30"/>
      <c r="Q6" s="30"/>
      <c r="R6" s="30"/>
      <c r="S6" s="30"/>
      <c r="T6" s="30"/>
      <c r="U6" s="30"/>
      <c r="V6" s="30" t="s">
        <v>934</v>
      </c>
    </row>
    <row r="7" spans="1:22">
      <c r="A7" s="30" t="s">
        <v>935</v>
      </c>
      <c r="B7" s="30">
        <v>94</v>
      </c>
      <c r="C7" s="33" t="str">
        <f>IF(B7="","",IFERROR(INDEX('Master Database'!$D$5:$D$600,MATCH(B7,'Master Database'!$A$5:$A$600,0)),"(row not found)"))</f>
        <v>P-111 A/B</v>
      </c>
      <c r="D7" s="33" t="str">
        <f>IF(B7="","",IFERROR(INDEX('Master Database'!$B$5:$B$600,MATCH(B7,'Master Database'!$A$5:$A$600,0)),"(row not found)"))</f>
        <v>Off Spec. Crude Pumps</v>
      </c>
      <c r="E7" s="30" t="s">
        <v>936</v>
      </c>
      <c r="F7" s="33" t="str">
        <f>IF(E7="","",IFERROR(INDEX(Vendor_Register!$B$5:$B$205,MATCH(E7,Vendor_Register!$A$5:$A$205,0)),"(not in register)"))</f>
        <v>پمپیران</v>
      </c>
      <c r="G7" s="33" t="str">
        <f>IF(E7="","",IFERROR(INDEX(Vendor_Register!$E$5:$E$205,MATCH(E7,Vendor_Register!$A$5:$A$205,0)),"(not in register)"))</f>
        <v>Not checked</v>
      </c>
      <c r="H7" s="30">
        <v>1404</v>
      </c>
      <c r="I7" s="30" t="s">
        <v>937</v>
      </c>
      <c r="J7" s="30"/>
      <c r="K7" s="38" t="s">
        <v>204</v>
      </c>
      <c r="L7" s="30" t="s">
        <v>355</v>
      </c>
      <c r="M7" s="34">
        <v>180000</v>
      </c>
      <c r="N7" s="30" t="s">
        <v>933</v>
      </c>
      <c r="O7" s="35">
        <f>IF(NOT(ISNUMBER(M7)),"",IFERROR(IF(L7="EUR",M7,IF(L7="IRR",M7/INDEX('Assumptions &amp; FX Reference'!$C$5:$C$25,MATCH(H7,'Assumptions &amp; FX Reference'!$A$5:$A$25,0)),IF(L7="USD",M7*INDEX('Assumptions &amp; FX Reference'!$B$5:$B$25,MATCH(H7,'Assumptions &amp; FX Reference'!$A$5:$A$25,0))/INDEX('Assumptions &amp; FX Reference'!$C$5:$C$25,MATCH(H7,'Assumptions &amp; FX Reference'!$A$5:$A$25,0)),""))),"(FX missing)"))</f>
        <v>180000</v>
      </c>
      <c r="P7" s="30"/>
      <c r="Q7" s="30"/>
      <c r="R7" s="30"/>
      <c r="S7" s="30"/>
      <c r="T7" s="30"/>
      <c r="U7" s="30"/>
      <c r="V7" s="30" t="s">
        <v>938</v>
      </c>
    </row>
    <row r="8" spans="1:22">
      <c r="A8" s="30" t="s">
        <v>939</v>
      </c>
      <c r="B8" s="30">
        <v>94</v>
      </c>
      <c r="C8" s="33" t="str">
        <f>IF(B8="","",IFERROR(INDEX('Master Database'!$D$5:$D$600,MATCH(B8,'Master Database'!$A$5:$A$600,0)),"(row not found)"))</f>
        <v>P-111 A/B</v>
      </c>
      <c r="D8" s="33" t="str">
        <f>IF(B8="","",IFERROR(INDEX('Master Database'!$B$5:$B$600,MATCH(B8,'Master Database'!$A$5:$A$600,0)),"(row not found)"))</f>
        <v>Off Spec. Crude Pumps</v>
      </c>
      <c r="E8" s="30" t="s">
        <v>940</v>
      </c>
      <c r="F8" s="33" t="str">
        <f>IF(E8="","",IFERROR(INDEX(Vendor_Register!$B$5:$B$205,MATCH(E8,Vendor_Register!$A$5:$A$205,0)),"(not in register)"))</f>
        <v>کالای پمپ</v>
      </c>
      <c r="G8" s="33" t="str">
        <f>IF(E8="","",IFERROR(INDEX(Vendor_Register!$E$5:$E$205,MATCH(E8,Vendor_Register!$A$5:$A$205,0)),"(not in register)"))</f>
        <v>Not checked</v>
      </c>
      <c r="H8" s="30"/>
      <c r="I8" s="30"/>
      <c r="J8" s="30"/>
      <c r="K8" s="30"/>
      <c r="L8" s="30"/>
      <c r="M8" s="34"/>
      <c r="N8" s="30"/>
      <c r="O8" s="35" t="str">
        <f>IF(NOT(ISNUMBER(M8)),"",IFERROR(IF(L8="EUR",M8,IF(L8="IRR",M8/INDEX('Assumptions &amp; FX Reference'!$C$5:$C$25,MATCH(H8,'Assumptions &amp; FX Reference'!$A$5:$A$25,0)),IF(L8="USD",M8*INDEX('Assumptions &amp; FX Reference'!$B$5:$B$25,MATCH(H8,'Assumptions &amp; FX Reference'!$A$5:$A$25,0))/INDEX('Assumptions &amp; FX Reference'!$C$5:$C$25,MATCH(H8,'Assumptions &amp; FX Reference'!$A$5:$A$25,0)),""))),"(FX missing)"))</f>
        <v/>
      </c>
      <c r="P8" s="30"/>
      <c r="Q8" s="30"/>
      <c r="R8" s="30"/>
      <c r="S8" s="30"/>
      <c r="T8" s="30"/>
      <c r="U8" s="30"/>
      <c r="V8" s="30" t="s">
        <v>941</v>
      </c>
    </row>
    <row r="9" spans="1:22">
      <c r="A9" s="30" t="s">
        <v>942</v>
      </c>
      <c r="B9" s="30">
        <v>94</v>
      </c>
      <c r="C9" s="33" t="str">
        <f>IF(B9="","",IFERROR(INDEX('Master Database'!$D$5:$D$600,MATCH(B9,'Master Database'!$A$5:$A$600,0)),"(row not found)"))</f>
        <v>P-111 A/B</v>
      </c>
      <c r="D9" s="33" t="str">
        <f>IF(B9="","",IFERROR(INDEX('Master Database'!$B$5:$B$600,MATCH(B9,'Master Database'!$A$5:$A$600,0)),"(row not found)"))</f>
        <v>Off Spec. Crude Pumps</v>
      </c>
      <c r="E9" s="30" t="s">
        <v>943</v>
      </c>
      <c r="F9" s="33" t="str">
        <f>IF(E9="","",IFERROR(INDEX(Vendor_Register!$B$5:$B$205,MATCH(E9,Vendor_Register!$A$5:$A$205,0)),"(not in register)"))</f>
        <v>دالاهو پارس کیش (دمکو)</v>
      </c>
      <c r="G9" s="33" t="str">
        <f>IF(E9="","",IFERROR(INDEX(Vendor_Register!$E$5:$E$205,MATCH(E9,Vendor_Register!$A$5:$A$205,0)),"(not in register)"))</f>
        <v>Not checked</v>
      </c>
      <c r="H9" s="30"/>
      <c r="I9" s="30"/>
      <c r="J9" s="30"/>
      <c r="K9" s="30"/>
      <c r="L9" s="30"/>
      <c r="M9" s="34"/>
      <c r="N9" s="30"/>
      <c r="O9" s="35" t="str">
        <f>IF(NOT(ISNUMBER(M9)),"",IFERROR(IF(L9="EUR",M9,IF(L9="IRR",M9/INDEX('Assumptions &amp; FX Reference'!$C$5:$C$25,MATCH(H9,'Assumptions &amp; FX Reference'!$A$5:$A$25,0)),IF(L9="USD",M9*INDEX('Assumptions &amp; FX Reference'!$B$5:$B$25,MATCH(H9,'Assumptions &amp; FX Reference'!$A$5:$A$25,0))/INDEX('Assumptions &amp; FX Reference'!$C$5:$C$25,MATCH(H9,'Assumptions &amp; FX Reference'!$A$5:$A$25,0)),""))),"(FX missing)"))</f>
        <v/>
      </c>
      <c r="P9" s="30"/>
      <c r="Q9" s="30"/>
      <c r="R9" s="30"/>
      <c r="S9" s="30"/>
      <c r="T9" s="30"/>
      <c r="U9" s="30"/>
      <c r="V9" s="30" t="s">
        <v>944</v>
      </c>
    </row>
    <row r="10" spans="1:22">
      <c r="A10" s="30" t="s">
        <v>945</v>
      </c>
      <c r="B10" s="30">
        <v>95</v>
      </c>
      <c r="C10" s="33" t="str">
        <f>IF(B10="","",IFERROR(INDEX('Master Database'!$D$5:$D$600,MATCH(B10,'Master Database'!$A$5:$A$600,0)),"(row not found)"))</f>
        <v>P-122 A/B</v>
      </c>
      <c r="D10" s="33" t="str">
        <f>IF(B10="","",IFERROR(INDEX('Master Database'!$B$5:$B$600,MATCH(B10,'Master Database'!$A$5:$A$600,0)),"(row not found)"))</f>
        <v>Deaerated Water Pumps</v>
      </c>
      <c r="E10" s="30" t="s">
        <v>931</v>
      </c>
      <c r="F10" s="33" t="str">
        <f>IF(E10="","",IFERROR(INDEX(Vendor_Register!$B$5:$B$205,MATCH(E10,Vendor_Register!$A$5:$A$205,0)),"(not in register)"))</f>
        <v>آریا سپهر کیهان</v>
      </c>
      <c r="G10" s="33" t="str">
        <f>IF(E10="","",IFERROR(INDEX(Vendor_Register!$E$5:$E$205,MATCH(E10,Vendor_Register!$A$5:$A$205,0)),"(not in register)"))</f>
        <v>Not checked</v>
      </c>
      <c r="H10" s="30">
        <v>1403</v>
      </c>
      <c r="I10" s="30" t="s">
        <v>932</v>
      </c>
      <c r="J10" s="30"/>
      <c r="K10" s="38" t="s">
        <v>204</v>
      </c>
      <c r="L10" s="30" t="s">
        <v>355</v>
      </c>
      <c r="M10" s="34">
        <v>14100</v>
      </c>
      <c r="N10" s="30" t="s">
        <v>933</v>
      </c>
      <c r="O10" s="35">
        <f>IF(NOT(ISNUMBER(M10)),"",IFERROR(IF(L10="EUR",M10,IF(L10="IRR",M10/INDEX('Assumptions &amp; FX Reference'!$C$5:$C$25,MATCH(H10,'Assumptions &amp; FX Reference'!$A$5:$A$25,0)),IF(L10="USD",M10*INDEX('Assumptions &amp; FX Reference'!$B$5:$B$25,MATCH(H10,'Assumptions &amp; FX Reference'!$A$5:$A$25,0))/INDEX('Assumptions &amp; FX Reference'!$C$5:$C$25,MATCH(H10,'Assumptions &amp; FX Reference'!$A$5:$A$25,0)),""))),"(FX missing)"))</f>
        <v>14100</v>
      </c>
      <c r="P10" s="30"/>
      <c r="Q10" s="30"/>
      <c r="R10" s="30"/>
      <c r="S10" s="30"/>
      <c r="T10" s="30"/>
      <c r="U10" s="30"/>
      <c r="V10" s="30" t="s">
        <v>946</v>
      </c>
    </row>
    <row r="11" spans="1:22">
      <c r="A11" s="30" t="s">
        <v>947</v>
      </c>
      <c r="B11" s="30">
        <v>95</v>
      </c>
      <c r="C11" s="33" t="str">
        <f>IF(B11="","",IFERROR(INDEX('Master Database'!$D$5:$D$600,MATCH(B11,'Master Database'!$A$5:$A$600,0)),"(row not found)"))</f>
        <v>P-122 A/B</v>
      </c>
      <c r="D11" s="33" t="str">
        <f>IF(B11="","",IFERROR(INDEX('Master Database'!$B$5:$B$600,MATCH(B11,'Master Database'!$A$5:$A$600,0)),"(row not found)"))</f>
        <v>Deaerated Water Pumps</v>
      </c>
      <c r="E11" s="30" t="s">
        <v>936</v>
      </c>
      <c r="F11" s="33" t="str">
        <f>IF(E11="","",IFERROR(INDEX(Vendor_Register!$B$5:$B$205,MATCH(E11,Vendor_Register!$A$5:$A$205,0)),"(not in register)"))</f>
        <v>پمپیران</v>
      </c>
      <c r="G11" s="33" t="str">
        <f>IF(E11="","",IFERROR(INDEX(Vendor_Register!$E$5:$E$205,MATCH(E11,Vendor_Register!$A$5:$A$205,0)),"(not in register)"))</f>
        <v>Not checked</v>
      </c>
      <c r="H11" s="30">
        <v>1404</v>
      </c>
      <c r="I11" s="30" t="s">
        <v>937</v>
      </c>
      <c r="J11" s="30"/>
      <c r="K11" s="38" t="s">
        <v>204</v>
      </c>
      <c r="L11" s="30" t="s">
        <v>355</v>
      </c>
      <c r="M11" s="34">
        <v>16000</v>
      </c>
      <c r="N11" s="30" t="s">
        <v>933</v>
      </c>
      <c r="O11" s="35">
        <f>IF(NOT(ISNUMBER(M11)),"",IFERROR(IF(L11="EUR",M11,IF(L11="IRR",M11/INDEX('Assumptions &amp; FX Reference'!$C$5:$C$25,MATCH(H11,'Assumptions &amp; FX Reference'!$A$5:$A$25,0)),IF(L11="USD",M11*INDEX('Assumptions &amp; FX Reference'!$B$5:$B$25,MATCH(H11,'Assumptions &amp; FX Reference'!$A$5:$A$25,0))/INDEX('Assumptions &amp; FX Reference'!$C$5:$C$25,MATCH(H11,'Assumptions &amp; FX Reference'!$A$5:$A$25,0)),""))),"(FX missing)"))</f>
        <v>16000</v>
      </c>
      <c r="P11" s="30"/>
      <c r="Q11" s="30"/>
      <c r="R11" s="30"/>
      <c r="S11" s="30"/>
      <c r="T11" s="30"/>
      <c r="U11" s="30"/>
      <c r="V11" s="30" t="s">
        <v>948</v>
      </c>
    </row>
    <row r="12" spans="1:22">
      <c r="A12" s="30" t="s">
        <v>949</v>
      </c>
      <c r="B12" s="30">
        <v>95</v>
      </c>
      <c r="C12" s="33" t="str">
        <f>IF(B12="","",IFERROR(INDEX('Master Database'!$D$5:$D$600,MATCH(B12,'Master Database'!$A$5:$A$600,0)),"(row not found)"))</f>
        <v>P-122 A/B</v>
      </c>
      <c r="D12" s="33" t="str">
        <f>IF(B12="","",IFERROR(INDEX('Master Database'!$B$5:$B$600,MATCH(B12,'Master Database'!$A$5:$A$600,0)),"(row not found)"))</f>
        <v>Deaerated Water Pumps</v>
      </c>
      <c r="E12" s="30" t="s">
        <v>940</v>
      </c>
      <c r="F12" s="33" t="str">
        <f>IF(E12="","",IFERROR(INDEX(Vendor_Register!$B$5:$B$205,MATCH(E12,Vendor_Register!$A$5:$A$205,0)),"(not in register)"))</f>
        <v>کالای پمپ</v>
      </c>
      <c r="G12" s="33" t="str">
        <f>IF(E12="","",IFERROR(INDEX(Vendor_Register!$E$5:$E$205,MATCH(E12,Vendor_Register!$A$5:$A$205,0)),"(not in register)"))</f>
        <v>Not checked</v>
      </c>
      <c r="H12" s="30"/>
      <c r="I12" s="30"/>
      <c r="J12" s="30"/>
      <c r="K12" s="30"/>
      <c r="L12" s="30"/>
      <c r="M12" s="34"/>
      <c r="N12" s="30"/>
      <c r="O12" s="35" t="str">
        <f>IF(NOT(ISNUMBER(M12)),"",IFERROR(IF(L12="EUR",M12,IF(L12="IRR",M12/INDEX('Assumptions &amp; FX Reference'!$C$5:$C$25,MATCH(H12,'Assumptions &amp; FX Reference'!$A$5:$A$25,0)),IF(L12="USD",M12*INDEX('Assumptions &amp; FX Reference'!$B$5:$B$25,MATCH(H12,'Assumptions &amp; FX Reference'!$A$5:$A$25,0))/INDEX('Assumptions &amp; FX Reference'!$C$5:$C$25,MATCH(H12,'Assumptions &amp; FX Reference'!$A$5:$A$25,0)),""))),"(FX missing)"))</f>
        <v/>
      </c>
      <c r="P12" s="30"/>
      <c r="Q12" s="30"/>
      <c r="R12" s="30"/>
      <c r="S12" s="30"/>
      <c r="T12" s="30"/>
      <c r="U12" s="30"/>
      <c r="V12" s="30" t="s">
        <v>950</v>
      </c>
    </row>
    <row r="13" spans="1:22">
      <c r="A13" s="30" t="s">
        <v>951</v>
      </c>
      <c r="B13" s="30">
        <v>95</v>
      </c>
      <c r="C13" s="33" t="str">
        <f>IF(B13="","",IFERROR(INDEX('Master Database'!$D$5:$D$600,MATCH(B13,'Master Database'!$A$5:$A$600,0)),"(row not found)"))</f>
        <v>P-122 A/B</v>
      </c>
      <c r="D13" s="33" t="str">
        <f>IF(B13="","",IFERROR(INDEX('Master Database'!$B$5:$B$600,MATCH(B13,'Master Database'!$A$5:$A$600,0)),"(row not found)"))</f>
        <v>Deaerated Water Pumps</v>
      </c>
      <c r="E13" s="30" t="s">
        <v>943</v>
      </c>
      <c r="F13" s="33" t="str">
        <f>IF(E13="","",IFERROR(INDEX(Vendor_Register!$B$5:$B$205,MATCH(E13,Vendor_Register!$A$5:$A$205,0)),"(not in register)"))</f>
        <v>دالاهو پارس کیش (دمکو)</v>
      </c>
      <c r="G13" s="33" t="str">
        <f>IF(E13="","",IFERROR(INDEX(Vendor_Register!$E$5:$E$205,MATCH(E13,Vendor_Register!$A$5:$A$205,0)),"(not in register)"))</f>
        <v>Not checked</v>
      </c>
      <c r="H13" s="30"/>
      <c r="I13" s="30"/>
      <c r="J13" s="30"/>
      <c r="K13" s="30"/>
      <c r="L13" s="30"/>
      <c r="M13" s="34"/>
      <c r="N13" s="30"/>
      <c r="O13" s="35" t="str">
        <f>IF(NOT(ISNUMBER(M13)),"",IFERROR(IF(L13="EUR",M13,IF(L13="IRR",M13/INDEX('Assumptions &amp; FX Reference'!$C$5:$C$25,MATCH(H13,'Assumptions &amp; FX Reference'!$A$5:$A$25,0)),IF(L13="USD",M13*INDEX('Assumptions &amp; FX Reference'!$B$5:$B$25,MATCH(H13,'Assumptions &amp; FX Reference'!$A$5:$A$25,0))/INDEX('Assumptions &amp; FX Reference'!$C$5:$C$25,MATCH(H13,'Assumptions &amp; FX Reference'!$A$5:$A$25,0)),""))),"(FX missing)"))</f>
        <v/>
      </c>
      <c r="P13" s="30"/>
      <c r="Q13" s="30"/>
      <c r="R13" s="30"/>
      <c r="S13" s="30"/>
      <c r="T13" s="30"/>
      <c r="U13" s="30"/>
      <c r="V13" s="30" t="s">
        <v>952</v>
      </c>
    </row>
    <row r="14" spans="1:22">
      <c r="A14" s="30" t="s">
        <v>953</v>
      </c>
      <c r="B14" s="30">
        <v>96</v>
      </c>
      <c r="C14" s="33" t="str">
        <f>IF(B14="","",IFERROR(INDEX('Master Database'!$D$5:$D$600,MATCH(B14,'Master Database'!$A$5:$A$600,0)),"(row not found)"))</f>
        <v>P-124</v>
      </c>
      <c r="D14" s="33" t="str">
        <f>IF(B14="","",IFERROR(INDEX('Master Database'!$B$5:$B$600,MATCH(B14,'Master Database'!$A$5:$A$600,0)),"(row not found)"))</f>
        <v>Dilution Water Pump</v>
      </c>
      <c r="E14" s="30" t="s">
        <v>931</v>
      </c>
      <c r="F14" s="33" t="str">
        <f>IF(E14="","",IFERROR(INDEX(Vendor_Register!$B$5:$B$205,MATCH(E14,Vendor_Register!$A$5:$A$205,0)),"(not in register)"))</f>
        <v>آریا سپهر کیهان</v>
      </c>
      <c r="G14" s="33" t="str">
        <f>IF(E14="","",IFERROR(INDEX(Vendor_Register!$E$5:$E$205,MATCH(E14,Vendor_Register!$A$5:$A$205,0)),"(not in register)"))</f>
        <v>Not checked</v>
      </c>
      <c r="H14" s="30">
        <v>1403</v>
      </c>
      <c r="I14" s="30" t="s">
        <v>932</v>
      </c>
      <c r="J14" s="30"/>
      <c r="K14" s="38" t="s">
        <v>204</v>
      </c>
      <c r="L14" s="30" t="s">
        <v>355</v>
      </c>
      <c r="M14" s="34">
        <v>28500</v>
      </c>
      <c r="N14" s="30" t="s">
        <v>933</v>
      </c>
      <c r="O14" s="35">
        <f>IF(NOT(ISNUMBER(M14)),"",IFERROR(IF(L14="EUR",M14,IF(L14="IRR",M14/INDEX('Assumptions &amp; FX Reference'!$C$5:$C$25,MATCH(H14,'Assumptions &amp; FX Reference'!$A$5:$A$25,0)),IF(L14="USD",M14*INDEX('Assumptions &amp; FX Reference'!$B$5:$B$25,MATCH(H14,'Assumptions &amp; FX Reference'!$A$5:$A$25,0))/INDEX('Assumptions &amp; FX Reference'!$C$5:$C$25,MATCH(H14,'Assumptions &amp; FX Reference'!$A$5:$A$25,0)),""))),"(FX missing)"))</f>
        <v>28500</v>
      </c>
      <c r="P14" s="30"/>
      <c r="Q14" s="30"/>
      <c r="R14" s="30"/>
      <c r="S14" s="30"/>
      <c r="T14" s="30"/>
      <c r="U14" s="30"/>
      <c r="V14" s="30" t="s">
        <v>954</v>
      </c>
    </row>
    <row r="15" spans="1:22">
      <c r="A15" s="30" t="s">
        <v>955</v>
      </c>
      <c r="B15" s="30">
        <v>96</v>
      </c>
      <c r="C15" s="33" t="str">
        <f>IF(B15="","",IFERROR(INDEX('Master Database'!$D$5:$D$600,MATCH(B15,'Master Database'!$A$5:$A$600,0)),"(row not found)"))</f>
        <v>P-124</v>
      </c>
      <c r="D15" s="33" t="str">
        <f>IF(B15="","",IFERROR(INDEX('Master Database'!$B$5:$B$600,MATCH(B15,'Master Database'!$A$5:$A$600,0)),"(row not found)"))</f>
        <v>Dilution Water Pump</v>
      </c>
      <c r="E15" s="30" t="s">
        <v>936</v>
      </c>
      <c r="F15" s="33" t="str">
        <f>IF(E15="","",IFERROR(INDEX(Vendor_Register!$B$5:$B$205,MATCH(E15,Vendor_Register!$A$5:$A$205,0)),"(not in register)"))</f>
        <v>پمپیران</v>
      </c>
      <c r="G15" s="33" t="str">
        <f>IF(E15="","",IFERROR(INDEX(Vendor_Register!$E$5:$E$205,MATCH(E15,Vendor_Register!$A$5:$A$205,0)),"(not in register)"))</f>
        <v>Not checked</v>
      </c>
      <c r="H15" s="30">
        <v>1404</v>
      </c>
      <c r="I15" s="30" t="s">
        <v>937</v>
      </c>
      <c r="J15" s="30"/>
      <c r="K15" s="38" t="s">
        <v>204</v>
      </c>
      <c r="L15" s="30" t="s">
        <v>355</v>
      </c>
      <c r="M15" s="34">
        <v>16000</v>
      </c>
      <c r="N15" s="30" t="s">
        <v>933</v>
      </c>
      <c r="O15" s="35">
        <f>IF(NOT(ISNUMBER(M15)),"",IFERROR(IF(L15="EUR",M15,IF(L15="IRR",M15/INDEX('Assumptions &amp; FX Reference'!$C$5:$C$25,MATCH(H15,'Assumptions &amp; FX Reference'!$A$5:$A$25,0)),IF(L15="USD",M15*INDEX('Assumptions &amp; FX Reference'!$B$5:$B$25,MATCH(H15,'Assumptions &amp; FX Reference'!$A$5:$A$25,0))/INDEX('Assumptions &amp; FX Reference'!$C$5:$C$25,MATCH(H15,'Assumptions &amp; FX Reference'!$A$5:$A$25,0)),""))),"(FX missing)"))</f>
        <v>16000</v>
      </c>
      <c r="P15" s="30"/>
      <c r="Q15" s="30"/>
      <c r="R15" s="30"/>
      <c r="S15" s="30"/>
      <c r="T15" s="30"/>
      <c r="U15" s="30"/>
      <c r="V15" s="30" t="s">
        <v>956</v>
      </c>
    </row>
    <row r="16" spans="1:22">
      <c r="A16" s="30" t="s">
        <v>957</v>
      </c>
      <c r="B16" s="30">
        <v>96</v>
      </c>
      <c r="C16" s="33" t="str">
        <f>IF(B16="","",IFERROR(INDEX('Master Database'!$D$5:$D$600,MATCH(B16,'Master Database'!$A$5:$A$600,0)),"(row not found)"))</f>
        <v>P-124</v>
      </c>
      <c r="D16" s="33" t="str">
        <f>IF(B16="","",IFERROR(INDEX('Master Database'!$B$5:$B$600,MATCH(B16,'Master Database'!$A$5:$A$600,0)),"(row not found)"))</f>
        <v>Dilution Water Pump</v>
      </c>
      <c r="E16" s="30" t="s">
        <v>940</v>
      </c>
      <c r="F16" s="33" t="str">
        <f>IF(E16="","",IFERROR(INDEX(Vendor_Register!$B$5:$B$205,MATCH(E16,Vendor_Register!$A$5:$A$205,0)),"(not in register)"))</f>
        <v>کالای پمپ</v>
      </c>
      <c r="G16" s="33" t="str">
        <f>IF(E16="","",IFERROR(INDEX(Vendor_Register!$E$5:$E$205,MATCH(E16,Vendor_Register!$A$5:$A$205,0)),"(not in register)"))</f>
        <v>Not checked</v>
      </c>
      <c r="H16" s="30"/>
      <c r="I16" s="30"/>
      <c r="J16" s="30"/>
      <c r="K16" s="30"/>
      <c r="L16" s="30"/>
      <c r="M16" s="34"/>
      <c r="N16" s="30"/>
      <c r="O16" s="35" t="str">
        <f>IF(NOT(ISNUMBER(M16)),"",IFERROR(IF(L16="EUR",M16,IF(L16="IRR",M16/INDEX('Assumptions &amp; FX Reference'!$C$5:$C$25,MATCH(H16,'Assumptions &amp; FX Reference'!$A$5:$A$25,0)),IF(L16="USD",M16*INDEX('Assumptions &amp; FX Reference'!$B$5:$B$25,MATCH(H16,'Assumptions &amp; FX Reference'!$A$5:$A$25,0))/INDEX('Assumptions &amp; FX Reference'!$C$5:$C$25,MATCH(H16,'Assumptions &amp; FX Reference'!$A$5:$A$25,0)),""))),"(FX missing)"))</f>
        <v/>
      </c>
      <c r="P16" s="30"/>
      <c r="Q16" s="30"/>
      <c r="R16" s="30"/>
      <c r="S16" s="30"/>
      <c r="T16" s="30"/>
      <c r="U16" s="30"/>
      <c r="V16" s="30" t="s">
        <v>958</v>
      </c>
    </row>
    <row r="17" spans="1:22">
      <c r="A17" s="30" t="s">
        <v>959</v>
      </c>
      <c r="B17" s="30">
        <v>96</v>
      </c>
      <c r="C17" s="33" t="str">
        <f>IF(B17="","",IFERROR(INDEX('Master Database'!$D$5:$D$600,MATCH(B17,'Master Database'!$A$5:$A$600,0)),"(row not found)"))</f>
        <v>P-124</v>
      </c>
      <c r="D17" s="33" t="str">
        <f>IF(B17="","",IFERROR(INDEX('Master Database'!$B$5:$B$600,MATCH(B17,'Master Database'!$A$5:$A$600,0)),"(row not found)"))</f>
        <v>Dilution Water Pump</v>
      </c>
      <c r="E17" s="30" t="s">
        <v>943</v>
      </c>
      <c r="F17" s="33" t="str">
        <f>IF(E17="","",IFERROR(INDEX(Vendor_Register!$B$5:$B$205,MATCH(E17,Vendor_Register!$A$5:$A$205,0)),"(not in register)"))</f>
        <v>دالاهو پارس کیش (دمکو)</v>
      </c>
      <c r="G17" s="33" t="str">
        <f>IF(E17="","",IFERROR(INDEX(Vendor_Register!$E$5:$E$205,MATCH(E17,Vendor_Register!$A$5:$A$205,0)),"(not in register)"))</f>
        <v>Not checked</v>
      </c>
      <c r="H17" s="30"/>
      <c r="I17" s="30"/>
      <c r="J17" s="30"/>
      <c r="K17" s="30"/>
      <c r="L17" s="30"/>
      <c r="M17" s="34"/>
      <c r="N17" s="30"/>
      <c r="O17" s="35" t="str">
        <f>IF(NOT(ISNUMBER(M17)),"",IFERROR(IF(L17="EUR",M17,IF(L17="IRR",M17/INDEX('Assumptions &amp; FX Reference'!$C$5:$C$25,MATCH(H17,'Assumptions &amp; FX Reference'!$A$5:$A$25,0)),IF(L17="USD",M17*INDEX('Assumptions &amp; FX Reference'!$B$5:$B$25,MATCH(H17,'Assumptions &amp; FX Reference'!$A$5:$A$25,0))/INDEX('Assumptions &amp; FX Reference'!$C$5:$C$25,MATCH(H17,'Assumptions &amp; FX Reference'!$A$5:$A$25,0)),""))),"(FX missing)"))</f>
        <v/>
      </c>
      <c r="P17" s="30"/>
      <c r="Q17" s="30"/>
      <c r="R17" s="30"/>
      <c r="S17" s="30"/>
      <c r="T17" s="30"/>
      <c r="U17" s="30"/>
      <c r="V17" s="30" t="s">
        <v>960</v>
      </c>
    </row>
    <row r="18" spans="1:22">
      <c r="A18" s="30" t="s">
        <v>961</v>
      </c>
      <c r="B18" s="30">
        <v>97</v>
      </c>
      <c r="C18" s="33" t="str">
        <f>IF(B18="","",IFERROR(INDEX('Master Database'!$D$5:$D$600,MATCH(B18,'Master Database'!$A$5:$A$600,0)),"(row not found)"))</f>
        <v>P-125 A/B</v>
      </c>
      <c r="D18" s="33" t="str">
        <f>IF(B18="","",IFERROR(INDEX('Master Database'!$B$5:$B$600,MATCH(B18,'Master Database'!$A$5:$A$600,0)),"(row not found)"))</f>
        <v>Dilution Water Pumps</v>
      </c>
      <c r="E18" s="30" t="s">
        <v>931</v>
      </c>
      <c r="F18" s="33" t="str">
        <f>IF(E18="","",IFERROR(INDEX(Vendor_Register!$B$5:$B$205,MATCH(E18,Vendor_Register!$A$5:$A$205,0)),"(not in register)"))</f>
        <v>آریا سپهر کیهان</v>
      </c>
      <c r="G18" s="33" t="str">
        <f>IF(E18="","",IFERROR(INDEX(Vendor_Register!$E$5:$E$205,MATCH(E18,Vendor_Register!$A$5:$A$205,0)),"(not in register)"))</f>
        <v>Not checked</v>
      </c>
      <c r="H18" s="30">
        <v>1403</v>
      </c>
      <c r="I18" s="30" t="s">
        <v>932</v>
      </c>
      <c r="J18" s="30"/>
      <c r="K18" s="38" t="s">
        <v>204</v>
      </c>
      <c r="L18" s="30" t="s">
        <v>355</v>
      </c>
      <c r="M18" s="34">
        <v>27000</v>
      </c>
      <c r="N18" s="30" t="s">
        <v>933</v>
      </c>
      <c r="O18" s="35">
        <f>IF(NOT(ISNUMBER(M18)),"",IFERROR(IF(L18="EUR",M18,IF(L18="IRR",M18/INDEX('Assumptions &amp; FX Reference'!$C$5:$C$25,MATCH(H18,'Assumptions &amp; FX Reference'!$A$5:$A$25,0)),IF(L18="USD",M18*INDEX('Assumptions &amp; FX Reference'!$B$5:$B$25,MATCH(H18,'Assumptions &amp; FX Reference'!$A$5:$A$25,0))/INDEX('Assumptions &amp; FX Reference'!$C$5:$C$25,MATCH(H18,'Assumptions &amp; FX Reference'!$A$5:$A$25,0)),""))),"(FX missing)"))</f>
        <v>27000</v>
      </c>
      <c r="P18" s="30"/>
      <c r="Q18" s="30"/>
      <c r="R18" s="30"/>
      <c r="S18" s="30"/>
      <c r="T18" s="30"/>
      <c r="U18" s="30"/>
      <c r="V18" s="30" t="s">
        <v>962</v>
      </c>
    </row>
    <row r="19" spans="1:22">
      <c r="A19" s="30" t="s">
        <v>963</v>
      </c>
      <c r="B19" s="30">
        <v>97</v>
      </c>
      <c r="C19" s="33" t="str">
        <f>IF(B19="","",IFERROR(INDEX('Master Database'!$D$5:$D$600,MATCH(B19,'Master Database'!$A$5:$A$600,0)),"(row not found)"))</f>
        <v>P-125 A/B</v>
      </c>
      <c r="D19" s="33" t="str">
        <f>IF(B19="","",IFERROR(INDEX('Master Database'!$B$5:$B$600,MATCH(B19,'Master Database'!$A$5:$A$600,0)),"(row not found)"))</f>
        <v>Dilution Water Pumps</v>
      </c>
      <c r="E19" s="30" t="s">
        <v>936</v>
      </c>
      <c r="F19" s="33" t="str">
        <f>IF(E19="","",IFERROR(INDEX(Vendor_Register!$B$5:$B$205,MATCH(E19,Vendor_Register!$A$5:$A$205,0)),"(not in register)"))</f>
        <v>پمپیران</v>
      </c>
      <c r="G19" s="33" t="str">
        <f>IF(E19="","",IFERROR(INDEX(Vendor_Register!$E$5:$E$205,MATCH(E19,Vendor_Register!$A$5:$A$205,0)),"(not in register)"))</f>
        <v>Not checked</v>
      </c>
      <c r="H19" s="30">
        <v>1404</v>
      </c>
      <c r="I19" s="30" t="s">
        <v>937</v>
      </c>
      <c r="J19" s="30"/>
      <c r="K19" s="38" t="s">
        <v>204</v>
      </c>
      <c r="L19" s="30" t="s">
        <v>355</v>
      </c>
      <c r="M19" s="34">
        <v>16000</v>
      </c>
      <c r="N19" s="30" t="s">
        <v>933</v>
      </c>
      <c r="O19" s="35">
        <f>IF(NOT(ISNUMBER(M19)),"",IFERROR(IF(L19="EUR",M19,IF(L19="IRR",M19/INDEX('Assumptions &amp; FX Reference'!$C$5:$C$25,MATCH(H19,'Assumptions &amp; FX Reference'!$A$5:$A$25,0)),IF(L19="USD",M19*INDEX('Assumptions &amp; FX Reference'!$B$5:$B$25,MATCH(H19,'Assumptions &amp; FX Reference'!$A$5:$A$25,0))/INDEX('Assumptions &amp; FX Reference'!$C$5:$C$25,MATCH(H19,'Assumptions &amp; FX Reference'!$A$5:$A$25,0)),""))),"(FX missing)"))</f>
        <v>16000</v>
      </c>
      <c r="P19" s="30"/>
      <c r="Q19" s="30"/>
      <c r="R19" s="30"/>
      <c r="S19" s="30"/>
      <c r="T19" s="30"/>
      <c r="U19" s="30"/>
      <c r="V19" s="30" t="s">
        <v>964</v>
      </c>
    </row>
    <row r="20" spans="1:22">
      <c r="A20" s="30" t="s">
        <v>965</v>
      </c>
      <c r="B20" s="30">
        <v>97</v>
      </c>
      <c r="C20" s="33" t="str">
        <f>IF(B20="","",IFERROR(INDEX('Master Database'!$D$5:$D$600,MATCH(B20,'Master Database'!$A$5:$A$600,0)),"(row not found)"))</f>
        <v>P-125 A/B</v>
      </c>
      <c r="D20" s="33" t="str">
        <f>IF(B20="","",IFERROR(INDEX('Master Database'!$B$5:$B$600,MATCH(B20,'Master Database'!$A$5:$A$600,0)),"(row not found)"))</f>
        <v>Dilution Water Pumps</v>
      </c>
      <c r="E20" s="30" t="s">
        <v>940</v>
      </c>
      <c r="F20" s="33" t="str">
        <f>IF(E20="","",IFERROR(INDEX(Vendor_Register!$B$5:$B$205,MATCH(E20,Vendor_Register!$A$5:$A$205,0)),"(not in register)"))</f>
        <v>کالای پمپ</v>
      </c>
      <c r="G20" s="33" t="str">
        <f>IF(E20="","",IFERROR(INDEX(Vendor_Register!$E$5:$E$205,MATCH(E20,Vendor_Register!$A$5:$A$205,0)),"(not in register)"))</f>
        <v>Not checked</v>
      </c>
      <c r="H20" s="30"/>
      <c r="I20" s="30"/>
      <c r="J20" s="30"/>
      <c r="K20" s="30"/>
      <c r="L20" s="30"/>
      <c r="M20" s="34"/>
      <c r="N20" s="30"/>
      <c r="O20" s="35" t="str">
        <f>IF(NOT(ISNUMBER(M20)),"",IFERROR(IF(L20="EUR",M20,IF(L20="IRR",M20/INDEX('Assumptions &amp; FX Reference'!$C$5:$C$25,MATCH(H20,'Assumptions &amp; FX Reference'!$A$5:$A$25,0)),IF(L20="USD",M20*INDEX('Assumptions &amp; FX Reference'!$B$5:$B$25,MATCH(H20,'Assumptions &amp; FX Reference'!$A$5:$A$25,0))/INDEX('Assumptions &amp; FX Reference'!$C$5:$C$25,MATCH(H20,'Assumptions &amp; FX Reference'!$A$5:$A$25,0)),""))),"(FX missing)"))</f>
        <v/>
      </c>
      <c r="P20" s="30"/>
      <c r="Q20" s="30"/>
      <c r="R20" s="30"/>
      <c r="S20" s="30"/>
      <c r="T20" s="30"/>
      <c r="U20" s="30"/>
      <c r="V20" s="30" t="s">
        <v>966</v>
      </c>
    </row>
    <row r="21" spans="1:22">
      <c r="A21" s="30" t="s">
        <v>967</v>
      </c>
      <c r="B21" s="30">
        <v>97</v>
      </c>
      <c r="C21" s="33" t="str">
        <f>IF(B21="","",IFERROR(INDEX('Master Database'!$D$5:$D$600,MATCH(B21,'Master Database'!$A$5:$A$600,0)),"(row not found)"))</f>
        <v>P-125 A/B</v>
      </c>
      <c r="D21" s="33" t="str">
        <f>IF(B21="","",IFERROR(INDEX('Master Database'!$B$5:$B$600,MATCH(B21,'Master Database'!$A$5:$A$600,0)),"(row not found)"))</f>
        <v>Dilution Water Pumps</v>
      </c>
      <c r="E21" s="30" t="s">
        <v>943</v>
      </c>
      <c r="F21" s="33" t="str">
        <f>IF(E21="","",IFERROR(INDEX(Vendor_Register!$B$5:$B$205,MATCH(E21,Vendor_Register!$A$5:$A$205,0)),"(not in register)"))</f>
        <v>دالاهو پارس کیش (دمکو)</v>
      </c>
      <c r="G21" s="33" t="str">
        <f>IF(E21="","",IFERROR(INDEX(Vendor_Register!$E$5:$E$205,MATCH(E21,Vendor_Register!$A$5:$A$205,0)),"(not in register)"))</f>
        <v>Not checked</v>
      </c>
      <c r="H21" s="30"/>
      <c r="I21" s="30"/>
      <c r="J21" s="30"/>
      <c r="K21" s="30"/>
      <c r="L21" s="30"/>
      <c r="M21" s="34"/>
      <c r="N21" s="30"/>
      <c r="O21" s="35" t="str">
        <f>IF(NOT(ISNUMBER(M21)),"",IFERROR(IF(L21="EUR",M21,IF(L21="IRR",M21/INDEX('Assumptions &amp; FX Reference'!$C$5:$C$25,MATCH(H21,'Assumptions &amp; FX Reference'!$A$5:$A$25,0)),IF(L21="USD",M21*INDEX('Assumptions &amp; FX Reference'!$B$5:$B$25,MATCH(H21,'Assumptions &amp; FX Reference'!$A$5:$A$25,0))/INDEX('Assumptions &amp; FX Reference'!$C$5:$C$25,MATCH(H21,'Assumptions &amp; FX Reference'!$A$5:$A$25,0)),""))),"(FX missing)"))</f>
        <v/>
      </c>
      <c r="P21" s="30"/>
      <c r="Q21" s="30"/>
      <c r="R21" s="30"/>
      <c r="S21" s="30"/>
      <c r="T21" s="30"/>
      <c r="U21" s="30"/>
      <c r="V21" s="30" t="s">
        <v>968</v>
      </c>
    </row>
    <row r="22" spans="1:22">
      <c r="A22" s="30" t="s">
        <v>969</v>
      </c>
      <c r="B22" s="30">
        <v>98</v>
      </c>
      <c r="C22" s="33" t="str">
        <f>IF(B22="","",IFERROR(INDEX('Master Database'!$D$5:$D$600,MATCH(B22,'Master Database'!$A$5:$A$600,0)),"(row not found)"))</f>
        <v>P-136 A/B</v>
      </c>
      <c r="D22" s="33" t="str">
        <f>IF(B22="","",IFERROR(INDEX('Master Database'!$B$5:$B$600,MATCH(B22,'Master Database'!$A$5:$A$600,0)),"(row not found)"))</f>
        <v>Disposal Water InjectionPumps</v>
      </c>
      <c r="E22" s="30" t="s">
        <v>931</v>
      </c>
      <c r="F22" s="33" t="str">
        <f>IF(E22="","",IFERROR(INDEX(Vendor_Register!$B$5:$B$205,MATCH(E22,Vendor_Register!$A$5:$A$205,0)),"(not in register)"))</f>
        <v>آریا سپهر کیهان</v>
      </c>
      <c r="G22" s="33" t="str">
        <f>IF(E22="","",IFERROR(INDEX(Vendor_Register!$E$5:$E$205,MATCH(E22,Vendor_Register!$A$5:$A$205,0)),"(not in register)"))</f>
        <v>Not checked</v>
      </c>
      <c r="H22" s="30">
        <v>1403</v>
      </c>
      <c r="I22" s="30" t="s">
        <v>932</v>
      </c>
      <c r="J22" s="30"/>
      <c r="K22" s="38" t="s">
        <v>204</v>
      </c>
      <c r="L22" s="30" t="s">
        <v>355</v>
      </c>
      <c r="M22" s="34">
        <v>335000</v>
      </c>
      <c r="N22" s="30" t="s">
        <v>933</v>
      </c>
      <c r="O22" s="35">
        <f>IF(NOT(ISNUMBER(M22)),"",IFERROR(IF(L22="EUR",M22,IF(L22="IRR",M22/INDEX('Assumptions &amp; FX Reference'!$C$5:$C$25,MATCH(H22,'Assumptions &amp; FX Reference'!$A$5:$A$25,0)),IF(L22="USD",M22*INDEX('Assumptions &amp; FX Reference'!$B$5:$B$25,MATCH(H22,'Assumptions &amp; FX Reference'!$A$5:$A$25,0))/INDEX('Assumptions &amp; FX Reference'!$C$5:$C$25,MATCH(H22,'Assumptions &amp; FX Reference'!$A$5:$A$25,0)),""))),"(FX missing)"))</f>
        <v>335000</v>
      </c>
      <c r="P22" s="30"/>
      <c r="Q22" s="30"/>
      <c r="R22" s="30"/>
      <c r="S22" s="30"/>
      <c r="T22" s="30"/>
      <c r="U22" s="30"/>
      <c r="V22" s="30" t="s">
        <v>970</v>
      </c>
    </row>
    <row r="23" spans="1:22">
      <c r="A23" s="30" t="s">
        <v>971</v>
      </c>
      <c r="B23" s="30">
        <v>98</v>
      </c>
      <c r="C23" s="33" t="str">
        <f>IF(B23="","",IFERROR(INDEX('Master Database'!$D$5:$D$600,MATCH(B23,'Master Database'!$A$5:$A$600,0)),"(row not found)"))</f>
        <v>P-136 A/B</v>
      </c>
      <c r="D23" s="33" t="str">
        <f>IF(B23="","",IFERROR(INDEX('Master Database'!$B$5:$B$600,MATCH(B23,'Master Database'!$A$5:$A$600,0)),"(row not found)"))</f>
        <v>Disposal Water InjectionPumps</v>
      </c>
      <c r="E23" s="30" t="s">
        <v>936</v>
      </c>
      <c r="F23" s="33" t="str">
        <f>IF(E23="","",IFERROR(INDEX(Vendor_Register!$B$5:$B$205,MATCH(E23,Vendor_Register!$A$5:$A$205,0)),"(not in register)"))</f>
        <v>پمپیران</v>
      </c>
      <c r="G23" s="33" t="str">
        <f>IF(E23="","",IFERROR(INDEX(Vendor_Register!$E$5:$E$205,MATCH(E23,Vendor_Register!$A$5:$A$205,0)),"(not in register)"))</f>
        <v>Not checked</v>
      </c>
      <c r="H23" s="30">
        <v>1404</v>
      </c>
      <c r="I23" s="30" t="s">
        <v>937</v>
      </c>
      <c r="J23" s="30"/>
      <c r="K23" s="38" t="s">
        <v>204</v>
      </c>
      <c r="L23" s="30" t="s">
        <v>355</v>
      </c>
      <c r="M23" s="34">
        <v>300000</v>
      </c>
      <c r="N23" s="30" t="s">
        <v>933</v>
      </c>
      <c r="O23" s="35">
        <f>IF(NOT(ISNUMBER(M23)),"",IFERROR(IF(L23="EUR",M23,IF(L23="IRR",M23/INDEX('Assumptions &amp; FX Reference'!$C$5:$C$25,MATCH(H23,'Assumptions &amp; FX Reference'!$A$5:$A$25,0)),IF(L23="USD",M23*INDEX('Assumptions &amp; FX Reference'!$B$5:$B$25,MATCH(H23,'Assumptions &amp; FX Reference'!$A$5:$A$25,0))/INDEX('Assumptions &amp; FX Reference'!$C$5:$C$25,MATCH(H23,'Assumptions &amp; FX Reference'!$A$5:$A$25,0)),""))),"(FX missing)"))</f>
        <v>300000</v>
      </c>
      <c r="P23" s="30"/>
      <c r="Q23" s="30"/>
      <c r="R23" s="30"/>
      <c r="S23" s="30"/>
      <c r="T23" s="30"/>
      <c r="U23" s="30"/>
      <c r="V23" s="30" t="s">
        <v>972</v>
      </c>
    </row>
    <row r="24" spans="1:22">
      <c r="A24" s="30" t="s">
        <v>973</v>
      </c>
      <c r="B24" s="30">
        <v>98</v>
      </c>
      <c r="C24" s="33" t="str">
        <f>IF(B24="","",IFERROR(INDEX('Master Database'!$D$5:$D$600,MATCH(B24,'Master Database'!$A$5:$A$600,0)),"(row not found)"))</f>
        <v>P-136 A/B</v>
      </c>
      <c r="D24" s="33" t="str">
        <f>IF(B24="","",IFERROR(INDEX('Master Database'!$B$5:$B$600,MATCH(B24,'Master Database'!$A$5:$A$600,0)),"(row not found)"))</f>
        <v>Disposal Water InjectionPumps</v>
      </c>
      <c r="E24" s="30" t="s">
        <v>940</v>
      </c>
      <c r="F24" s="33" t="str">
        <f>IF(E24="","",IFERROR(INDEX(Vendor_Register!$B$5:$B$205,MATCH(E24,Vendor_Register!$A$5:$A$205,0)),"(not in register)"))</f>
        <v>کالای پمپ</v>
      </c>
      <c r="G24" s="33" t="str">
        <f>IF(E24="","",IFERROR(INDEX(Vendor_Register!$E$5:$E$205,MATCH(E24,Vendor_Register!$A$5:$A$205,0)),"(not in register)"))</f>
        <v>Not checked</v>
      </c>
      <c r="H24" s="30"/>
      <c r="I24" s="30"/>
      <c r="J24" s="30"/>
      <c r="K24" s="30"/>
      <c r="L24" s="30"/>
      <c r="M24" s="34"/>
      <c r="N24" s="30"/>
      <c r="O24" s="35" t="str">
        <f>IF(NOT(ISNUMBER(M24)),"",IFERROR(IF(L24="EUR",M24,IF(L24="IRR",M24/INDEX('Assumptions &amp; FX Reference'!$C$5:$C$25,MATCH(H24,'Assumptions &amp; FX Reference'!$A$5:$A$25,0)),IF(L24="USD",M24*INDEX('Assumptions &amp; FX Reference'!$B$5:$B$25,MATCH(H24,'Assumptions &amp; FX Reference'!$A$5:$A$25,0))/INDEX('Assumptions &amp; FX Reference'!$C$5:$C$25,MATCH(H24,'Assumptions &amp; FX Reference'!$A$5:$A$25,0)),""))),"(FX missing)"))</f>
        <v/>
      </c>
      <c r="P24" s="30"/>
      <c r="Q24" s="30"/>
      <c r="R24" s="30"/>
      <c r="S24" s="30"/>
      <c r="T24" s="30"/>
      <c r="U24" s="30"/>
      <c r="V24" s="30" t="s">
        <v>974</v>
      </c>
    </row>
    <row r="25" spans="1:22">
      <c r="A25" s="30" t="s">
        <v>975</v>
      </c>
      <c r="B25" s="30">
        <v>98</v>
      </c>
      <c r="C25" s="33" t="str">
        <f>IF(B25="","",IFERROR(INDEX('Master Database'!$D$5:$D$600,MATCH(B25,'Master Database'!$A$5:$A$600,0)),"(row not found)"))</f>
        <v>P-136 A/B</v>
      </c>
      <c r="D25" s="33" t="str">
        <f>IF(B25="","",IFERROR(INDEX('Master Database'!$B$5:$B$600,MATCH(B25,'Master Database'!$A$5:$A$600,0)),"(row not found)"))</f>
        <v>Disposal Water InjectionPumps</v>
      </c>
      <c r="E25" s="30" t="s">
        <v>943</v>
      </c>
      <c r="F25" s="33" t="str">
        <f>IF(E25="","",IFERROR(INDEX(Vendor_Register!$B$5:$B$205,MATCH(E25,Vendor_Register!$A$5:$A$205,0)),"(not in register)"))</f>
        <v>دالاهو پارس کیش (دمکو)</v>
      </c>
      <c r="G25" s="33" t="str">
        <f>IF(E25="","",IFERROR(INDEX(Vendor_Register!$E$5:$E$205,MATCH(E25,Vendor_Register!$A$5:$A$205,0)),"(not in register)"))</f>
        <v>Not checked</v>
      </c>
      <c r="H25" s="30"/>
      <c r="I25" s="30"/>
      <c r="J25" s="30"/>
      <c r="K25" s="30"/>
      <c r="L25" s="30"/>
      <c r="M25" s="34"/>
      <c r="N25" s="30"/>
      <c r="O25" s="35" t="str">
        <f>IF(NOT(ISNUMBER(M25)),"",IFERROR(IF(L25="EUR",M25,IF(L25="IRR",M25/INDEX('Assumptions &amp; FX Reference'!$C$5:$C$25,MATCH(H25,'Assumptions &amp; FX Reference'!$A$5:$A$25,0)),IF(L25="USD",M25*INDEX('Assumptions &amp; FX Reference'!$B$5:$B$25,MATCH(H25,'Assumptions &amp; FX Reference'!$A$5:$A$25,0))/INDEX('Assumptions &amp; FX Reference'!$C$5:$C$25,MATCH(H25,'Assumptions &amp; FX Reference'!$A$5:$A$25,0)),""))),"(FX missing)"))</f>
        <v/>
      </c>
      <c r="P25" s="30"/>
      <c r="Q25" s="30"/>
      <c r="R25" s="30"/>
      <c r="S25" s="30"/>
      <c r="T25" s="30"/>
      <c r="U25" s="30"/>
      <c r="V25" s="30" t="s">
        <v>976</v>
      </c>
    </row>
    <row r="26" spans="1:22">
      <c r="A26" s="30" t="s">
        <v>977</v>
      </c>
      <c r="B26" s="30">
        <v>99</v>
      </c>
      <c r="C26" s="33" t="str">
        <f>IF(B26="","",IFERROR(INDEX('Master Database'!$D$5:$D$600,MATCH(B26,'Master Database'!$A$5:$A$600,0)),"(row not found)"))</f>
        <v>P-137 A/B</v>
      </c>
      <c r="D26" s="33" t="str">
        <f>IF(B26="","",IFERROR(INDEX('Master Database'!$B$5:$B$600,MATCH(B26,'Master Database'!$A$5:$A$600,0)),"(row not found)"))</f>
        <v>Dirty Oil Pumps</v>
      </c>
      <c r="E26" s="30" t="s">
        <v>931</v>
      </c>
      <c r="F26" s="33" t="str">
        <f>IF(E26="","",IFERROR(INDEX(Vendor_Register!$B$5:$B$205,MATCH(E26,Vendor_Register!$A$5:$A$205,0)),"(not in register)"))</f>
        <v>آریا سپهر کیهان</v>
      </c>
      <c r="G26" s="33" t="str">
        <f>IF(E26="","",IFERROR(INDEX(Vendor_Register!$E$5:$E$205,MATCH(E26,Vendor_Register!$A$5:$A$205,0)),"(not in register)"))</f>
        <v>Not checked</v>
      </c>
      <c r="H26" s="30">
        <v>1403</v>
      </c>
      <c r="I26" s="30" t="s">
        <v>932</v>
      </c>
      <c r="J26" s="30"/>
      <c r="K26" s="38" t="s">
        <v>204</v>
      </c>
      <c r="L26" s="30" t="s">
        <v>355</v>
      </c>
      <c r="M26" s="34">
        <v>30000</v>
      </c>
      <c r="N26" s="30" t="s">
        <v>933</v>
      </c>
      <c r="O26" s="35">
        <f>IF(NOT(ISNUMBER(M26)),"",IFERROR(IF(L26="EUR",M26,IF(L26="IRR",M26/INDEX('Assumptions &amp; FX Reference'!$C$5:$C$25,MATCH(H26,'Assumptions &amp; FX Reference'!$A$5:$A$25,0)),IF(L26="USD",M26*INDEX('Assumptions &amp; FX Reference'!$B$5:$B$25,MATCH(H26,'Assumptions &amp; FX Reference'!$A$5:$A$25,0))/INDEX('Assumptions &amp; FX Reference'!$C$5:$C$25,MATCH(H26,'Assumptions &amp; FX Reference'!$A$5:$A$25,0)),""))),"(FX missing)"))</f>
        <v>30000</v>
      </c>
      <c r="P26" s="30"/>
      <c r="Q26" s="30"/>
      <c r="R26" s="30"/>
      <c r="S26" s="30"/>
      <c r="T26" s="30"/>
      <c r="U26" s="30"/>
      <c r="V26" s="30" t="s">
        <v>978</v>
      </c>
    </row>
    <row r="27" spans="1:22">
      <c r="A27" s="30" t="s">
        <v>979</v>
      </c>
      <c r="B27" s="30">
        <v>99</v>
      </c>
      <c r="C27" s="33" t="str">
        <f>IF(B27="","",IFERROR(INDEX('Master Database'!$D$5:$D$600,MATCH(B27,'Master Database'!$A$5:$A$600,0)),"(row not found)"))</f>
        <v>P-137 A/B</v>
      </c>
      <c r="D27" s="33" t="str">
        <f>IF(B27="","",IFERROR(INDEX('Master Database'!$B$5:$B$600,MATCH(B27,'Master Database'!$A$5:$A$600,0)),"(row not found)"))</f>
        <v>Dirty Oil Pumps</v>
      </c>
      <c r="E27" s="30" t="s">
        <v>936</v>
      </c>
      <c r="F27" s="33" t="str">
        <f>IF(E27="","",IFERROR(INDEX(Vendor_Register!$B$5:$B$205,MATCH(E27,Vendor_Register!$A$5:$A$205,0)),"(not in register)"))</f>
        <v>پمپیران</v>
      </c>
      <c r="G27" s="33" t="str">
        <f>IF(E27="","",IFERROR(INDEX(Vendor_Register!$E$5:$E$205,MATCH(E27,Vendor_Register!$A$5:$A$205,0)),"(not in register)"))</f>
        <v>Not checked</v>
      </c>
      <c r="H27" s="30"/>
      <c r="I27" s="30"/>
      <c r="J27" s="30"/>
      <c r="K27" s="30"/>
      <c r="L27" s="30"/>
      <c r="M27" s="34"/>
      <c r="N27" s="30"/>
      <c r="O27" s="35" t="str">
        <f>IF(NOT(ISNUMBER(M27)),"",IFERROR(IF(L27="EUR",M27,IF(L27="IRR",M27/INDEX('Assumptions &amp; FX Reference'!$C$5:$C$25,MATCH(H27,'Assumptions &amp; FX Reference'!$A$5:$A$25,0)),IF(L27="USD",M27*INDEX('Assumptions &amp; FX Reference'!$B$5:$B$25,MATCH(H27,'Assumptions &amp; FX Reference'!$A$5:$A$25,0))/INDEX('Assumptions &amp; FX Reference'!$C$5:$C$25,MATCH(H27,'Assumptions &amp; FX Reference'!$A$5:$A$25,0)),""))),"(FX missing)"))</f>
        <v/>
      </c>
      <c r="P27" s="30"/>
      <c r="Q27" s="30"/>
      <c r="R27" s="30"/>
      <c r="S27" s="30"/>
      <c r="T27" s="30"/>
      <c r="U27" s="30"/>
      <c r="V27" s="30" t="s">
        <v>980</v>
      </c>
    </row>
    <row r="28" spans="1:22">
      <c r="A28" s="30" t="s">
        <v>981</v>
      </c>
      <c r="B28" s="30">
        <v>99</v>
      </c>
      <c r="C28" s="33" t="str">
        <f>IF(B28="","",IFERROR(INDEX('Master Database'!$D$5:$D$600,MATCH(B28,'Master Database'!$A$5:$A$600,0)),"(row not found)"))</f>
        <v>P-137 A/B</v>
      </c>
      <c r="D28" s="33" t="str">
        <f>IF(B28="","",IFERROR(INDEX('Master Database'!$B$5:$B$600,MATCH(B28,'Master Database'!$A$5:$A$600,0)),"(row not found)"))</f>
        <v>Dirty Oil Pumps</v>
      </c>
      <c r="E28" s="30" t="s">
        <v>940</v>
      </c>
      <c r="F28" s="33" t="str">
        <f>IF(E28="","",IFERROR(INDEX(Vendor_Register!$B$5:$B$205,MATCH(E28,Vendor_Register!$A$5:$A$205,0)),"(not in register)"))</f>
        <v>کالای پمپ</v>
      </c>
      <c r="G28" s="33" t="str">
        <f>IF(E28="","",IFERROR(INDEX(Vendor_Register!$E$5:$E$205,MATCH(E28,Vendor_Register!$A$5:$A$205,0)),"(not in register)"))</f>
        <v>Not checked</v>
      </c>
      <c r="H28" s="30"/>
      <c r="I28" s="30"/>
      <c r="J28" s="30"/>
      <c r="K28" s="30"/>
      <c r="L28" s="30"/>
      <c r="M28" s="34"/>
      <c r="N28" s="30"/>
      <c r="O28" s="35" t="str">
        <f>IF(NOT(ISNUMBER(M28)),"",IFERROR(IF(L28="EUR",M28,IF(L28="IRR",M28/INDEX('Assumptions &amp; FX Reference'!$C$5:$C$25,MATCH(H28,'Assumptions &amp; FX Reference'!$A$5:$A$25,0)),IF(L28="USD",M28*INDEX('Assumptions &amp; FX Reference'!$B$5:$B$25,MATCH(H28,'Assumptions &amp; FX Reference'!$A$5:$A$25,0))/INDEX('Assumptions &amp; FX Reference'!$C$5:$C$25,MATCH(H28,'Assumptions &amp; FX Reference'!$A$5:$A$25,0)),""))),"(FX missing)"))</f>
        <v/>
      </c>
      <c r="P28" s="30"/>
      <c r="Q28" s="30"/>
      <c r="R28" s="30"/>
      <c r="S28" s="30"/>
      <c r="T28" s="30"/>
      <c r="U28" s="30"/>
      <c r="V28" s="30" t="s">
        <v>982</v>
      </c>
    </row>
    <row r="29" spans="1:22">
      <c r="A29" s="30" t="s">
        <v>983</v>
      </c>
      <c r="B29" s="30">
        <v>99</v>
      </c>
      <c r="C29" s="33" t="str">
        <f>IF(B29="","",IFERROR(INDEX('Master Database'!$D$5:$D$600,MATCH(B29,'Master Database'!$A$5:$A$600,0)),"(row not found)"))</f>
        <v>P-137 A/B</v>
      </c>
      <c r="D29" s="33" t="str">
        <f>IF(B29="","",IFERROR(INDEX('Master Database'!$B$5:$B$600,MATCH(B29,'Master Database'!$A$5:$A$600,0)),"(row not found)"))</f>
        <v>Dirty Oil Pumps</v>
      </c>
      <c r="E29" s="30" t="s">
        <v>943</v>
      </c>
      <c r="F29" s="33" t="str">
        <f>IF(E29="","",IFERROR(INDEX(Vendor_Register!$B$5:$B$205,MATCH(E29,Vendor_Register!$A$5:$A$205,0)),"(not in register)"))</f>
        <v>دالاهو پارس کیش (دمکو)</v>
      </c>
      <c r="G29" s="33" t="str">
        <f>IF(E29="","",IFERROR(INDEX(Vendor_Register!$E$5:$E$205,MATCH(E29,Vendor_Register!$A$5:$A$205,0)),"(not in register)"))</f>
        <v>Not checked</v>
      </c>
      <c r="H29" s="30"/>
      <c r="I29" s="30"/>
      <c r="J29" s="30"/>
      <c r="K29" s="30"/>
      <c r="L29" s="30"/>
      <c r="M29" s="34"/>
      <c r="N29" s="30"/>
      <c r="O29" s="35" t="str">
        <f>IF(NOT(ISNUMBER(M29)),"",IFERROR(IF(L29="EUR",M29,IF(L29="IRR",M29/INDEX('Assumptions &amp; FX Reference'!$C$5:$C$25,MATCH(H29,'Assumptions &amp; FX Reference'!$A$5:$A$25,0)),IF(L29="USD",M29*INDEX('Assumptions &amp; FX Reference'!$B$5:$B$25,MATCH(H29,'Assumptions &amp; FX Reference'!$A$5:$A$25,0))/INDEX('Assumptions &amp; FX Reference'!$C$5:$C$25,MATCH(H29,'Assumptions &amp; FX Reference'!$A$5:$A$25,0)),""))),"(FX missing)"))</f>
        <v/>
      </c>
      <c r="P29" s="30"/>
      <c r="Q29" s="30"/>
      <c r="R29" s="30"/>
      <c r="S29" s="30"/>
      <c r="T29" s="30"/>
      <c r="U29" s="30"/>
      <c r="V29" s="30" t="s">
        <v>984</v>
      </c>
    </row>
    <row r="30" spans="1:22">
      <c r="A30" s="30" t="s">
        <v>985</v>
      </c>
      <c r="B30" s="30">
        <v>100</v>
      </c>
      <c r="C30" s="33" t="str">
        <f>IF(B30="","",IFERROR(INDEX('Master Database'!$D$5:$D$600,MATCH(B30,'Master Database'!$A$5:$A$600,0)),"(row not found)"))</f>
        <v>P-138 A/B</v>
      </c>
      <c r="D30" s="33" t="str">
        <f>IF(B30="","",IFERROR(INDEX('Master Database'!$B$5:$B$600,MATCH(B30,'Master Database'!$A$5:$A$600,0)),"(row not found)"))</f>
        <v>Evaporation Pond Water Return Pumps</v>
      </c>
      <c r="E30" s="30" t="s">
        <v>931</v>
      </c>
      <c r="F30" s="33" t="str">
        <f>IF(E30="","",IFERROR(INDEX(Vendor_Register!$B$5:$B$205,MATCH(E30,Vendor_Register!$A$5:$A$205,0)),"(not in register)"))</f>
        <v>آریا سپهر کیهان</v>
      </c>
      <c r="G30" s="33" t="str">
        <f>IF(E30="","",IFERROR(INDEX(Vendor_Register!$E$5:$E$205,MATCH(E30,Vendor_Register!$A$5:$A$205,0)),"(not in register)"))</f>
        <v>Not checked</v>
      </c>
      <c r="H30" s="30">
        <v>1403</v>
      </c>
      <c r="I30" s="30" t="s">
        <v>932</v>
      </c>
      <c r="J30" s="30"/>
      <c r="K30" s="38" t="s">
        <v>204</v>
      </c>
      <c r="L30" s="30" t="s">
        <v>355</v>
      </c>
      <c r="M30" s="34">
        <v>28000</v>
      </c>
      <c r="N30" s="30" t="s">
        <v>933</v>
      </c>
      <c r="O30" s="35">
        <f>IF(NOT(ISNUMBER(M30)),"",IFERROR(IF(L30="EUR",M30,IF(L30="IRR",M30/INDEX('Assumptions &amp; FX Reference'!$C$5:$C$25,MATCH(H30,'Assumptions &amp; FX Reference'!$A$5:$A$25,0)),IF(L30="USD",M30*INDEX('Assumptions &amp; FX Reference'!$B$5:$B$25,MATCH(H30,'Assumptions &amp; FX Reference'!$A$5:$A$25,0))/INDEX('Assumptions &amp; FX Reference'!$C$5:$C$25,MATCH(H30,'Assumptions &amp; FX Reference'!$A$5:$A$25,0)),""))),"(FX missing)"))</f>
        <v>28000</v>
      </c>
      <c r="P30" s="30"/>
      <c r="Q30" s="30"/>
      <c r="R30" s="30"/>
      <c r="S30" s="30"/>
      <c r="T30" s="30"/>
      <c r="U30" s="30"/>
      <c r="V30" s="30" t="s">
        <v>986</v>
      </c>
    </row>
    <row r="31" spans="1:22">
      <c r="A31" s="30" t="s">
        <v>987</v>
      </c>
      <c r="B31" s="30">
        <v>100</v>
      </c>
      <c r="C31" s="33" t="str">
        <f>IF(B31="","",IFERROR(INDEX('Master Database'!$D$5:$D$600,MATCH(B31,'Master Database'!$A$5:$A$600,0)),"(row not found)"))</f>
        <v>P-138 A/B</v>
      </c>
      <c r="D31" s="33" t="str">
        <f>IF(B31="","",IFERROR(INDEX('Master Database'!$B$5:$B$600,MATCH(B31,'Master Database'!$A$5:$A$600,0)),"(row not found)"))</f>
        <v>Evaporation Pond Water Return Pumps</v>
      </c>
      <c r="E31" s="30" t="s">
        <v>936</v>
      </c>
      <c r="F31" s="33" t="str">
        <f>IF(E31="","",IFERROR(INDEX(Vendor_Register!$B$5:$B$205,MATCH(E31,Vendor_Register!$A$5:$A$205,0)),"(not in register)"))</f>
        <v>پمپیران</v>
      </c>
      <c r="G31" s="33" t="str">
        <f>IF(E31="","",IFERROR(INDEX(Vendor_Register!$E$5:$E$205,MATCH(E31,Vendor_Register!$A$5:$A$205,0)),"(not in register)"))</f>
        <v>Not checked</v>
      </c>
      <c r="H31" s="30">
        <v>1404</v>
      </c>
      <c r="I31" s="30" t="s">
        <v>937</v>
      </c>
      <c r="J31" s="30"/>
      <c r="K31" s="38" t="s">
        <v>204</v>
      </c>
      <c r="L31" s="30" t="s">
        <v>355</v>
      </c>
      <c r="M31" s="34">
        <v>30000</v>
      </c>
      <c r="N31" s="30" t="s">
        <v>933</v>
      </c>
      <c r="O31" s="35">
        <f>IF(NOT(ISNUMBER(M31)),"",IFERROR(IF(L31="EUR",M31,IF(L31="IRR",M31/INDEX('Assumptions &amp; FX Reference'!$C$5:$C$25,MATCH(H31,'Assumptions &amp; FX Reference'!$A$5:$A$25,0)),IF(L31="USD",M31*INDEX('Assumptions &amp; FX Reference'!$B$5:$B$25,MATCH(H31,'Assumptions &amp; FX Reference'!$A$5:$A$25,0))/INDEX('Assumptions &amp; FX Reference'!$C$5:$C$25,MATCH(H31,'Assumptions &amp; FX Reference'!$A$5:$A$25,0)),""))),"(FX missing)"))</f>
        <v>30000</v>
      </c>
      <c r="P31" s="30"/>
      <c r="Q31" s="30"/>
      <c r="R31" s="30"/>
      <c r="S31" s="30"/>
      <c r="T31" s="30"/>
      <c r="U31" s="30"/>
      <c r="V31" s="30" t="s">
        <v>988</v>
      </c>
    </row>
    <row r="32" spans="1:22">
      <c r="A32" s="30" t="s">
        <v>989</v>
      </c>
      <c r="B32" s="30">
        <v>100</v>
      </c>
      <c r="C32" s="33" t="str">
        <f>IF(B32="","",IFERROR(INDEX('Master Database'!$D$5:$D$600,MATCH(B32,'Master Database'!$A$5:$A$600,0)),"(row not found)"))</f>
        <v>P-138 A/B</v>
      </c>
      <c r="D32" s="33" t="str">
        <f>IF(B32="","",IFERROR(INDEX('Master Database'!$B$5:$B$600,MATCH(B32,'Master Database'!$A$5:$A$600,0)),"(row not found)"))</f>
        <v>Evaporation Pond Water Return Pumps</v>
      </c>
      <c r="E32" s="30" t="s">
        <v>940</v>
      </c>
      <c r="F32" s="33" t="str">
        <f>IF(E32="","",IFERROR(INDEX(Vendor_Register!$B$5:$B$205,MATCH(E32,Vendor_Register!$A$5:$A$205,0)),"(not in register)"))</f>
        <v>کالای پمپ</v>
      </c>
      <c r="G32" s="33" t="str">
        <f>IF(E32="","",IFERROR(INDEX(Vendor_Register!$E$5:$E$205,MATCH(E32,Vendor_Register!$A$5:$A$205,0)),"(not in register)"))</f>
        <v>Not checked</v>
      </c>
      <c r="H32" s="30"/>
      <c r="I32" s="30"/>
      <c r="J32" s="30"/>
      <c r="K32" s="30"/>
      <c r="L32" s="30"/>
      <c r="M32" s="34"/>
      <c r="N32" s="30"/>
      <c r="O32" s="35" t="str">
        <f>IF(NOT(ISNUMBER(M32)),"",IFERROR(IF(L32="EUR",M32,IF(L32="IRR",M32/INDEX('Assumptions &amp; FX Reference'!$C$5:$C$25,MATCH(H32,'Assumptions &amp; FX Reference'!$A$5:$A$25,0)),IF(L32="USD",M32*INDEX('Assumptions &amp; FX Reference'!$B$5:$B$25,MATCH(H32,'Assumptions &amp; FX Reference'!$A$5:$A$25,0))/INDEX('Assumptions &amp; FX Reference'!$C$5:$C$25,MATCH(H32,'Assumptions &amp; FX Reference'!$A$5:$A$25,0)),""))),"(FX missing)"))</f>
        <v/>
      </c>
      <c r="P32" s="30"/>
      <c r="Q32" s="30"/>
      <c r="R32" s="30"/>
      <c r="S32" s="30"/>
      <c r="T32" s="30"/>
      <c r="U32" s="30"/>
      <c r="V32" s="30" t="s">
        <v>990</v>
      </c>
    </row>
    <row r="33" spans="1:22">
      <c r="A33" s="30" t="s">
        <v>991</v>
      </c>
      <c r="B33" s="30">
        <v>100</v>
      </c>
      <c r="C33" s="33" t="str">
        <f>IF(B33="","",IFERROR(INDEX('Master Database'!$D$5:$D$600,MATCH(B33,'Master Database'!$A$5:$A$600,0)),"(row not found)"))</f>
        <v>P-138 A/B</v>
      </c>
      <c r="D33" s="33" t="str">
        <f>IF(B33="","",IFERROR(INDEX('Master Database'!$B$5:$B$600,MATCH(B33,'Master Database'!$A$5:$A$600,0)),"(row not found)"))</f>
        <v>Evaporation Pond Water Return Pumps</v>
      </c>
      <c r="E33" s="30" t="s">
        <v>943</v>
      </c>
      <c r="F33" s="33" t="str">
        <f>IF(E33="","",IFERROR(INDEX(Vendor_Register!$B$5:$B$205,MATCH(E33,Vendor_Register!$A$5:$A$205,0)),"(not in register)"))</f>
        <v>دالاهو پارس کیش (دمکو)</v>
      </c>
      <c r="G33" s="33" t="str">
        <f>IF(E33="","",IFERROR(INDEX(Vendor_Register!$E$5:$E$205,MATCH(E33,Vendor_Register!$A$5:$A$205,0)),"(not in register)"))</f>
        <v>Not checked</v>
      </c>
      <c r="H33" s="30"/>
      <c r="I33" s="30"/>
      <c r="J33" s="30"/>
      <c r="K33" s="30"/>
      <c r="L33" s="30"/>
      <c r="M33" s="34"/>
      <c r="N33" s="30"/>
      <c r="O33" s="35" t="str">
        <f>IF(NOT(ISNUMBER(M33)),"",IFERROR(IF(L33="EUR",M33,IF(L33="IRR",M33/INDEX('Assumptions &amp; FX Reference'!$C$5:$C$25,MATCH(H33,'Assumptions &amp; FX Reference'!$A$5:$A$25,0)),IF(L33="USD",M33*INDEX('Assumptions &amp; FX Reference'!$B$5:$B$25,MATCH(H33,'Assumptions &amp; FX Reference'!$A$5:$A$25,0))/INDEX('Assumptions &amp; FX Reference'!$C$5:$C$25,MATCH(H33,'Assumptions &amp; FX Reference'!$A$5:$A$25,0)),""))),"(FX missing)"))</f>
        <v/>
      </c>
      <c r="P33" s="30"/>
      <c r="Q33" s="30"/>
      <c r="R33" s="30"/>
      <c r="S33" s="30"/>
      <c r="T33" s="30"/>
      <c r="U33" s="30"/>
      <c r="V33" s="30" t="s">
        <v>992</v>
      </c>
    </row>
    <row r="34" spans="1:22">
      <c r="A34" s="30" t="s">
        <v>993</v>
      </c>
      <c r="B34" s="30">
        <v>101</v>
      </c>
      <c r="C34" s="33" t="str">
        <f>IF(B34="","",IFERROR(INDEX('Master Database'!$D$5:$D$600,MATCH(B34,'Master Database'!$A$5:$A$600,0)),"(row not found)"))</f>
        <v>P-139 A/B/C</v>
      </c>
      <c r="D34" s="33" t="str">
        <f>IF(B34="","",IFERROR(INDEX('Master Database'!$B$5:$B$600,MATCH(B34,'Master Database'!$A$5:$A$600,0)),"(row not found)"))</f>
        <v>Disposal Water InjectionPumps</v>
      </c>
      <c r="E34" s="30" t="s">
        <v>931</v>
      </c>
      <c r="F34" s="33" t="str">
        <f>IF(E34="","",IFERROR(INDEX(Vendor_Register!$B$5:$B$205,MATCH(E34,Vendor_Register!$A$5:$A$205,0)),"(not in register)"))</f>
        <v>آریا سپهر کیهان</v>
      </c>
      <c r="G34" s="33" t="str">
        <f>IF(E34="","",IFERROR(INDEX(Vendor_Register!$E$5:$E$205,MATCH(E34,Vendor_Register!$A$5:$A$205,0)),"(not in register)"))</f>
        <v>Not checked</v>
      </c>
      <c r="H34" s="30">
        <v>1403</v>
      </c>
      <c r="I34" s="30" t="s">
        <v>932</v>
      </c>
      <c r="J34" s="30"/>
      <c r="K34" s="38" t="s">
        <v>204</v>
      </c>
      <c r="L34" s="30" t="s">
        <v>355</v>
      </c>
      <c r="M34" s="34">
        <v>225000</v>
      </c>
      <c r="N34" s="30" t="s">
        <v>933</v>
      </c>
      <c r="O34" s="35">
        <f>IF(NOT(ISNUMBER(M34)),"",IFERROR(IF(L34="EUR",M34,IF(L34="IRR",M34/INDEX('Assumptions &amp; FX Reference'!$C$5:$C$25,MATCH(H34,'Assumptions &amp; FX Reference'!$A$5:$A$25,0)),IF(L34="USD",M34*INDEX('Assumptions &amp; FX Reference'!$B$5:$B$25,MATCH(H34,'Assumptions &amp; FX Reference'!$A$5:$A$25,0))/INDEX('Assumptions &amp; FX Reference'!$C$5:$C$25,MATCH(H34,'Assumptions &amp; FX Reference'!$A$5:$A$25,0)),""))),"(FX missing)"))</f>
        <v>225000</v>
      </c>
      <c r="P34" s="30"/>
      <c r="Q34" s="30"/>
      <c r="R34" s="30"/>
      <c r="S34" s="30"/>
      <c r="T34" s="30"/>
      <c r="U34" s="30"/>
      <c r="V34" s="30" t="s">
        <v>994</v>
      </c>
    </row>
    <row r="35" spans="1:22">
      <c r="A35" s="30" t="s">
        <v>995</v>
      </c>
      <c r="B35" s="30">
        <v>101</v>
      </c>
      <c r="C35" s="33" t="str">
        <f>IF(B35="","",IFERROR(INDEX('Master Database'!$D$5:$D$600,MATCH(B35,'Master Database'!$A$5:$A$600,0)),"(row not found)"))</f>
        <v>P-139 A/B/C</v>
      </c>
      <c r="D35" s="33" t="str">
        <f>IF(B35="","",IFERROR(INDEX('Master Database'!$B$5:$B$600,MATCH(B35,'Master Database'!$A$5:$A$600,0)),"(row not found)"))</f>
        <v>Disposal Water InjectionPumps</v>
      </c>
      <c r="E35" s="30" t="s">
        <v>936</v>
      </c>
      <c r="F35" s="33" t="str">
        <f>IF(E35="","",IFERROR(INDEX(Vendor_Register!$B$5:$B$205,MATCH(E35,Vendor_Register!$A$5:$A$205,0)),"(not in register)"))</f>
        <v>پمپیران</v>
      </c>
      <c r="G35" s="33" t="str">
        <f>IF(E35="","",IFERROR(INDEX(Vendor_Register!$E$5:$E$205,MATCH(E35,Vendor_Register!$A$5:$A$205,0)),"(not in register)"))</f>
        <v>Not checked</v>
      </c>
      <c r="H35" s="30">
        <v>1404</v>
      </c>
      <c r="I35" s="30" t="s">
        <v>937</v>
      </c>
      <c r="J35" s="30"/>
      <c r="K35" s="38" t="s">
        <v>204</v>
      </c>
      <c r="L35" s="30" t="s">
        <v>355</v>
      </c>
      <c r="M35" s="34">
        <v>270000</v>
      </c>
      <c r="N35" s="30" t="s">
        <v>933</v>
      </c>
      <c r="O35" s="35">
        <f>IF(NOT(ISNUMBER(M35)),"",IFERROR(IF(L35="EUR",M35,IF(L35="IRR",M35/INDEX('Assumptions &amp; FX Reference'!$C$5:$C$25,MATCH(H35,'Assumptions &amp; FX Reference'!$A$5:$A$25,0)),IF(L35="USD",M35*INDEX('Assumptions &amp; FX Reference'!$B$5:$B$25,MATCH(H35,'Assumptions &amp; FX Reference'!$A$5:$A$25,0))/INDEX('Assumptions &amp; FX Reference'!$C$5:$C$25,MATCH(H35,'Assumptions &amp; FX Reference'!$A$5:$A$25,0)),""))),"(FX missing)"))</f>
        <v>270000</v>
      </c>
      <c r="P35" s="30"/>
      <c r="Q35" s="30"/>
      <c r="R35" s="30"/>
      <c r="S35" s="30"/>
      <c r="T35" s="30"/>
      <c r="U35" s="30"/>
      <c r="V35" s="30" t="s">
        <v>996</v>
      </c>
    </row>
    <row r="36" spans="1:22">
      <c r="A36" s="30" t="s">
        <v>997</v>
      </c>
      <c r="B36" s="30">
        <v>101</v>
      </c>
      <c r="C36" s="33" t="str">
        <f>IF(B36="","",IFERROR(INDEX('Master Database'!$D$5:$D$600,MATCH(B36,'Master Database'!$A$5:$A$600,0)),"(row not found)"))</f>
        <v>P-139 A/B/C</v>
      </c>
      <c r="D36" s="33" t="str">
        <f>IF(B36="","",IFERROR(INDEX('Master Database'!$B$5:$B$600,MATCH(B36,'Master Database'!$A$5:$A$600,0)),"(row not found)"))</f>
        <v>Disposal Water InjectionPumps</v>
      </c>
      <c r="E36" s="30" t="s">
        <v>940</v>
      </c>
      <c r="F36" s="33" t="str">
        <f>IF(E36="","",IFERROR(INDEX(Vendor_Register!$B$5:$B$205,MATCH(E36,Vendor_Register!$A$5:$A$205,0)),"(not in register)"))</f>
        <v>کالای پمپ</v>
      </c>
      <c r="G36" s="33" t="str">
        <f>IF(E36="","",IFERROR(INDEX(Vendor_Register!$E$5:$E$205,MATCH(E36,Vendor_Register!$A$5:$A$205,0)),"(not in register)"))</f>
        <v>Not checked</v>
      </c>
      <c r="H36" s="30"/>
      <c r="I36" s="30"/>
      <c r="J36" s="30"/>
      <c r="K36" s="30"/>
      <c r="L36" s="30"/>
      <c r="M36" s="34"/>
      <c r="N36" s="30"/>
      <c r="O36" s="35" t="str">
        <f>IF(NOT(ISNUMBER(M36)),"",IFERROR(IF(L36="EUR",M36,IF(L36="IRR",M36/INDEX('Assumptions &amp; FX Reference'!$C$5:$C$25,MATCH(H36,'Assumptions &amp; FX Reference'!$A$5:$A$25,0)),IF(L36="USD",M36*INDEX('Assumptions &amp; FX Reference'!$B$5:$B$25,MATCH(H36,'Assumptions &amp; FX Reference'!$A$5:$A$25,0))/INDEX('Assumptions &amp; FX Reference'!$C$5:$C$25,MATCH(H36,'Assumptions &amp; FX Reference'!$A$5:$A$25,0)),""))),"(FX missing)"))</f>
        <v/>
      </c>
      <c r="P36" s="30"/>
      <c r="Q36" s="30"/>
      <c r="R36" s="30"/>
      <c r="S36" s="30"/>
      <c r="T36" s="30"/>
      <c r="U36" s="30"/>
      <c r="V36" s="30" t="s">
        <v>998</v>
      </c>
    </row>
    <row r="37" spans="1:22">
      <c r="A37" s="30" t="s">
        <v>999</v>
      </c>
      <c r="B37" s="30">
        <v>101</v>
      </c>
      <c r="C37" s="33" t="str">
        <f>IF(B37="","",IFERROR(INDEX('Master Database'!$D$5:$D$600,MATCH(B37,'Master Database'!$A$5:$A$600,0)),"(row not found)"))</f>
        <v>P-139 A/B/C</v>
      </c>
      <c r="D37" s="33" t="str">
        <f>IF(B37="","",IFERROR(INDEX('Master Database'!$B$5:$B$600,MATCH(B37,'Master Database'!$A$5:$A$600,0)),"(row not found)"))</f>
        <v>Disposal Water InjectionPumps</v>
      </c>
      <c r="E37" s="30" t="s">
        <v>943</v>
      </c>
      <c r="F37" s="33" t="str">
        <f>IF(E37="","",IFERROR(INDEX(Vendor_Register!$B$5:$B$205,MATCH(E37,Vendor_Register!$A$5:$A$205,0)),"(not in register)"))</f>
        <v>دالاهو پارس کیش (دمکو)</v>
      </c>
      <c r="G37" s="33" t="str">
        <f>IF(E37="","",IFERROR(INDEX(Vendor_Register!$E$5:$E$205,MATCH(E37,Vendor_Register!$A$5:$A$205,0)),"(not in register)"))</f>
        <v>Not checked</v>
      </c>
      <c r="H37" s="30"/>
      <c r="I37" s="30"/>
      <c r="J37" s="30"/>
      <c r="K37" s="30"/>
      <c r="L37" s="30"/>
      <c r="M37" s="34"/>
      <c r="N37" s="30"/>
      <c r="O37" s="35" t="str">
        <f>IF(NOT(ISNUMBER(M37)),"",IFERROR(IF(L37="EUR",M37,IF(L37="IRR",M37/INDEX('Assumptions &amp; FX Reference'!$C$5:$C$25,MATCH(H37,'Assumptions &amp; FX Reference'!$A$5:$A$25,0)),IF(L37="USD",M37*INDEX('Assumptions &amp; FX Reference'!$B$5:$B$25,MATCH(H37,'Assumptions &amp; FX Reference'!$A$5:$A$25,0))/INDEX('Assumptions &amp; FX Reference'!$C$5:$C$25,MATCH(H37,'Assumptions &amp; FX Reference'!$A$5:$A$25,0)),""))),"(FX missing)"))</f>
        <v/>
      </c>
      <c r="P37" s="30"/>
      <c r="Q37" s="30"/>
      <c r="R37" s="30"/>
      <c r="S37" s="30"/>
      <c r="T37" s="30"/>
      <c r="U37" s="30"/>
      <c r="V37" s="30" t="s">
        <v>1000</v>
      </c>
    </row>
    <row r="38" spans="1:22">
      <c r="A38" s="30" t="s">
        <v>1001</v>
      </c>
      <c r="B38" s="30">
        <v>102</v>
      </c>
      <c r="C38" s="33" t="str">
        <f>IF(B38="","",IFERROR(INDEX('Master Database'!$D$5:$D$600,MATCH(B38,'Master Database'!$A$5:$A$600,0)),"(row not found)"))</f>
        <v>P-151 A/B</v>
      </c>
      <c r="D38" s="33" t="str">
        <f>IF(B38="","",IFERROR(INDEX('Master Database'!$B$5:$B$600,MATCH(B38,'Master Database'!$A$5:$A$600,0)),"(row not found)"))</f>
        <v>Flare K.O. Drum Pumps</v>
      </c>
      <c r="E38" s="30" t="s">
        <v>931</v>
      </c>
      <c r="F38" s="33" t="str">
        <f>IF(E38="","",IFERROR(INDEX(Vendor_Register!$B$5:$B$205,MATCH(E38,Vendor_Register!$A$5:$A$205,0)),"(not in register)"))</f>
        <v>آریا سپهر کیهان</v>
      </c>
      <c r="G38" s="33" t="str">
        <f>IF(E38="","",IFERROR(INDEX(Vendor_Register!$E$5:$E$205,MATCH(E38,Vendor_Register!$A$5:$A$205,0)),"(not in register)"))</f>
        <v>Not checked</v>
      </c>
      <c r="H38" s="30">
        <v>1403</v>
      </c>
      <c r="I38" s="30" t="s">
        <v>932</v>
      </c>
      <c r="J38" s="30"/>
      <c r="K38" s="38" t="s">
        <v>204</v>
      </c>
      <c r="L38" s="30" t="s">
        <v>355</v>
      </c>
      <c r="M38" s="34">
        <v>21000</v>
      </c>
      <c r="N38" s="30" t="s">
        <v>933</v>
      </c>
      <c r="O38" s="35">
        <f>IF(NOT(ISNUMBER(M38)),"",IFERROR(IF(L38="EUR",M38,IF(L38="IRR",M38/INDEX('Assumptions &amp; FX Reference'!$C$5:$C$25,MATCH(H38,'Assumptions &amp; FX Reference'!$A$5:$A$25,0)),IF(L38="USD",M38*INDEX('Assumptions &amp; FX Reference'!$B$5:$B$25,MATCH(H38,'Assumptions &amp; FX Reference'!$A$5:$A$25,0))/INDEX('Assumptions &amp; FX Reference'!$C$5:$C$25,MATCH(H38,'Assumptions &amp; FX Reference'!$A$5:$A$25,0)),""))),"(FX missing)"))</f>
        <v>21000</v>
      </c>
      <c r="P38" s="30"/>
      <c r="Q38" s="30"/>
      <c r="R38" s="30"/>
      <c r="S38" s="30"/>
      <c r="T38" s="30"/>
      <c r="U38" s="30"/>
      <c r="V38" s="30" t="s">
        <v>1002</v>
      </c>
    </row>
    <row r="39" spans="1:22">
      <c r="A39" s="30" t="s">
        <v>1003</v>
      </c>
      <c r="B39" s="30">
        <v>102</v>
      </c>
      <c r="C39" s="33" t="str">
        <f>IF(B39="","",IFERROR(INDEX('Master Database'!$D$5:$D$600,MATCH(B39,'Master Database'!$A$5:$A$600,0)),"(row not found)"))</f>
        <v>P-151 A/B</v>
      </c>
      <c r="D39" s="33" t="str">
        <f>IF(B39="","",IFERROR(INDEX('Master Database'!$B$5:$B$600,MATCH(B39,'Master Database'!$A$5:$A$600,0)),"(row not found)"))</f>
        <v>Flare K.O. Drum Pumps</v>
      </c>
      <c r="E39" s="30" t="s">
        <v>936</v>
      </c>
      <c r="F39" s="33" t="str">
        <f>IF(E39="","",IFERROR(INDEX(Vendor_Register!$B$5:$B$205,MATCH(E39,Vendor_Register!$A$5:$A$205,0)),"(not in register)"))</f>
        <v>پمپیران</v>
      </c>
      <c r="G39" s="33" t="str">
        <f>IF(E39="","",IFERROR(INDEX(Vendor_Register!$E$5:$E$205,MATCH(E39,Vendor_Register!$A$5:$A$205,0)),"(not in register)"))</f>
        <v>Not checked</v>
      </c>
      <c r="H39" s="30">
        <v>1404</v>
      </c>
      <c r="I39" s="30" t="s">
        <v>937</v>
      </c>
      <c r="J39" s="30"/>
      <c r="K39" s="38" t="s">
        <v>204</v>
      </c>
      <c r="L39" s="30" t="s">
        <v>355</v>
      </c>
      <c r="M39" s="34">
        <v>30000</v>
      </c>
      <c r="N39" s="30" t="s">
        <v>933</v>
      </c>
      <c r="O39" s="35">
        <f>IF(NOT(ISNUMBER(M39)),"",IFERROR(IF(L39="EUR",M39,IF(L39="IRR",M39/INDEX('Assumptions &amp; FX Reference'!$C$5:$C$25,MATCH(H39,'Assumptions &amp; FX Reference'!$A$5:$A$25,0)),IF(L39="USD",M39*INDEX('Assumptions &amp; FX Reference'!$B$5:$B$25,MATCH(H39,'Assumptions &amp; FX Reference'!$A$5:$A$25,0))/INDEX('Assumptions &amp; FX Reference'!$C$5:$C$25,MATCH(H39,'Assumptions &amp; FX Reference'!$A$5:$A$25,0)),""))),"(FX missing)"))</f>
        <v>30000</v>
      </c>
      <c r="P39" s="30"/>
      <c r="Q39" s="30"/>
      <c r="R39" s="30"/>
      <c r="S39" s="30"/>
      <c r="T39" s="30"/>
      <c r="U39" s="30"/>
      <c r="V39" s="30" t="s">
        <v>1004</v>
      </c>
    </row>
    <row r="40" spans="1:22">
      <c r="A40" s="30" t="s">
        <v>1005</v>
      </c>
      <c r="B40" s="30">
        <v>102</v>
      </c>
      <c r="C40" s="33" t="str">
        <f>IF(B40="","",IFERROR(INDEX('Master Database'!$D$5:$D$600,MATCH(B40,'Master Database'!$A$5:$A$600,0)),"(row not found)"))</f>
        <v>P-151 A/B</v>
      </c>
      <c r="D40" s="33" t="str">
        <f>IF(B40="","",IFERROR(INDEX('Master Database'!$B$5:$B$600,MATCH(B40,'Master Database'!$A$5:$A$600,0)),"(row not found)"))</f>
        <v>Flare K.O. Drum Pumps</v>
      </c>
      <c r="E40" s="30" t="s">
        <v>940</v>
      </c>
      <c r="F40" s="33" t="str">
        <f>IF(E40="","",IFERROR(INDEX(Vendor_Register!$B$5:$B$205,MATCH(E40,Vendor_Register!$A$5:$A$205,0)),"(not in register)"))</f>
        <v>کالای پمپ</v>
      </c>
      <c r="G40" s="33" t="str">
        <f>IF(E40="","",IFERROR(INDEX(Vendor_Register!$E$5:$E$205,MATCH(E40,Vendor_Register!$A$5:$A$205,0)),"(not in register)"))</f>
        <v>Not checked</v>
      </c>
      <c r="H40" s="30"/>
      <c r="I40" s="30"/>
      <c r="J40" s="30"/>
      <c r="K40" s="30"/>
      <c r="L40" s="30"/>
      <c r="M40" s="34"/>
      <c r="N40" s="30"/>
      <c r="O40" s="35" t="str">
        <f>IF(NOT(ISNUMBER(M40)),"",IFERROR(IF(L40="EUR",M40,IF(L40="IRR",M40/INDEX('Assumptions &amp; FX Reference'!$C$5:$C$25,MATCH(H40,'Assumptions &amp; FX Reference'!$A$5:$A$25,0)),IF(L40="USD",M40*INDEX('Assumptions &amp; FX Reference'!$B$5:$B$25,MATCH(H40,'Assumptions &amp; FX Reference'!$A$5:$A$25,0))/INDEX('Assumptions &amp; FX Reference'!$C$5:$C$25,MATCH(H40,'Assumptions &amp; FX Reference'!$A$5:$A$25,0)),""))),"(FX missing)"))</f>
        <v/>
      </c>
      <c r="P40" s="30"/>
      <c r="Q40" s="30"/>
      <c r="R40" s="30"/>
      <c r="S40" s="30"/>
      <c r="T40" s="30"/>
      <c r="U40" s="30"/>
      <c r="V40" s="30" t="s">
        <v>1006</v>
      </c>
    </row>
    <row r="41" spans="1:22">
      <c r="A41" s="30" t="s">
        <v>1007</v>
      </c>
      <c r="B41" s="30">
        <v>102</v>
      </c>
      <c r="C41" s="33" t="str">
        <f>IF(B41="","",IFERROR(INDEX('Master Database'!$D$5:$D$600,MATCH(B41,'Master Database'!$A$5:$A$600,0)),"(row not found)"))</f>
        <v>P-151 A/B</v>
      </c>
      <c r="D41" s="33" t="str">
        <f>IF(B41="","",IFERROR(INDEX('Master Database'!$B$5:$B$600,MATCH(B41,'Master Database'!$A$5:$A$600,0)),"(row not found)"))</f>
        <v>Flare K.O. Drum Pumps</v>
      </c>
      <c r="E41" s="30" t="s">
        <v>943</v>
      </c>
      <c r="F41" s="33" t="str">
        <f>IF(E41="","",IFERROR(INDEX(Vendor_Register!$B$5:$B$205,MATCH(E41,Vendor_Register!$A$5:$A$205,0)),"(not in register)"))</f>
        <v>دالاهو پارس کیش (دمکو)</v>
      </c>
      <c r="G41" s="33" t="str">
        <f>IF(E41="","",IFERROR(INDEX(Vendor_Register!$E$5:$E$205,MATCH(E41,Vendor_Register!$A$5:$A$205,0)),"(not in register)"))</f>
        <v>Not checked</v>
      </c>
      <c r="H41" s="30"/>
      <c r="I41" s="30"/>
      <c r="J41" s="30"/>
      <c r="K41" s="30"/>
      <c r="L41" s="30"/>
      <c r="M41" s="34"/>
      <c r="N41" s="30"/>
      <c r="O41" s="35" t="str">
        <f>IF(NOT(ISNUMBER(M41)),"",IFERROR(IF(L41="EUR",M41,IF(L41="IRR",M41/INDEX('Assumptions &amp; FX Reference'!$C$5:$C$25,MATCH(H41,'Assumptions &amp; FX Reference'!$A$5:$A$25,0)),IF(L41="USD",M41*INDEX('Assumptions &amp; FX Reference'!$B$5:$B$25,MATCH(H41,'Assumptions &amp; FX Reference'!$A$5:$A$25,0))/INDEX('Assumptions &amp; FX Reference'!$C$5:$C$25,MATCH(H41,'Assumptions &amp; FX Reference'!$A$5:$A$25,0)),""))),"(FX missing)"))</f>
        <v/>
      </c>
      <c r="P41" s="30"/>
      <c r="Q41" s="30"/>
      <c r="R41" s="30"/>
      <c r="S41" s="30"/>
      <c r="T41" s="30"/>
      <c r="U41" s="30"/>
      <c r="V41" s="30" t="s">
        <v>1008</v>
      </c>
    </row>
    <row r="42" spans="1:22">
      <c r="A42" s="30" t="s">
        <v>1009</v>
      </c>
      <c r="B42" s="30">
        <v>103</v>
      </c>
      <c r="C42" s="33" t="str">
        <f>IF(B42="","",IFERROR(INDEX('Master Database'!$D$5:$D$600,MATCH(B42,'Master Database'!$A$5:$A$600,0)),"(row not found)"))</f>
        <v>P-161 A/B</v>
      </c>
      <c r="D42" s="33" t="str">
        <f>IF(B42="","",IFERROR(INDEX('Master Database'!$B$5:$B$600,MATCH(B42,'Master Database'!$A$5:$A$600,0)),"(row not found)"))</f>
        <v>Closed Drain Drum Pumps</v>
      </c>
      <c r="E42" s="30" t="s">
        <v>931</v>
      </c>
      <c r="F42" s="33" t="str">
        <f>IF(E42="","",IFERROR(INDEX(Vendor_Register!$B$5:$B$205,MATCH(E42,Vendor_Register!$A$5:$A$205,0)),"(not in register)"))</f>
        <v>آریا سپهر کیهان</v>
      </c>
      <c r="G42" s="33" t="str">
        <f>IF(E42="","",IFERROR(INDEX(Vendor_Register!$E$5:$E$205,MATCH(E42,Vendor_Register!$A$5:$A$205,0)),"(not in register)"))</f>
        <v>Not checked</v>
      </c>
      <c r="H42" s="30">
        <v>1403</v>
      </c>
      <c r="I42" s="30" t="s">
        <v>932</v>
      </c>
      <c r="J42" s="30"/>
      <c r="K42" s="38" t="s">
        <v>204</v>
      </c>
      <c r="L42" s="30" t="s">
        <v>355</v>
      </c>
      <c r="M42" s="34">
        <v>32000</v>
      </c>
      <c r="N42" s="30" t="s">
        <v>933</v>
      </c>
      <c r="O42" s="35">
        <f>IF(NOT(ISNUMBER(M42)),"",IFERROR(IF(L42="EUR",M42,IF(L42="IRR",M42/INDEX('Assumptions &amp; FX Reference'!$C$5:$C$25,MATCH(H42,'Assumptions &amp; FX Reference'!$A$5:$A$25,0)),IF(L42="USD",M42*INDEX('Assumptions &amp; FX Reference'!$B$5:$B$25,MATCH(H42,'Assumptions &amp; FX Reference'!$A$5:$A$25,0))/INDEX('Assumptions &amp; FX Reference'!$C$5:$C$25,MATCH(H42,'Assumptions &amp; FX Reference'!$A$5:$A$25,0)),""))),"(FX missing)"))</f>
        <v>32000</v>
      </c>
      <c r="P42" s="30"/>
      <c r="Q42" s="30"/>
      <c r="R42" s="30"/>
      <c r="S42" s="30"/>
      <c r="T42" s="30"/>
      <c r="U42" s="30"/>
      <c r="V42" s="30" t="s">
        <v>1010</v>
      </c>
    </row>
    <row r="43" spans="1:22">
      <c r="A43" s="30" t="s">
        <v>1011</v>
      </c>
      <c r="B43" s="30">
        <v>103</v>
      </c>
      <c r="C43" s="33" t="str">
        <f>IF(B43="","",IFERROR(INDEX('Master Database'!$D$5:$D$600,MATCH(B43,'Master Database'!$A$5:$A$600,0)),"(row not found)"))</f>
        <v>P-161 A/B</v>
      </c>
      <c r="D43" s="33" t="str">
        <f>IF(B43="","",IFERROR(INDEX('Master Database'!$B$5:$B$600,MATCH(B43,'Master Database'!$A$5:$A$600,0)),"(row not found)"))</f>
        <v>Closed Drain Drum Pumps</v>
      </c>
      <c r="E43" s="30" t="s">
        <v>936</v>
      </c>
      <c r="F43" s="33" t="str">
        <f>IF(E43="","",IFERROR(INDEX(Vendor_Register!$B$5:$B$205,MATCH(E43,Vendor_Register!$A$5:$A$205,0)),"(not in register)"))</f>
        <v>پمپیران</v>
      </c>
      <c r="G43" s="33" t="str">
        <f>IF(E43="","",IFERROR(INDEX(Vendor_Register!$E$5:$E$205,MATCH(E43,Vendor_Register!$A$5:$A$205,0)),"(not in register)"))</f>
        <v>Not checked</v>
      </c>
      <c r="H43" s="30">
        <v>1404</v>
      </c>
      <c r="I43" s="30" t="s">
        <v>937</v>
      </c>
      <c r="J43" s="30"/>
      <c r="K43" s="38" t="s">
        <v>204</v>
      </c>
      <c r="L43" s="30" t="s">
        <v>355</v>
      </c>
      <c r="M43" s="34">
        <v>30000</v>
      </c>
      <c r="N43" s="30" t="s">
        <v>933</v>
      </c>
      <c r="O43" s="35">
        <f>IF(NOT(ISNUMBER(M43)),"",IFERROR(IF(L43="EUR",M43,IF(L43="IRR",M43/INDEX('Assumptions &amp; FX Reference'!$C$5:$C$25,MATCH(H43,'Assumptions &amp; FX Reference'!$A$5:$A$25,0)),IF(L43="USD",M43*INDEX('Assumptions &amp; FX Reference'!$B$5:$B$25,MATCH(H43,'Assumptions &amp; FX Reference'!$A$5:$A$25,0))/INDEX('Assumptions &amp; FX Reference'!$C$5:$C$25,MATCH(H43,'Assumptions &amp; FX Reference'!$A$5:$A$25,0)),""))),"(FX missing)"))</f>
        <v>30000</v>
      </c>
      <c r="P43" s="30"/>
      <c r="Q43" s="30"/>
      <c r="R43" s="30"/>
      <c r="S43" s="30"/>
      <c r="T43" s="30"/>
      <c r="U43" s="30"/>
      <c r="V43" s="30" t="s">
        <v>1012</v>
      </c>
    </row>
    <row r="44" spans="1:22">
      <c r="A44" s="30" t="s">
        <v>1013</v>
      </c>
      <c r="B44" s="30">
        <v>103</v>
      </c>
      <c r="C44" s="33" t="str">
        <f>IF(B44="","",IFERROR(INDEX('Master Database'!$D$5:$D$600,MATCH(B44,'Master Database'!$A$5:$A$600,0)),"(row not found)"))</f>
        <v>P-161 A/B</v>
      </c>
      <c r="D44" s="33" t="str">
        <f>IF(B44="","",IFERROR(INDEX('Master Database'!$B$5:$B$600,MATCH(B44,'Master Database'!$A$5:$A$600,0)),"(row not found)"))</f>
        <v>Closed Drain Drum Pumps</v>
      </c>
      <c r="E44" s="30" t="s">
        <v>940</v>
      </c>
      <c r="F44" s="33" t="str">
        <f>IF(E44="","",IFERROR(INDEX(Vendor_Register!$B$5:$B$205,MATCH(E44,Vendor_Register!$A$5:$A$205,0)),"(not in register)"))</f>
        <v>کالای پمپ</v>
      </c>
      <c r="G44" s="33" t="str">
        <f>IF(E44="","",IFERROR(INDEX(Vendor_Register!$E$5:$E$205,MATCH(E44,Vendor_Register!$A$5:$A$205,0)),"(not in register)"))</f>
        <v>Not checked</v>
      </c>
      <c r="H44" s="30"/>
      <c r="I44" s="30"/>
      <c r="J44" s="30"/>
      <c r="K44" s="30"/>
      <c r="L44" s="30"/>
      <c r="M44" s="34"/>
      <c r="N44" s="30"/>
      <c r="O44" s="35" t="str">
        <f>IF(NOT(ISNUMBER(M44)),"",IFERROR(IF(L44="EUR",M44,IF(L44="IRR",M44/INDEX('Assumptions &amp; FX Reference'!$C$5:$C$25,MATCH(H44,'Assumptions &amp; FX Reference'!$A$5:$A$25,0)),IF(L44="USD",M44*INDEX('Assumptions &amp; FX Reference'!$B$5:$B$25,MATCH(H44,'Assumptions &amp; FX Reference'!$A$5:$A$25,0))/INDEX('Assumptions &amp; FX Reference'!$C$5:$C$25,MATCH(H44,'Assumptions &amp; FX Reference'!$A$5:$A$25,0)),""))),"(FX missing)"))</f>
        <v/>
      </c>
      <c r="P44" s="30"/>
      <c r="Q44" s="30"/>
      <c r="R44" s="30"/>
      <c r="S44" s="30"/>
      <c r="T44" s="30"/>
      <c r="U44" s="30"/>
      <c r="V44" s="30" t="s">
        <v>1014</v>
      </c>
    </row>
    <row r="45" spans="1:22">
      <c r="A45" s="30" t="s">
        <v>1015</v>
      </c>
      <c r="B45" s="30">
        <v>103</v>
      </c>
      <c r="C45" s="33" t="str">
        <f>IF(B45="","",IFERROR(INDEX('Master Database'!$D$5:$D$600,MATCH(B45,'Master Database'!$A$5:$A$600,0)),"(row not found)"))</f>
        <v>P-161 A/B</v>
      </c>
      <c r="D45" s="33" t="str">
        <f>IF(B45="","",IFERROR(INDEX('Master Database'!$B$5:$B$600,MATCH(B45,'Master Database'!$A$5:$A$600,0)),"(row not found)"))</f>
        <v>Closed Drain Drum Pumps</v>
      </c>
      <c r="E45" s="30" t="s">
        <v>943</v>
      </c>
      <c r="F45" s="33" t="str">
        <f>IF(E45="","",IFERROR(INDEX(Vendor_Register!$B$5:$B$205,MATCH(E45,Vendor_Register!$A$5:$A$205,0)),"(not in register)"))</f>
        <v>دالاهو پارس کیش (دمکو)</v>
      </c>
      <c r="G45" s="33" t="str">
        <f>IF(E45="","",IFERROR(INDEX(Vendor_Register!$E$5:$E$205,MATCH(E45,Vendor_Register!$A$5:$A$205,0)),"(not in register)"))</f>
        <v>Not checked</v>
      </c>
      <c r="H45" s="30"/>
      <c r="I45" s="30"/>
      <c r="J45" s="30"/>
      <c r="K45" s="30"/>
      <c r="L45" s="30"/>
      <c r="M45" s="34"/>
      <c r="N45" s="30"/>
      <c r="O45" s="35" t="str">
        <f>IF(NOT(ISNUMBER(M45)),"",IFERROR(IF(L45="EUR",M45,IF(L45="IRR",M45/INDEX('Assumptions &amp; FX Reference'!$C$5:$C$25,MATCH(H45,'Assumptions &amp; FX Reference'!$A$5:$A$25,0)),IF(L45="USD",M45*INDEX('Assumptions &amp; FX Reference'!$B$5:$B$25,MATCH(H45,'Assumptions &amp; FX Reference'!$A$5:$A$25,0))/INDEX('Assumptions &amp; FX Reference'!$C$5:$C$25,MATCH(H45,'Assumptions &amp; FX Reference'!$A$5:$A$25,0)),""))),"(FX missing)"))</f>
        <v/>
      </c>
      <c r="P45" s="30"/>
      <c r="Q45" s="30"/>
      <c r="R45" s="30"/>
      <c r="S45" s="30"/>
      <c r="T45" s="30"/>
      <c r="U45" s="30"/>
      <c r="V45" s="30" t="s">
        <v>1016</v>
      </c>
    </row>
    <row r="46" spans="1:22">
      <c r="A46" s="30" t="s">
        <v>1017</v>
      </c>
      <c r="B46" s="30">
        <v>104</v>
      </c>
      <c r="C46" s="33" t="str">
        <f>IF(B46="","",IFERROR(INDEX('Master Database'!$D$5:$D$600,MATCH(B46,'Master Database'!$A$5:$A$600,0)),"(row not found)"))</f>
        <v>P-162</v>
      </c>
      <c r="D46" s="33" t="str">
        <f>IF(B46="","",IFERROR(INDEX('Master Database'!$B$5:$B$600,MATCH(B46,'Master Database'!$A$5:$A$600,0)),"(row not found)"))</f>
        <v>C. D. Drum / Flare K.O. Drum Sump Pump</v>
      </c>
      <c r="E46" s="30" t="s">
        <v>931</v>
      </c>
      <c r="F46" s="33" t="str">
        <f>IF(E46="","",IFERROR(INDEX(Vendor_Register!$B$5:$B$205,MATCH(E46,Vendor_Register!$A$5:$A$205,0)),"(not in register)"))</f>
        <v>آریا سپهر کیهان</v>
      </c>
      <c r="G46" s="33" t="str">
        <f>IF(E46="","",IFERROR(INDEX(Vendor_Register!$E$5:$E$205,MATCH(E46,Vendor_Register!$A$5:$A$205,0)),"(not in register)"))</f>
        <v>Not checked</v>
      </c>
      <c r="H46" s="30">
        <v>1403</v>
      </c>
      <c r="I46" s="30" t="s">
        <v>932</v>
      </c>
      <c r="J46" s="30"/>
      <c r="K46" s="38" t="s">
        <v>204</v>
      </c>
      <c r="L46" s="30" t="s">
        <v>355</v>
      </c>
      <c r="M46" s="34">
        <v>24000</v>
      </c>
      <c r="N46" s="30" t="s">
        <v>933</v>
      </c>
      <c r="O46" s="35">
        <f>IF(NOT(ISNUMBER(M46)),"",IFERROR(IF(L46="EUR",M46,IF(L46="IRR",M46/INDEX('Assumptions &amp; FX Reference'!$C$5:$C$25,MATCH(H46,'Assumptions &amp; FX Reference'!$A$5:$A$25,0)),IF(L46="USD",M46*INDEX('Assumptions &amp; FX Reference'!$B$5:$B$25,MATCH(H46,'Assumptions &amp; FX Reference'!$A$5:$A$25,0))/INDEX('Assumptions &amp; FX Reference'!$C$5:$C$25,MATCH(H46,'Assumptions &amp; FX Reference'!$A$5:$A$25,0)),""))),"(FX missing)"))</f>
        <v>24000</v>
      </c>
      <c r="P46" s="30"/>
      <c r="Q46" s="30"/>
      <c r="R46" s="30"/>
      <c r="S46" s="30"/>
      <c r="T46" s="30"/>
      <c r="U46" s="30"/>
      <c r="V46" s="30" t="s">
        <v>1018</v>
      </c>
    </row>
    <row r="47" spans="1:22">
      <c r="A47" s="30" t="s">
        <v>1019</v>
      </c>
      <c r="B47" s="30">
        <v>104</v>
      </c>
      <c r="C47" s="33" t="str">
        <f>IF(B47="","",IFERROR(INDEX('Master Database'!$D$5:$D$600,MATCH(B47,'Master Database'!$A$5:$A$600,0)),"(row not found)"))</f>
        <v>P-162</v>
      </c>
      <c r="D47" s="33" t="str">
        <f>IF(B47="","",IFERROR(INDEX('Master Database'!$B$5:$B$600,MATCH(B47,'Master Database'!$A$5:$A$600,0)),"(row not found)"))</f>
        <v>C. D. Drum / Flare K.O. Drum Sump Pump</v>
      </c>
      <c r="E47" s="30" t="s">
        <v>936</v>
      </c>
      <c r="F47" s="33" t="str">
        <f>IF(E47="","",IFERROR(INDEX(Vendor_Register!$B$5:$B$205,MATCH(E47,Vendor_Register!$A$5:$A$205,0)),"(not in register)"))</f>
        <v>پمپیران</v>
      </c>
      <c r="G47" s="33" t="str">
        <f>IF(E47="","",IFERROR(INDEX(Vendor_Register!$E$5:$E$205,MATCH(E47,Vendor_Register!$A$5:$A$205,0)),"(not in register)"))</f>
        <v>Not checked</v>
      </c>
      <c r="H47" s="30">
        <v>1404</v>
      </c>
      <c r="I47" s="30" t="s">
        <v>937</v>
      </c>
      <c r="J47" s="30"/>
      <c r="K47" s="38" t="s">
        <v>204</v>
      </c>
      <c r="L47" s="30" t="s">
        <v>355</v>
      </c>
      <c r="M47" s="34">
        <v>45000</v>
      </c>
      <c r="N47" s="30" t="s">
        <v>933</v>
      </c>
      <c r="O47" s="35">
        <f>IF(NOT(ISNUMBER(M47)),"",IFERROR(IF(L47="EUR",M47,IF(L47="IRR",M47/INDEX('Assumptions &amp; FX Reference'!$C$5:$C$25,MATCH(H47,'Assumptions &amp; FX Reference'!$A$5:$A$25,0)),IF(L47="USD",M47*INDEX('Assumptions &amp; FX Reference'!$B$5:$B$25,MATCH(H47,'Assumptions &amp; FX Reference'!$A$5:$A$25,0))/INDEX('Assumptions &amp; FX Reference'!$C$5:$C$25,MATCH(H47,'Assumptions &amp; FX Reference'!$A$5:$A$25,0)),""))),"(FX missing)"))</f>
        <v>45000</v>
      </c>
      <c r="P47" s="30"/>
      <c r="Q47" s="30"/>
      <c r="R47" s="30"/>
      <c r="S47" s="30"/>
      <c r="T47" s="30"/>
      <c r="U47" s="30"/>
      <c r="V47" s="30" t="s">
        <v>1020</v>
      </c>
    </row>
    <row r="48" spans="1:22">
      <c r="A48" s="30" t="s">
        <v>1021</v>
      </c>
      <c r="B48" s="30">
        <v>104</v>
      </c>
      <c r="C48" s="33" t="str">
        <f>IF(B48="","",IFERROR(INDEX('Master Database'!$D$5:$D$600,MATCH(B48,'Master Database'!$A$5:$A$600,0)),"(row not found)"))</f>
        <v>P-162</v>
      </c>
      <c r="D48" s="33" t="str">
        <f>IF(B48="","",IFERROR(INDEX('Master Database'!$B$5:$B$600,MATCH(B48,'Master Database'!$A$5:$A$600,0)),"(row not found)"))</f>
        <v>C. D. Drum / Flare K.O. Drum Sump Pump</v>
      </c>
      <c r="E48" s="30" t="s">
        <v>940</v>
      </c>
      <c r="F48" s="33" t="str">
        <f>IF(E48="","",IFERROR(INDEX(Vendor_Register!$B$5:$B$205,MATCH(E48,Vendor_Register!$A$5:$A$205,0)),"(not in register)"))</f>
        <v>کالای پمپ</v>
      </c>
      <c r="G48" s="33" t="str">
        <f>IF(E48="","",IFERROR(INDEX(Vendor_Register!$E$5:$E$205,MATCH(E48,Vendor_Register!$A$5:$A$205,0)),"(not in register)"))</f>
        <v>Not checked</v>
      </c>
      <c r="H48" s="30"/>
      <c r="I48" s="30"/>
      <c r="J48" s="30"/>
      <c r="K48" s="30"/>
      <c r="L48" s="30"/>
      <c r="M48" s="34"/>
      <c r="N48" s="30"/>
      <c r="O48" s="35" t="str">
        <f>IF(NOT(ISNUMBER(M48)),"",IFERROR(IF(L48="EUR",M48,IF(L48="IRR",M48/INDEX('Assumptions &amp; FX Reference'!$C$5:$C$25,MATCH(H48,'Assumptions &amp; FX Reference'!$A$5:$A$25,0)),IF(L48="USD",M48*INDEX('Assumptions &amp; FX Reference'!$B$5:$B$25,MATCH(H48,'Assumptions &amp; FX Reference'!$A$5:$A$25,0))/INDEX('Assumptions &amp; FX Reference'!$C$5:$C$25,MATCH(H48,'Assumptions &amp; FX Reference'!$A$5:$A$25,0)),""))),"(FX missing)"))</f>
        <v/>
      </c>
      <c r="P48" s="30"/>
      <c r="Q48" s="30"/>
      <c r="R48" s="30"/>
      <c r="S48" s="30"/>
      <c r="T48" s="30"/>
      <c r="U48" s="30"/>
      <c r="V48" s="30" t="s">
        <v>1022</v>
      </c>
    </row>
    <row r="49" spans="1:22">
      <c r="A49" s="30" t="s">
        <v>1023</v>
      </c>
      <c r="B49" s="30">
        <v>104</v>
      </c>
      <c r="C49" s="33" t="str">
        <f>IF(B49="","",IFERROR(INDEX('Master Database'!$D$5:$D$600,MATCH(B49,'Master Database'!$A$5:$A$600,0)),"(row not found)"))</f>
        <v>P-162</v>
      </c>
      <c r="D49" s="33" t="str">
        <f>IF(B49="","",IFERROR(INDEX('Master Database'!$B$5:$B$600,MATCH(B49,'Master Database'!$A$5:$A$600,0)),"(row not found)"))</f>
        <v>C. D. Drum / Flare K.O. Drum Sump Pump</v>
      </c>
      <c r="E49" s="30" t="s">
        <v>943</v>
      </c>
      <c r="F49" s="33" t="str">
        <f>IF(E49="","",IFERROR(INDEX(Vendor_Register!$B$5:$B$205,MATCH(E49,Vendor_Register!$A$5:$A$205,0)),"(not in register)"))</f>
        <v>دالاهو پارس کیش (دمکو)</v>
      </c>
      <c r="G49" s="33" t="str">
        <f>IF(E49="","",IFERROR(INDEX(Vendor_Register!$E$5:$E$205,MATCH(E49,Vendor_Register!$A$5:$A$205,0)),"(not in register)"))</f>
        <v>Not checked</v>
      </c>
      <c r="H49" s="30"/>
      <c r="I49" s="30"/>
      <c r="J49" s="30"/>
      <c r="K49" s="30"/>
      <c r="L49" s="30"/>
      <c r="M49" s="34"/>
      <c r="N49" s="30"/>
      <c r="O49" s="35" t="str">
        <f>IF(NOT(ISNUMBER(M49)),"",IFERROR(IF(L49="EUR",M49,IF(L49="IRR",M49/INDEX('Assumptions &amp; FX Reference'!$C$5:$C$25,MATCH(H49,'Assumptions &amp; FX Reference'!$A$5:$A$25,0)),IF(L49="USD",M49*INDEX('Assumptions &amp; FX Reference'!$B$5:$B$25,MATCH(H49,'Assumptions &amp; FX Reference'!$A$5:$A$25,0))/INDEX('Assumptions &amp; FX Reference'!$C$5:$C$25,MATCH(H49,'Assumptions &amp; FX Reference'!$A$5:$A$25,0)),""))),"(FX missing)"))</f>
        <v/>
      </c>
      <c r="P49" s="30"/>
      <c r="Q49" s="30"/>
      <c r="R49" s="30"/>
      <c r="S49" s="30"/>
      <c r="T49" s="30"/>
      <c r="U49" s="30"/>
      <c r="V49" s="30" t="s">
        <v>1024</v>
      </c>
    </row>
    <row r="50" spans="1:22">
      <c r="A50" s="30" t="s">
        <v>1025</v>
      </c>
      <c r="B50" s="30">
        <v>105</v>
      </c>
      <c r="C50" s="33" t="str">
        <f>IF(B50="","",IFERROR(INDEX('Master Database'!$D$5:$D$600,MATCH(B50,'Master Database'!$A$5:$A$600,0)),"(row not found)"))</f>
        <v>P-163 A/B</v>
      </c>
      <c r="D50" s="33" t="str">
        <f>IF(B50="","",IFERROR(INDEX('Master Database'!$B$5:$B$600,MATCH(B50,'Master Database'!$A$5:$A$600,0)),"(row not found)"))</f>
        <v>O.W.S. Oil Pumps</v>
      </c>
      <c r="E50" s="30" t="s">
        <v>931</v>
      </c>
      <c r="F50" s="33" t="str">
        <f>IF(E50="","",IFERROR(INDEX(Vendor_Register!$B$5:$B$205,MATCH(E50,Vendor_Register!$A$5:$A$205,0)),"(not in register)"))</f>
        <v>آریا سپهر کیهان</v>
      </c>
      <c r="G50" s="33" t="str">
        <f>IF(E50="","",IFERROR(INDEX(Vendor_Register!$E$5:$E$205,MATCH(E50,Vendor_Register!$A$5:$A$205,0)),"(not in register)"))</f>
        <v>Not checked</v>
      </c>
      <c r="H50" s="30"/>
      <c r="I50" s="30"/>
      <c r="J50" s="30"/>
      <c r="K50" s="30"/>
      <c r="L50" s="30"/>
      <c r="M50" s="34"/>
      <c r="N50" s="30"/>
      <c r="O50" s="35" t="str">
        <f>IF(NOT(ISNUMBER(M50)),"",IFERROR(IF(L50="EUR",M50,IF(L50="IRR",M50/INDEX('Assumptions &amp; FX Reference'!$C$5:$C$25,MATCH(H50,'Assumptions &amp; FX Reference'!$A$5:$A$25,0)),IF(L50="USD",M50*INDEX('Assumptions &amp; FX Reference'!$B$5:$B$25,MATCH(H50,'Assumptions &amp; FX Reference'!$A$5:$A$25,0))/INDEX('Assumptions &amp; FX Reference'!$C$5:$C$25,MATCH(H50,'Assumptions &amp; FX Reference'!$A$5:$A$25,0)),""))),"(FX missing)"))</f>
        <v/>
      </c>
      <c r="P50" s="30"/>
      <c r="Q50" s="30"/>
      <c r="R50" s="30"/>
      <c r="S50" s="30"/>
      <c r="T50" s="30"/>
      <c r="U50" s="30"/>
      <c r="V50" s="30" t="s">
        <v>1026</v>
      </c>
    </row>
    <row r="51" spans="1:22">
      <c r="A51" s="30" t="s">
        <v>1027</v>
      </c>
      <c r="B51" s="30">
        <v>105</v>
      </c>
      <c r="C51" s="33" t="str">
        <f>IF(B51="","",IFERROR(INDEX('Master Database'!$D$5:$D$600,MATCH(B51,'Master Database'!$A$5:$A$600,0)),"(row not found)"))</f>
        <v>P-163 A/B</v>
      </c>
      <c r="D51" s="33" t="str">
        <f>IF(B51="","",IFERROR(INDEX('Master Database'!$B$5:$B$600,MATCH(B51,'Master Database'!$A$5:$A$600,0)),"(row not found)"))</f>
        <v>O.W.S. Oil Pumps</v>
      </c>
      <c r="E51" s="30" t="s">
        <v>936</v>
      </c>
      <c r="F51" s="33" t="str">
        <f>IF(E51="","",IFERROR(INDEX(Vendor_Register!$B$5:$B$205,MATCH(E51,Vendor_Register!$A$5:$A$205,0)),"(not in register)"))</f>
        <v>پمپیران</v>
      </c>
      <c r="G51" s="33" t="str">
        <f>IF(E51="","",IFERROR(INDEX(Vendor_Register!$E$5:$E$205,MATCH(E51,Vendor_Register!$A$5:$A$205,0)),"(not in register)"))</f>
        <v>Not checked</v>
      </c>
      <c r="H51" s="30"/>
      <c r="I51" s="30"/>
      <c r="J51" s="30"/>
      <c r="K51" s="30"/>
      <c r="L51" s="30"/>
      <c r="M51" s="34"/>
      <c r="N51" s="30"/>
      <c r="O51" s="35" t="str">
        <f>IF(NOT(ISNUMBER(M51)),"",IFERROR(IF(L51="EUR",M51,IF(L51="IRR",M51/INDEX('Assumptions &amp; FX Reference'!$C$5:$C$25,MATCH(H51,'Assumptions &amp; FX Reference'!$A$5:$A$25,0)),IF(L51="USD",M51*INDEX('Assumptions &amp; FX Reference'!$B$5:$B$25,MATCH(H51,'Assumptions &amp; FX Reference'!$A$5:$A$25,0))/INDEX('Assumptions &amp; FX Reference'!$C$5:$C$25,MATCH(H51,'Assumptions &amp; FX Reference'!$A$5:$A$25,0)),""))),"(FX missing)"))</f>
        <v/>
      </c>
      <c r="P51" s="30"/>
      <c r="Q51" s="30"/>
      <c r="R51" s="30"/>
      <c r="S51" s="30"/>
      <c r="T51" s="30"/>
      <c r="U51" s="30"/>
      <c r="V51" s="30" t="s">
        <v>1028</v>
      </c>
    </row>
    <row r="52" spans="1:22">
      <c r="A52" s="30" t="s">
        <v>1029</v>
      </c>
      <c r="B52" s="30">
        <v>105</v>
      </c>
      <c r="C52" s="33" t="str">
        <f>IF(B52="","",IFERROR(INDEX('Master Database'!$D$5:$D$600,MATCH(B52,'Master Database'!$A$5:$A$600,0)),"(row not found)"))</f>
        <v>P-163 A/B</v>
      </c>
      <c r="D52" s="33" t="str">
        <f>IF(B52="","",IFERROR(INDEX('Master Database'!$B$5:$B$600,MATCH(B52,'Master Database'!$A$5:$A$600,0)),"(row not found)"))</f>
        <v>O.W.S. Oil Pumps</v>
      </c>
      <c r="E52" s="30" t="s">
        <v>940</v>
      </c>
      <c r="F52" s="33" t="str">
        <f>IF(E52="","",IFERROR(INDEX(Vendor_Register!$B$5:$B$205,MATCH(E52,Vendor_Register!$A$5:$A$205,0)),"(not in register)"))</f>
        <v>کالای پمپ</v>
      </c>
      <c r="G52" s="33" t="str">
        <f>IF(E52="","",IFERROR(INDEX(Vendor_Register!$E$5:$E$205,MATCH(E52,Vendor_Register!$A$5:$A$205,0)),"(not in register)"))</f>
        <v>Not checked</v>
      </c>
      <c r="H52" s="30"/>
      <c r="I52" s="30"/>
      <c r="J52" s="30"/>
      <c r="K52" s="30"/>
      <c r="L52" s="30"/>
      <c r="M52" s="34"/>
      <c r="N52" s="30"/>
      <c r="O52" s="35" t="str">
        <f>IF(NOT(ISNUMBER(M52)),"",IFERROR(IF(L52="EUR",M52,IF(L52="IRR",M52/INDEX('Assumptions &amp; FX Reference'!$C$5:$C$25,MATCH(H52,'Assumptions &amp; FX Reference'!$A$5:$A$25,0)),IF(L52="USD",M52*INDEX('Assumptions &amp; FX Reference'!$B$5:$B$25,MATCH(H52,'Assumptions &amp; FX Reference'!$A$5:$A$25,0))/INDEX('Assumptions &amp; FX Reference'!$C$5:$C$25,MATCH(H52,'Assumptions &amp; FX Reference'!$A$5:$A$25,0)),""))),"(FX missing)"))</f>
        <v/>
      </c>
      <c r="P52" s="30"/>
      <c r="Q52" s="30"/>
      <c r="R52" s="30"/>
      <c r="S52" s="30"/>
      <c r="T52" s="30"/>
      <c r="U52" s="30"/>
      <c r="V52" s="30" t="s">
        <v>1030</v>
      </c>
    </row>
    <row r="53" spans="1:22">
      <c r="A53" s="30" t="s">
        <v>1031</v>
      </c>
      <c r="B53" s="30">
        <v>105</v>
      </c>
      <c r="C53" s="33" t="str">
        <f>IF(B53="","",IFERROR(INDEX('Master Database'!$D$5:$D$600,MATCH(B53,'Master Database'!$A$5:$A$600,0)),"(row not found)"))</f>
        <v>P-163 A/B</v>
      </c>
      <c r="D53" s="33" t="str">
        <f>IF(B53="","",IFERROR(INDEX('Master Database'!$B$5:$B$600,MATCH(B53,'Master Database'!$A$5:$A$600,0)),"(row not found)"))</f>
        <v>O.W.S. Oil Pumps</v>
      </c>
      <c r="E53" s="30" t="s">
        <v>943</v>
      </c>
      <c r="F53" s="33" t="str">
        <f>IF(E53="","",IFERROR(INDEX(Vendor_Register!$B$5:$B$205,MATCH(E53,Vendor_Register!$A$5:$A$205,0)),"(not in register)"))</f>
        <v>دالاهو پارس کیش (دمکو)</v>
      </c>
      <c r="G53" s="33" t="str">
        <f>IF(E53="","",IFERROR(INDEX(Vendor_Register!$E$5:$E$205,MATCH(E53,Vendor_Register!$A$5:$A$205,0)),"(not in register)"))</f>
        <v>Not checked</v>
      </c>
      <c r="H53" s="30"/>
      <c r="I53" s="30"/>
      <c r="J53" s="30"/>
      <c r="K53" s="30"/>
      <c r="L53" s="30"/>
      <c r="M53" s="34"/>
      <c r="N53" s="30"/>
      <c r="O53" s="35" t="str">
        <f>IF(NOT(ISNUMBER(M53)),"",IFERROR(IF(L53="EUR",M53,IF(L53="IRR",M53/INDEX('Assumptions &amp; FX Reference'!$C$5:$C$25,MATCH(H53,'Assumptions &amp; FX Reference'!$A$5:$A$25,0)),IF(L53="USD",M53*INDEX('Assumptions &amp; FX Reference'!$B$5:$B$25,MATCH(H53,'Assumptions &amp; FX Reference'!$A$5:$A$25,0))/INDEX('Assumptions &amp; FX Reference'!$C$5:$C$25,MATCH(H53,'Assumptions &amp; FX Reference'!$A$5:$A$25,0)),""))),"(FX missing)"))</f>
        <v/>
      </c>
      <c r="P53" s="30"/>
      <c r="Q53" s="30"/>
      <c r="R53" s="30"/>
      <c r="S53" s="30"/>
      <c r="T53" s="30"/>
      <c r="U53" s="30"/>
      <c r="V53" s="30" t="s">
        <v>1032</v>
      </c>
    </row>
    <row r="54" spans="1:22">
      <c r="A54" s="30" t="s">
        <v>1033</v>
      </c>
      <c r="B54" s="30">
        <v>106</v>
      </c>
      <c r="C54" s="33" t="str">
        <f>IF(B54="","",IFERROR(INDEX('Master Database'!$D$5:$D$600,MATCH(B54,'Master Database'!$A$5:$A$600,0)),"(row not found)"))</f>
        <v>P-164 A/B</v>
      </c>
      <c r="D54" s="33" t="str">
        <f>IF(B54="","",IFERROR(INDEX('Master Database'!$B$5:$B$600,MATCH(B54,'Master Database'!$A$5:$A$600,0)),"(row not found)"))</f>
        <v>O.W.S. Water Pumps</v>
      </c>
      <c r="E54" s="30" t="s">
        <v>931</v>
      </c>
      <c r="F54" s="33" t="str">
        <f>IF(E54="","",IFERROR(INDEX(Vendor_Register!$B$5:$B$205,MATCH(E54,Vendor_Register!$A$5:$A$205,0)),"(not in register)"))</f>
        <v>آریا سپهر کیهان</v>
      </c>
      <c r="G54" s="33" t="str">
        <f>IF(E54="","",IFERROR(INDEX(Vendor_Register!$E$5:$E$205,MATCH(E54,Vendor_Register!$A$5:$A$205,0)),"(not in register)"))</f>
        <v>Not checked</v>
      </c>
      <c r="H54" s="30">
        <v>1403</v>
      </c>
      <c r="I54" s="30" t="s">
        <v>932</v>
      </c>
      <c r="J54" s="30"/>
      <c r="K54" s="38" t="s">
        <v>204</v>
      </c>
      <c r="L54" s="30" t="s">
        <v>355</v>
      </c>
      <c r="M54" s="34">
        <v>29200</v>
      </c>
      <c r="N54" s="30" t="s">
        <v>933</v>
      </c>
      <c r="O54" s="35">
        <f>IF(NOT(ISNUMBER(M54)),"",IFERROR(IF(L54="EUR",M54,IF(L54="IRR",M54/INDEX('Assumptions &amp; FX Reference'!$C$5:$C$25,MATCH(H54,'Assumptions &amp; FX Reference'!$A$5:$A$25,0)),IF(L54="USD",M54*INDEX('Assumptions &amp; FX Reference'!$B$5:$B$25,MATCH(H54,'Assumptions &amp; FX Reference'!$A$5:$A$25,0))/INDEX('Assumptions &amp; FX Reference'!$C$5:$C$25,MATCH(H54,'Assumptions &amp; FX Reference'!$A$5:$A$25,0)),""))),"(FX missing)"))</f>
        <v>29200</v>
      </c>
      <c r="P54" s="30"/>
      <c r="Q54" s="30"/>
      <c r="R54" s="30"/>
      <c r="S54" s="30"/>
      <c r="T54" s="30"/>
      <c r="U54" s="30"/>
      <c r="V54" s="30" t="s">
        <v>1034</v>
      </c>
    </row>
    <row r="55" spans="1:22">
      <c r="A55" s="30" t="s">
        <v>1035</v>
      </c>
      <c r="B55" s="30">
        <v>106</v>
      </c>
      <c r="C55" s="33" t="str">
        <f>IF(B55="","",IFERROR(INDEX('Master Database'!$D$5:$D$600,MATCH(B55,'Master Database'!$A$5:$A$600,0)),"(row not found)"))</f>
        <v>P-164 A/B</v>
      </c>
      <c r="D55" s="33" t="str">
        <f>IF(B55="","",IFERROR(INDEX('Master Database'!$B$5:$B$600,MATCH(B55,'Master Database'!$A$5:$A$600,0)),"(row not found)"))</f>
        <v>O.W.S. Water Pumps</v>
      </c>
      <c r="E55" s="30" t="s">
        <v>936</v>
      </c>
      <c r="F55" s="33" t="str">
        <f>IF(E55="","",IFERROR(INDEX(Vendor_Register!$B$5:$B$205,MATCH(E55,Vendor_Register!$A$5:$A$205,0)),"(not in register)"))</f>
        <v>پمپیران</v>
      </c>
      <c r="G55" s="33" t="str">
        <f>IF(E55="","",IFERROR(INDEX(Vendor_Register!$E$5:$E$205,MATCH(E55,Vendor_Register!$A$5:$A$205,0)),"(not in register)"))</f>
        <v>Not checked</v>
      </c>
      <c r="H55" s="30">
        <v>1404</v>
      </c>
      <c r="I55" s="30" t="s">
        <v>937</v>
      </c>
      <c r="J55" s="30"/>
      <c r="K55" s="38" t="s">
        <v>204</v>
      </c>
      <c r="L55" s="30" t="s">
        <v>355</v>
      </c>
      <c r="M55" s="34">
        <v>30000</v>
      </c>
      <c r="N55" s="30" t="s">
        <v>933</v>
      </c>
      <c r="O55" s="35">
        <f>IF(NOT(ISNUMBER(M55)),"",IFERROR(IF(L55="EUR",M55,IF(L55="IRR",M55/INDEX('Assumptions &amp; FX Reference'!$C$5:$C$25,MATCH(H55,'Assumptions &amp; FX Reference'!$A$5:$A$25,0)),IF(L55="USD",M55*INDEX('Assumptions &amp; FX Reference'!$B$5:$B$25,MATCH(H55,'Assumptions &amp; FX Reference'!$A$5:$A$25,0))/INDEX('Assumptions &amp; FX Reference'!$C$5:$C$25,MATCH(H55,'Assumptions &amp; FX Reference'!$A$5:$A$25,0)),""))),"(FX missing)"))</f>
        <v>30000</v>
      </c>
      <c r="P55" s="30"/>
      <c r="Q55" s="30"/>
      <c r="R55" s="30"/>
      <c r="S55" s="30"/>
      <c r="T55" s="30"/>
      <c r="U55" s="30"/>
      <c r="V55" s="30" t="s">
        <v>1036</v>
      </c>
    </row>
    <row r="56" spans="1:22">
      <c r="A56" s="30" t="s">
        <v>1037</v>
      </c>
      <c r="B56" s="30">
        <v>106</v>
      </c>
      <c r="C56" s="33" t="str">
        <f>IF(B56="","",IFERROR(INDEX('Master Database'!$D$5:$D$600,MATCH(B56,'Master Database'!$A$5:$A$600,0)),"(row not found)"))</f>
        <v>P-164 A/B</v>
      </c>
      <c r="D56" s="33" t="str">
        <f>IF(B56="","",IFERROR(INDEX('Master Database'!$B$5:$B$600,MATCH(B56,'Master Database'!$A$5:$A$600,0)),"(row not found)"))</f>
        <v>O.W.S. Water Pumps</v>
      </c>
      <c r="E56" s="30" t="s">
        <v>940</v>
      </c>
      <c r="F56" s="33" t="str">
        <f>IF(E56="","",IFERROR(INDEX(Vendor_Register!$B$5:$B$205,MATCH(E56,Vendor_Register!$A$5:$A$205,0)),"(not in register)"))</f>
        <v>کالای پمپ</v>
      </c>
      <c r="G56" s="33" t="str">
        <f>IF(E56="","",IFERROR(INDEX(Vendor_Register!$E$5:$E$205,MATCH(E56,Vendor_Register!$A$5:$A$205,0)),"(not in register)"))</f>
        <v>Not checked</v>
      </c>
      <c r="H56" s="30"/>
      <c r="I56" s="30"/>
      <c r="J56" s="30"/>
      <c r="K56" s="30"/>
      <c r="L56" s="30"/>
      <c r="M56" s="34"/>
      <c r="N56" s="30"/>
      <c r="O56" s="35" t="str">
        <f>IF(NOT(ISNUMBER(M56)),"",IFERROR(IF(L56="EUR",M56,IF(L56="IRR",M56/INDEX('Assumptions &amp; FX Reference'!$C$5:$C$25,MATCH(H56,'Assumptions &amp; FX Reference'!$A$5:$A$25,0)),IF(L56="USD",M56*INDEX('Assumptions &amp; FX Reference'!$B$5:$B$25,MATCH(H56,'Assumptions &amp; FX Reference'!$A$5:$A$25,0))/INDEX('Assumptions &amp; FX Reference'!$C$5:$C$25,MATCH(H56,'Assumptions &amp; FX Reference'!$A$5:$A$25,0)),""))),"(FX missing)"))</f>
        <v/>
      </c>
      <c r="P56" s="30"/>
      <c r="Q56" s="30"/>
      <c r="R56" s="30"/>
      <c r="S56" s="30"/>
      <c r="T56" s="30"/>
      <c r="U56" s="30"/>
      <c r="V56" s="30" t="s">
        <v>1038</v>
      </c>
    </row>
    <row r="57" spans="1:22">
      <c r="A57" s="30" t="s">
        <v>1039</v>
      </c>
      <c r="B57" s="30">
        <v>106</v>
      </c>
      <c r="C57" s="33" t="str">
        <f>IF(B57="","",IFERROR(INDEX('Master Database'!$D$5:$D$600,MATCH(B57,'Master Database'!$A$5:$A$600,0)),"(row not found)"))</f>
        <v>P-164 A/B</v>
      </c>
      <c r="D57" s="33" t="str">
        <f>IF(B57="","",IFERROR(INDEX('Master Database'!$B$5:$B$600,MATCH(B57,'Master Database'!$A$5:$A$600,0)),"(row not found)"))</f>
        <v>O.W.S. Water Pumps</v>
      </c>
      <c r="E57" s="30" t="s">
        <v>943</v>
      </c>
      <c r="F57" s="33" t="str">
        <f>IF(E57="","",IFERROR(INDEX(Vendor_Register!$B$5:$B$205,MATCH(E57,Vendor_Register!$A$5:$A$205,0)),"(not in register)"))</f>
        <v>دالاهو پارس کیش (دمکو)</v>
      </c>
      <c r="G57" s="33" t="str">
        <f>IF(E57="","",IFERROR(INDEX(Vendor_Register!$E$5:$E$205,MATCH(E57,Vendor_Register!$A$5:$A$205,0)),"(not in register)"))</f>
        <v>Not checked</v>
      </c>
      <c r="H57" s="30"/>
      <c r="I57" s="30"/>
      <c r="J57" s="30"/>
      <c r="K57" s="30"/>
      <c r="L57" s="30"/>
      <c r="M57" s="34"/>
      <c r="N57" s="30"/>
      <c r="O57" s="35" t="str">
        <f>IF(NOT(ISNUMBER(M57)),"",IFERROR(IF(L57="EUR",M57,IF(L57="IRR",M57/INDEX('Assumptions &amp; FX Reference'!$C$5:$C$25,MATCH(H57,'Assumptions &amp; FX Reference'!$A$5:$A$25,0)),IF(L57="USD",M57*INDEX('Assumptions &amp; FX Reference'!$B$5:$B$25,MATCH(H57,'Assumptions &amp; FX Reference'!$A$5:$A$25,0))/INDEX('Assumptions &amp; FX Reference'!$C$5:$C$25,MATCH(H57,'Assumptions &amp; FX Reference'!$A$5:$A$25,0)),""))),"(FX missing)"))</f>
        <v/>
      </c>
      <c r="P57" s="30"/>
      <c r="Q57" s="30"/>
      <c r="R57" s="30"/>
      <c r="S57" s="30"/>
      <c r="T57" s="30"/>
      <c r="U57" s="30"/>
      <c r="V57" s="30" t="s">
        <v>1040</v>
      </c>
    </row>
    <row r="58" spans="1:22">
      <c r="A58" s="30" t="s">
        <v>1041</v>
      </c>
      <c r="B58" s="30">
        <v>107</v>
      </c>
      <c r="C58" s="33" t="str">
        <f>IF(B58="","",IFERROR(INDEX('Master Database'!$D$5:$D$600,MATCH(B58,'Master Database'!$A$5:$A$600,0)),"(row not found)"))</f>
        <v>P-165 A/B</v>
      </c>
      <c r="D58" s="33" t="str">
        <f>IF(B58="","",IFERROR(INDEX('Master Database'!$B$5:$B$600,MATCH(B58,'Master Database'!$A$5:$A$600,0)),"(row not found)"))</f>
        <v>Oily Water Basin Pumps</v>
      </c>
      <c r="E58" s="30" t="s">
        <v>931</v>
      </c>
      <c r="F58" s="33" t="str">
        <f>IF(E58="","",IFERROR(INDEX(Vendor_Register!$B$5:$B$205,MATCH(E58,Vendor_Register!$A$5:$A$205,0)),"(not in register)"))</f>
        <v>آریا سپهر کیهان</v>
      </c>
      <c r="G58" s="33" t="str">
        <f>IF(E58="","",IFERROR(INDEX(Vendor_Register!$E$5:$E$205,MATCH(E58,Vendor_Register!$A$5:$A$205,0)),"(not in register)"))</f>
        <v>Not checked</v>
      </c>
      <c r="H58" s="30">
        <v>1403</v>
      </c>
      <c r="I58" s="30" t="s">
        <v>932</v>
      </c>
      <c r="J58" s="30"/>
      <c r="K58" s="38" t="s">
        <v>204</v>
      </c>
      <c r="L58" s="30" t="s">
        <v>355</v>
      </c>
      <c r="M58" s="34">
        <v>22500</v>
      </c>
      <c r="N58" s="30" t="s">
        <v>933</v>
      </c>
      <c r="O58" s="35">
        <f>IF(NOT(ISNUMBER(M58)),"",IFERROR(IF(L58="EUR",M58,IF(L58="IRR",M58/INDEX('Assumptions &amp; FX Reference'!$C$5:$C$25,MATCH(H58,'Assumptions &amp; FX Reference'!$A$5:$A$25,0)),IF(L58="USD",M58*INDEX('Assumptions &amp; FX Reference'!$B$5:$B$25,MATCH(H58,'Assumptions &amp; FX Reference'!$A$5:$A$25,0))/INDEX('Assumptions &amp; FX Reference'!$C$5:$C$25,MATCH(H58,'Assumptions &amp; FX Reference'!$A$5:$A$25,0)),""))),"(FX missing)"))</f>
        <v>22500</v>
      </c>
      <c r="P58" s="30"/>
      <c r="Q58" s="30"/>
      <c r="R58" s="30"/>
      <c r="S58" s="30"/>
      <c r="T58" s="30"/>
      <c r="U58" s="30"/>
      <c r="V58" s="30" t="s">
        <v>1042</v>
      </c>
    </row>
    <row r="59" spans="1:22">
      <c r="A59" s="30" t="s">
        <v>1043</v>
      </c>
      <c r="B59" s="30">
        <v>107</v>
      </c>
      <c r="C59" s="33" t="str">
        <f>IF(B59="","",IFERROR(INDEX('Master Database'!$D$5:$D$600,MATCH(B59,'Master Database'!$A$5:$A$600,0)),"(row not found)"))</f>
        <v>P-165 A/B</v>
      </c>
      <c r="D59" s="33" t="str">
        <f>IF(B59="","",IFERROR(INDEX('Master Database'!$B$5:$B$600,MATCH(B59,'Master Database'!$A$5:$A$600,0)),"(row not found)"))</f>
        <v>Oily Water Basin Pumps</v>
      </c>
      <c r="E59" s="30" t="s">
        <v>936</v>
      </c>
      <c r="F59" s="33" t="str">
        <f>IF(E59="","",IFERROR(INDEX(Vendor_Register!$B$5:$B$205,MATCH(E59,Vendor_Register!$A$5:$A$205,0)),"(not in register)"))</f>
        <v>پمپیران</v>
      </c>
      <c r="G59" s="33" t="str">
        <f>IF(E59="","",IFERROR(INDEX(Vendor_Register!$E$5:$E$205,MATCH(E59,Vendor_Register!$A$5:$A$205,0)),"(not in register)"))</f>
        <v>Not checked</v>
      </c>
      <c r="H59" s="30">
        <v>1404</v>
      </c>
      <c r="I59" s="30" t="s">
        <v>937</v>
      </c>
      <c r="J59" s="30"/>
      <c r="K59" s="38" t="s">
        <v>204</v>
      </c>
      <c r="L59" s="30" t="s">
        <v>355</v>
      </c>
      <c r="M59" s="34">
        <v>30000</v>
      </c>
      <c r="N59" s="30" t="s">
        <v>933</v>
      </c>
      <c r="O59" s="35">
        <f>IF(NOT(ISNUMBER(M59)),"",IFERROR(IF(L59="EUR",M59,IF(L59="IRR",M59/INDEX('Assumptions &amp; FX Reference'!$C$5:$C$25,MATCH(H59,'Assumptions &amp; FX Reference'!$A$5:$A$25,0)),IF(L59="USD",M59*INDEX('Assumptions &amp; FX Reference'!$B$5:$B$25,MATCH(H59,'Assumptions &amp; FX Reference'!$A$5:$A$25,0))/INDEX('Assumptions &amp; FX Reference'!$C$5:$C$25,MATCH(H59,'Assumptions &amp; FX Reference'!$A$5:$A$25,0)),""))),"(FX missing)"))</f>
        <v>30000</v>
      </c>
      <c r="P59" s="30"/>
      <c r="Q59" s="30"/>
      <c r="R59" s="30"/>
      <c r="S59" s="30"/>
      <c r="T59" s="30"/>
      <c r="U59" s="30"/>
      <c r="V59" s="30" t="s">
        <v>1044</v>
      </c>
    </row>
    <row r="60" spans="1:22">
      <c r="A60" s="30" t="s">
        <v>1045</v>
      </c>
      <c r="B60" s="30">
        <v>107</v>
      </c>
      <c r="C60" s="33" t="str">
        <f>IF(B60="","",IFERROR(INDEX('Master Database'!$D$5:$D$600,MATCH(B60,'Master Database'!$A$5:$A$600,0)),"(row not found)"))</f>
        <v>P-165 A/B</v>
      </c>
      <c r="D60" s="33" t="str">
        <f>IF(B60="","",IFERROR(INDEX('Master Database'!$B$5:$B$600,MATCH(B60,'Master Database'!$A$5:$A$600,0)),"(row not found)"))</f>
        <v>Oily Water Basin Pumps</v>
      </c>
      <c r="E60" s="30" t="s">
        <v>940</v>
      </c>
      <c r="F60" s="33" t="str">
        <f>IF(E60="","",IFERROR(INDEX(Vendor_Register!$B$5:$B$205,MATCH(E60,Vendor_Register!$A$5:$A$205,0)),"(not in register)"))</f>
        <v>کالای پمپ</v>
      </c>
      <c r="G60" s="33" t="str">
        <f>IF(E60="","",IFERROR(INDEX(Vendor_Register!$E$5:$E$205,MATCH(E60,Vendor_Register!$A$5:$A$205,0)),"(not in register)"))</f>
        <v>Not checked</v>
      </c>
      <c r="H60" s="30"/>
      <c r="I60" s="30"/>
      <c r="J60" s="30"/>
      <c r="K60" s="30"/>
      <c r="L60" s="30"/>
      <c r="M60" s="34"/>
      <c r="N60" s="30"/>
      <c r="O60" s="35" t="str">
        <f>IF(NOT(ISNUMBER(M60)),"",IFERROR(IF(L60="EUR",M60,IF(L60="IRR",M60/INDEX('Assumptions &amp; FX Reference'!$C$5:$C$25,MATCH(H60,'Assumptions &amp; FX Reference'!$A$5:$A$25,0)),IF(L60="USD",M60*INDEX('Assumptions &amp; FX Reference'!$B$5:$B$25,MATCH(H60,'Assumptions &amp; FX Reference'!$A$5:$A$25,0))/INDEX('Assumptions &amp; FX Reference'!$C$5:$C$25,MATCH(H60,'Assumptions &amp; FX Reference'!$A$5:$A$25,0)),""))),"(FX missing)"))</f>
        <v/>
      </c>
      <c r="P60" s="30"/>
      <c r="Q60" s="30"/>
      <c r="R60" s="30"/>
      <c r="S60" s="30"/>
      <c r="T60" s="30"/>
      <c r="U60" s="30"/>
      <c r="V60" s="30" t="s">
        <v>1046</v>
      </c>
    </row>
    <row r="61" spans="1:22">
      <c r="A61" s="30" t="s">
        <v>1047</v>
      </c>
      <c r="B61" s="30">
        <v>107</v>
      </c>
      <c r="C61" s="33" t="str">
        <f>IF(B61="","",IFERROR(INDEX('Master Database'!$D$5:$D$600,MATCH(B61,'Master Database'!$A$5:$A$600,0)),"(row not found)"))</f>
        <v>P-165 A/B</v>
      </c>
      <c r="D61" s="33" t="str">
        <f>IF(B61="","",IFERROR(INDEX('Master Database'!$B$5:$B$600,MATCH(B61,'Master Database'!$A$5:$A$600,0)),"(row not found)"))</f>
        <v>Oily Water Basin Pumps</v>
      </c>
      <c r="E61" s="30" t="s">
        <v>943</v>
      </c>
      <c r="F61" s="33" t="str">
        <f>IF(E61="","",IFERROR(INDEX(Vendor_Register!$B$5:$B$205,MATCH(E61,Vendor_Register!$A$5:$A$205,0)),"(not in register)"))</f>
        <v>دالاهو پارس کیش (دمکو)</v>
      </c>
      <c r="G61" s="33" t="str">
        <f>IF(E61="","",IFERROR(INDEX(Vendor_Register!$E$5:$E$205,MATCH(E61,Vendor_Register!$A$5:$A$205,0)),"(not in register)"))</f>
        <v>Not checked</v>
      </c>
      <c r="H61" s="30"/>
      <c r="I61" s="30"/>
      <c r="J61" s="30"/>
      <c r="K61" s="30"/>
      <c r="L61" s="30"/>
      <c r="M61" s="34"/>
      <c r="N61" s="30"/>
      <c r="O61" s="35" t="str">
        <f>IF(NOT(ISNUMBER(M61)),"",IFERROR(IF(L61="EUR",M61,IF(L61="IRR",M61/INDEX('Assumptions &amp; FX Reference'!$C$5:$C$25,MATCH(H61,'Assumptions &amp; FX Reference'!$A$5:$A$25,0)),IF(L61="USD",M61*INDEX('Assumptions &amp; FX Reference'!$B$5:$B$25,MATCH(H61,'Assumptions &amp; FX Reference'!$A$5:$A$25,0))/INDEX('Assumptions &amp; FX Reference'!$C$5:$C$25,MATCH(H61,'Assumptions &amp; FX Reference'!$A$5:$A$25,0)),""))),"(FX missing)"))</f>
        <v/>
      </c>
      <c r="P61" s="30"/>
      <c r="Q61" s="30"/>
      <c r="R61" s="30"/>
      <c r="S61" s="30"/>
      <c r="T61" s="30"/>
      <c r="U61" s="30"/>
      <c r="V61" s="30" t="s">
        <v>1048</v>
      </c>
    </row>
    <row r="62" spans="1:22">
      <c r="A62" s="30" t="s">
        <v>1049</v>
      </c>
      <c r="B62" s="30">
        <v>108</v>
      </c>
      <c r="C62" s="33" t="str">
        <f>IF(B62="","",IFERROR(INDEX('Master Database'!$D$5:$D$600,MATCH(B62,'Master Database'!$A$5:$A$600,0)),"(row not found)"))</f>
        <v>P-171</v>
      </c>
      <c r="D62" s="33" t="str">
        <f>IF(B62="","",IFERROR(INDEX('Master Database'!$B$5:$B$600,MATCH(B62,'Master Database'!$A$5:$A$600,0)),"(row not found)"))</f>
        <v>Fuel Oil Pump</v>
      </c>
      <c r="E62" s="30" t="s">
        <v>931</v>
      </c>
      <c r="F62" s="33" t="str">
        <f>IF(E62="","",IFERROR(INDEX(Vendor_Register!$B$5:$B$205,MATCH(E62,Vendor_Register!$A$5:$A$205,0)),"(not in register)"))</f>
        <v>آریا سپهر کیهان</v>
      </c>
      <c r="G62" s="33" t="str">
        <f>IF(E62="","",IFERROR(INDEX(Vendor_Register!$E$5:$E$205,MATCH(E62,Vendor_Register!$A$5:$A$205,0)),"(not in register)"))</f>
        <v>Not checked</v>
      </c>
      <c r="H62" s="30">
        <v>1403</v>
      </c>
      <c r="I62" s="30" t="s">
        <v>932</v>
      </c>
      <c r="J62" s="30"/>
      <c r="K62" s="38" t="s">
        <v>204</v>
      </c>
      <c r="L62" s="30" t="s">
        <v>355</v>
      </c>
      <c r="M62" s="34">
        <v>12000</v>
      </c>
      <c r="N62" s="30" t="s">
        <v>933</v>
      </c>
      <c r="O62" s="35">
        <f>IF(NOT(ISNUMBER(M62)),"",IFERROR(IF(L62="EUR",M62,IF(L62="IRR",M62/INDEX('Assumptions &amp; FX Reference'!$C$5:$C$25,MATCH(H62,'Assumptions &amp; FX Reference'!$A$5:$A$25,0)),IF(L62="USD",M62*INDEX('Assumptions &amp; FX Reference'!$B$5:$B$25,MATCH(H62,'Assumptions &amp; FX Reference'!$A$5:$A$25,0))/INDEX('Assumptions &amp; FX Reference'!$C$5:$C$25,MATCH(H62,'Assumptions &amp; FX Reference'!$A$5:$A$25,0)),""))),"(FX missing)"))</f>
        <v>12000</v>
      </c>
      <c r="P62" s="30"/>
      <c r="Q62" s="30"/>
      <c r="R62" s="30"/>
      <c r="S62" s="30"/>
      <c r="T62" s="30"/>
      <c r="U62" s="30"/>
      <c r="V62" s="30" t="s">
        <v>1050</v>
      </c>
    </row>
    <row r="63" spans="1:22">
      <c r="A63" s="30" t="s">
        <v>1051</v>
      </c>
      <c r="B63" s="30">
        <v>108</v>
      </c>
      <c r="C63" s="33" t="str">
        <f>IF(B63="","",IFERROR(INDEX('Master Database'!$D$5:$D$600,MATCH(B63,'Master Database'!$A$5:$A$600,0)),"(row not found)"))</f>
        <v>P-171</v>
      </c>
      <c r="D63" s="33" t="str">
        <f>IF(B63="","",IFERROR(INDEX('Master Database'!$B$5:$B$600,MATCH(B63,'Master Database'!$A$5:$A$600,0)),"(row not found)"))</f>
        <v>Fuel Oil Pump</v>
      </c>
      <c r="E63" s="30" t="s">
        <v>936</v>
      </c>
      <c r="F63" s="33" t="str">
        <f>IF(E63="","",IFERROR(INDEX(Vendor_Register!$B$5:$B$205,MATCH(E63,Vendor_Register!$A$5:$A$205,0)),"(not in register)"))</f>
        <v>پمپیران</v>
      </c>
      <c r="G63" s="33" t="str">
        <f>IF(E63="","",IFERROR(INDEX(Vendor_Register!$E$5:$E$205,MATCH(E63,Vendor_Register!$A$5:$A$205,0)),"(not in register)"))</f>
        <v>Not checked</v>
      </c>
      <c r="H63" s="30">
        <v>1404</v>
      </c>
      <c r="I63" s="30" t="s">
        <v>937</v>
      </c>
      <c r="J63" s="30"/>
      <c r="K63" s="38" t="s">
        <v>204</v>
      </c>
      <c r="L63" s="30" t="s">
        <v>355</v>
      </c>
      <c r="M63" s="34">
        <v>30000</v>
      </c>
      <c r="N63" s="30" t="s">
        <v>933</v>
      </c>
      <c r="O63" s="35">
        <f>IF(NOT(ISNUMBER(M63)),"",IFERROR(IF(L63="EUR",M63,IF(L63="IRR",M63/INDEX('Assumptions &amp; FX Reference'!$C$5:$C$25,MATCH(H63,'Assumptions &amp; FX Reference'!$A$5:$A$25,0)),IF(L63="USD",M63*INDEX('Assumptions &amp; FX Reference'!$B$5:$B$25,MATCH(H63,'Assumptions &amp; FX Reference'!$A$5:$A$25,0))/INDEX('Assumptions &amp; FX Reference'!$C$5:$C$25,MATCH(H63,'Assumptions &amp; FX Reference'!$A$5:$A$25,0)),""))),"(FX missing)"))</f>
        <v>30000</v>
      </c>
      <c r="P63" s="30"/>
      <c r="Q63" s="30"/>
      <c r="R63" s="30"/>
      <c r="S63" s="30"/>
      <c r="T63" s="30"/>
      <c r="U63" s="30"/>
      <c r="V63" s="30" t="s">
        <v>1052</v>
      </c>
    </row>
    <row r="64" spans="1:22">
      <c r="A64" s="30" t="s">
        <v>1053</v>
      </c>
      <c r="B64" s="30">
        <v>108</v>
      </c>
      <c r="C64" s="33" t="str">
        <f>IF(B64="","",IFERROR(INDEX('Master Database'!$D$5:$D$600,MATCH(B64,'Master Database'!$A$5:$A$600,0)),"(row not found)"))</f>
        <v>P-171</v>
      </c>
      <c r="D64" s="33" t="str">
        <f>IF(B64="","",IFERROR(INDEX('Master Database'!$B$5:$B$600,MATCH(B64,'Master Database'!$A$5:$A$600,0)),"(row not found)"))</f>
        <v>Fuel Oil Pump</v>
      </c>
      <c r="E64" s="30" t="s">
        <v>940</v>
      </c>
      <c r="F64" s="33" t="str">
        <f>IF(E64="","",IFERROR(INDEX(Vendor_Register!$B$5:$B$205,MATCH(E64,Vendor_Register!$A$5:$A$205,0)),"(not in register)"))</f>
        <v>کالای پمپ</v>
      </c>
      <c r="G64" s="33" t="str">
        <f>IF(E64="","",IFERROR(INDEX(Vendor_Register!$E$5:$E$205,MATCH(E64,Vendor_Register!$A$5:$A$205,0)),"(not in register)"))</f>
        <v>Not checked</v>
      </c>
      <c r="H64" s="30"/>
      <c r="I64" s="30"/>
      <c r="J64" s="30"/>
      <c r="K64" s="30"/>
      <c r="L64" s="30"/>
      <c r="M64" s="34"/>
      <c r="N64" s="30"/>
      <c r="O64" s="35" t="str">
        <f>IF(NOT(ISNUMBER(M64)),"",IFERROR(IF(L64="EUR",M64,IF(L64="IRR",M64/INDEX('Assumptions &amp; FX Reference'!$C$5:$C$25,MATCH(H64,'Assumptions &amp; FX Reference'!$A$5:$A$25,0)),IF(L64="USD",M64*INDEX('Assumptions &amp; FX Reference'!$B$5:$B$25,MATCH(H64,'Assumptions &amp; FX Reference'!$A$5:$A$25,0))/INDEX('Assumptions &amp; FX Reference'!$C$5:$C$25,MATCH(H64,'Assumptions &amp; FX Reference'!$A$5:$A$25,0)),""))),"(FX missing)"))</f>
        <v/>
      </c>
      <c r="P64" s="30"/>
      <c r="Q64" s="30"/>
      <c r="R64" s="30"/>
      <c r="S64" s="30"/>
      <c r="T64" s="30"/>
      <c r="U64" s="30"/>
      <c r="V64" s="30" t="s">
        <v>1054</v>
      </c>
    </row>
    <row r="65" spans="1:22">
      <c r="A65" s="30" t="s">
        <v>1055</v>
      </c>
      <c r="B65" s="30">
        <v>108</v>
      </c>
      <c r="C65" s="33" t="str">
        <f>IF(B65="","",IFERROR(INDEX('Master Database'!$D$5:$D$600,MATCH(B65,'Master Database'!$A$5:$A$600,0)),"(row not found)"))</f>
        <v>P-171</v>
      </c>
      <c r="D65" s="33" t="str">
        <f>IF(B65="","",IFERROR(INDEX('Master Database'!$B$5:$B$600,MATCH(B65,'Master Database'!$A$5:$A$600,0)),"(row not found)"))</f>
        <v>Fuel Oil Pump</v>
      </c>
      <c r="E65" s="30" t="s">
        <v>943</v>
      </c>
      <c r="F65" s="33" t="str">
        <f>IF(E65="","",IFERROR(INDEX(Vendor_Register!$B$5:$B$205,MATCH(E65,Vendor_Register!$A$5:$A$205,0)),"(not in register)"))</f>
        <v>دالاهو پارس کیش (دمکو)</v>
      </c>
      <c r="G65" s="33" t="str">
        <f>IF(E65="","",IFERROR(INDEX(Vendor_Register!$E$5:$E$205,MATCH(E65,Vendor_Register!$A$5:$A$205,0)),"(not in register)"))</f>
        <v>Not checked</v>
      </c>
      <c r="H65" s="30"/>
      <c r="I65" s="30"/>
      <c r="J65" s="30"/>
      <c r="K65" s="30"/>
      <c r="L65" s="30"/>
      <c r="M65" s="34"/>
      <c r="N65" s="30"/>
      <c r="O65" s="35" t="str">
        <f>IF(NOT(ISNUMBER(M65)),"",IFERROR(IF(L65="EUR",M65,IF(L65="IRR",M65/INDEX('Assumptions &amp; FX Reference'!$C$5:$C$25,MATCH(H65,'Assumptions &amp; FX Reference'!$A$5:$A$25,0)),IF(L65="USD",M65*INDEX('Assumptions &amp; FX Reference'!$B$5:$B$25,MATCH(H65,'Assumptions &amp; FX Reference'!$A$5:$A$25,0))/INDEX('Assumptions &amp; FX Reference'!$C$5:$C$25,MATCH(H65,'Assumptions &amp; FX Reference'!$A$5:$A$25,0)),""))),"(FX missing)"))</f>
        <v/>
      </c>
      <c r="P65" s="30"/>
      <c r="Q65" s="30"/>
      <c r="R65" s="30"/>
      <c r="S65" s="30"/>
      <c r="T65" s="30"/>
      <c r="U65" s="30"/>
      <c r="V65" s="30" t="s">
        <v>1056</v>
      </c>
    </row>
    <row r="66" spans="1:22">
      <c r="A66" s="30" t="s">
        <v>1057</v>
      </c>
      <c r="B66" s="30">
        <v>109</v>
      </c>
      <c r="C66" s="33" t="str">
        <f>IF(B66="","",IFERROR(INDEX('Master Database'!$D$5:$D$600,MATCH(B66,'Master Database'!$A$5:$A$600,0)),"(row not found)"))</f>
        <v>P-191</v>
      </c>
      <c r="D66" s="33" t="str">
        <f>IF(B66="","",IFERROR(INDEX('Master Database'!$B$5:$B$600,MATCH(B66,'Master Database'!$A$5:$A$600,0)),"(row not found)"))</f>
        <v>Fire Water Loading Pump</v>
      </c>
      <c r="E66" s="30" t="s">
        <v>931</v>
      </c>
      <c r="F66" s="33" t="str">
        <f>IF(E66="","",IFERROR(INDEX(Vendor_Register!$B$5:$B$205,MATCH(E66,Vendor_Register!$A$5:$A$205,0)),"(not in register)"))</f>
        <v>آریا سپهر کیهان</v>
      </c>
      <c r="G66" s="33" t="str">
        <f>IF(E66="","",IFERROR(INDEX(Vendor_Register!$E$5:$E$205,MATCH(E66,Vendor_Register!$A$5:$A$205,0)),"(not in register)"))</f>
        <v>Not checked</v>
      </c>
      <c r="H66" s="30">
        <v>1403</v>
      </c>
      <c r="I66" s="30" t="s">
        <v>932</v>
      </c>
      <c r="J66" s="30"/>
      <c r="K66" s="38" t="s">
        <v>204</v>
      </c>
      <c r="L66" s="30" t="s">
        <v>355</v>
      </c>
      <c r="M66" s="34">
        <v>19000</v>
      </c>
      <c r="N66" s="30" t="s">
        <v>933</v>
      </c>
      <c r="O66" s="35">
        <f>IF(NOT(ISNUMBER(M66)),"",IFERROR(IF(L66="EUR",M66,IF(L66="IRR",M66/INDEX('Assumptions &amp; FX Reference'!$C$5:$C$25,MATCH(H66,'Assumptions &amp; FX Reference'!$A$5:$A$25,0)),IF(L66="USD",M66*INDEX('Assumptions &amp; FX Reference'!$B$5:$B$25,MATCH(H66,'Assumptions &amp; FX Reference'!$A$5:$A$25,0))/INDEX('Assumptions &amp; FX Reference'!$C$5:$C$25,MATCH(H66,'Assumptions &amp; FX Reference'!$A$5:$A$25,0)),""))),"(FX missing)"))</f>
        <v>19000</v>
      </c>
      <c r="P66" s="30"/>
      <c r="Q66" s="30"/>
      <c r="R66" s="30"/>
      <c r="S66" s="30"/>
      <c r="T66" s="30"/>
      <c r="U66" s="30"/>
      <c r="V66" s="30" t="s">
        <v>1058</v>
      </c>
    </row>
    <row r="67" spans="1:22">
      <c r="A67" s="30" t="s">
        <v>1059</v>
      </c>
      <c r="B67" s="30">
        <v>109</v>
      </c>
      <c r="C67" s="33" t="str">
        <f>IF(B67="","",IFERROR(INDEX('Master Database'!$D$5:$D$600,MATCH(B67,'Master Database'!$A$5:$A$600,0)),"(row not found)"))</f>
        <v>P-191</v>
      </c>
      <c r="D67" s="33" t="str">
        <f>IF(B67="","",IFERROR(INDEX('Master Database'!$B$5:$B$600,MATCH(B67,'Master Database'!$A$5:$A$600,0)),"(row not found)"))</f>
        <v>Fire Water Loading Pump</v>
      </c>
      <c r="E67" s="30" t="s">
        <v>936</v>
      </c>
      <c r="F67" s="33" t="str">
        <f>IF(E67="","",IFERROR(INDEX(Vendor_Register!$B$5:$B$205,MATCH(E67,Vendor_Register!$A$5:$A$205,0)),"(not in register)"))</f>
        <v>پمپیران</v>
      </c>
      <c r="G67" s="33" t="str">
        <f>IF(E67="","",IFERROR(INDEX(Vendor_Register!$E$5:$E$205,MATCH(E67,Vendor_Register!$A$5:$A$205,0)),"(not in register)"))</f>
        <v>Not checked</v>
      </c>
      <c r="H67" s="30">
        <v>1404</v>
      </c>
      <c r="I67" s="30" t="s">
        <v>937</v>
      </c>
      <c r="J67" s="30"/>
      <c r="K67" s="38" t="s">
        <v>204</v>
      </c>
      <c r="L67" s="30" t="s">
        <v>355</v>
      </c>
      <c r="M67" s="34">
        <v>13000</v>
      </c>
      <c r="N67" s="30" t="s">
        <v>933</v>
      </c>
      <c r="O67" s="35">
        <f>IF(NOT(ISNUMBER(M67)),"",IFERROR(IF(L67="EUR",M67,IF(L67="IRR",M67/INDEX('Assumptions &amp; FX Reference'!$C$5:$C$25,MATCH(H67,'Assumptions &amp; FX Reference'!$A$5:$A$25,0)),IF(L67="USD",M67*INDEX('Assumptions &amp; FX Reference'!$B$5:$B$25,MATCH(H67,'Assumptions &amp; FX Reference'!$A$5:$A$25,0))/INDEX('Assumptions &amp; FX Reference'!$C$5:$C$25,MATCH(H67,'Assumptions &amp; FX Reference'!$A$5:$A$25,0)),""))),"(FX missing)"))</f>
        <v>13000</v>
      </c>
      <c r="P67" s="30"/>
      <c r="Q67" s="30"/>
      <c r="R67" s="30"/>
      <c r="S67" s="30"/>
      <c r="T67" s="30"/>
      <c r="U67" s="30"/>
      <c r="V67" s="30" t="s">
        <v>1060</v>
      </c>
    </row>
    <row r="68" spans="1:22">
      <c r="A68" s="30" t="s">
        <v>1061</v>
      </c>
      <c r="B68" s="30">
        <v>109</v>
      </c>
      <c r="C68" s="33" t="str">
        <f>IF(B68="","",IFERROR(INDEX('Master Database'!$D$5:$D$600,MATCH(B68,'Master Database'!$A$5:$A$600,0)),"(row not found)"))</f>
        <v>P-191</v>
      </c>
      <c r="D68" s="33" t="str">
        <f>IF(B68="","",IFERROR(INDEX('Master Database'!$B$5:$B$600,MATCH(B68,'Master Database'!$A$5:$A$600,0)),"(row not found)"))</f>
        <v>Fire Water Loading Pump</v>
      </c>
      <c r="E68" s="30" t="s">
        <v>940</v>
      </c>
      <c r="F68" s="33" t="str">
        <f>IF(E68="","",IFERROR(INDEX(Vendor_Register!$B$5:$B$205,MATCH(E68,Vendor_Register!$A$5:$A$205,0)),"(not in register)"))</f>
        <v>کالای پمپ</v>
      </c>
      <c r="G68" s="33" t="str">
        <f>IF(E68="","",IFERROR(INDEX(Vendor_Register!$E$5:$E$205,MATCH(E68,Vendor_Register!$A$5:$A$205,0)),"(not in register)"))</f>
        <v>Not checked</v>
      </c>
      <c r="H68" s="30"/>
      <c r="I68" s="30"/>
      <c r="J68" s="30"/>
      <c r="K68" s="30"/>
      <c r="L68" s="30"/>
      <c r="M68" s="34"/>
      <c r="N68" s="30"/>
      <c r="O68" s="35" t="str">
        <f>IF(NOT(ISNUMBER(M68)),"",IFERROR(IF(L68="EUR",M68,IF(L68="IRR",M68/INDEX('Assumptions &amp; FX Reference'!$C$5:$C$25,MATCH(H68,'Assumptions &amp; FX Reference'!$A$5:$A$25,0)),IF(L68="USD",M68*INDEX('Assumptions &amp; FX Reference'!$B$5:$B$25,MATCH(H68,'Assumptions &amp; FX Reference'!$A$5:$A$25,0))/INDEX('Assumptions &amp; FX Reference'!$C$5:$C$25,MATCH(H68,'Assumptions &amp; FX Reference'!$A$5:$A$25,0)),""))),"(FX missing)"))</f>
        <v/>
      </c>
      <c r="P68" s="30"/>
      <c r="Q68" s="30"/>
      <c r="R68" s="30"/>
      <c r="S68" s="30"/>
      <c r="T68" s="30"/>
      <c r="U68" s="30"/>
      <c r="V68" s="30" t="s">
        <v>1062</v>
      </c>
    </row>
    <row r="69" spans="1:22">
      <c r="A69" s="30" t="s">
        <v>1063</v>
      </c>
      <c r="B69" s="30">
        <v>109</v>
      </c>
      <c r="C69" s="33" t="str">
        <f>IF(B69="","",IFERROR(INDEX('Master Database'!$D$5:$D$600,MATCH(B69,'Master Database'!$A$5:$A$600,0)),"(row not found)"))</f>
        <v>P-191</v>
      </c>
      <c r="D69" s="33" t="str">
        <f>IF(B69="","",IFERROR(INDEX('Master Database'!$B$5:$B$600,MATCH(B69,'Master Database'!$A$5:$A$600,0)),"(row not found)"))</f>
        <v>Fire Water Loading Pump</v>
      </c>
      <c r="E69" s="30" t="s">
        <v>943</v>
      </c>
      <c r="F69" s="33" t="str">
        <f>IF(E69="","",IFERROR(INDEX(Vendor_Register!$B$5:$B$205,MATCH(E69,Vendor_Register!$A$5:$A$205,0)),"(not in register)"))</f>
        <v>دالاهو پارس کیش (دمکو)</v>
      </c>
      <c r="G69" s="33" t="str">
        <f>IF(E69="","",IFERROR(INDEX(Vendor_Register!$E$5:$E$205,MATCH(E69,Vendor_Register!$A$5:$A$205,0)),"(not in register)"))</f>
        <v>Not checked</v>
      </c>
      <c r="H69" s="30"/>
      <c r="I69" s="30"/>
      <c r="J69" s="30"/>
      <c r="K69" s="30"/>
      <c r="L69" s="30"/>
      <c r="M69" s="34"/>
      <c r="N69" s="30"/>
      <c r="O69" s="35" t="str">
        <f>IF(NOT(ISNUMBER(M69)),"",IFERROR(IF(L69="EUR",M69,IF(L69="IRR",M69/INDEX('Assumptions &amp; FX Reference'!$C$5:$C$25,MATCH(H69,'Assumptions &amp; FX Reference'!$A$5:$A$25,0)),IF(L69="USD",M69*INDEX('Assumptions &amp; FX Reference'!$B$5:$B$25,MATCH(H69,'Assumptions &amp; FX Reference'!$A$5:$A$25,0))/INDEX('Assumptions &amp; FX Reference'!$C$5:$C$25,MATCH(H69,'Assumptions &amp; FX Reference'!$A$5:$A$25,0)),""))),"(FX missing)"))</f>
        <v/>
      </c>
      <c r="P69" s="30"/>
      <c r="Q69" s="30"/>
      <c r="R69" s="30"/>
      <c r="S69" s="30"/>
      <c r="T69" s="30"/>
      <c r="U69" s="30"/>
      <c r="V69" s="30" t="s">
        <v>1064</v>
      </c>
    </row>
    <row r="70" spans="1:22">
      <c r="A70" s="30" t="s">
        <v>1065</v>
      </c>
      <c r="B70" s="30">
        <v>110</v>
      </c>
      <c r="C70" s="33" t="str">
        <f>IF(B70="","",IFERROR(INDEX('Master Database'!$D$5:$D$600,MATCH(B70,'Master Database'!$A$5:$A$600,0)),"(row not found)"))</f>
        <v>P-192</v>
      </c>
      <c r="D70" s="33" t="str">
        <f>IF(B70="","",IFERROR(INDEX('Master Database'!$B$5:$B$600,MATCH(B70,'Master Database'!$A$5:$A$600,0)),"(row not found)"))</f>
        <v>Fire Water Pump-Elect. Motor Driven</v>
      </c>
      <c r="E70" s="30" t="s">
        <v>931</v>
      </c>
      <c r="F70" s="33" t="str">
        <f>IF(E70="","",IFERROR(INDEX(Vendor_Register!$B$5:$B$205,MATCH(E70,Vendor_Register!$A$5:$A$205,0)),"(not in register)"))</f>
        <v>آریا سپهر کیهان</v>
      </c>
      <c r="G70" s="33" t="str">
        <f>IF(E70="","",IFERROR(INDEX(Vendor_Register!$E$5:$E$205,MATCH(E70,Vendor_Register!$A$5:$A$205,0)),"(not in register)"))</f>
        <v>Not checked</v>
      </c>
      <c r="H70" s="30">
        <v>1403</v>
      </c>
      <c r="I70" s="30" t="s">
        <v>932</v>
      </c>
      <c r="J70" s="30"/>
      <c r="K70" s="38" t="s">
        <v>204</v>
      </c>
      <c r="L70" s="30" t="s">
        <v>355</v>
      </c>
      <c r="M70" s="34">
        <v>200000</v>
      </c>
      <c r="N70" s="30" t="s">
        <v>933</v>
      </c>
      <c r="O70" s="35">
        <f>IF(NOT(ISNUMBER(M70)),"",IFERROR(IF(L70="EUR",M70,IF(L70="IRR",M70/INDEX('Assumptions &amp; FX Reference'!$C$5:$C$25,MATCH(H70,'Assumptions &amp; FX Reference'!$A$5:$A$25,0)),IF(L70="USD",M70*INDEX('Assumptions &amp; FX Reference'!$B$5:$B$25,MATCH(H70,'Assumptions &amp; FX Reference'!$A$5:$A$25,0))/INDEX('Assumptions &amp; FX Reference'!$C$5:$C$25,MATCH(H70,'Assumptions &amp; FX Reference'!$A$5:$A$25,0)),""))),"(FX missing)"))</f>
        <v>200000</v>
      </c>
      <c r="P70" s="30"/>
      <c r="Q70" s="30"/>
      <c r="R70" s="30"/>
      <c r="S70" s="30"/>
      <c r="T70" s="30"/>
      <c r="U70" s="30"/>
      <c r="V70" s="30" t="s">
        <v>1066</v>
      </c>
    </row>
    <row r="71" spans="1:22">
      <c r="A71" s="30" t="s">
        <v>1067</v>
      </c>
      <c r="B71" s="30">
        <v>110</v>
      </c>
      <c r="C71" s="33" t="str">
        <f>IF(B71="","",IFERROR(INDEX('Master Database'!$D$5:$D$600,MATCH(B71,'Master Database'!$A$5:$A$600,0)),"(row not found)"))</f>
        <v>P-192</v>
      </c>
      <c r="D71" s="33" t="str">
        <f>IF(B71="","",IFERROR(INDEX('Master Database'!$B$5:$B$600,MATCH(B71,'Master Database'!$A$5:$A$600,0)),"(row not found)"))</f>
        <v>Fire Water Pump-Elect. Motor Driven</v>
      </c>
      <c r="E71" s="30" t="s">
        <v>936</v>
      </c>
      <c r="F71" s="33" t="str">
        <f>IF(E71="","",IFERROR(INDEX(Vendor_Register!$B$5:$B$205,MATCH(E71,Vendor_Register!$A$5:$A$205,0)),"(not in register)"))</f>
        <v>پمپیران</v>
      </c>
      <c r="G71" s="33" t="str">
        <f>IF(E71="","",IFERROR(INDEX(Vendor_Register!$E$5:$E$205,MATCH(E71,Vendor_Register!$A$5:$A$205,0)),"(not in register)"))</f>
        <v>Not checked</v>
      </c>
      <c r="H71" s="30">
        <v>1404</v>
      </c>
      <c r="I71" s="30" t="s">
        <v>937</v>
      </c>
      <c r="J71" s="30"/>
      <c r="K71" s="38" t="s">
        <v>204</v>
      </c>
      <c r="L71" s="30" t="s">
        <v>355</v>
      </c>
      <c r="M71" s="34">
        <v>30000</v>
      </c>
      <c r="N71" s="30" t="s">
        <v>933</v>
      </c>
      <c r="O71" s="35">
        <f>IF(NOT(ISNUMBER(M71)),"",IFERROR(IF(L71="EUR",M71,IF(L71="IRR",M71/INDEX('Assumptions &amp; FX Reference'!$C$5:$C$25,MATCH(H71,'Assumptions &amp; FX Reference'!$A$5:$A$25,0)),IF(L71="USD",M71*INDEX('Assumptions &amp; FX Reference'!$B$5:$B$25,MATCH(H71,'Assumptions &amp; FX Reference'!$A$5:$A$25,0))/INDEX('Assumptions &amp; FX Reference'!$C$5:$C$25,MATCH(H71,'Assumptions &amp; FX Reference'!$A$5:$A$25,0)),""))),"(FX missing)"))</f>
        <v>30000</v>
      </c>
      <c r="P71" s="30"/>
      <c r="Q71" s="30"/>
      <c r="R71" s="30"/>
      <c r="S71" s="30"/>
      <c r="T71" s="30"/>
      <c r="U71" s="30"/>
      <c r="V71" s="30" t="s">
        <v>1068</v>
      </c>
    </row>
    <row r="72" spans="1:22">
      <c r="A72" s="30" t="s">
        <v>1069</v>
      </c>
      <c r="B72" s="30">
        <v>110</v>
      </c>
      <c r="C72" s="33" t="str">
        <f>IF(B72="","",IFERROR(INDEX('Master Database'!$D$5:$D$600,MATCH(B72,'Master Database'!$A$5:$A$600,0)),"(row not found)"))</f>
        <v>P-192</v>
      </c>
      <c r="D72" s="33" t="str">
        <f>IF(B72="","",IFERROR(INDEX('Master Database'!$B$5:$B$600,MATCH(B72,'Master Database'!$A$5:$A$600,0)),"(row not found)"))</f>
        <v>Fire Water Pump-Elect. Motor Driven</v>
      </c>
      <c r="E72" s="30" t="s">
        <v>940</v>
      </c>
      <c r="F72" s="33" t="str">
        <f>IF(E72="","",IFERROR(INDEX(Vendor_Register!$B$5:$B$205,MATCH(E72,Vendor_Register!$A$5:$A$205,0)),"(not in register)"))</f>
        <v>کالای پمپ</v>
      </c>
      <c r="G72" s="33" t="str">
        <f>IF(E72="","",IFERROR(INDEX(Vendor_Register!$E$5:$E$205,MATCH(E72,Vendor_Register!$A$5:$A$205,0)),"(not in register)"))</f>
        <v>Not checked</v>
      </c>
      <c r="H72" s="30">
        <v>1403</v>
      </c>
      <c r="I72" s="30" t="s">
        <v>1070</v>
      </c>
      <c r="J72" s="30"/>
      <c r="K72" s="38" t="s">
        <v>204</v>
      </c>
      <c r="L72" s="30" t="s">
        <v>355</v>
      </c>
      <c r="M72" s="34">
        <v>698980.33</v>
      </c>
      <c r="N72" s="30" t="s">
        <v>933</v>
      </c>
      <c r="O72" s="35">
        <f>IF(NOT(ISNUMBER(M72)),"",IFERROR(IF(L72="EUR",M72,IF(L72="IRR",M72/INDEX('Assumptions &amp; FX Reference'!$C$5:$C$25,MATCH(H72,'Assumptions &amp; FX Reference'!$A$5:$A$25,0)),IF(L72="USD",M72*INDEX('Assumptions &amp; FX Reference'!$B$5:$B$25,MATCH(H72,'Assumptions &amp; FX Reference'!$A$5:$A$25,0))/INDEX('Assumptions &amp; FX Reference'!$C$5:$C$25,MATCH(H72,'Assumptions &amp; FX Reference'!$A$5:$A$25,0)),""))),"(FX missing)"))</f>
        <v>698980.33</v>
      </c>
      <c r="P72" s="30"/>
      <c r="Q72" s="30"/>
      <c r="R72" s="30"/>
      <c r="S72" s="30"/>
      <c r="T72" s="30"/>
      <c r="U72" s="30"/>
      <c r="V72" s="30" t="s">
        <v>1071</v>
      </c>
    </row>
    <row r="73" spans="1:22">
      <c r="A73" s="30" t="s">
        <v>1072</v>
      </c>
      <c r="B73" s="30">
        <v>110</v>
      </c>
      <c r="C73" s="33" t="str">
        <f>IF(B73="","",IFERROR(INDEX('Master Database'!$D$5:$D$600,MATCH(B73,'Master Database'!$A$5:$A$600,0)),"(row not found)"))</f>
        <v>P-192</v>
      </c>
      <c r="D73" s="33" t="str">
        <f>IF(B73="","",IFERROR(INDEX('Master Database'!$B$5:$B$600,MATCH(B73,'Master Database'!$A$5:$A$600,0)),"(row not found)"))</f>
        <v>Fire Water Pump-Elect. Motor Driven</v>
      </c>
      <c r="E73" s="30" t="s">
        <v>943</v>
      </c>
      <c r="F73" s="33" t="str">
        <f>IF(E73="","",IFERROR(INDEX(Vendor_Register!$B$5:$B$205,MATCH(E73,Vendor_Register!$A$5:$A$205,0)),"(not in register)"))</f>
        <v>دالاهو پارس کیش (دمکو)</v>
      </c>
      <c r="G73" s="33" t="str">
        <f>IF(E73="","",IFERROR(INDEX(Vendor_Register!$E$5:$E$205,MATCH(E73,Vendor_Register!$A$5:$A$205,0)),"(not in register)"))</f>
        <v>Not checked</v>
      </c>
      <c r="H73" s="30"/>
      <c r="I73" s="30"/>
      <c r="J73" s="30"/>
      <c r="K73" s="30"/>
      <c r="L73" s="30"/>
      <c r="M73" s="34"/>
      <c r="N73" s="30"/>
      <c r="O73" s="35" t="str">
        <f>IF(NOT(ISNUMBER(M73)),"",IFERROR(IF(L73="EUR",M73,IF(L73="IRR",M73/INDEX('Assumptions &amp; FX Reference'!$C$5:$C$25,MATCH(H73,'Assumptions &amp; FX Reference'!$A$5:$A$25,0)),IF(L73="USD",M73*INDEX('Assumptions &amp; FX Reference'!$B$5:$B$25,MATCH(H73,'Assumptions &amp; FX Reference'!$A$5:$A$25,0))/INDEX('Assumptions &amp; FX Reference'!$C$5:$C$25,MATCH(H73,'Assumptions &amp; FX Reference'!$A$5:$A$25,0)),""))),"(FX missing)"))</f>
        <v/>
      </c>
      <c r="P73" s="30"/>
      <c r="Q73" s="30"/>
      <c r="R73" s="30"/>
      <c r="S73" s="30"/>
      <c r="T73" s="30"/>
      <c r="U73" s="30"/>
      <c r="V73" s="30" t="s">
        <v>1073</v>
      </c>
    </row>
    <row r="74" spans="1:22">
      <c r="A74" s="30" t="s">
        <v>1074</v>
      </c>
      <c r="B74" s="30">
        <v>111</v>
      </c>
      <c r="C74" s="33" t="str">
        <f>IF(B74="","",IFERROR(INDEX('Master Database'!$D$5:$D$600,MATCH(B74,'Master Database'!$A$5:$A$600,0)),"(row not found)"))</f>
        <v>P-193</v>
      </c>
      <c r="D74" s="33" t="str">
        <f>IF(B74="","",IFERROR(INDEX('Master Database'!$B$5:$B$600,MATCH(B74,'Master Database'!$A$5:$A$600,0)),"(row not found)"))</f>
        <v>Fire Water Pump-Diesel Engine Driven</v>
      </c>
      <c r="E74" s="30" t="s">
        <v>931</v>
      </c>
      <c r="F74" s="33" t="str">
        <f>IF(E74="","",IFERROR(INDEX(Vendor_Register!$B$5:$B$205,MATCH(E74,Vendor_Register!$A$5:$A$205,0)),"(not in register)"))</f>
        <v>آریا سپهر کیهان</v>
      </c>
      <c r="G74" s="33" t="str">
        <f>IF(E74="","",IFERROR(INDEX(Vendor_Register!$E$5:$E$205,MATCH(E74,Vendor_Register!$A$5:$A$205,0)),"(not in register)"))</f>
        <v>Not checked</v>
      </c>
      <c r="H74" s="30">
        <v>1403</v>
      </c>
      <c r="I74" s="30" t="s">
        <v>932</v>
      </c>
      <c r="J74" s="30"/>
      <c r="K74" s="38" t="s">
        <v>204</v>
      </c>
      <c r="L74" s="30" t="s">
        <v>355</v>
      </c>
      <c r="M74" s="34">
        <v>225000</v>
      </c>
      <c r="N74" s="30" t="s">
        <v>933</v>
      </c>
      <c r="O74" s="35">
        <f>IF(NOT(ISNUMBER(M74)),"",IFERROR(IF(L74="EUR",M74,IF(L74="IRR",M74/INDEX('Assumptions &amp; FX Reference'!$C$5:$C$25,MATCH(H74,'Assumptions &amp; FX Reference'!$A$5:$A$25,0)),IF(L74="USD",M74*INDEX('Assumptions &amp; FX Reference'!$B$5:$B$25,MATCH(H74,'Assumptions &amp; FX Reference'!$A$5:$A$25,0))/INDEX('Assumptions &amp; FX Reference'!$C$5:$C$25,MATCH(H74,'Assumptions &amp; FX Reference'!$A$5:$A$25,0)),""))),"(FX missing)"))</f>
        <v>225000</v>
      </c>
      <c r="P74" s="30"/>
      <c r="Q74" s="30"/>
      <c r="R74" s="30"/>
      <c r="S74" s="30"/>
      <c r="T74" s="30"/>
      <c r="U74" s="30"/>
      <c r="V74" s="30" t="s">
        <v>1075</v>
      </c>
    </row>
    <row r="75" spans="1:22">
      <c r="A75" s="30" t="s">
        <v>1076</v>
      </c>
      <c r="B75" s="30">
        <v>111</v>
      </c>
      <c r="C75" s="33" t="str">
        <f>IF(B75="","",IFERROR(INDEX('Master Database'!$D$5:$D$600,MATCH(B75,'Master Database'!$A$5:$A$600,0)),"(row not found)"))</f>
        <v>P-193</v>
      </c>
      <c r="D75" s="33" t="str">
        <f>IF(B75="","",IFERROR(INDEX('Master Database'!$B$5:$B$600,MATCH(B75,'Master Database'!$A$5:$A$600,0)),"(row not found)"))</f>
        <v>Fire Water Pump-Diesel Engine Driven</v>
      </c>
      <c r="E75" s="30" t="s">
        <v>936</v>
      </c>
      <c r="F75" s="33" t="str">
        <f>IF(E75="","",IFERROR(INDEX(Vendor_Register!$B$5:$B$205,MATCH(E75,Vendor_Register!$A$5:$A$205,0)),"(not in register)"))</f>
        <v>پمپیران</v>
      </c>
      <c r="G75" s="33" t="str">
        <f>IF(E75="","",IFERROR(INDEX(Vendor_Register!$E$5:$E$205,MATCH(E75,Vendor_Register!$A$5:$A$205,0)),"(not in register)"))</f>
        <v>Not checked</v>
      </c>
      <c r="H75" s="30">
        <v>1404</v>
      </c>
      <c r="I75" s="30" t="s">
        <v>937</v>
      </c>
      <c r="J75" s="30"/>
      <c r="K75" s="38" t="s">
        <v>204</v>
      </c>
      <c r="L75" s="30" t="s">
        <v>355</v>
      </c>
      <c r="M75" s="34">
        <v>120000</v>
      </c>
      <c r="N75" s="30" t="s">
        <v>933</v>
      </c>
      <c r="O75" s="35">
        <f>IF(NOT(ISNUMBER(M75)),"",IFERROR(IF(L75="EUR",M75,IF(L75="IRR",M75/INDEX('Assumptions &amp; FX Reference'!$C$5:$C$25,MATCH(H75,'Assumptions &amp; FX Reference'!$A$5:$A$25,0)),IF(L75="USD",M75*INDEX('Assumptions &amp; FX Reference'!$B$5:$B$25,MATCH(H75,'Assumptions &amp; FX Reference'!$A$5:$A$25,0))/INDEX('Assumptions &amp; FX Reference'!$C$5:$C$25,MATCH(H75,'Assumptions &amp; FX Reference'!$A$5:$A$25,0)),""))),"(FX missing)"))</f>
        <v>120000</v>
      </c>
      <c r="P75" s="30"/>
      <c r="Q75" s="30"/>
      <c r="R75" s="30"/>
      <c r="S75" s="30"/>
      <c r="T75" s="30"/>
      <c r="U75" s="30"/>
      <c r="V75" s="30" t="s">
        <v>1077</v>
      </c>
    </row>
    <row r="76" spans="1:22">
      <c r="A76" s="30" t="s">
        <v>1078</v>
      </c>
      <c r="B76" s="30">
        <v>111</v>
      </c>
      <c r="C76" s="33" t="str">
        <f>IF(B76="","",IFERROR(INDEX('Master Database'!$D$5:$D$600,MATCH(B76,'Master Database'!$A$5:$A$600,0)),"(row not found)"))</f>
        <v>P-193</v>
      </c>
      <c r="D76" s="33" t="str">
        <f>IF(B76="","",IFERROR(INDEX('Master Database'!$B$5:$B$600,MATCH(B76,'Master Database'!$A$5:$A$600,0)),"(row not found)"))</f>
        <v>Fire Water Pump-Diesel Engine Driven</v>
      </c>
      <c r="E76" s="30" t="s">
        <v>940</v>
      </c>
      <c r="F76" s="33" t="str">
        <f>IF(E76="","",IFERROR(INDEX(Vendor_Register!$B$5:$B$205,MATCH(E76,Vendor_Register!$A$5:$A$205,0)),"(not in register)"))</f>
        <v>کالای پمپ</v>
      </c>
      <c r="G76" s="33" t="str">
        <f>IF(E76="","",IFERROR(INDEX(Vendor_Register!$E$5:$E$205,MATCH(E76,Vendor_Register!$A$5:$A$205,0)),"(not in register)"))</f>
        <v>Not checked</v>
      </c>
      <c r="H76" s="30">
        <v>1403</v>
      </c>
      <c r="I76" s="30" t="s">
        <v>1070</v>
      </c>
      <c r="J76" s="30"/>
      <c r="K76" s="38" t="s">
        <v>204</v>
      </c>
      <c r="L76" s="30" t="s">
        <v>355</v>
      </c>
      <c r="M76" s="34">
        <v>263921.27</v>
      </c>
      <c r="N76" s="30" t="s">
        <v>933</v>
      </c>
      <c r="O76" s="35">
        <f>IF(NOT(ISNUMBER(M76)),"",IFERROR(IF(L76="EUR",M76,IF(L76="IRR",M76/INDEX('Assumptions &amp; FX Reference'!$C$5:$C$25,MATCH(H76,'Assumptions &amp; FX Reference'!$A$5:$A$25,0)),IF(L76="USD",M76*INDEX('Assumptions &amp; FX Reference'!$B$5:$B$25,MATCH(H76,'Assumptions &amp; FX Reference'!$A$5:$A$25,0))/INDEX('Assumptions &amp; FX Reference'!$C$5:$C$25,MATCH(H76,'Assumptions &amp; FX Reference'!$A$5:$A$25,0)),""))),"(FX missing)"))</f>
        <v>263921.27</v>
      </c>
      <c r="P76" s="30"/>
      <c r="Q76" s="30"/>
      <c r="R76" s="30"/>
      <c r="S76" s="30"/>
      <c r="T76" s="30"/>
      <c r="U76" s="30"/>
      <c r="V76" s="30" t="s">
        <v>1079</v>
      </c>
    </row>
    <row r="77" spans="1:22">
      <c r="A77" s="30" t="s">
        <v>1080</v>
      </c>
      <c r="B77" s="30">
        <v>111</v>
      </c>
      <c r="C77" s="33" t="str">
        <f>IF(B77="","",IFERROR(INDEX('Master Database'!$D$5:$D$600,MATCH(B77,'Master Database'!$A$5:$A$600,0)),"(row not found)"))</f>
        <v>P-193</v>
      </c>
      <c r="D77" s="33" t="str">
        <f>IF(B77="","",IFERROR(INDEX('Master Database'!$B$5:$B$600,MATCH(B77,'Master Database'!$A$5:$A$600,0)),"(row not found)"))</f>
        <v>Fire Water Pump-Diesel Engine Driven</v>
      </c>
      <c r="E77" s="30" t="s">
        <v>943</v>
      </c>
      <c r="F77" s="33" t="str">
        <f>IF(E77="","",IFERROR(INDEX(Vendor_Register!$B$5:$B$205,MATCH(E77,Vendor_Register!$A$5:$A$205,0)),"(not in register)"))</f>
        <v>دالاهو پارس کیش (دمکو)</v>
      </c>
      <c r="G77" s="33" t="str">
        <f>IF(E77="","",IFERROR(INDEX(Vendor_Register!$E$5:$E$205,MATCH(E77,Vendor_Register!$A$5:$A$205,0)),"(not in register)"))</f>
        <v>Not checked</v>
      </c>
      <c r="H77" s="30"/>
      <c r="I77" s="30"/>
      <c r="J77" s="30"/>
      <c r="K77" s="30"/>
      <c r="L77" s="30"/>
      <c r="M77" s="34"/>
      <c r="N77" s="30"/>
      <c r="O77" s="35" t="str">
        <f>IF(NOT(ISNUMBER(M77)),"",IFERROR(IF(L77="EUR",M77,IF(L77="IRR",M77/INDEX('Assumptions &amp; FX Reference'!$C$5:$C$25,MATCH(H77,'Assumptions &amp; FX Reference'!$A$5:$A$25,0)),IF(L77="USD",M77*INDEX('Assumptions &amp; FX Reference'!$B$5:$B$25,MATCH(H77,'Assumptions &amp; FX Reference'!$A$5:$A$25,0))/INDEX('Assumptions &amp; FX Reference'!$C$5:$C$25,MATCH(H77,'Assumptions &amp; FX Reference'!$A$5:$A$25,0)),""))),"(FX missing)"))</f>
        <v/>
      </c>
      <c r="P77" s="30"/>
      <c r="Q77" s="30"/>
      <c r="R77" s="30"/>
      <c r="S77" s="30"/>
      <c r="T77" s="30"/>
      <c r="U77" s="30"/>
      <c r="V77" s="30" t="s">
        <v>1081</v>
      </c>
    </row>
    <row r="78" spans="1:22">
      <c r="A78" s="30" t="s">
        <v>1082</v>
      </c>
      <c r="B78" s="30">
        <v>112</v>
      </c>
      <c r="C78" s="33" t="str">
        <f>IF(B78="","",IFERROR(INDEX('Master Database'!$D$5:$D$600,MATCH(B78,'Master Database'!$A$5:$A$600,0)),"(row not found)"))</f>
        <v>P-194 A/B</v>
      </c>
      <c r="D78" s="33" t="str">
        <f>IF(B78="","",IFERROR(INDEX('Master Database'!$B$5:$B$600,MATCH(B78,'Master Database'!$A$5:$A$600,0)),"(row not found)"))</f>
        <v>Fire Water Jockey Pumps</v>
      </c>
      <c r="E78" s="30" t="s">
        <v>931</v>
      </c>
      <c r="F78" s="33" t="str">
        <f>IF(E78="","",IFERROR(INDEX(Vendor_Register!$B$5:$B$205,MATCH(E78,Vendor_Register!$A$5:$A$205,0)),"(not in register)"))</f>
        <v>آریا سپهر کیهان</v>
      </c>
      <c r="G78" s="33" t="str">
        <f>IF(E78="","",IFERROR(INDEX(Vendor_Register!$E$5:$E$205,MATCH(E78,Vendor_Register!$A$5:$A$205,0)),"(not in register)"))</f>
        <v>Not checked</v>
      </c>
      <c r="H78" s="30">
        <v>1403</v>
      </c>
      <c r="I78" s="30" t="s">
        <v>932</v>
      </c>
      <c r="J78" s="30"/>
      <c r="K78" s="38" t="s">
        <v>204</v>
      </c>
      <c r="L78" s="30" t="s">
        <v>355</v>
      </c>
      <c r="M78" s="34">
        <v>19000</v>
      </c>
      <c r="N78" s="30" t="s">
        <v>933</v>
      </c>
      <c r="O78" s="35">
        <f>IF(NOT(ISNUMBER(M78)),"",IFERROR(IF(L78="EUR",M78,IF(L78="IRR",M78/INDEX('Assumptions &amp; FX Reference'!$C$5:$C$25,MATCH(H78,'Assumptions &amp; FX Reference'!$A$5:$A$25,0)),IF(L78="USD",M78*INDEX('Assumptions &amp; FX Reference'!$B$5:$B$25,MATCH(H78,'Assumptions &amp; FX Reference'!$A$5:$A$25,0))/INDEX('Assumptions &amp; FX Reference'!$C$5:$C$25,MATCH(H78,'Assumptions &amp; FX Reference'!$A$5:$A$25,0)),""))),"(FX missing)"))</f>
        <v>19000</v>
      </c>
      <c r="P78" s="30"/>
      <c r="Q78" s="30"/>
      <c r="R78" s="30"/>
      <c r="S78" s="30"/>
      <c r="T78" s="30"/>
      <c r="U78" s="30"/>
      <c r="V78" s="30" t="s">
        <v>1083</v>
      </c>
    </row>
    <row r="79" spans="1:22">
      <c r="A79" s="30" t="s">
        <v>1084</v>
      </c>
      <c r="B79" s="30">
        <v>112</v>
      </c>
      <c r="C79" s="33" t="str">
        <f>IF(B79="","",IFERROR(INDEX('Master Database'!$D$5:$D$600,MATCH(B79,'Master Database'!$A$5:$A$600,0)),"(row not found)"))</f>
        <v>P-194 A/B</v>
      </c>
      <c r="D79" s="33" t="str">
        <f>IF(B79="","",IFERROR(INDEX('Master Database'!$B$5:$B$600,MATCH(B79,'Master Database'!$A$5:$A$600,0)),"(row not found)"))</f>
        <v>Fire Water Jockey Pumps</v>
      </c>
      <c r="E79" s="30" t="s">
        <v>936</v>
      </c>
      <c r="F79" s="33" t="str">
        <f>IF(E79="","",IFERROR(INDEX(Vendor_Register!$B$5:$B$205,MATCH(E79,Vendor_Register!$A$5:$A$205,0)),"(not in register)"))</f>
        <v>پمپیران</v>
      </c>
      <c r="G79" s="33" t="str">
        <f>IF(E79="","",IFERROR(INDEX(Vendor_Register!$E$5:$E$205,MATCH(E79,Vendor_Register!$A$5:$A$205,0)),"(not in register)"))</f>
        <v>Not checked</v>
      </c>
      <c r="H79" s="30">
        <v>1404</v>
      </c>
      <c r="I79" s="30" t="s">
        <v>937</v>
      </c>
      <c r="J79" s="30"/>
      <c r="K79" s="38" t="s">
        <v>204</v>
      </c>
      <c r="L79" s="30" t="s">
        <v>355</v>
      </c>
      <c r="M79" s="34">
        <v>21000</v>
      </c>
      <c r="N79" s="30" t="s">
        <v>933</v>
      </c>
      <c r="O79" s="35">
        <f>IF(NOT(ISNUMBER(M79)),"",IFERROR(IF(L79="EUR",M79,IF(L79="IRR",M79/INDEX('Assumptions &amp; FX Reference'!$C$5:$C$25,MATCH(H79,'Assumptions &amp; FX Reference'!$A$5:$A$25,0)),IF(L79="USD",M79*INDEX('Assumptions &amp; FX Reference'!$B$5:$B$25,MATCH(H79,'Assumptions &amp; FX Reference'!$A$5:$A$25,0))/INDEX('Assumptions &amp; FX Reference'!$C$5:$C$25,MATCH(H79,'Assumptions &amp; FX Reference'!$A$5:$A$25,0)),""))),"(FX missing)"))</f>
        <v>21000</v>
      </c>
      <c r="P79" s="30"/>
      <c r="Q79" s="30"/>
      <c r="R79" s="30"/>
      <c r="S79" s="30"/>
      <c r="T79" s="30"/>
      <c r="U79" s="30"/>
      <c r="V79" s="30" t="s">
        <v>1085</v>
      </c>
    </row>
    <row r="80" spans="1:22">
      <c r="A80" s="30" t="s">
        <v>1086</v>
      </c>
      <c r="B80" s="30">
        <v>112</v>
      </c>
      <c r="C80" s="33" t="str">
        <f>IF(B80="","",IFERROR(INDEX('Master Database'!$D$5:$D$600,MATCH(B80,'Master Database'!$A$5:$A$600,0)),"(row not found)"))</f>
        <v>P-194 A/B</v>
      </c>
      <c r="D80" s="33" t="str">
        <f>IF(B80="","",IFERROR(INDEX('Master Database'!$B$5:$B$600,MATCH(B80,'Master Database'!$A$5:$A$600,0)),"(row not found)"))</f>
        <v>Fire Water Jockey Pumps</v>
      </c>
      <c r="E80" s="30" t="s">
        <v>940</v>
      </c>
      <c r="F80" s="33" t="str">
        <f>IF(E80="","",IFERROR(INDEX(Vendor_Register!$B$5:$B$205,MATCH(E80,Vendor_Register!$A$5:$A$205,0)),"(not in register)"))</f>
        <v>کالای پمپ</v>
      </c>
      <c r="G80" s="33" t="str">
        <f>IF(E80="","",IFERROR(INDEX(Vendor_Register!$E$5:$E$205,MATCH(E80,Vendor_Register!$A$5:$A$205,0)),"(not in register)"))</f>
        <v>Not checked</v>
      </c>
      <c r="H80" s="30">
        <v>1403</v>
      </c>
      <c r="I80" s="30" t="s">
        <v>1070</v>
      </c>
      <c r="J80" s="30"/>
      <c r="K80" s="38" t="s">
        <v>204</v>
      </c>
      <c r="L80" s="30" t="s">
        <v>355</v>
      </c>
      <c r="M80" s="34">
        <v>40424.199999999997</v>
      </c>
      <c r="N80" s="30" t="s">
        <v>933</v>
      </c>
      <c r="O80" s="35">
        <f>IF(NOT(ISNUMBER(M80)),"",IFERROR(IF(L80="EUR",M80,IF(L80="IRR",M80/INDEX('Assumptions &amp; FX Reference'!$C$5:$C$25,MATCH(H80,'Assumptions &amp; FX Reference'!$A$5:$A$25,0)),IF(L80="USD",M80*INDEX('Assumptions &amp; FX Reference'!$B$5:$B$25,MATCH(H80,'Assumptions &amp; FX Reference'!$A$5:$A$25,0))/INDEX('Assumptions &amp; FX Reference'!$C$5:$C$25,MATCH(H80,'Assumptions &amp; FX Reference'!$A$5:$A$25,0)),""))),"(FX missing)"))</f>
        <v>40424.199999999997</v>
      </c>
      <c r="P80" s="30"/>
      <c r="Q80" s="30"/>
      <c r="R80" s="30"/>
      <c r="S80" s="30"/>
      <c r="T80" s="30"/>
      <c r="U80" s="30"/>
      <c r="V80" s="30" t="s">
        <v>1087</v>
      </c>
    </row>
    <row r="81" spans="1:22">
      <c r="A81" s="30" t="s">
        <v>1088</v>
      </c>
      <c r="B81" s="30">
        <v>112</v>
      </c>
      <c r="C81" s="33" t="str">
        <f>IF(B81="","",IFERROR(INDEX('Master Database'!$D$5:$D$600,MATCH(B81,'Master Database'!$A$5:$A$600,0)),"(row not found)"))</f>
        <v>P-194 A/B</v>
      </c>
      <c r="D81" s="33" t="str">
        <f>IF(B81="","",IFERROR(INDEX('Master Database'!$B$5:$B$600,MATCH(B81,'Master Database'!$A$5:$A$600,0)),"(row not found)"))</f>
        <v>Fire Water Jockey Pumps</v>
      </c>
      <c r="E81" s="30" t="s">
        <v>943</v>
      </c>
      <c r="F81" s="33" t="str">
        <f>IF(E81="","",IFERROR(INDEX(Vendor_Register!$B$5:$B$205,MATCH(E81,Vendor_Register!$A$5:$A$205,0)),"(not in register)"))</f>
        <v>دالاهو پارس کیش (دمکو)</v>
      </c>
      <c r="G81" s="33" t="str">
        <f>IF(E81="","",IFERROR(INDEX(Vendor_Register!$E$5:$E$205,MATCH(E81,Vendor_Register!$A$5:$A$205,0)),"(not in register)"))</f>
        <v>Not checked</v>
      </c>
      <c r="H81" s="30"/>
      <c r="I81" s="30"/>
      <c r="J81" s="30"/>
      <c r="K81" s="30"/>
      <c r="L81" s="30"/>
      <c r="M81" s="34"/>
      <c r="N81" s="30"/>
      <c r="O81" s="35" t="str">
        <f>IF(NOT(ISNUMBER(M81)),"",IFERROR(IF(L81="EUR",M81,IF(L81="IRR",M81/INDEX('Assumptions &amp; FX Reference'!$C$5:$C$25,MATCH(H81,'Assumptions &amp; FX Reference'!$A$5:$A$25,0)),IF(L81="USD",M81*INDEX('Assumptions &amp; FX Reference'!$B$5:$B$25,MATCH(H81,'Assumptions &amp; FX Reference'!$A$5:$A$25,0))/INDEX('Assumptions &amp; FX Reference'!$C$5:$C$25,MATCH(H81,'Assumptions &amp; FX Reference'!$A$5:$A$25,0)),""))),"(FX missing)"))</f>
        <v/>
      </c>
      <c r="P81" s="30"/>
      <c r="Q81" s="30"/>
      <c r="R81" s="30"/>
      <c r="S81" s="30"/>
      <c r="T81" s="30"/>
      <c r="U81" s="30"/>
      <c r="V81" s="30" t="s">
        <v>1089</v>
      </c>
    </row>
    <row r="82" spans="1:22">
      <c r="A82" s="30" t="s">
        <v>1090</v>
      </c>
      <c r="B82" s="30">
        <v>113</v>
      </c>
      <c r="C82" s="33" t="str">
        <f>IF(B82="","",IFERROR(INDEX('Master Database'!$D$5:$D$600,MATCH(B82,'Master Database'!$A$5:$A$600,0)),"(row not found)"))</f>
        <v>P-210 A/B</v>
      </c>
      <c r="D82" s="33" t="str">
        <f>IF(B82="","",IFERROR(INDEX('Master Database'!$B$5:$B$600,MATCH(B82,'Master Database'!$A$5:$A$600,0)),"(row not found)"))</f>
        <v>Chemical Loading Pumps</v>
      </c>
      <c r="E82" s="30" t="s">
        <v>931</v>
      </c>
      <c r="F82" s="33" t="str">
        <f>IF(E82="","",IFERROR(INDEX(Vendor_Register!$B$5:$B$205,MATCH(E82,Vendor_Register!$A$5:$A$205,0)),"(not in register)"))</f>
        <v>آریا سپهر کیهان</v>
      </c>
      <c r="G82" s="33" t="str">
        <f>IF(E82="","",IFERROR(INDEX(Vendor_Register!$E$5:$E$205,MATCH(E82,Vendor_Register!$A$5:$A$205,0)),"(not in register)"))</f>
        <v>Not checked</v>
      </c>
      <c r="H82" s="30"/>
      <c r="I82" s="30"/>
      <c r="J82" s="30"/>
      <c r="K82" s="30"/>
      <c r="L82" s="30"/>
      <c r="M82" s="34"/>
      <c r="N82" s="30"/>
      <c r="O82" s="35" t="str">
        <f>IF(NOT(ISNUMBER(M82)),"",IFERROR(IF(L82="EUR",M82,IF(L82="IRR",M82/INDEX('Assumptions &amp; FX Reference'!$C$5:$C$25,MATCH(H82,'Assumptions &amp; FX Reference'!$A$5:$A$25,0)),IF(L82="USD",M82*INDEX('Assumptions &amp; FX Reference'!$B$5:$B$25,MATCH(H82,'Assumptions &amp; FX Reference'!$A$5:$A$25,0))/INDEX('Assumptions &amp; FX Reference'!$C$5:$C$25,MATCH(H82,'Assumptions &amp; FX Reference'!$A$5:$A$25,0)),""))),"(FX missing)"))</f>
        <v/>
      </c>
      <c r="P82" s="30"/>
      <c r="Q82" s="30"/>
      <c r="R82" s="30"/>
      <c r="S82" s="30"/>
      <c r="T82" s="30"/>
      <c r="U82" s="30"/>
      <c r="V82" s="30" t="s">
        <v>1091</v>
      </c>
    </row>
    <row r="83" spans="1:22">
      <c r="A83" s="30" t="s">
        <v>1092</v>
      </c>
      <c r="B83" s="30">
        <v>113</v>
      </c>
      <c r="C83" s="33" t="str">
        <f>IF(B83="","",IFERROR(INDEX('Master Database'!$D$5:$D$600,MATCH(B83,'Master Database'!$A$5:$A$600,0)),"(row not found)"))</f>
        <v>P-210 A/B</v>
      </c>
      <c r="D83" s="33" t="str">
        <f>IF(B83="","",IFERROR(INDEX('Master Database'!$B$5:$B$600,MATCH(B83,'Master Database'!$A$5:$A$600,0)),"(row not found)"))</f>
        <v>Chemical Loading Pumps</v>
      </c>
      <c r="E83" s="30" t="s">
        <v>936</v>
      </c>
      <c r="F83" s="33" t="str">
        <f>IF(E83="","",IFERROR(INDEX(Vendor_Register!$B$5:$B$205,MATCH(E83,Vendor_Register!$A$5:$A$205,0)),"(not in register)"))</f>
        <v>پمپیران</v>
      </c>
      <c r="G83" s="33" t="str">
        <f>IF(E83="","",IFERROR(INDEX(Vendor_Register!$E$5:$E$205,MATCH(E83,Vendor_Register!$A$5:$A$205,0)),"(not in register)"))</f>
        <v>Not checked</v>
      </c>
      <c r="H83" s="30"/>
      <c r="I83" s="30"/>
      <c r="J83" s="30"/>
      <c r="K83" s="30"/>
      <c r="L83" s="30"/>
      <c r="M83" s="34"/>
      <c r="N83" s="30"/>
      <c r="O83" s="35" t="str">
        <f>IF(NOT(ISNUMBER(M83)),"",IFERROR(IF(L83="EUR",M83,IF(L83="IRR",M83/INDEX('Assumptions &amp; FX Reference'!$C$5:$C$25,MATCH(H83,'Assumptions &amp; FX Reference'!$A$5:$A$25,0)),IF(L83="USD",M83*INDEX('Assumptions &amp; FX Reference'!$B$5:$B$25,MATCH(H83,'Assumptions &amp; FX Reference'!$A$5:$A$25,0))/INDEX('Assumptions &amp; FX Reference'!$C$5:$C$25,MATCH(H83,'Assumptions &amp; FX Reference'!$A$5:$A$25,0)),""))),"(FX missing)"))</f>
        <v/>
      </c>
      <c r="P83" s="30"/>
      <c r="Q83" s="30"/>
      <c r="R83" s="30"/>
      <c r="S83" s="30"/>
      <c r="T83" s="30"/>
      <c r="U83" s="30"/>
      <c r="V83" s="30" t="s">
        <v>1093</v>
      </c>
    </row>
    <row r="84" spans="1:22">
      <c r="A84" s="30" t="s">
        <v>1094</v>
      </c>
      <c r="B84" s="30">
        <v>113</v>
      </c>
      <c r="C84" s="33" t="str">
        <f>IF(B84="","",IFERROR(INDEX('Master Database'!$D$5:$D$600,MATCH(B84,'Master Database'!$A$5:$A$600,0)),"(row not found)"))</f>
        <v>P-210 A/B</v>
      </c>
      <c r="D84" s="33" t="str">
        <f>IF(B84="","",IFERROR(INDEX('Master Database'!$B$5:$B$600,MATCH(B84,'Master Database'!$A$5:$A$600,0)),"(row not found)"))</f>
        <v>Chemical Loading Pumps</v>
      </c>
      <c r="E84" s="30" t="s">
        <v>940</v>
      </c>
      <c r="F84" s="33" t="str">
        <f>IF(E84="","",IFERROR(INDEX(Vendor_Register!$B$5:$B$205,MATCH(E84,Vendor_Register!$A$5:$A$205,0)),"(not in register)"))</f>
        <v>کالای پمپ</v>
      </c>
      <c r="G84" s="33" t="str">
        <f>IF(E84="","",IFERROR(INDEX(Vendor_Register!$E$5:$E$205,MATCH(E84,Vendor_Register!$A$5:$A$205,0)),"(not in register)"))</f>
        <v>Not checked</v>
      </c>
      <c r="H84" s="30"/>
      <c r="I84" s="30"/>
      <c r="J84" s="30"/>
      <c r="K84" s="30"/>
      <c r="L84" s="30"/>
      <c r="M84" s="34"/>
      <c r="N84" s="30"/>
      <c r="O84" s="35" t="str">
        <f>IF(NOT(ISNUMBER(M84)),"",IFERROR(IF(L84="EUR",M84,IF(L84="IRR",M84/INDEX('Assumptions &amp; FX Reference'!$C$5:$C$25,MATCH(H84,'Assumptions &amp; FX Reference'!$A$5:$A$25,0)),IF(L84="USD",M84*INDEX('Assumptions &amp; FX Reference'!$B$5:$B$25,MATCH(H84,'Assumptions &amp; FX Reference'!$A$5:$A$25,0))/INDEX('Assumptions &amp; FX Reference'!$C$5:$C$25,MATCH(H84,'Assumptions &amp; FX Reference'!$A$5:$A$25,0)),""))),"(FX missing)"))</f>
        <v/>
      </c>
      <c r="P84" s="30"/>
      <c r="Q84" s="30"/>
      <c r="R84" s="30"/>
      <c r="S84" s="30"/>
      <c r="T84" s="30"/>
      <c r="U84" s="30"/>
      <c r="V84" s="30" t="s">
        <v>1095</v>
      </c>
    </row>
    <row r="85" spans="1:22">
      <c r="A85" s="30" t="s">
        <v>1096</v>
      </c>
      <c r="B85" s="30">
        <v>113</v>
      </c>
      <c r="C85" s="33" t="str">
        <f>IF(B85="","",IFERROR(INDEX('Master Database'!$D$5:$D$600,MATCH(B85,'Master Database'!$A$5:$A$600,0)),"(row not found)"))</f>
        <v>P-210 A/B</v>
      </c>
      <c r="D85" s="33" t="str">
        <f>IF(B85="","",IFERROR(INDEX('Master Database'!$B$5:$B$600,MATCH(B85,'Master Database'!$A$5:$A$600,0)),"(row not found)"))</f>
        <v>Chemical Loading Pumps</v>
      </c>
      <c r="E85" s="30" t="s">
        <v>943</v>
      </c>
      <c r="F85" s="33" t="str">
        <f>IF(E85="","",IFERROR(INDEX(Vendor_Register!$B$5:$B$205,MATCH(E85,Vendor_Register!$A$5:$A$205,0)),"(not in register)"))</f>
        <v>دالاهو پارس کیش (دمکو)</v>
      </c>
      <c r="G85" s="33" t="str">
        <f>IF(E85="","",IFERROR(INDEX(Vendor_Register!$E$5:$E$205,MATCH(E85,Vendor_Register!$A$5:$A$205,0)),"(not in register)"))</f>
        <v>Not checked</v>
      </c>
      <c r="H85" s="30"/>
      <c r="I85" s="30"/>
      <c r="J85" s="30"/>
      <c r="K85" s="30"/>
      <c r="L85" s="30"/>
      <c r="M85" s="34"/>
      <c r="N85" s="30"/>
      <c r="O85" s="35" t="str">
        <f>IF(NOT(ISNUMBER(M85)),"",IFERROR(IF(L85="EUR",M85,IF(L85="IRR",M85/INDEX('Assumptions &amp; FX Reference'!$C$5:$C$25,MATCH(H85,'Assumptions &amp; FX Reference'!$A$5:$A$25,0)),IF(L85="USD",M85*INDEX('Assumptions &amp; FX Reference'!$B$5:$B$25,MATCH(H85,'Assumptions &amp; FX Reference'!$A$5:$A$25,0))/INDEX('Assumptions &amp; FX Reference'!$C$5:$C$25,MATCH(H85,'Assumptions &amp; FX Reference'!$A$5:$A$25,0)),""))),"(FX missing)"))</f>
        <v/>
      </c>
      <c r="P85" s="30"/>
      <c r="Q85" s="30"/>
      <c r="R85" s="30"/>
      <c r="S85" s="30"/>
      <c r="T85" s="30"/>
      <c r="U85" s="30"/>
      <c r="V85" s="30" t="s">
        <v>1097</v>
      </c>
    </row>
    <row r="86" spans="1:22">
      <c r="A86" s="30" t="s">
        <v>1098</v>
      </c>
      <c r="B86" s="30">
        <v>114</v>
      </c>
      <c r="C86" s="33" t="str">
        <f>IF(B86="","",IFERROR(INDEX('Master Database'!$D$5:$D$600,MATCH(B86,'Master Database'!$A$5:$A$600,0)),"(row not found)"))</f>
        <v>P-211</v>
      </c>
      <c r="D86" s="33" t="str">
        <f>IF(B86="","",IFERROR(INDEX('Master Database'!$B$5:$B$600,MATCH(B86,'Master Database'!$A$5:$A$600,0)),"(row not found)"))</f>
        <v>Chemical Loading Pumps</v>
      </c>
      <c r="E86" s="30" t="s">
        <v>931</v>
      </c>
      <c r="F86" s="33" t="str">
        <f>IF(E86="","",IFERROR(INDEX(Vendor_Register!$B$5:$B$205,MATCH(E86,Vendor_Register!$A$5:$A$205,0)),"(not in register)"))</f>
        <v>آریا سپهر کیهان</v>
      </c>
      <c r="G86" s="33" t="str">
        <f>IF(E86="","",IFERROR(INDEX(Vendor_Register!$E$5:$E$205,MATCH(E86,Vendor_Register!$A$5:$A$205,0)),"(not in register)"))</f>
        <v>Not checked</v>
      </c>
      <c r="H86" s="30"/>
      <c r="I86" s="30"/>
      <c r="J86" s="30"/>
      <c r="K86" s="30"/>
      <c r="L86" s="30"/>
      <c r="M86" s="34"/>
      <c r="N86" s="30"/>
      <c r="O86" s="35" t="str">
        <f>IF(NOT(ISNUMBER(M86)),"",IFERROR(IF(L86="EUR",M86,IF(L86="IRR",M86/INDEX('Assumptions &amp; FX Reference'!$C$5:$C$25,MATCH(H86,'Assumptions &amp; FX Reference'!$A$5:$A$25,0)),IF(L86="USD",M86*INDEX('Assumptions &amp; FX Reference'!$B$5:$B$25,MATCH(H86,'Assumptions &amp; FX Reference'!$A$5:$A$25,0))/INDEX('Assumptions &amp; FX Reference'!$C$5:$C$25,MATCH(H86,'Assumptions &amp; FX Reference'!$A$5:$A$25,0)),""))),"(FX missing)"))</f>
        <v/>
      </c>
      <c r="P86" s="30"/>
      <c r="Q86" s="30"/>
      <c r="R86" s="30"/>
      <c r="S86" s="30"/>
      <c r="T86" s="30"/>
      <c r="U86" s="30"/>
      <c r="V86" s="30" t="s">
        <v>1099</v>
      </c>
    </row>
    <row r="87" spans="1:22">
      <c r="A87" s="30" t="s">
        <v>1100</v>
      </c>
      <c r="B87" s="30">
        <v>114</v>
      </c>
      <c r="C87" s="33" t="str">
        <f>IF(B87="","",IFERROR(INDEX('Master Database'!$D$5:$D$600,MATCH(B87,'Master Database'!$A$5:$A$600,0)),"(row not found)"))</f>
        <v>P-211</v>
      </c>
      <c r="D87" s="33" t="str">
        <f>IF(B87="","",IFERROR(INDEX('Master Database'!$B$5:$B$600,MATCH(B87,'Master Database'!$A$5:$A$600,0)),"(row not found)"))</f>
        <v>Chemical Loading Pumps</v>
      </c>
      <c r="E87" s="30" t="s">
        <v>936</v>
      </c>
      <c r="F87" s="33" t="str">
        <f>IF(E87="","",IFERROR(INDEX(Vendor_Register!$B$5:$B$205,MATCH(E87,Vendor_Register!$A$5:$A$205,0)),"(not in register)"))</f>
        <v>پمپیران</v>
      </c>
      <c r="G87" s="33" t="str">
        <f>IF(E87="","",IFERROR(INDEX(Vendor_Register!$E$5:$E$205,MATCH(E87,Vendor_Register!$A$5:$A$205,0)),"(not in register)"))</f>
        <v>Not checked</v>
      </c>
      <c r="H87" s="30"/>
      <c r="I87" s="30"/>
      <c r="J87" s="30"/>
      <c r="K87" s="30"/>
      <c r="L87" s="30"/>
      <c r="M87" s="34"/>
      <c r="N87" s="30"/>
      <c r="O87" s="35" t="str">
        <f>IF(NOT(ISNUMBER(M87)),"",IFERROR(IF(L87="EUR",M87,IF(L87="IRR",M87/INDEX('Assumptions &amp; FX Reference'!$C$5:$C$25,MATCH(H87,'Assumptions &amp; FX Reference'!$A$5:$A$25,0)),IF(L87="USD",M87*INDEX('Assumptions &amp; FX Reference'!$B$5:$B$25,MATCH(H87,'Assumptions &amp; FX Reference'!$A$5:$A$25,0))/INDEX('Assumptions &amp; FX Reference'!$C$5:$C$25,MATCH(H87,'Assumptions &amp; FX Reference'!$A$5:$A$25,0)),""))),"(FX missing)"))</f>
        <v/>
      </c>
      <c r="P87" s="30"/>
      <c r="Q87" s="30"/>
      <c r="R87" s="30"/>
      <c r="S87" s="30"/>
      <c r="T87" s="30"/>
      <c r="U87" s="30"/>
      <c r="V87" s="30" t="s">
        <v>1101</v>
      </c>
    </row>
    <row r="88" spans="1:22">
      <c r="A88" s="30" t="s">
        <v>1102</v>
      </c>
      <c r="B88" s="30">
        <v>114</v>
      </c>
      <c r="C88" s="33" t="str">
        <f>IF(B88="","",IFERROR(INDEX('Master Database'!$D$5:$D$600,MATCH(B88,'Master Database'!$A$5:$A$600,0)),"(row not found)"))</f>
        <v>P-211</v>
      </c>
      <c r="D88" s="33" t="str">
        <f>IF(B88="","",IFERROR(INDEX('Master Database'!$B$5:$B$600,MATCH(B88,'Master Database'!$A$5:$A$600,0)),"(row not found)"))</f>
        <v>Chemical Loading Pumps</v>
      </c>
      <c r="E88" s="30" t="s">
        <v>940</v>
      </c>
      <c r="F88" s="33" t="str">
        <f>IF(E88="","",IFERROR(INDEX(Vendor_Register!$B$5:$B$205,MATCH(E88,Vendor_Register!$A$5:$A$205,0)),"(not in register)"))</f>
        <v>کالای پمپ</v>
      </c>
      <c r="G88" s="33" t="str">
        <f>IF(E88="","",IFERROR(INDEX(Vendor_Register!$E$5:$E$205,MATCH(E88,Vendor_Register!$A$5:$A$205,0)),"(not in register)"))</f>
        <v>Not checked</v>
      </c>
      <c r="H88" s="30"/>
      <c r="I88" s="30"/>
      <c r="J88" s="30"/>
      <c r="K88" s="30"/>
      <c r="L88" s="30"/>
      <c r="M88" s="34"/>
      <c r="N88" s="30"/>
      <c r="O88" s="35" t="str">
        <f>IF(NOT(ISNUMBER(M88)),"",IFERROR(IF(L88="EUR",M88,IF(L88="IRR",M88/INDEX('Assumptions &amp; FX Reference'!$C$5:$C$25,MATCH(H88,'Assumptions &amp; FX Reference'!$A$5:$A$25,0)),IF(L88="USD",M88*INDEX('Assumptions &amp; FX Reference'!$B$5:$B$25,MATCH(H88,'Assumptions &amp; FX Reference'!$A$5:$A$25,0))/INDEX('Assumptions &amp; FX Reference'!$C$5:$C$25,MATCH(H88,'Assumptions &amp; FX Reference'!$A$5:$A$25,0)),""))),"(FX missing)"))</f>
        <v/>
      </c>
      <c r="P88" s="30"/>
      <c r="Q88" s="30"/>
      <c r="R88" s="30"/>
      <c r="S88" s="30"/>
      <c r="T88" s="30"/>
      <c r="U88" s="30"/>
      <c r="V88" s="30" t="s">
        <v>1103</v>
      </c>
    </row>
    <row r="89" spans="1:22">
      <c r="A89" s="30" t="s">
        <v>1104</v>
      </c>
      <c r="B89" s="30">
        <v>114</v>
      </c>
      <c r="C89" s="33" t="str">
        <f>IF(B89="","",IFERROR(INDEX('Master Database'!$D$5:$D$600,MATCH(B89,'Master Database'!$A$5:$A$600,0)),"(row not found)"))</f>
        <v>P-211</v>
      </c>
      <c r="D89" s="33" t="str">
        <f>IF(B89="","",IFERROR(INDEX('Master Database'!$B$5:$B$600,MATCH(B89,'Master Database'!$A$5:$A$600,0)),"(row not found)"))</f>
        <v>Chemical Loading Pumps</v>
      </c>
      <c r="E89" s="30" t="s">
        <v>943</v>
      </c>
      <c r="F89" s="33" t="str">
        <f>IF(E89="","",IFERROR(INDEX(Vendor_Register!$B$5:$B$205,MATCH(E89,Vendor_Register!$A$5:$A$205,0)),"(not in register)"))</f>
        <v>دالاهو پارس کیش (دمکو)</v>
      </c>
      <c r="G89" s="33" t="str">
        <f>IF(E89="","",IFERROR(INDEX(Vendor_Register!$E$5:$E$205,MATCH(E89,Vendor_Register!$A$5:$A$205,0)),"(not in register)"))</f>
        <v>Not checked</v>
      </c>
      <c r="H89" s="30"/>
      <c r="I89" s="30"/>
      <c r="J89" s="30"/>
      <c r="K89" s="30"/>
      <c r="L89" s="30"/>
      <c r="M89" s="34"/>
      <c r="N89" s="30"/>
      <c r="O89" s="35" t="str">
        <f>IF(NOT(ISNUMBER(M89)),"",IFERROR(IF(L89="EUR",M89,IF(L89="IRR",M89/INDEX('Assumptions &amp; FX Reference'!$C$5:$C$25,MATCH(H89,'Assumptions &amp; FX Reference'!$A$5:$A$25,0)),IF(L89="USD",M89*INDEX('Assumptions &amp; FX Reference'!$B$5:$B$25,MATCH(H89,'Assumptions &amp; FX Reference'!$A$5:$A$25,0))/INDEX('Assumptions &amp; FX Reference'!$C$5:$C$25,MATCH(H89,'Assumptions &amp; FX Reference'!$A$5:$A$25,0)),""))),"(FX missing)"))</f>
        <v/>
      </c>
      <c r="P89" s="30"/>
      <c r="Q89" s="30"/>
      <c r="R89" s="30"/>
      <c r="S89" s="30"/>
      <c r="T89" s="30"/>
      <c r="U89" s="30"/>
      <c r="V89" s="30" t="s">
        <v>1105</v>
      </c>
    </row>
    <row r="90" spans="1:22">
      <c r="A90" s="30"/>
      <c r="B90" s="30"/>
      <c r="C90" s="33" t="str">
        <f>IF(B90="","",IFERROR(INDEX('Master Database'!$D$5:$D$600,MATCH(B90,'Master Database'!$A$5:$A$600,0)),"(row not found)"))</f>
        <v/>
      </c>
      <c r="D90" s="33" t="str">
        <f>IF(B90="","",IFERROR(INDEX('Master Database'!$B$5:$B$600,MATCH(B90,'Master Database'!$A$5:$A$600,0)),"(row not found)"))</f>
        <v/>
      </c>
      <c r="E90" s="30"/>
      <c r="F90" s="33" t="str">
        <f>IF(E90="","",IFERROR(INDEX(Vendor_Register!$B$5:$B$205,MATCH(E90,Vendor_Register!$A$5:$A$205,0)),"(not in register)"))</f>
        <v/>
      </c>
      <c r="G90" s="33" t="str">
        <f>IF(E90="","",IFERROR(INDEX(Vendor_Register!$E$5:$E$205,MATCH(E90,Vendor_Register!$A$5:$A$205,0)),"(not in register)"))</f>
        <v/>
      </c>
      <c r="H90" s="30"/>
      <c r="I90" s="30"/>
      <c r="J90" s="30"/>
      <c r="K90" s="30"/>
      <c r="L90" s="30"/>
      <c r="M90" s="34"/>
      <c r="N90" s="30"/>
      <c r="O90" s="35" t="str">
        <f>IF(NOT(ISNUMBER(M90)),"",IFERROR(IF(L90="EUR",M90,IF(L90="IRR",M90/INDEX('Assumptions &amp; FX Reference'!$C$5:$C$25,MATCH(H90,'Assumptions &amp; FX Reference'!$A$5:$A$25,0)),IF(L90="USD",M90*INDEX('Assumptions &amp; FX Reference'!$B$5:$B$25,MATCH(H90,'Assumptions &amp; FX Reference'!$A$5:$A$25,0))/INDEX('Assumptions &amp; FX Reference'!$C$5:$C$25,MATCH(H90,'Assumptions &amp; FX Reference'!$A$5:$A$25,0)),""))),"(FX missing)"))</f>
        <v/>
      </c>
      <c r="P90" s="30"/>
      <c r="Q90" s="30"/>
      <c r="R90" s="30"/>
      <c r="S90" s="30"/>
      <c r="T90" s="30"/>
      <c r="U90" s="30"/>
      <c r="V90" s="30"/>
    </row>
    <row r="91" spans="1:22">
      <c r="A91" s="30"/>
      <c r="B91" s="30"/>
      <c r="C91" s="33" t="str">
        <f>IF(B91="","",IFERROR(INDEX('Master Database'!$D$5:$D$600,MATCH(B91,'Master Database'!$A$5:$A$600,0)),"(row not found)"))</f>
        <v/>
      </c>
      <c r="D91" s="33" t="str">
        <f>IF(B91="","",IFERROR(INDEX('Master Database'!$B$5:$B$600,MATCH(B91,'Master Database'!$A$5:$A$600,0)),"(row not found)"))</f>
        <v/>
      </c>
      <c r="E91" s="30"/>
      <c r="F91" s="33" t="str">
        <f>IF(E91="","",IFERROR(INDEX(Vendor_Register!$B$5:$B$205,MATCH(E91,Vendor_Register!$A$5:$A$205,0)),"(not in register)"))</f>
        <v/>
      </c>
      <c r="G91" s="33" t="str">
        <f>IF(E91="","",IFERROR(INDEX(Vendor_Register!$E$5:$E$205,MATCH(E91,Vendor_Register!$A$5:$A$205,0)),"(not in register)"))</f>
        <v/>
      </c>
      <c r="H91" s="30"/>
      <c r="I91" s="30"/>
      <c r="J91" s="30"/>
      <c r="K91" s="30"/>
      <c r="L91" s="30"/>
      <c r="M91" s="34"/>
      <c r="N91" s="30"/>
      <c r="O91" s="35" t="str">
        <f>IF(NOT(ISNUMBER(M91)),"",IFERROR(IF(L91="EUR",M91,IF(L91="IRR",M91/INDEX('Assumptions &amp; FX Reference'!$C$5:$C$25,MATCH(H91,'Assumptions &amp; FX Reference'!$A$5:$A$25,0)),IF(L91="USD",M91*INDEX('Assumptions &amp; FX Reference'!$B$5:$B$25,MATCH(H91,'Assumptions &amp; FX Reference'!$A$5:$A$25,0))/INDEX('Assumptions &amp; FX Reference'!$C$5:$C$25,MATCH(H91,'Assumptions &amp; FX Reference'!$A$5:$A$25,0)),""))),"(FX missing)"))</f>
        <v/>
      </c>
      <c r="P91" s="30"/>
      <c r="Q91" s="30"/>
      <c r="R91" s="30"/>
      <c r="S91" s="30"/>
      <c r="T91" s="30"/>
      <c r="U91" s="30"/>
      <c r="V91" s="30"/>
    </row>
    <row r="92" spans="1:22">
      <c r="A92" s="30"/>
      <c r="B92" s="30"/>
      <c r="C92" s="33" t="str">
        <f>IF(B92="","",IFERROR(INDEX('Master Database'!$D$5:$D$600,MATCH(B92,'Master Database'!$A$5:$A$600,0)),"(row not found)"))</f>
        <v/>
      </c>
      <c r="D92" s="33" t="str">
        <f>IF(B92="","",IFERROR(INDEX('Master Database'!$B$5:$B$600,MATCH(B92,'Master Database'!$A$5:$A$600,0)),"(row not found)"))</f>
        <v/>
      </c>
      <c r="E92" s="30"/>
      <c r="F92" s="33" t="str">
        <f>IF(E92="","",IFERROR(INDEX(Vendor_Register!$B$5:$B$205,MATCH(E92,Vendor_Register!$A$5:$A$205,0)),"(not in register)"))</f>
        <v/>
      </c>
      <c r="G92" s="33" t="str">
        <f>IF(E92="","",IFERROR(INDEX(Vendor_Register!$E$5:$E$205,MATCH(E92,Vendor_Register!$A$5:$A$205,0)),"(not in register)"))</f>
        <v/>
      </c>
      <c r="H92" s="30"/>
      <c r="I92" s="30"/>
      <c r="J92" s="30"/>
      <c r="K92" s="30"/>
      <c r="L92" s="30"/>
      <c r="M92" s="34"/>
      <c r="N92" s="30"/>
      <c r="O92" s="35" t="str">
        <f>IF(NOT(ISNUMBER(M92)),"",IFERROR(IF(L92="EUR",M92,IF(L92="IRR",M92/INDEX('Assumptions &amp; FX Reference'!$C$5:$C$25,MATCH(H92,'Assumptions &amp; FX Reference'!$A$5:$A$25,0)),IF(L92="USD",M92*INDEX('Assumptions &amp; FX Reference'!$B$5:$B$25,MATCH(H92,'Assumptions &amp; FX Reference'!$A$5:$A$25,0))/INDEX('Assumptions &amp; FX Reference'!$C$5:$C$25,MATCH(H92,'Assumptions &amp; FX Reference'!$A$5:$A$25,0)),""))),"(FX missing)"))</f>
        <v/>
      </c>
      <c r="P92" s="30"/>
      <c r="Q92" s="30"/>
      <c r="R92" s="30"/>
      <c r="S92" s="30"/>
      <c r="T92" s="30"/>
      <c r="U92" s="30"/>
      <c r="V92" s="30"/>
    </row>
    <row r="93" spans="1:22">
      <c r="A93" s="30"/>
      <c r="B93" s="30"/>
      <c r="C93" s="33" t="str">
        <f>IF(B93="","",IFERROR(INDEX('Master Database'!$D$5:$D$600,MATCH(B93,'Master Database'!$A$5:$A$600,0)),"(row not found)"))</f>
        <v/>
      </c>
      <c r="D93" s="33" t="str">
        <f>IF(B93="","",IFERROR(INDEX('Master Database'!$B$5:$B$600,MATCH(B93,'Master Database'!$A$5:$A$600,0)),"(row not found)"))</f>
        <v/>
      </c>
      <c r="E93" s="30"/>
      <c r="F93" s="33" t="str">
        <f>IF(E93="","",IFERROR(INDEX(Vendor_Register!$B$5:$B$205,MATCH(E93,Vendor_Register!$A$5:$A$205,0)),"(not in register)"))</f>
        <v/>
      </c>
      <c r="G93" s="33" t="str">
        <f>IF(E93="","",IFERROR(INDEX(Vendor_Register!$E$5:$E$205,MATCH(E93,Vendor_Register!$A$5:$A$205,0)),"(not in register)"))</f>
        <v/>
      </c>
      <c r="H93" s="30"/>
      <c r="I93" s="30"/>
      <c r="J93" s="30"/>
      <c r="K93" s="30"/>
      <c r="L93" s="30"/>
      <c r="M93" s="34"/>
      <c r="N93" s="30"/>
      <c r="O93" s="35" t="str">
        <f>IF(NOT(ISNUMBER(M93)),"",IFERROR(IF(L93="EUR",M93,IF(L93="IRR",M93/INDEX('Assumptions &amp; FX Reference'!$C$5:$C$25,MATCH(H93,'Assumptions &amp; FX Reference'!$A$5:$A$25,0)),IF(L93="USD",M93*INDEX('Assumptions &amp; FX Reference'!$B$5:$B$25,MATCH(H93,'Assumptions &amp; FX Reference'!$A$5:$A$25,0))/INDEX('Assumptions &amp; FX Reference'!$C$5:$C$25,MATCH(H93,'Assumptions &amp; FX Reference'!$A$5:$A$25,0)),""))),"(FX missing)"))</f>
        <v/>
      </c>
      <c r="P93" s="30"/>
      <c r="Q93" s="30"/>
      <c r="R93" s="30"/>
      <c r="S93" s="30"/>
      <c r="T93" s="30"/>
      <c r="U93" s="30"/>
      <c r="V93" s="30"/>
    </row>
    <row r="94" spans="1:22">
      <c r="A94" s="30"/>
      <c r="B94" s="30"/>
      <c r="C94" s="33" t="str">
        <f>IF(B94="","",IFERROR(INDEX('Master Database'!$D$5:$D$600,MATCH(B94,'Master Database'!$A$5:$A$600,0)),"(row not found)"))</f>
        <v/>
      </c>
      <c r="D94" s="33" t="str">
        <f>IF(B94="","",IFERROR(INDEX('Master Database'!$B$5:$B$600,MATCH(B94,'Master Database'!$A$5:$A$600,0)),"(row not found)"))</f>
        <v/>
      </c>
      <c r="E94" s="30"/>
      <c r="F94" s="33" t="str">
        <f>IF(E94="","",IFERROR(INDEX(Vendor_Register!$B$5:$B$205,MATCH(E94,Vendor_Register!$A$5:$A$205,0)),"(not in register)"))</f>
        <v/>
      </c>
      <c r="G94" s="33" t="str">
        <f>IF(E94="","",IFERROR(INDEX(Vendor_Register!$E$5:$E$205,MATCH(E94,Vendor_Register!$A$5:$A$205,0)),"(not in register)"))</f>
        <v/>
      </c>
      <c r="H94" s="30"/>
      <c r="I94" s="30"/>
      <c r="J94" s="30"/>
      <c r="K94" s="30"/>
      <c r="L94" s="30"/>
      <c r="M94" s="34"/>
      <c r="N94" s="30"/>
      <c r="O94" s="35" t="str">
        <f>IF(NOT(ISNUMBER(M94)),"",IFERROR(IF(L94="EUR",M94,IF(L94="IRR",M94/INDEX('Assumptions &amp; FX Reference'!$C$5:$C$25,MATCH(H94,'Assumptions &amp; FX Reference'!$A$5:$A$25,0)),IF(L94="USD",M94*INDEX('Assumptions &amp; FX Reference'!$B$5:$B$25,MATCH(H94,'Assumptions &amp; FX Reference'!$A$5:$A$25,0))/INDEX('Assumptions &amp; FX Reference'!$C$5:$C$25,MATCH(H94,'Assumptions &amp; FX Reference'!$A$5:$A$25,0)),""))),"(FX missing)"))</f>
        <v/>
      </c>
      <c r="P94" s="30"/>
      <c r="Q94" s="30"/>
      <c r="R94" s="30"/>
      <c r="S94" s="30"/>
      <c r="T94" s="30"/>
      <c r="U94" s="30"/>
      <c r="V94" s="30"/>
    </row>
    <row r="95" spans="1:22">
      <c r="A95" s="30"/>
      <c r="B95" s="30"/>
      <c r="C95" s="33" t="str">
        <f>IF(B95="","",IFERROR(INDEX('Master Database'!$D$5:$D$600,MATCH(B95,'Master Database'!$A$5:$A$600,0)),"(row not found)"))</f>
        <v/>
      </c>
      <c r="D95" s="33" t="str">
        <f>IF(B95="","",IFERROR(INDEX('Master Database'!$B$5:$B$600,MATCH(B95,'Master Database'!$A$5:$A$600,0)),"(row not found)"))</f>
        <v/>
      </c>
      <c r="E95" s="30"/>
      <c r="F95" s="33" t="str">
        <f>IF(E95="","",IFERROR(INDEX(Vendor_Register!$B$5:$B$205,MATCH(E95,Vendor_Register!$A$5:$A$205,0)),"(not in register)"))</f>
        <v/>
      </c>
      <c r="G95" s="33" t="str">
        <f>IF(E95="","",IFERROR(INDEX(Vendor_Register!$E$5:$E$205,MATCH(E95,Vendor_Register!$A$5:$A$205,0)),"(not in register)"))</f>
        <v/>
      </c>
      <c r="H95" s="30"/>
      <c r="I95" s="30"/>
      <c r="J95" s="30"/>
      <c r="K95" s="30"/>
      <c r="L95" s="30"/>
      <c r="M95" s="34"/>
      <c r="N95" s="30"/>
      <c r="O95" s="35" t="str">
        <f>IF(NOT(ISNUMBER(M95)),"",IFERROR(IF(L95="EUR",M95,IF(L95="IRR",M95/INDEX('Assumptions &amp; FX Reference'!$C$5:$C$25,MATCH(H95,'Assumptions &amp; FX Reference'!$A$5:$A$25,0)),IF(L95="USD",M95*INDEX('Assumptions &amp; FX Reference'!$B$5:$B$25,MATCH(H95,'Assumptions &amp; FX Reference'!$A$5:$A$25,0))/INDEX('Assumptions &amp; FX Reference'!$C$5:$C$25,MATCH(H95,'Assumptions &amp; FX Reference'!$A$5:$A$25,0)),""))),"(FX missing)"))</f>
        <v/>
      </c>
      <c r="P95" s="30"/>
      <c r="Q95" s="30"/>
      <c r="R95" s="30"/>
      <c r="S95" s="30"/>
      <c r="T95" s="30"/>
      <c r="U95" s="30"/>
      <c r="V95" s="30"/>
    </row>
    <row r="96" spans="1:22">
      <c r="A96" s="30"/>
      <c r="B96" s="30"/>
      <c r="C96" s="33" t="str">
        <f>IF(B96="","",IFERROR(INDEX('Master Database'!$D$5:$D$600,MATCH(B96,'Master Database'!$A$5:$A$600,0)),"(row not found)"))</f>
        <v/>
      </c>
      <c r="D96" s="33" t="str">
        <f>IF(B96="","",IFERROR(INDEX('Master Database'!$B$5:$B$600,MATCH(B96,'Master Database'!$A$5:$A$600,0)),"(row not found)"))</f>
        <v/>
      </c>
      <c r="E96" s="30"/>
      <c r="F96" s="33" t="str">
        <f>IF(E96="","",IFERROR(INDEX(Vendor_Register!$B$5:$B$205,MATCH(E96,Vendor_Register!$A$5:$A$205,0)),"(not in register)"))</f>
        <v/>
      </c>
      <c r="G96" s="33" t="str">
        <f>IF(E96="","",IFERROR(INDEX(Vendor_Register!$E$5:$E$205,MATCH(E96,Vendor_Register!$A$5:$A$205,0)),"(not in register)"))</f>
        <v/>
      </c>
      <c r="H96" s="30"/>
      <c r="I96" s="30"/>
      <c r="J96" s="30"/>
      <c r="K96" s="30"/>
      <c r="L96" s="30"/>
      <c r="M96" s="34"/>
      <c r="N96" s="30"/>
      <c r="O96" s="35" t="str">
        <f>IF(NOT(ISNUMBER(M96)),"",IFERROR(IF(L96="EUR",M96,IF(L96="IRR",M96/INDEX('Assumptions &amp; FX Reference'!$C$5:$C$25,MATCH(H96,'Assumptions &amp; FX Reference'!$A$5:$A$25,0)),IF(L96="USD",M96*INDEX('Assumptions &amp; FX Reference'!$B$5:$B$25,MATCH(H96,'Assumptions &amp; FX Reference'!$A$5:$A$25,0))/INDEX('Assumptions &amp; FX Reference'!$C$5:$C$25,MATCH(H96,'Assumptions &amp; FX Reference'!$A$5:$A$25,0)),""))),"(FX missing)"))</f>
        <v/>
      </c>
      <c r="P96" s="30"/>
      <c r="Q96" s="30"/>
      <c r="R96" s="30"/>
      <c r="S96" s="30"/>
      <c r="T96" s="30"/>
      <c r="U96" s="30"/>
      <c r="V96" s="30"/>
    </row>
    <row r="97" spans="1:22">
      <c r="A97" s="30"/>
      <c r="B97" s="30"/>
      <c r="C97" s="33" t="str">
        <f>IF(B97="","",IFERROR(INDEX('Master Database'!$D$5:$D$600,MATCH(B97,'Master Database'!$A$5:$A$600,0)),"(row not found)"))</f>
        <v/>
      </c>
      <c r="D97" s="33" t="str">
        <f>IF(B97="","",IFERROR(INDEX('Master Database'!$B$5:$B$600,MATCH(B97,'Master Database'!$A$5:$A$600,0)),"(row not found)"))</f>
        <v/>
      </c>
      <c r="E97" s="30"/>
      <c r="F97" s="33" t="str">
        <f>IF(E97="","",IFERROR(INDEX(Vendor_Register!$B$5:$B$205,MATCH(E97,Vendor_Register!$A$5:$A$205,0)),"(not in register)"))</f>
        <v/>
      </c>
      <c r="G97" s="33" t="str">
        <f>IF(E97="","",IFERROR(INDEX(Vendor_Register!$E$5:$E$205,MATCH(E97,Vendor_Register!$A$5:$A$205,0)),"(not in register)"))</f>
        <v/>
      </c>
      <c r="H97" s="30"/>
      <c r="I97" s="30"/>
      <c r="J97" s="30"/>
      <c r="K97" s="30"/>
      <c r="L97" s="30"/>
      <c r="M97" s="34"/>
      <c r="N97" s="30"/>
      <c r="O97" s="35" t="str">
        <f>IF(NOT(ISNUMBER(M97)),"",IFERROR(IF(L97="EUR",M97,IF(L97="IRR",M97/INDEX('Assumptions &amp; FX Reference'!$C$5:$C$25,MATCH(H97,'Assumptions &amp; FX Reference'!$A$5:$A$25,0)),IF(L97="USD",M97*INDEX('Assumptions &amp; FX Reference'!$B$5:$B$25,MATCH(H97,'Assumptions &amp; FX Reference'!$A$5:$A$25,0))/INDEX('Assumptions &amp; FX Reference'!$C$5:$C$25,MATCH(H97,'Assumptions &amp; FX Reference'!$A$5:$A$25,0)),""))),"(FX missing)"))</f>
        <v/>
      </c>
      <c r="P97" s="30"/>
      <c r="Q97" s="30"/>
      <c r="R97" s="30"/>
      <c r="S97" s="30"/>
      <c r="T97" s="30"/>
      <c r="U97" s="30"/>
      <c r="V97" s="30"/>
    </row>
    <row r="98" spans="1:22">
      <c r="A98" s="30"/>
      <c r="B98" s="30"/>
      <c r="C98" s="33" t="str">
        <f>IF(B98="","",IFERROR(INDEX('Master Database'!$D$5:$D$600,MATCH(B98,'Master Database'!$A$5:$A$600,0)),"(row not found)"))</f>
        <v/>
      </c>
      <c r="D98" s="33" t="str">
        <f>IF(B98="","",IFERROR(INDEX('Master Database'!$B$5:$B$600,MATCH(B98,'Master Database'!$A$5:$A$600,0)),"(row not found)"))</f>
        <v/>
      </c>
      <c r="E98" s="30"/>
      <c r="F98" s="33" t="str">
        <f>IF(E98="","",IFERROR(INDEX(Vendor_Register!$B$5:$B$205,MATCH(E98,Vendor_Register!$A$5:$A$205,0)),"(not in register)"))</f>
        <v/>
      </c>
      <c r="G98" s="33" t="str">
        <f>IF(E98="","",IFERROR(INDEX(Vendor_Register!$E$5:$E$205,MATCH(E98,Vendor_Register!$A$5:$A$205,0)),"(not in register)"))</f>
        <v/>
      </c>
      <c r="H98" s="30"/>
      <c r="I98" s="30"/>
      <c r="J98" s="30"/>
      <c r="K98" s="30"/>
      <c r="L98" s="30"/>
      <c r="M98" s="34"/>
      <c r="N98" s="30"/>
      <c r="O98" s="35" t="str">
        <f>IF(NOT(ISNUMBER(M98)),"",IFERROR(IF(L98="EUR",M98,IF(L98="IRR",M98/INDEX('Assumptions &amp; FX Reference'!$C$5:$C$25,MATCH(H98,'Assumptions &amp; FX Reference'!$A$5:$A$25,0)),IF(L98="USD",M98*INDEX('Assumptions &amp; FX Reference'!$B$5:$B$25,MATCH(H98,'Assumptions &amp; FX Reference'!$A$5:$A$25,0))/INDEX('Assumptions &amp; FX Reference'!$C$5:$C$25,MATCH(H98,'Assumptions &amp; FX Reference'!$A$5:$A$25,0)),""))),"(FX missing)"))</f>
        <v/>
      </c>
      <c r="P98" s="30"/>
      <c r="Q98" s="30"/>
      <c r="R98" s="30"/>
      <c r="S98" s="30"/>
      <c r="T98" s="30"/>
      <c r="U98" s="30"/>
      <c r="V98" s="30"/>
    </row>
    <row r="99" spans="1:22">
      <c r="A99" s="30"/>
      <c r="B99" s="30"/>
      <c r="C99" s="33" t="str">
        <f>IF(B99="","",IFERROR(INDEX('Master Database'!$D$5:$D$600,MATCH(B99,'Master Database'!$A$5:$A$600,0)),"(row not found)"))</f>
        <v/>
      </c>
      <c r="D99" s="33" t="str">
        <f>IF(B99="","",IFERROR(INDEX('Master Database'!$B$5:$B$600,MATCH(B99,'Master Database'!$A$5:$A$600,0)),"(row not found)"))</f>
        <v/>
      </c>
      <c r="E99" s="30"/>
      <c r="F99" s="33" t="str">
        <f>IF(E99="","",IFERROR(INDEX(Vendor_Register!$B$5:$B$205,MATCH(E99,Vendor_Register!$A$5:$A$205,0)),"(not in register)"))</f>
        <v/>
      </c>
      <c r="G99" s="33" t="str">
        <f>IF(E99="","",IFERROR(INDEX(Vendor_Register!$E$5:$E$205,MATCH(E99,Vendor_Register!$A$5:$A$205,0)),"(not in register)"))</f>
        <v/>
      </c>
      <c r="H99" s="30"/>
      <c r="I99" s="30"/>
      <c r="J99" s="30"/>
      <c r="K99" s="30"/>
      <c r="L99" s="30"/>
      <c r="M99" s="34"/>
      <c r="N99" s="30"/>
      <c r="O99" s="35" t="str">
        <f>IF(NOT(ISNUMBER(M99)),"",IFERROR(IF(L99="EUR",M99,IF(L99="IRR",M99/INDEX('Assumptions &amp; FX Reference'!$C$5:$C$25,MATCH(H99,'Assumptions &amp; FX Reference'!$A$5:$A$25,0)),IF(L99="USD",M99*INDEX('Assumptions &amp; FX Reference'!$B$5:$B$25,MATCH(H99,'Assumptions &amp; FX Reference'!$A$5:$A$25,0))/INDEX('Assumptions &amp; FX Reference'!$C$5:$C$25,MATCH(H99,'Assumptions &amp; FX Reference'!$A$5:$A$25,0)),""))),"(FX missing)"))</f>
        <v/>
      </c>
      <c r="P99" s="30"/>
      <c r="Q99" s="30"/>
      <c r="R99" s="30"/>
      <c r="S99" s="30"/>
      <c r="T99" s="30"/>
      <c r="U99" s="30"/>
      <c r="V99" s="30"/>
    </row>
    <row r="100" spans="1:22">
      <c r="A100" s="30"/>
      <c r="B100" s="30"/>
      <c r="C100" s="33" t="str">
        <f>IF(B100="","",IFERROR(INDEX('Master Database'!$D$5:$D$600,MATCH(B100,'Master Database'!$A$5:$A$600,0)),"(row not found)"))</f>
        <v/>
      </c>
      <c r="D100" s="33" t="str">
        <f>IF(B100="","",IFERROR(INDEX('Master Database'!$B$5:$B$600,MATCH(B100,'Master Database'!$A$5:$A$600,0)),"(row not found)"))</f>
        <v/>
      </c>
      <c r="E100" s="30"/>
      <c r="F100" s="33" t="str">
        <f>IF(E100="","",IFERROR(INDEX(Vendor_Register!$B$5:$B$205,MATCH(E100,Vendor_Register!$A$5:$A$205,0)),"(not in register)"))</f>
        <v/>
      </c>
      <c r="G100" s="33" t="str">
        <f>IF(E100="","",IFERROR(INDEX(Vendor_Register!$E$5:$E$205,MATCH(E100,Vendor_Register!$A$5:$A$205,0)),"(not in register)"))</f>
        <v/>
      </c>
      <c r="H100" s="30"/>
      <c r="I100" s="30"/>
      <c r="J100" s="30"/>
      <c r="K100" s="30"/>
      <c r="L100" s="30"/>
      <c r="M100" s="34"/>
      <c r="N100" s="30"/>
      <c r="O100" s="35" t="str">
        <f>IF(NOT(ISNUMBER(M100)),"",IFERROR(IF(L100="EUR",M100,IF(L100="IRR",M100/INDEX('Assumptions &amp; FX Reference'!$C$5:$C$25,MATCH(H100,'Assumptions &amp; FX Reference'!$A$5:$A$25,0)),IF(L100="USD",M100*INDEX('Assumptions &amp; FX Reference'!$B$5:$B$25,MATCH(H100,'Assumptions &amp; FX Reference'!$A$5:$A$25,0))/INDEX('Assumptions &amp; FX Reference'!$C$5:$C$25,MATCH(H100,'Assumptions &amp; FX Reference'!$A$5:$A$25,0)),""))),"(FX missing)"))</f>
        <v/>
      </c>
      <c r="P100" s="30"/>
      <c r="Q100" s="30"/>
      <c r="R100" s="30"/>
      <c r="S100" s="30"/>
      <c r="T100" s="30"/>
      <c r="U100" s="30"/>
      <c r="V100" s="30"/>
    </row>
    <row r="101" spans="1:22">
      <c r="A101" s="30"/>
      <c r="B101" s="30"/>
      <c r="C101" s="33" t="str">
        <f>IF(B101="","",IFERROR(INDEX('Master Database'!$D$5:$D$600,MATCH(B101,'Master Database'!$A$5:$A$600,0)),"(row not found)"))</f>
        <v/>
      </c>
      <c r="D101" s="33" t="str">
        <f>IF(B101="","",IFERROR(INDEX('Master Database'!$B$5:$B$600,MATCH(B101,'Master Database'!$A$5:$A$600,0)),"(row not found)"))</f>
        <v/>
      </c>
      <c r="E101" s="30"/>
      <c r="F101" s="33" t="str">
        <f>IF(E101="","",IFERROR(INDEX(Vendor_Register!$B$5:$B$205,MATCH(E101,Vendor_Register!$A$5:$A$205,0)),"(not in register)"))</f>
        <v/>
      </c>
      <c r="G101" s="33" t="str">
        <f>IF(E101="","",IFERROR(INDEX(Vendor_Register!$E$5:$E$205,MATCH(E101,Vendor_Register!$A$5:$A$205,0)),"(not in register)"))</f>
        <v/>
      </c>
      <c r="H101" s="30"/>
      <c r="I101" s="30"/>
      <c r="J101" s="30"/>
      <c r="K101" s="30"/>
      <c r="L101" s="30"/>
      <c r="M101" s="34"/>
      <c r="N101" s="30"/>
      <c r="O101" s="35" t="str">
        <f>IF(NOT(ISNUMBER(M101)),"",IFERROR(IF(L101="EUR",M101,IF(L101="IRR",M101/INDEX('Assumptions &amp; FX Reference'!$C$5:$C$25,MATCH(H101,'Assumptions &amp; FX Reference'!$A$5:$A$25,0)),IF(L101="USD",M101*INDEX('Assumptions &amp; FX Reference'!$B$5:$B$25,MATCH(H101,'Assumptions &amp; FX Reference'!$A$5:$A$25,0))/INDEX('Assumptions &amp; FX Reference'!$C$5:$C$25,MATCH(H101,'Assumptions &amp; FX Reference'!$A$5:$A$25,0)),""))),"(FX missing)"))</f>
        <v/>
      </c>
      <c r="P101" s="30"/>
      <c r="Q101" s="30"/>
      <c r="R101" s="30"/>
      <c r="S101" s="30"/>
      <c r="T101" s="30"/>
      <c r="U101" s="30"/>
      <c r="V101" s="30"/>
    </row>
    <row r="102" spans="1:22">
      <c r="A102" s="30"/>
      <c r="B102" s="30"/>
      <c r="C102" s="33" t="str">
        <f>IF(B102="","",IFERROR(INDEX('Master Database'!$D$5:$D$600,MATCH(B102,'Master Database'!$A$5:$A$600,0)),"(row not found)"))</f>
        <v/>
      </c>
      <c r="D102" s="33" t="str">
        <f>IF(B102="","",IFERROR(INDEX('Master Database'!$B$5:$B$600,MATCH(B102,'Master Database'!$A$5:$A$600,0)),"(row not found)"))</f>
        <v/>
      </c>
      <c r="E102" s="30"/>
      <c r="F102" s="33" t="str">
        <f>IF(E102="","",IFERROR(INDEX(Vendor_Register!$B$5:$B$205,MATCH(E102,Vendor_Register!$A$5:$A$205,0)),"(not in register)"))</f>
        <v/>
      </c>
      <c r="G102" s="33" t="str">
        <f>IF(E102="","",IFERROR(INDEX(Vendor_Register!$E$5:$E$205,MATCH(E102,Vendor_Register!$A$5:$A$205,0)),"(not in register)"))</f>
        <v/>
      </c>
      <c r="H102" s="30"/>
      <c r="I102" s="30"/>
      <c r="J102" s="30"/>
      <c r="K102" s="30"/>
      <c r="L102" s="30"/>
      <c r="M102" s="34"/>
      <c r="N102" s="30"/>
      <c r="O102" s="35" t="str">
        <f>IF(NOT(ISNUMBER(M102)),"",IFERROR(IF(L102="EUR",M102,IF(L102="IRR",M102/INDEX('Assumptions &amp; FX Reference'!$C$5:$C$25,MATCH(H102,'Assumptions &amp; FX Reference'!$A$5:$A$25,0)),IF(L102="USD",M102*INDEX('Assumptions &amp; FX Reference'!$B$5:$B$25,MATCH(H102,'Assumptions &amp; FX Reference'!$A$5:$A$25,0))/INDEX('Assumptions &amp; FX Reference'!$C$5:$C$25,MATCH(H102,'Assumptions &amp; FX Reference'!$A$5:$A$25,0)),""))),"(FX missing)"))</f>
        <v/>
      </c>
      <c r="P102" s="30"/>
      <c r="Q102" s="30"/>
      <c r="R102" s="30"/>
      <c r="S102" s="30"/>
      <c r="T102" s="30"/>
      <c r="U102" s="30"/>
      <c r="V102" s="30"/>
    </row>
    <row r="103" spans="1:22">
      <c r="A103" s="30"/>
      <c r="B103" s="30"/>
      <c r="C103" s="33" t="str">
        <f>IF(B103="","",IFERROR(INDEX('Master Database'!$D$5:$D$600,MATCH(B103,'Master Database'!$A$5:$A$600,0)),"(row not found)"))</f>
        <v/>
      </c>
      <c r="D103" s="33" t="str">
        <f>IF(B103="","",IFERROR(INDEX('Master Database'!$B$5:$B$600,MATCH(B103,'Master Database'!$A$5:$A$600,0)),"(row not found)"))</f>
        <v/>
      </c>
      <c r="E103" s="30"/>
      <c r="F103" s="33" t="str">
        <f>IF(E103="","",IFERROR(INDEX(Vendor_Register!$B$5:$B$205,MATCH(E103,Vendor_Register!$A$5:$A$205,0)),"(not in register)"))</f>
        <v/>
      </c>
      <c r="G103" s="33" t="str">
        <f>IF(E103="","",IFERROR(INDEX(Vendor_Register!$E$5:$E$205,MATCH(E103,Vendor_Register!$A$5:$A$205,0)),"(not in register)"))</f>
        <v/>
      </c>
      <c r="H103" s="30"/>
      <c r="I103" s="30"/>
      <c r="J103" s="30"/>
      <c r="K103" s="30"/>
      <c r="L103" s="30"/>
      <c r="M103" s="34"/>
      <c r="N103" s="30"/>
      <c r="O103" s="35" t="str">
        <f>IF(NOT(ISNUMBER(M103)),"",IFERROR(IF(L103="EUR",M103,IF(L103="IRR",M103/INDEX('Assumptions &amp; FX Reference'!$C$5:$C$25,MATCH(H103,'Assumptions &amp; FX Reference'!$A$5:$A$25,0)),IF(L103="USD",M103*INDEX('Assumptions &amp; FX Reference'!$B$5:$B$25,MATCH(H103,'Assumptions &amp; FX Reference'!$A$5:$A$25,0))/INDEX('Assumptions &amp; FX Reference'!$C$5:$C$25,MATCH(H103,'Assumptions &amp; FX Reference'!$A$5:$A$25,0)),""))),"(FX missing)"))</f>
        <v/>
      </c>
      <c r="P103" s="30"/>
      <c r="Q103" s="30"/>
      <c r="R103" s="30"/>
      <c r="S103" s="30"/>
      <c r="T103" s="30"/>
      <c r="U103" s="30"/>
      <c r="V103" s="30"/>
    </row>
    <row r="104" spans="1:22">
      <c r="A104" s="30"/>
      <c r="B104" s="30"/>
      <c r="C104" s="33" t="str">
        <f>IF(B104="","",IFERROR(INDEX('Master Database'!$D$5:$D$600,MATCH(B104,'Master Database'!$A$5:$A$600,0)),"(row not found)"))</f>
        <v/>
      </c>
      <c r="D104" s="33" t="str">
        <f>IF(B104="","",IFERROR(INDEX('Master Database'!$B$5:$B$600,MATCH(B104,'Master Database'!$A$5:$A$600,0)),"(row not found)"))</f>
        <v/>
      </c>
      <c r="E104" s="30"/>
      <c r="F104" s="33" t="str">
        <f>IF(E104="","",IFERROR(INDEX(Vendor_Register!$B$5:$B$205,MATCH(E104,Vendor_Register!$A$5:$A$205,0)),"(not in register)"))</f>
        <v/>
      </c>
      <c r="G104" s="33" t="str">
        <f>IF(E104="","",IFERROR(INDEX(Vendor_Register!$E$5:$E$205,MATCH(E104,Vendor_Register!$A$5:$A$205,0)),"(not in register)"))</f>
        <v/>
      </c>
      <c r="H104" s="30"/>
      <c r="I104" s="30"/>
      <c r="J104" s="30"/>
      <c r="K104" s="30"/>
      <c r="L104" s="30"/>
      <c r="M104" s="34"/>
      <c r="N104" s="30"/>
      <c r="O104" s="35" t="str">
        <f>IF(NOT(ISNUMBER(M104)),"",IFERROR(IF(L104="EUR",M104,IF(L104="IRR",M104/INDEX('Assumptions &amp; FX Reference'!$C$5:$C$25,MATCH(H104,'Assumptions &amp; FX Reference'!$A$5:$A$25,0)),IF(L104="USD",M104*INDEX('Assumptions &amp; FX Reference'!$B$5:$B$25,MATCH(H104,'Assumptions &amp; FX Reference'!$A$5:$A$25,0))/INDEX('Assumptions &amp; FX Reference'!$C$5:$C$25,MATCH(H104,'Assumptions &amp; FX Reference'!$A$5:$A$25,0)),""))),"(FX missing)"))</f>
        <v/>
      </c>
      <c r="P104" s="30"/>
      <c r="Q104" s="30"/>
      <c r="R104" s="30"/>
      <c r="S104" s="30"/>
      <c r="T104" s="30"/>
      <c r="U104" s="30"/>
      <c r="V104" s="30"/>
    </row>
    <row r="105" spans="1:22">
      <c r="A105" s="30"/>
      <c r="B105" s="30"/>
      <c r="C105" s="33" t="str">
        <f>IF(B105="","",IFERROR(INDEX('Master Database'!$D$5:$D$600,MATCH(B105,'Master Database'!$A$5:$A$600,0)),"(row not found)"))</f>
        <v/>
      </c>
      <c r="D105" s="33" t="str">
        <f>IF(B105="","",IFERROR(INDEX('Master Database'!$B$5:$B$600,MATCH(B105,'Master Database'!$A$5:$A$600,0)),"(row not found)"))</f>
        <v/>
      </c>
      <c r="E105" s="30"/>
      <c r="F105" s="33" t="str">
        <f>IF(E105="","",IFERROR(INDEX(Vendor_Register!$B$5:$B$205,MATCH(E105,Vendor_Register!$A$5:$A$205,0)),"(not in register)"))</f>
        <v/>
      </c>
      <c r="G105" s="33" t="str">
        <f>IF(E105="","",IFERROR(INDEX(Vendor_Register!$E$5:$E$205,MATCH(E105,Vendor_Register!$A$5:$A$205,0)),"(not in register)"))</f>
        <v/>
      </c>
      <c r="H105" s="30"/>
      <c r="I105" s="30"/>
      <c r="J105" s="30"/>
      <c r="K105" s="30"/>
      <c r="L105" s="30"/>
      <c r="M105" s="34"/>
      <c r="N105" s="30"/>
      <c r="O105" s="35" t="str">
        <f>IF(NOT(ISNUMBER(M105)),"",IFERROR(IF(L105="EUR",M105,IF(L105="IRR",M105/INDEX('Assumptions &amp; FX Reference'!$C$5:$C$25,MATCH(H105,'Assumptions &amp; FX Reference'!$A$5:$A$25,0)),IF(L105="USD",M105*INDEX('Assumptions &amp; FX Reference'!$B$5:$B$25,MATCH(H105,'Assumptions &amp; FX Reference'!$A$5:$A$25,0))/INDEX('Assumptions &amp; FX Reference'!$C$5:$C$25,MATCH(H105,'Assumptions &amp; FX Reference'!$A$5:$A$25,0)),""))),"(FX missing)"))</f>
        <v/>
      </c>
      <c r="P105" s="30"/>
      <c r="Q105" s="30"/>
      <c r="R105" s="30"/>
      <c r="S105" s="30"/>
      <c r="T105" s="30"/>
      <c r="U105" s="30"/>
      <c r="V105" s="30"/>
    </row>
    <row r="106" spans="1:22">
      <c r="A106" s="30"/>
      <c r="B106" s="30"/>
      <c r="C106" s="33" t="str">
        <f>IF(B106="","",IFERROR(INDEX('Master Database'!$D$5:$D$600,MATCH(B106,'Master Database'!$A$5:$A$600,0)),"(row not found)"))</f>
        <v/>
      </c>
      <c r="D106" s="33" t="str">
        <f>IF(B106="","",IFERROR(INDEX('Master Database'!$B$5:$B$600,MATCH(B106,'Master Database'!$A$5:$A$600,0)),"(row not found)"))</f>
        <v/>
      </c>
      <c r="E106" s="30"/>
      <c r="F106" s="33" t="str">
        <f>IF(E106="","",IFERROR(INDEX(Vendor_Register!$B$5:$B$205,MATCH(E106,Vendor_Register!$A$5:$A$205,0)),"(not in register)"))</f>
        <v/>
      </c>
      <c r="G106" s="33" t="str">
        <f>IF(E106="","",IFERROR(INDEX(Vendor_Register!$E$5:$E$205,MATCH(E106,Vendor_Register!$A$5:$A$205,0)),"(not in register)"))</f>
        <v/>
      </c>
      <c r="H106" s="30"/>
      <c r="I106" s="30"/>
      <c r="J106" s="30"/>
      <c r="K106" s="30"/>
      <c r="L106" s="30"/>
      <c r="M106" s="34"/>
      <c r="N106" s="30"/>
      <c r="O106" s="35" t="str">
        <f>IF(NOT(ISNUMBER(M106)),"",IFERROR(IF(L106="EUR",M106,IF(L106="IRR",M106/INDEX('Assumptions &amp; FX Reference'!$C$5:$C$25,MATCH(H106,'Assumptions &amp; FX Reference'!$A$5:$A$25,0)),IF(L106="USD",M106*INDEX('Assumptions &amp; FX Reference'!$B$5:$B$25,MATCH(H106,'Assumptions &amp; FX Reference'!$A$5:$A$25,0))/INDEX('Assumptions &amp; FX Reference'!$C$5:$C$25,MATCH(H106,'Assumptions &amp; FX Reference'!$A$5:$A$25,0)),""))),"(FX missing)"))</f>
        <v/>
      </c>
      <c r="P106" s="30"/>
      <c r="Q106" s="30"/>
      <c r="R106" s="30"/>
      <c r="S106" s="30"/>
      <c r="T106" s="30"/>
      <c r="U106" s="30"/>
      <c r="V106" s="30"/>
    </row>
    <row r="107" spans="1:22">
      <c r="A107" s="30"/>
      <c r="B107" s="30"/>
      <c r="C107" s="33" t="str">
        <f>IF(B107="","",IFERROR(INDEX('Master Database'!$D$5:$D$600,MATCH(B107,'Master Database'!$A$5:$A$600,0)),"(row not found)"))</f>
        <v/>
      </c>
      <c r="D107" s="33" t="str">
        <f>IF(B107="","",IFERROR(INDEX('Master Database'!$B$5:$B$600,MATCH(B107,'Master Database'!$A$5:$A$600,0)),"(row not found)"))</f>
        <v/>
      </c>
      <c r="E107" s="30"/>
      <c r="F107" s="33" t="str">
        <f>IF(E107="","",IFERROR(INDEX(Vendor_Register!$B$5:$B$205,MATCH(E107,Vendor_Register!$A$5:$A$205,0)),"(not in register)"))</f>
        <v/>
      </c>
      <c r="G107" s="33" t="str">
        <f>IF(E107="","",IFERROR(INDEX(Vendor_Register!$E$5:$E$205,MATCH(E107,Vendor_Register!$A$5:$A$205,0)),"(not in register)"))</f>
        <v/>
      </c>
      <c r="H107" s="30"/>
      <c r="I107" s="30"/>
      <c r="J107" s="30"/>
      <c r="K107" s="30"/>
      <c r="L107" s="30"/>
      <c r="M107" s="34"/>
      <c r="N107" s="30"/>
      <c r="O107" s="35" t="str">
        <f>IF(NOT(ISNUMBER(M107)),"",IFERROR(IF(L107="EUR",M107,IF(L107="IRR",M107/INDEX('Assumptions &amp; FX Reference'!$C$5:$C$25,MATCH(H107,'Assumptions &amp; FX Reference'!$A$5:$A$25,0)),IF(L107="USD",M107*INDEX('Assumptions &amp; FX Reference'!$B$5:$B$25,MATCH(H107,'Assumptions &amp; FX Reference'!$A$5:$A$25,0))/INDEX('Assumptions &amp; FX Reference'!$C$5:$C$25,MATCH(H107,'Assumptions &amp; FX Reference'!$A$5:$A$25,0)),""))),"(FX missing)"))</f>
        <v/>
      </c>
      <c r="P107" s="30"/>
      <c r="Q107" s="30"/>
      <c r="R107" s="30"/>
      <c r="S107" s="30"/>
      <c r="T107" s="30"/>
      <c r="U107" s="30"/>
      <c r="V107" s="30"/>
    </row>
    <row r="108" spans="1:22">
      <c r="A108" s="30"/>
      <c r="B108" s="30"/>
      <c r="C108" s="33" t="str">
        <f>IF(B108="","",IFERROR(INDEX('Master Database'!$D$5:$D$600,MATCH(B108,'Master Database'!$A$5:$A$600,0)),"(row not found)"))</f>
        <v/>
      </c>
      <c r="D108" s="33" t="str">
        <f>IF(B108="","",IFERROR(INDEX('Master Database'!$B$5:$B$600,MATCH(B108,'Master Database'!$A$5:$A$600,0)),"(row not found)"))</f>
        <v/>
      </c>
      <c r="E108" s="30"/>
      <c r="F108" s="33" t="str">
        <f>IF(E108="","",IFERROR(INDEX(Vendor_Register!$B$5:$B$205,MATCH(E108,Vendor_Register!$A$5:$A$205,0)),"(not in register)"))</f>
        <v/>
      </c>
      <c r="G108" s="33" t="str">
        <f>IF(E108="","",IFERROR(INDEX(Vendor_Register!$E$5:$E$205,MATCH(E108,Vendor_Register!$A$5:$A$205,0)),"(not in register)"))</f>
        <v/>
      </c>
      <c r="H108" s="30"/>
      <c r="I108" s="30"/>
      <c r="J108" s="30"/>
      <c r="K108" s="30"/>
      <c r="L108" s="30"/>
      <c r="M108" s="34"/>
      <c r="N108" s="30"/>
      <c r="O108" s="35" t="str">
        <f>IF(NOT(ISNUMBER(M108)),"",IFERROR(IF(L108="EUR",M108,IF(L108="IRR",M108/INDEX('Assumptions &amp; FX Reference'!$C$5:$C$25,MATCH(H108,'Assumptions &amp; FX Reference'!$A$5:$A$25,0)),IF(L108="USD",M108*INDEX('Assumptions &amp; FX Reference'!$B$5:$B$25,MATCH(H108,'Assumptions &amp; FX Reference'!$A$5:$A$25,0))/INDEX('Assumptions &amp; FX Reference'!$C$5:$C$25,MATCH(H108,'Assumptions &amp; FX Reference'!$A$5:$A$25,0)),""))),"(FX missing)"))</f>
        <v/>
      </c>
      <c r="P108" s="30"/>
      <c r="Q108" s="30"/>
      <c r="R108" s="30"/>
      <c r="S108" s="30"/>
      <c r="T108" s="30"/>
      <c r="U108" s="30"/>
      <c r="V108" s="30"/>
    </row>
    <row r="109" spans="1:22">
      <c r="A109" s="30"/>
      <c r="B109" s="30"/>
      <c r="C109" s="33" t="str">
        <f>IF(B109="","",IFERROR(INDEX('Master Database'!$D$5:$D$600,MATCH(B109,'Master Database'!$A$5:$A$600,0)),"(row not found)"))</f>
        <v/>
      </c>
      <c r="D109" s="33" t="str">
        <f>IF(B109="","",IFERROR(INDEX('Master Database'!$B$5:$B$600,MATCH(B109,'Master Database'!$A$5:$A$600,0)),"(row not found)"))</f>
        <v/>
      </c>
      <c r="E109" s="30"/>
      <c r="F109" s="33" t="str">
        <f>IF(E109="","",IFERROR(INDEX(Vendor_Register!$B$5:$B$205,MATCH(E109,Vendor_Register!$A$5:$A$205,0)),"(not in register)"))</f>
        <v/>
      </c>
      <c r="G109" s="33" t="str">
        <f>IF(E109="","",IFERROR(INDEX(Vendor_Register!$E$5:$E$205,MATCH(E109,Vendor_Register!$A$5:$A$205,0)),"(not in register)"))</f>
        <v/>
      </c>
      <c r="H109" s="30"/>
      <c r="I109" s="30"/>
      <c r="J109" s="30"/>
      <c r="K109" s="30"/>
      <c r="L109" s="30"/>
      <c r="M109" s="34"/>
      <c r="N109" s="30"/>
      <c r="O109" s="35" t="str">
        <f>IF(NOT(ISNUMBER(M109)),"",IFERROR(IF(L109="EUR",M109,IF(L109="IRR",M109/INDEX('Assumptions &amp; FX Reference'!$C$5:$C$25,MATCH(H109,'Assumptions &amp; FX Reference'!$A$5:$A$25,0)),IF(L109="USD",M109*INDEX('Assumptions &amp; FX Reference'!$B$5:$B$25,MATCH(H109,'Assumptions &amp; FX Reference'!$A$5:$A$25,0))/INDEX('Assumptions &amp; FX Reference'!$C$5:$C$25,MATCH(H109,'Assumptions &amp; FX Reference'!$A$5:$A$25,0)),""))),"(FX missing)"))</f>
        <v/>
      </c>
      <c r="P109" s="30"/>
      <c r="Q109" s="30"/>
      <c r="R109" s="30"/>
      <c r="S109" s="30"/>
      <c r="T109" s="30"/>
      <c r="U109" s="30"/>
      <c r="V109" s="30"/>
    </row>
    <row r="110" spans="1:22">
      <c r="A110" s="30"/>
      <c r="B110" s="30"/>
      <c r="C110" s="33" t="str">
        <f>IF(B110="","",IFERROR(INDEX('Master Database'!$D$5:$D$600,MATCH(B110,'Master Database'!$A$5:$A$600,0)),"(row not found)"))</f>
        <v/>
      </c>
      <c r="D110" s="33" t="str">
        <f>IF(B110="","",IFERROR(INDEX('Master Database'!$B$5:$B$600,MATCH(B110,'Master Database'!$A$5:$A$600,0)),"(row not found)"))</f>
        <v/>
      </c>
      <c r="E110" s="30"/>
      <c r="F110" s="33" t="str">
        <f>IF(E110="","",IFERROR(INDEX(Vendor_Register!$B$5:$B$205,MATCH(E110,Vendor_Register!$A$5:$A$205,0)),"(not in register)"))</f>
        <v/>
      </c>
      <c r="G110" s="33" t="str">
        <f>IF(E110="","",IFERROR(INDEX(Vendor_Register!$E$5:$E$205,MATCH(E110,Vendor_Register!$A$5:$A$205,0)),"(not in register)"))</f>
        <v/>
      </c>
      <c r="H110" s="30"/>
      <c r="I110" s="30"/>
      <c r="J110" s="30"/>
      <c r="K110" s="30"/>
      <c r="L110" s="30"/>
      <c r="M110" s="34"/>
      <c r="N110" s="30"/>
      <c r="O110" s="35" t="str">
        <f>IF(NOT(ISNUMBER(M110)),"",IFERROR(IF(L110="EUR",M110,IF(L110="IRR",M110/INDEX('Assumptions &amp; FX Reference'!$C$5:$C$25,MATCH(H110,'Assumptions &amp; FX Reference'!$A$5:$A$25,0)),IF(L110="USD",M110*INDEX('Assumptions &amp; FX Reference'!$B$5:$B$25,MATCH(H110,'Assumptions &amp; FX Reference'!$A$5:$A$25,0))/INDEX('Assumptions &amp; FX Reference'!$C$5:$C$25,MATCH(H110,'Assumptions &amp; FX Reference'!$A$5:$A$25,0)),""))),"(FX missing)"))</f>
        <v/>
      </c>
      <c r="P110" s="30"/>
      <c r="Q110" s="30"/>
      <c r="R110" s="30"/>
      <c r="S110" s="30"/>
      <c r="T110" s="30"/>
      <c r="U110" s="30"/>
      <c r="V110" s="30"/>
    </row>
    <row r="111" spans="1:22">
      <c r="A111" s="30"/>
      <c r="B111" s="30"/>
      <c r="C111" s="33" t="str">
        <f>IF(B111="","",IFERROR(INDEX('Master Database'!$D$5:$D$600,MATCH(B111,'Master Database'!$A$5:$A$600,0)),"(row not found)"))</f>
        <v/>
      </c>
      <c r="D111" s="33" t="str">
        <f>IF(B111="","",IFERROR(INDEX('Master Database'!$B$5:$B$600,MATCH(B111,'Master Database'!$A$5:$A$600,0)),"(row not found)"))</f>
        <v/>
      </c>
      <c r="E111" s="30"/>
      <c r="F111" s="33" t="str">
        <f>IF(E111="","",IFERROR(INDEX(Vendor_Register!$B$5:$B$205,MATCH(E111,Vendor_Register!$A$5:$A$205,0)),"(not in register)"))</f>
        <v/>
      </c>
      <c r="G111" s="33" t="str">
        <f>IF(E111="","",IFERROR(INDEX(Vendor_Register!$E$5:$E$205,MATCH(E111,Vendor_Register!$A$5:$A$205,0)),"(not in register)"))</f>
        <v/>
      </c>
      <c r="H111" s="30"/>
      <c r="I111" s="30"/>
      <c r="J111" s="30"/>
      <c r="K111" s="30"/>
      <c r="L111" s="30"/>
      <c r="M111" s="34"/>
      <c r="N111" s="30"/>
      <c r="O111" s="35" t="str">
        <f>IF(NOT(ISNUMBER(M111)),"",IFERROR(IF(L111="EUR",M111,IF(L111="IRR",M111/INDEX('Assumptions &amp; FX Reference'!$C$5:$C$25,MATCH(H111,'Assumptions &amp; FX Reference'!$A$5:$A$25,0)),IF(L111="USD",M111*INDEX('Assumptions &amp; FX Reference'!$B$5:$B$25,MATCH(H111,'Assumptions &amp; FX Reference'!$A$5:$A$25,0))/INDEX('Assumptions &amp; FX Reference'!$C$5:$C$25,MATCH(H111,'Assumptions &amp; FX Reference'!$A$5:$A$25,0)),""))),"(FX missing)"))</f>
        <v/>
      </c>
      <c r="P111" s="30"/>
      <c r="Q111" s="30"/>
      <c r="R111" s="30"/>
      <c r="S111" s="30"/>
      <c r="T111" s="30"/>
      <c r="U111" s="30"/>
      <c r="V111" s="30"/>
    </row>
    <row r="112" spans="1:22">
      <c r="A112" s="30"/>
      <c r="B112" s="30"/>
      <c r="C112" s="33" t="str">
        <f>IF(B112="","",IFERROR(INDEX('Master Database'!$D$5:$D$600,MATCH(B112,'Master Database'!$A$5:$A$600,0)),"(row not found)"))</f>
        <v/>
      </c>
      <c r="D112" s="33" t="str">
        <f>IF(B112="","",IFERROR(INDEX('Master Database'!$B$5:$B$600,MATCH(B112,'Master Database'!$A$5:$A$600,0)),"(row not found)"))</f>
        <v/>
      </c>
      <c r="E112" s="30"/>
      <c r="F112" s="33" t="str">
        <f>IF(E112="","",IFERROR(INDEX(Vendor_Register!$B$5:$B$205,MATCH(E112,Vendor_Register!$A$5:$A$205,0)),"(not in register)"))</f>
        <v/>
      </c>
      <c r="G112" s="33" t="str">
        <f>IF(E112="","",IFERROR(INDEX(Vendor_Register!$E$5:$E$205,MATCH(E112,Vendor_Register!$A$5:$A$205,0)),"(not in register)"))</f>
        <v/>
      </c>
      <c r="H112" s="30"/>
      <c r="I112" s="30"/>
      <c r="J112" s="30"/>
      <c r="K112" s="30"/>
      <c r="L112" s="30"/>
      <c r="M112" s="34"/>
      <c r="N112" s="30"/>
      <c r="O112" s="35" t="str">
        <f>IF(NOT(ISNUMBER(M112)),"",IFERROR(IF(L112="EUR",M112,IF(L112="IRR",M112/INDEX('Assumptions &amp; FX Reference'!$C$5:$C$25,MATCH(H112,'Assumptions &amp; FX Reference'!$A$5:$A$25,0)),IF(L112="USD",M112*INDEX('Assumptions &amp; FX Reference'!$B$5:$B$25,MATCH(H112,'Assumptions &amp; FX Reference'!$A$5:$A$25,0))/INDEX('Assumptions &amp; FX Reference'!$C$5:$C$25,MATCH(H112,'Assumptions &amp; FX Reference'!$A$5:$A$25,0)),""))),"(FX missing)"))</f>
        <v/>
      </c>
      <c r="P112" s="30"/>
      <c r="Q112" s="30"/>
      <c r="R112" s="30"/>
      <c r="S112" s="30"/>
      <c r="T112" s="30"/>
      <c r="U112" s="30"/>
      <c r="V112" s="30"/>
    </row>
    <row r="113" spans="1:22">
      <c r="A113" s="30"/>
      <c r="B113" s="30"/>
      <c r="C113" s="33" t="str">
        <f>IF(B113="","",IFERROR(INDEX('Master Database'!$D$5:$D$600,MATCH(B113,'Master Database'!$A$5:$A$600,0)),"(row not found)"))</f>
        <v/>
      </c>
      <c r="D113" s="33" t="str">
        <f>IF(B113="","",IFERROR(INDEX('Master Database'!$B$5:$B$600,MATCH(B113,'Master Database'!$A$5:$A$600,0)),"(row not found)"))</f>
        <v/>
      </c>
      <c r="E113" s="30"/>
      <c r="F113" s="33" t="str">
        <f>IF(E113="","",IFERROR(INDEX(Vendor_Register!$B$5:$B$205,MATCH(E113,Vendor_Register!$A$5:$A$205,0)),"(not in register)"))</f>
        <v/>
      </c>
      <c r="G113" s="33" t="str">
        <f>IF(E113="","",IFERROR(INDEX(Vendor_Register!$E$5:$E$205,MATCH(E113,Vendor_Register!$A$5:$A$205,0)),"(not in register)"))</f>
        <v/>
      </c>
      <c r="H113" s="30"/>
      <c r="I113" s="30"/>
      <c r="J113" s="30"/>
      <c r="K113" s="30"/>
      <c r="L113" s="30"/>
      <c r="M113" s="34"/>
      <c r="N113" s="30"/>
      <c r="O113" s="35" t="str">
        <f>IF(NOT(ISNUMBER(M113)),"",IFERROR(IF(L113="EUR",M113,IF(L113="IRR",M113/INDEX('Assumptions &amp; FX Reference'!$C$5:$C$25,MATCH(H113,'Assumptions &amp; FX Reference'!$A$5:$A$25,0)),IF(L113="USD",M113*INDEX('Assumptions &amp; FX Reference'!$B$5:$B$25,MATCH(H113,'Assumptions &amp; FX Reference'!$A$5:$A$25,0))/INDEX('Assumptions &amp; FX Reference'!$C$5:$C$25,MATCH(H113,'Assumptions &amp; FX Reference'!$A$5:$A$25,0)),""))),"(FX missing)"))</f>
        <v/>
      </c>
      <c r="P113" s="30"/>
      <c r="Q113" s="30"/>
      <c r="R113" s="30"/>
      <c r="S113" s="30"/>
      <c r="T113" s="30"/>
      <c r="U113" s="30"/>
      <c r="V113" s="30"/>
    </row>
    <row r="114" spans="1:22">
      <c r="A114" s="30"/>
      <c r="B114" s="30"/>
      <c r="C114" s="33" t="str">
        <f>IF(B114="","",IFERROR(INDEX('Master Database'!$D$5:$D$600,MATCH(B114,'Master Database'!$A$5:$A$600,0)),"(row not found)"))</f>
        <v/>
      </c>
      <c r="D114" s="33" t="str">
        <f>IF(B114="","",IFERROR(INDEX('Master Database'!$B$5:$B$600,MATCH(B114,'Master Database'!$A$5:$A$600,0)),"(row not found)"))</f>
        <v/>
      </c>
      <c r="E114" s="30"/>
      <c r="F114" s="33" t="str">
        <f>IF(E114="","",IFERROR(INDEX(Vendor_Register!$B$5:$B$205,MATCH(E114,Vendor_Register!$A$5:$A$205,0)),"(not in register)"))</f>
        <v/>
      </c>
      <c r="G114" s="33" t="str">
        <f>IF(E114="","",IFERROR(INDEX(Vendor_Register!$E$5:$E$205,MATCH(E114,Vendor_Register!$A$5:$A$205,0)),"(not in register)"))</f>
        <v/>
      </c>
      <c r="H114" s="30"/>
      <c r="I114" s="30"/>
      <c r="J114" s="30"/>
      <c r="K114" s="30"/>
      <c r="L114" s="30"/>
      <c r="M114" s="34"/>
      <c r="N114" s="30"/>
      <c r="O114" s="35" t="str">
        <f>IF(NOT(ISNUMBER(M114)),"",IFERROR(IF(L114="EUR",M114,IF(L114="IRR",M114/INDEX('Assumptions &amp; FX Reference'!$C$5:$C$25,MATCH(H114,'Assumptions &amp; FX Reference'!$A$5:$A$25,0)),IF(L114="USD",M114*INDEX('Assumptions &amp; FX Reference'!$B$5:$B$25,MATCH(H114,'Assumptions &amp; FX Reference'!$A$5:$A$25,0))/INDEX('Assumptions &amp; FX Reference'!$C$5:$C$25,MATCH(H114,'Assumptions &amp; FX Reference'!$A$5:$A$25,0)),""))),"(FX missing)"))</f>
        <v/>
      </c>
      <c r="P114" s="30"/>
      <c r="Q114" s="30"/>
      <c r="R114" s="30"/>
      <c r="S114" s="30"/>
      <c r="T114" s="30"/>
      <c r="U114" s="30"/>
      <c r="V114" s="30"/>
    </row>
    <row r="115" spans="1:22">
      <c r="A115" s="30"/>
      <c r="B115" s="30"/>
      <c r="C115" s="33" t="str">
        <f>IF(B115="","",IFERROR(INDEX('Master Database'!$D$5:$D$600,MATCH(B115,'Master Database'!$A$5:$A$600,0)),"(row not found)"))</f>
        <v/>
      </c>
      <c r="D115" s="33" t="str">
        <f>IF(B115="","",IFERROR(INDEX('Master Database'!$B$5:$B$600,MATCH(B115,'Master Database'!$A$5:$A$600,0)),"(row not found)"))</f>
        <v/>
      </c>
      <c r="E115" s="30"/>
      <c r="F115" s="33" t="str">
        <f>IF(E115="","",IFERROR(INDEX(Vendor_Register!$B$5:$B$205,MATCH(E115,Vendor_Register!$A$5:$A$205,0)),"(not in register)"))</f>
        <v/>
      </c>
      <c r="G115" s="33" t="str">
        <f>IF(E115="","",IFERROR(INDEX(Vendor_Register!$E$5:$E$205,MATCH(E115,Vendor_Register!$A$5:$A$205,0)),"(not in register)"))</f>
        <v/>
      </c>
      <c r="H115" s="30"/>
      <c r="I115" s="30"/>
      <c r="J115" s="30"/>
      <c r="K115" s="30"/>
      <c r="L115" s="30"/>
      <c r="M115" s="34"/>
      <c r="N115" s="30"/>
      <c r="O115" s="35" t="str">
        <f>IF(NOT(ISNUMBER(M115)),"",IFERROR(IF(L115="EUR",M115,IF(L115="IRR",M115/INDEX('Assumptions &amp; FX Reference'!$C$5:$C$25,MATCH(H115,'Assumptions &amp; FX Reference'!$A$5:$A$25,0)),IF(L115="USD",M115*INDEX('Assumptions &amp; FX Reference'!$B$5:$B$25,MATCH(H115,'Assumptions &amp; FX Reference'!$A$5:$A$25,0))/INDEX('Assumptions &amp; FX Reference'!$C$5:$C$25,MATCH(H115,'Assumptions &amp; FX Reference'!$A$5:$A$25,0)),""))),"(FX missing)"))</f>
        <v/>
      </c>
      <c r="P115" s="30"/>
      <c r="Q115" s="30"/>
      <c r="R115" s="30"/>
      <c r="S115" s="30"/>
      <c r="T115" s="30"/>
      <c r="U115" s="30"/>
      <c r="V115" s="30"/>
    </row>
    <row r="116" spans="1:22">
      <c r="A116" s="30"/>
      <c r="B116" s="30"/>
      <c r="C116" s="33" t="str">
        <f>IF(B116="","",IFERROR(INDEX('Master Database'!$D$5:$D$600,MATCH(B116,'Master Database'!$A$5:$A$600,0)),"(row not found)"))</f>
        <v/>
      </c>
      <c r="D116" s="33" t="str">
        <f>IF(B116="","",IFERROR(INDEX('Master Database'!$B$5:$B$600,MATCH(B116,'Master Database'!$A$5:$A$600,0)),"(row not found)"))</f>
        <v/>
      </c>
      <c r="E116" s="30"/>
      <c r="F116" s="33" t="str">
        <f>IF(E116="","",IFERROR(INDEX(Vendor_Register!$B$5:$B$205,MATCH(E116,Vendor_Register!$A$5:$A$205,0)),"(not in register)"))</f>
        <v/>
      </c>
      <c r="G116" s="33" t="str">
        <f>IF(E116="","",IFERROR(INDEX(Vendor_Register!$E$5:$E$205,MATCH(E116,Vendor_Register!$A$5:$A$205,0)),"(not in register)"))</f>
        <v/>
      </c>
      <c r="H116" s="30"/>
      <c r="I116" s="30"/>
      <c r="J116" s="30"/>
      <c r="K116" s="30"/>
      <c r="L116" s="30"/>
      <c r="M116" s="34"/>
      <c r="N116" s="30"/>
      <c r="O116" s="35" t="str">
        <f>IF(NOT(ISNUMBER(M116)),"",IFERROR(IF(L116="EUR",M116,IF(L116="IRR",M116/INDEX('Assumptions &amp; FX Reference'!$C$5:$C$25,MATCH(H116,'Assumptions &amp; FX Reference'!$A$5:$A$25,0)),IF(L116="USD",M116*INDEX('Assumptions &amp; FX Reference'!$B$5:$B$25,MATCH(H116,'Assumptions &amp; FX Reference'!$A$5:$A$25,0))/INDEX('Assumptions &amp; FX Reference'!$C$5:$C$25,MATCH(H116,'Assumptions &amp; FX Reference'!$A$5:$A$25,0)),""))),"(FX missing)"))</f>
        <v/>
      </c>
      <c r="P116" s="30"/>
      <c r="Q116" s="30"/>
      <c r="R116" s="30"/>
      <c r="S116" s="30"/>
      <c r="T116" s="30"/>
      <c r="U116" s="30"/>
      <c r="V116" s="30"/>
    </row>
    <row r="117" spans="1:22">
      <c r="A117" s="30"/>
      <c r="B117" s="30"/>
      <c r="C117" s="33" t="str">
        <f>IF(B117="","",IFERROR(INDEX('Master Database'!$D$5:$D$600,MATCH(B117,'Master Database'!$A$5:$A$600,0)),"(row not found)"))</f>
        <v/>
      </c>
      <c r="D117" s="33" t="str">
        <f>IF(B117="","",IFERROR(INDEX('Master Database'!$B$5:$B$600,MATCH(B117,'Master Database'!$A$5:$A$600,0)),"(row not found)"))</f>
        <v/>
      </c>
      <c r="E117" s="30"/>
      <c r="F117" s="33" t="str">
        <f>IF(E117="","",IFERROR(INDEX(Vendor_Register!$B$5:$B$205,MATCH(E117,Vendor_Register!$A$5:$A$205,0)),"(not in register)"))</f>
        <v/>
      </c>
      <c r="G117" s="33" t="str">
        <f>IF(E117="","",IFERROR(INDEX(Vendor_Register!$E$5:$E$205,MATCH(E117,Vendor_Register!$A$5:$A$205,0)),"(not in register)"))</f>
        <v/>
      </c>
      <c r="H117" s="30"/>
      <c r="I117" s="30"/>
      <c r="J117" s="30"/>
      <c r="K117" s="30"/>
      <c r="L117" s="30"/>
      <c r="M117" s="34"/>
      <c r="N117" s="30"/>
      <c r="O117" s="35" t="str">
        <f>IF(NOT(ISNUMBER(M117)),"",IFERROR(IF(L117="EUR",M117,IF(L117="IRR",M117/INDEX('Assumptions &amp; FX Reference'!$C$5:$C$25,MATCH(H117,'Assumptions &amp; FX Reference'!$A$5:$A$25,0)),IF(L117="USD",M117*INDEX('Assumptions &amp; FX Reference'!$B$5:$B$25,MATCH(H117,'Assumptions &amp; FX Reference'!$A$5:$A$25,0))/INDEX('Assumptions &amp; FX Reference'!$C$5:$C$25,MATCH(H117,'Assumptions &amp; FX Reference'!$A$5:$A$25,0)),""))),"(FX missing)"))</f>
        <v/>
      </c>
      <c r="P117" s="30"/>
      <c r="Q117" s="30"/>
      <c r="R117" s="30"/>
      <c r="S117" s="30"/>
      <c r="T117" s="30"/>
      <c r="U117" s="30"/>
      <c r="V117" s="30"/>
    </row>
    <row r="118" spans="1:22">
      <c r="A118" s="30"/>
      <c r="B118" s="30"/>
      <c r="C118" s="33" t="str">
        <f>IF(B118="","",IFERROR(INDEX('Master Database'!$D$5:$D$600,MATCH(B118,'Master Database'!$A$5:$A$600,0)),"(row not found)"))</f>
        <v/>
      </c>
      <c r="D118" s="33" t="str">
        <f>IF(B118="","",IFERROR(INDEX('Master Database'!$B$5:$B$600,MATCH(B118,'Master Database'!$A$5:$A$600,0)),"(row not found)"))</f>
        <v/>
      </c>
      <c r="E118" s="30"/>
      <c r="F118" s="33" t="str">
        <f>IF(E118="","",IFERROR(INDEX(Vendor_Register!$B$5:$B$205,MATCH(E118,Vendor_Register!$A$5:$A$205,0)),"(not in register)"))</f>
        <v/>
      </c>
      <c r="G118" s="33" t="str">
        <f>IF(E118="","",IFERROR(INDEX(Vendor_Register!$E$5:$E$205,MATCH(E118,Vendor_Register!$A$5:$A$205,0)),"(not in register)"))</f>
        <v/>
      </c>
      <c r="H118" s="30"/>
      <c r="I118" s="30"/>
      <c r="J118" s="30"/>
      <c r="K118" s="30"/>
      <c r="L118" s="30"/>
      <c r="M118" s="34"/>
      <c r="N118" s="30"/>
      <c r="O118" s="35" t="str">
        <f>IF(NOT(ISNUMBER(M118)),"",IFERROR(IF(L118="EUR",M118,IF(L118="IRR",M118/INDEX('Assumptions &amp; FX Reference'!$C$5:$C$25,MATCH(H118,'Assumptions &amp; FX Reference'!$A$5:$A$25,0)),IF(L118="USD",M118*INDEX('Assumptions &amp; FX Reference'!$B$5:$B$25,MATCH(H118,'Assumptions &amp; FX Reference'!$A$5:$A$25,0))/INDEX('Assumptions &amp; FX Reference'!$C$5:$C$25,MATCH(H118,'Assumptions &amp; FX Reference'!$A$5:$A$25,0)),""))),"(FX missing)"))</f>
        <v/>
      </c>
      <c r="P118" s="30"/>
      <c r="Q118" s="30"/>
      <c r="R118" s="30"/>
      <c r="S118" s="30"/>
      <c r="T118" s="30"/>
      <c r="U118" s="30"/>
      <c r="V118" s="30"/>
    </row>
    <row r="119" spans="1:22">
      <c r="A119" s="30"/>
      <c r="B119" s="30"/>
      <c r="C119" s="33" t="str">
        <f>IF(B119="","",IFERROR(INDEX('Master Database'!$D$5:$D$600,MATCH(B119,'Master Database'!$A$5:$A$600,0)),"(row not found)"))</f>
        <v/>
      </c>
      <c r="D119" s="33" t="str">
        <f>IF(B119="","",IFERROR(INDEX('Master Database'!$B$5:$B$600,MATCH(B119,'Master Database'!$A$5:$A$600,0)),"(row not found)"))</f>
        <v/>
      </c>
      <c r="E119" s="30"/>
      <c r="F119" s="33" t="str">
        <f>IF(E119="","",IFERROR(INDEX(Vendor_Register!$B$5:$B$205,MATCH(E119,Vendor_Register!$A$5:$A$205,0)),"(not in register)"))</f>
        <v/>
      </c>
      <c r="G119" s="33" t="str">
        <f>IF(E119="","",IFERROR(INDEX(Vendor_Register!$E$5:$E$205,MATCH(E119,Vendor_Register!$A$5:$A$205,0)),"(not in register)"))</f>
        <v/>
      </c>
      <c r="H119" s="30"/>
      <c r="I119" s="30"/>
      <c r="J119" s="30"/>
      <c r="K119" s="30"/>
      <c r="L119" s="30"/>
      <c r="M119" s="34"/>
      <c r="N119" s="30"/>
      <c r="O119" s="35" t="str">
        <f>IF(NOT(ISNUMBER(M119)),"",IFERROR(IF(L119="EUR",M119,IF(L119="IRR",M119/INDEX('Assumptions &amp; FX Reference'!$C$5:$C$25,MATCH(H119,'Assumptions &amp; FX Reference'!$A$5:$A$25,0)),IF(L119="USD",M119*INDEX('Assumptions &amp; FX Reference'!$B$5:$B$25,MATCH(H119,'Assumptions &amp; FX Reference'!$A$5:$A$25,0))/INDEX('Assumptions &amp; FX Reference'!$C$5:$C$25,MATCH(H119,'Assumptions &amp; FX Reference'!$A$5:$A$25,0)),""))),"(FX missing)"))</f>
        <v/>
      </c>
      <c r="P119" s="30"/>
      <c r="Q119" s="30"/>
      <c r="R119" s="30"/>
      <c r="S119" s="30"/>
      <c r="T119" s="30"/>
      <c r="U119" s="30"/>
      <c r="V119" s="30"/>
    </row>
    <row r="120" spans="1:22">
      <c r="A120" s="30"/>
      <c r="B120" s="30"/>
      <c r="C120" s="33" t="str">
        <f>IF(B120="","",IFERROR(INDEX('Master Database'!$D$5:$D$600,MATCH(B120,'Master Database'!$A$5:$A$600,0)),"(row not found)"))</f>
        <v/>
      </c>
      <c r="D120" s="33" t="str">
        <f>IF(B120="","",IFERROR(INDEX('Master Database'!$B$5:$B$600,MATCH(B120,'Master Database'!$A$5:$A$600,0)),"(row not found)"))</f>
        <v/>
      </c>
      <c r="E120" s="30"/>
      <c r="F120" s="33" t="str">
        <f>IF(E120="","",IFERROR(INDEX(Vendor_Register!$B$5:$B$205,MATCH(E120,Vendor_Register!$A$5:$A$205,0)),"(not in register)"))</f>
        <v/>
      </c>
      <c r="G120" s="33" t="str">
        <f>IF(E120="","",IFERROR(INDEX(Vendor_Register!$E$5:$E$205,MATCH(E120,Vendor_Register!$A$5:$A$205,0)),"(not in register)"))</f>
        <v/>
      </c>
      <c r="H120" s="30"/>
      <c r="I120" s="30"/>
      <c r="J120" s="30"/>
      <c r="K120" s="30"/>
      <c r="L120" s="30"/>
      <c r="M120" s="34"/>
      <c r="N120" s="30"/>
      <c r="O120" s="35" t="str">
        <f>IF(NOT(ISNUMBER(M120)),"",IFERROR(IF(L120="EUR",M120,IF(L120="IRR",M120/INDEX('Assumptions &amp; FX Reference'!$C$5:$C$25,MATCH(H120,'Assumptions &amp; FX Reference'!$A$5:$A$25,0)),IF(L120="USD",M120*INDEX('Assumptions &amp; FX Reference'!$B$5:$B$25,MATCH(H120,'Assumptions &amp; FX Reference'!$A$5:$A$25,0))/INDEX('Assumptions &amp; FX Reference'!$C$5:$C$25,MATCH(H120,'Assumptions &amp; FX Reference'!$A$5:$A$25,0)),""))),"(FX missing)"))</f>
        <v/>
      </c>
      <c r="P120" s="30"/>
      <c r="Q120" s="30"/>
      <c r="R120" s="30"/>
      <c r="S120" s="30"/>
      <c r="T120" s="30"/>
      <c r="U120" s="30"/>
      <c r="V120" s="30"/>
    </row>
    <row r="121" spans="1:22">
      <c r="A121" s="30"/>
      <c r="B121" s="30"/>
      <c r="C121" s="33" t="str">
        <f>IF(B121="","",IFERROR(INDEX('Master Database'!$D$5:$D$600,MATCH(B121,'Master Database'!$A$5:$A$600,0)),"(row not found)"))</f>
        <v/>
      </c>
      <c r="D121" s="33" t="str">
        <f>IF(B121="","",IFERROR(INDEX('Master Database'!$B$5:$B$600,MATCH(B121,'Master Database'!$A$5:$A$600,0)),"(row not found)"))</f>
        <v/>
      </c>
      <c r="E121" s="30"/>
      <c r="F121" s="33" t="str">
        <f>IF(E121="","",IFERROR(INDEX(Vendor_Register!$B$5:$B$205,MATCH(E121,Vendor_Register!$A$5:$A$205,0)),"(not in register)"))</f>
        <v/>
      </c>
      <c r="G121" s="33" t="str">
        <f>IF(E121="","",IFERROR(INDEX(Vendor_Register!$E$5:$E$205,MATCH(E121,Vendor_Register!$A$5:$A$205,0)),"(not in register)"))</f>
        <v/>
      </c>
      <c r="H121" s="30"/>
      <c r="I121" s="30"/>
      <c r="J121" s="30"/>
      <c r="K121" s="30"/>
      <c r="L121" s="30"/>
      <c r="M121" s="34"/>
      <c r="N121" s="30"/>
      <c r="O121" s="35" t="str">
        <f>IF(NOT(ISNUMBER(M121)),"",IFERROR(IF(L121="EUR",M121,IF(L121="IRR",M121/INDEX('Assumptions &amp; FX Reference'!$C$5:$C$25,MATCH(H121,'Assumptions &amp; FX Reference'!$A$5:$A$25,0)),IF(L121="USD",M121*INDEX('Assumptions &amp; FX Reference'!$B$5:$B$25,MATCH(H121,'Assumptions &amp; FX Reference'!$A$5:$A$25,0))/INDEX('Assumptions &amp; FX Reference'!$C$5:$C$25,MATCH(H121,'Assumptions &amp; FX Reference'!$A$5:$A$25,0)),""))),"(FX missing)"))</f>
        <v/>
      </c>
      <c r="P121" s="30"/>
      <c r="Q121" s="30"/>
      <c r="R121" s="30"/>
      <c r="S121" s="30"/>
      <c r="T121" s="30"/>
      <c r="U121" s="30"/>
      <c r="V121" s="30"/>
    </row>
    <row r="122" spans="1:22">
      <c r="A122" s="30"/>
      <c r="B122" s="30"/>
      <c r="C122" s="33" t="str">
        <f>IF(B122="","",IFERROR(INDEX('Master Database'!$D$5:$D$600,MATCH(B122,'Master Database'!$A$5:$A$600,0)),"(row not found)"))</f>
        <v/>
      </c>
      <c r="D122" s="33" t="str">
        <f>IF(B122="","",IFERROR(INDEX('Master Database'!$B$5:$B$600,MATCH(B122,'Master Database'!$A$5:$A$600,0)),"(row not found)"))</f>
        <v/>
      </c>
      <c r="E122" s="30"/>
      <c r="F122" s="33" t="str">
        <f>IF(E122="","",IFERROR(INDEX(Vendor_Register!$B$5:$B$205,MATCH(E122,Vendor_Register!$A$5:$A$205,0)),"(not in register)"))</f>
        <v/>
      </c>
      <c r="G122" s="33" t="str">
        <f>IF(E122="","",IFERROR(INDEX(Vendor_Register!$E$5:$E$205,MATCH(E122,Vendor_Register!$A$5:$A$205,0)),"(not in register)"))</f>
        <v/>
      </c>
      <c r="H122" s="30"/>
      <c r="I122" s="30"/>
      <c r="J122" s="30"/>
      <c r="K122" s="30"/>
      <c r="L122" s="30"/>
      <c r="M122" s="34"/>
      <c r="N122" s="30"/>
      <c r="O122" s="35" t="str">
        <f>IF(NOT(ISNUMBER(M122)),"",IFERROR(IF(L122="EUR",M122,IF(L122="IRR",M122/INDEX('Assumptions &amp; FX Reference'!$C$5:$C$25,MATCH(H122,'Assumptions &amp; FX Reference'!$A$5:$A$25,0)),IF(L122="USD",M122*INDEX('Assumptions &amp; FX Reference'!$B$5:$B$25,MATCH(H122,'Assumptions &amp; FX Reference'!$A$5:$A$25,0))/INDEX('Assumptions &amp; FX Reference'!$C$5:$C$25,MATCH(H122,'Assumptions &amp; FX Reference'!$A$5:$A$25,0)),""))),"(FX missing)"))</f>
        <v/>
      </c>
      <c r="P122" s="30"/>
      <c r="Q122" s="30"/>
      <c r="R122" s="30"/>
      <c r="S122" s="30"/>
      <c r="T122" s="30"/>
      <c r="U122" s="30"/>
      <c r="V122" s="30"/>
    </row>
    <row r="123" spans="1:22">
      <c r="A123" s="30"/>
      <c r="B123" s="30"/>
      <c r="C123" s="33" t="str">
        <f>IF(B123="","",IFERROR(INDEX('Master Database'!$D$5:$D$600,MATCH(B123,'Master Database'!$A$5:$A$600,0)),"(row not found)"))</f>
        <v/>
      </c>
      <c r="D123" s="33" t="str">
        <f>IF(B123="","",IFERROR(INDEX('Master Database'!$B$5:$B$600,MATCH(B123,'Master Database'!$A$5:$A$600,0)),"(row not found)"))</f>
        <v/>
      </c>
      <c r="E123" s="30"/>
      <c r="F123" s="33" t="str">
        <f>IF(E123="","",IFERROR(INDEX(Vendor_Register!$B$5:$B$205,MATCH(E123,Vendor_Register!$A$5:$A$205,0)),"(not in register)"))</f>
        <v/>
      </c>
      <c r="G123" s="33" t="str">
        <f>IF(E123="","",IFERROR(INDEX(Vendor_Register!$E$5:$E$205,MATCH(E123,Vendor_Register!$A$5:$A$205,0)),"(not in register)"))</f>
        <v/>
      </c>
      <c r="H123" s="30"/>
      <c r="I123" s="30"/>
      <c r="J123" s="30"/>
      <c r="K123" s="30"/>
      <c r="L123" s="30"/>
      <c r="M123" s="34"/>
      <c r="N123" s="30"/>
      <c r="O123" s="35" t="str">
        <f>IF(NOT(ISNUMBER(M123)),"",IFERROR(IF(L123="EUR",M123,IF(L123="IRR",M123/INDEX('Assumptions &amp; FX Reference'!$C$5:$C$25,MATCH(H123,'Assumptions &amp; FX Reference'!$A$5:$A$25,0)),IF(L123="USD",M123*INDEX('Assumptions &amp; FX Reference'!$B$5:$B$25,MATCH(H123,'Assumptions &amp; FX Reference'!$A$5:$A$25,0))/INDEX('Assumptions &amp; FX Reference'!$C$5:$C$25,MATCH(H123,'Assumptions &amp; FX Reference'!$A$5:$A$25,0)),""))),"(FX missing)"))</f>
        <v/>
      </c>
      <c r="P123" s="30"/>
      <c r="Q123" s="30"/>
      <c r="R123" s="30"/>
      <c r="S123" s="30"/>
      <c r="T123" s="30"/>
      <c r="U123" s="30"/>
      <c r="V123" s="30"/>
    </row>
    <row r="124" spans="1:22">
      <c r="A124" s="30"/>
      <c r="B124" s="30"/>
      <c r="C124" s="33" t="str">
        <f>IF(B124="","",IFERROR(INDEX('Master Database'!$D$5:$D$600,MATCH(B124,'Master Database'!$A$5:$A$600,0)),"(row not found)"))</f>
        <v/>
      </c>
      <c r="D124" s="33" t="str">
        <f>IF(B124="","",IFERROR(INDEX('Master Database'!$B$5:$B$600,MATCH(B124,'Master Database'!$A$5:$A$600,0)),"(row not found)"))</f>
        <v/>
      </c>
      <c r="E124" s="30"/>
      <c r="F124" s="33" t="str">
        <f>IF(E124="","",IFERROR(INDEX(Vendor_Register!$B$5:$B$205,MATCH(E124,Vendor_Register!$A$5:$A$205,0)),"(not in register)"))</f>
        <v/>
      </c>
      <c r="G124" s="33" t="str">
        <f>IF(E124="","",IFERROR(INDEX(Vendor_Register!$E$5:$E$205,MATCH(E124,Vendor_Register!$A$5:$A$205,0)),"(not in register)"))</f>
        <v/>
      </c>
      <c r="H124" s="30"/>
      <c r="I124" s="30"/>
      <c r="J124" s="30"/>
      <c r="K124" s="30"/>
      <c r="L124" s="30"/>
      <c r="M124" s="34"/>
      <c r="N124" s="30"/>
      <c r="O124" s="35" t="str">
        <f>IF(NOT(ISNUMBER(M124)),"",IFERROR(IF(L124="EUR",M124,IF(L124="IRR",M124/INDEX('Assumptions &amp; FX Reference'!$C$5:$C$25,MATCH(H124,'Assumptions &amp; FX Reference'!$A$5:$A$25,0)),IF(L124="USD",M124*INDEX('Assumptions &amp; FX Reference'!$B$5:$B$25,MATCH(H124,'Assumptions &amp; FX Reference'!$A$5:$A$25,0))/INDEX('Assumptions &amp; FX Reference'!$C$5:$C$25,MATCH(H124,'Assumptions &amp; FX Reference'!$A$5:$A$25,0)),""))),"(FX missing)"))</f>
        <v/>
      </c>
      <c r="P124" s="30"/>
      <c r="Q124" s="30"/>
      <c r="R124" s="30"/>
      <c r="S124" s="30"/>
      <c r="T124" s="30"/>
      <c r="U124" s="30"/>
      <c r="V124" s="30"/>
    </row>
    <row r="125" spans="1:22">
      <c r="A125" s="30"/>
      <c r="B125" s="30"/>
      <c r="C125" s="33" t="str">
        <f>IF(B125="","",IFERROR(INDEX('Master Database'!$D$5:$D$600,MATCH(B125,'Master Database'!$A$5:$A$600,0)),"(row not found)"))</f>
        <v/>
      </c>
      <c r="D125" s="33" t="str">
        <f>IF(B125="","",IFERROR(INDEX('Master Database'!$B$5:$B$600,MATCH(B125,'Master Database'!$A$5:$A$600,0)),"(row not found)"))</f>
        <v/>
      </c>
      <c r="E125" s="30"/>
      <c r="F125" s="33" t="str">
        <f>IF(E125="","",IFERROR(INDEX(Vendor_Register!$B$5:$B$205,MATCH(E125,Vendor_Register!$A$5:$A$205,0)),"(not in register)"))</f>
        <v/>
      </c>
      <c r="G125" s="33" t="str">
        <f>IF(E125="","",IFERROR(INDEX(Vendor_Register!$E$5:$E$205,MATCH(E125,Vendor_Register!$A$5:$A$205,0)),"(not in register)"))</f>
        <v/>
      </c>
      <c r="H125" s="30"/>
      <c r="I125" s="30"/>
      <c r="J125" s="30"/>
      <c r="K125" s="30"/>
      <c r="L125" s="30"/>
      <c r="M125" s="34"/>
      <c r="N125" s="30"/>
      <c r="O125" s="35" t="str">
        <f>IF(NOT(ISNUMBER(M125)),"",IFERROR(IF(L125="EUR",M125,IF(L125="IRR",M125/INDEX('Assumptions &amp; FX Reference'!$C$5:$C$25,MATCH(H125,'Assumptions &amp; FX Reference'!$A$5:$A$25,0)),IF(L125="USD",M125*INDEX('Assumptions &amp; FX Reference'!$B$5:$B$25,MATCH(H125,'Assumptions &amp; FX Reference'!$A$5:$A$25,0))/INDEX('Assumptions &amp; FX Reference'!$C$5:$C$25,MATCH(H125,'Assumptions &amp; FX Reference'!$A$5:$A$25,0)),""))),"(FX missing)"))</f>
        <v/>
      </c>
      <c r="P125" s="30"/>
      <c r="Q125" s="30"/>
      <c r="R125" s="30"/>
      <c r="S125" s="30"/>
      <c r="T125" s="30"/>
      <c r="U125" s="30"/>
      <c r="V125" s="30"/>
    </row>
    <row r="126" spans="1:22">
      <c r="A126" s="30"/>
      <c r="B126" s="30"/>
      <c r="C126" s="33" t="str">
        <f>IF(B126="","",IFERROR(INDEX('Master Database'!$D$5:$D$600,MATCH(B126,'Master Database'!$A$5:$A$600,0)),"(row not found)"))</f>
        <v/>
      </c>
      <c r="D126" s="33" t="str">
        <f>IF(B126="","",IFERROR(INDEX('Master Database'!$B$5:$B$600,MATCH(B126,'Master Database'!$A$5:$A$600,0)),"(row not found)"))</f>
        <v/>
      </c>
      <c r="E126" s="30"/>
      <c r="F126" s="33" t="str">
        <f>IF(E126="","",IFERROR(INDEX(Vendor_Register!$B$5:$B$205,MATCH(E126,Vendor_Register!$A$5:$A$205,0)),"(not in register)"))</f>
        <v/>
      </c>
      <c r="G126" s="33" t="str">
        <f>IF(E126="","",IFERROR(INDEX(Vendor_Register!$E$5:$E$205,MATCH(E126,Vendor_Register!$A$5:$A$205,0)),"(not in register)"))</f>
        <v/>
      </c>
      <c r="H126" s="30"/>
      <c r="I126" s="30"/>
      <c r="J126" s="30"/>
      <c r="K126" s="30"/>
      <c r="L126" s="30"/>
      <c r="M126" s="34"/>
      <c r="N126" s="30"/>
      <c r="O126" s="35" t="str">
        <f>IF(NOT(ISNUMBER(M126)),"",IFERROR(IF(L126="EUR",M126,IF(L126="IRR",M126/INDEX('Assumptions &amp; FX Reference'!$C$5:$C$25,MATCH(H126,'Assumptions &amp; FX Reference'!$A$5:$A$25,0)),IF(L126="USD",M126*INDEX('Assumptions &amp; FX Reference'!$B$5:$B$25,MATCH(H126,'Assumptions &amp; FX Reference'!$A$5:$A$25,0))/INDEX('Assumptions &amp; FX Reference'!$C$5:$C$25,MATCH(H126,'Assumptions &amp; FX Reference'!$A$5:$A$25,0)),""))),"(FX missing)"))</f>
        <v/>
      </c>
      <c r="P126" s="30"/>
      <c r="Q126" s="30"/>
      <c r="R126" s="30"/>
      <c r="S126" s="30"/>
      <c r="T126" s="30"/>
      <c r="U126" s="30"/>
      <c r="V126" s="30"/>
    </row>
    <row r="127" spans="1:22">
      <c r="A127" s="30"/>
      <c r="B127" s="30"/>
      <c r="C127" s="33" t="str">
        <f>IF(B127="","",IFERROR(INDEX('Master Database'!$D$5:$D$600,MATCH(B127,'Master Database'!$A$5:$A$600,0)),"(row not found)"))</f>
        <v/>
      </c>
      <c r="D127" s="33" t="str">
        <f>IF(B127="","",IFERROR(INDEX('Master Database'!$B$5:$B$600,MATCH(B127,'Master Database'!$A$5:$A$600,0)),"(row not found)"))</f>
        <v/>
      </c>
      <c r="E127" s="30"/>
      <c r="F127" s="33" t="str">
        <f>IF(E127="","",IFERROR(INDEX(Vendor_Register!$B$5:$B$205,MATCH(E127,Vendor_Register!$A$5:$A$205,0)),"(not in register)"))</f>
        <v/>
      </c>
      <c r="G127" s="33" t="str">
        <f>IF(E127="","",IFERROR(INDEX(Vendor_Register!$E$5:$E$205,MATCH(E127,Vendor_Register!$A$5:$A$205,0)),"(not in register)"))</f>
        <v/>
      </c>
      <c r="H127" s="30"/>
      <c r="I127" s="30"/>
      <c r="J127" s="30"/>
      <c r="K127" s="30"/>
      <c r="L127" s="30"/>
      <c r="M127" s="34"/>
      <c r="N127" s="30"/>
      <c r="O127" s="35" t="str">
        <f>IF(NOT(ISNUMBER(M127)),"",IFERROR(IF(L127="EUR",M127,IF(L127="IRR",M127/INDEX('Assumptions &amp; FX Reference'!$C$5:$C$25,MATCH(H127,'Assumptions &amp; FX Reference'!$A$5:$A$25,0)),IF(L127="USD",M127*INDEX('Assumptions &amp; FX Reference'!$B$5:$B$25,MATCH(H127,'Assumptions &amp; FX Reference'!$A$5:$A$25,0))/INDEX('Assumptions &amp; FX Reference'!$C$5:$C$25,MATCH(H127,'Assumptions &amp; FX Reference'!$A$5:$A$25,0)),""))),"(FX missing)"))</f>
        <v/>
      </c>
      <c r="P127" s="30"/>
      <c r="Q127" s="30"/>
      <c r="R127" s="30"/>
      <c r="S127" s="30"/>
      <c r="T127" s="30"/>
      <c r="U127" s="30"/>
      <c r="V127" s="30"/>
    </row>
    <row r="128" spans="1:22">
      <c r="A128" s="30"/>
      <c r="B128" s="30"/>
      <c r="C128" s="33" t="str">
        <f>IF(B128="","",IFERROR(INDEX('Master Database'!$D$5:$D$600,MATCH(B128,'Master Database'!$A$5:$A$600,0)),"(row not found)"))</f>
        <v/>
      </c>
      <c r="D128" s="33" t="str">
        <f>IF(B128="","",IFERROR(INDEX('Master Database'!$B$5:$B$600,MATCH(B128,'Master Database'!$A$5:$A$600,0)),"(row not found)"))</f>
        <v/>
      </c>
      <c r="E128" s="30"/>
      <c r="F128" s="33" t="str">
        <f>IF(E128="","",IFERROR(INDEX(Vendor_Register!$B$5:$B$205,MATCH(E128,Vendor_Register!$A$5:$A$205,0)),"(not in register)"))</f>
        <v/>
      </c>
      <c r="G128" s="33" t="str">
        <f>IF(E128="","",IFERROR(INDEX(Vendor_Register!$E$5:$E$205,MATCH(E128,Vendor_Register!$A$5:$A$205,0)),"(not in register)"))</f>
        <v/>
      </c>
      <c r="H128" s="30"/>
      <c r="I128" s="30"/>
      <c r="J128" s="30"/>
      <c r="K128" s="30"/>
      <c r="L128" s="30"/>
      <c r="M128" s="34"/>
      <c r="N128" s="30"/>
      <c r="O128" s="35" t="str">
        <f>IF(NOT(ISNUMBER(M128)),"",IFERROR(IF(L128="EUR",M128,IF(L128="IRR",M128/INDEX('Assumptions &amp; FX Reference'!$C$5:$C$25,MATCH(H128,'Assumptions &amp; FX Reference'!$A$5:$A$25,0)),IF(L128="USD",M128*INDEX('Assumptions &amp; FX Reference'!$B$5:$B$25,MATCH(H128,'Assumptions &amp; FX Reference'!$A$5:$A$25,0))/INDEX('Assumptions &amp; FX Reference'!$C$5:$C$25,MATCH(H128,'Assumptions &amp; FX Reference'!$A$5:$A$25,0)),""))),"(FX missing)"))</f>
        <v/>
      </c>
      <c r="P128" s="30"/>
      <c r="Q128" s="30"/>
      <c r="R128" s="30"/>
      <c r="S128" s="30"/>
      <c r="T128" s="30"/>
      <c r="U128" s="30"/>
      <c r="V128" s="30"/>
    </row>
    <row r="129" spans="1:22">
      <c r="A129" s="30"/>
      <c r="B129" s="30"/>
      <c r="C129" s="33" t="str">
        <f>IF(B129="","",IFERROR(INDEX('Master Database'!$D$5:$D$600,MATCH(B129,'Master Database'!$A$5:$A$600,0)),"(row not found)"))</f>
        <v/>
      </c>
      <c r="D129" s="33" t="str">
        <f>IF(B129="","",IFERROR(INDEX('Master Database'!$B$5:$B$600,MATCH(B129,'Master Database'!$A$5:$A$600,0)),"(row not found)"))</f>
        <v/>
      </c>
      <c r="E129" s="30"/>
      <c r="F129" s="33" t="str">
        <f>IF(E129="","",IFERROR(INDEX(Vendor_Register!$B$5:$B$205,MATCH(E129,Vendor_Register!$A$5:$A$205,0)),"(not in register)"))</f>
        <v/>
      </c>
      <c r="G129" s="33" t="str">
        <f>IF(E129="","",IFERROR(INDEX(Vendor_Register!$E$5:$E$205,MATCH(E129,Vendor_Register!$A$5:$A$205,0)),"(not in register)"))</f>
        <v/>
      </c>
      <c r="H129" s="30"/>
      <c r="I129" s="30"/>
      <c r="J129" s="30"/>
      <c r="K129" s="30"/>
      <c r="L129" s="30"/>
      <c r="M129" s="34"/>
      <c r="N129" s="30"/>
      <c r="O129" s="35" t="str">
        <f>IF(NOT(ISNUMBER(M129)),"",IFERROR(IF(L129="EUR",M129,IF(L129="IRR",M129/INDEX('Assumptions &amp; FX Reference'!$C$5:$C$25,MATCH(H129,'Assumptions &amp; FX Reference'!$A$5:$A$25,0)),IF(L129="USD",M129*INDEX('Assumptions &amp; FX Reference'!$B$5:$B$25,MATCH(H129,'Assumptions &amp; FX Reference'!$A$5:$A$25,0))/INDEX('Assumptions &amp; FX Reference'!$C$5:$C$25,MATCH(H129,'Assumptions &amp; FX Reference'!$A$5:$A$25,0)),""))),"(FX missing)"))</f>
        <v/>
      </c>
      <c r="P129" s="30"/>
      <c r="Q129" s="30"/>
      <c r="R129" s="30"/>
      <c r="S129" s="30"/>
      <c r="T129" s="30"/>
      <c r="U129" s="30"/>
      <c r="V129" s="30"/>
    </row>
    <row r="130" spans="1:22">
      <c r="A130" s="30"/>
      <c r="B130" s="30"/>
      <c r="C130" s="33" t="str">
        <f>IF(B130="","",IFERROR(INDEX('Master Database'!$D$5:$D$600,MATCH(B130,'Master Database'!$A$5:$A$600,0)),"(row not found)"))</f>
        <v/>
      </c>
      <c r="D130" s="33" t="str">
        <f>IF(B130="","",IFERROR(INDEX('Master Database'!$B$5:$B$600,MATCH(B130,'Master Database'!$A$5:$A$600,0)),"(row not found)"))</f>
        <v/>
      </c>
      <c r="E130" s="30"/>
      <c r="F130" s="33" t="str">
        <f>IF(E130="","",IFERROR(INDEX(Vendor_Register!$B$5:$B$205,MATCH(E130,Vendor_Register!$A$5:$A$205,0)),"(not in register)"))</f>
        <v/>
      </c>
      <c r="G130" s="33" t="str">
        <f>IF(E130="","",IFERROR(INDEX(Vendor_Register!$E$5:$E$205,MATCH(E130,Vendor_Register!$A$5:$A$205,0)),"(not in register)"))</f>
        <v/>
      </c>
      <c r="H130" s="30"/>
      <c r="I130" s="30"/>
      <c r="J130" s="30"/>
      <c r="K130" s="30"/>
      <c r="L130" s="30"/>
      <c r="M130" s="34"/>
      <c r="N130" s="30"/>
      <c r="O130" s="35" t="str">
        <f>IF(NOT(ISNUMBER(M130)),"",IFERROR(IF(L130="EUR",M130,IF(L130="IRR",M130/INDEX('Assumptions &amp; FX Reference'!$C$5:$C$25,MATCH(H130,'Assumptions &amp; FX Reference'!$A$5:$A$25,0)),IF(L130="USD",M130*INDEX('Assumptions &amp; FX Reference'!$B$5:$B$25,MATCH(H130,'Assumptions &amp; FX Reference'!$A$5:$A$25,0))/INDEX('Assumptions &amp; FX Reference'!$C$5:$C$25,MATCH(H130,'Assumptions &amp; FX Reference'!$A$5:$A$25,0)),""))),"(FX missing)"))</f>
        <v/>
      </c>
      <c r="P130" s="30"/>
      <c r="Q130" s="30"/>
      <c r="R130" s="30"/>
      <c r="S130" s="30"/>
      <c r="T130" s="30"/>
      <c r="U130" s="30"/>
      <c r="V130" s="30"/>
    </row>
    <row r="131" spans="1:22">
      <c r="A131" s="30"/>
      <c r="B131" s="30"/>
      <c r="C131" s="33" t="str">
        <f>IF(B131="","",IFERROR(INDEX('Master Database'!$D$5:$D$600,MATCH(B131,'Master Database'!$A$5:$A$600,0)),"(row not found)"))</f>
        <v/>
      </c>
      <c r="D131" s="33" t="str">
        <f>IF(B131="","",IFERROR(INDEX('Master Database'!$B$5:$B$600,MATCH(B131,'Master Database'!$A$5:$A$600,0)),"(row not found)"))</f>
        <v/>
      </c>
      <c r="E131" s="30"/>
      <c r="F131" s="33" t="str">
        <f>IF(E131="","",IFERROR(INDEX(Vendor_Register!$B$5:$B$205,MATCH(E131,Vendor_Register!$A$5:$A$205,0)),"(not in register)"))</f>
        <v/>
      </c>
      <c r="G131" s="33" t="str">
        <f>IF(E131="","",IFERROR(INDEX(Vendor_Register!$E$5:$E$205,MATCH(E131,Vendor_Register!$A$5:$A$205,0)),"(not in register)"))</f>
        <v/>
      </c>
      <c r="H131" s="30"/>
      <c r="I131" s="30"/>
      <c r="J131" s="30"/>
      <c r="K131" s="30"/>
      <c r="L131" s="30"/>
      <c r="M131" s="34"/>
      <c r="N131" s="30"/>
      <c r="O131" s="35" t="str">
        <f>IF(NOT(ISNUMBER(M131)),"",IFERROR(IF(L131="EUR",M131,IF(L131="IRR",M131/INDEX('Assumptions &amp; FX Reference'!$C$5:$C$25,MATCH(H131,'Assumptions &amp; FX Reference'!$A$5:$A$25,0)),IF(L131="USD",M131*INDEX('Assumptions &amp; FX Reference'!$B$5:$B$25,MATCH(H131,'Assumptions &amp; FX Reference'!$A$5:$A$25,0))/INDEX('Assumptions &amp; FX Reference'!$C$5:$C$25,MATCH(H131,'Assumptions &amp; FX Reference'!$A$5:$A$25,0)),""))),"(FX missing)"))</f>
        <v/>
      </c>
      <c r="P131" s="30"/>
      <c r="Q131" s="30"/>
      <c r="R131" s="30"/>
      <c r="S131" s="30"/>
      <c r="T131" s="30"/>
      <c r="U131" s="30"/>
      <c r="V131" s="30"/>
    </row>
    <row r="132" spans="1:22">
      <c r="A132" s="30"/>
      <c r="B132" s="30"/>
      <c r="C132" s="33" t="str">
        <f>IF(B132="","",IFERROR(INDEX('Master Database'!$D$5:$D$600,MATCH(B132,'Master Database'!$A$5:$A$600,0)),"(row not found)"))</f>
        <v/>
      </c>
      <c r="D132" s="33" t="str">
        <f>IF(B132="","",IFERROR(INDEX('Master Database'!$B$5:$B$600,MATCH(B132,'Master Database'!$A$5:$A$600,0)),"(row not found)"))</f>
        <v/>
      </c>
      <c r="E132" s="30"/>
      <c r="F132" s="33" t="str">
        <f>IF(E132="","",IFERROR(INDEX(Vendor_Register!$B$5:$B$205,MATCH(E132,Vendor_Register!$A$5:$A$205,0)),"(not in register)"))</f>
        <v/>
      </c>
      <c r="G132" s="33" t="str">
        <f>IF(E132="","",IFERROR(INDEX(Vendor_Register!$E$5:$E$205,MATCH(E132,Vendor_Register!$A$5:$A$205,0)),"(not in register)"))</f>
        <v/>
      </c>
      <c r="H132" s="30"/>
      <c r="I132" s="30"/>
      <c r="J132" s="30"/>
      <c r="K132" s="30"/>
      <c r="L132" s="30"/>
      <c r="M132" s="34"/>
      <c r="N132" s="30"/>
      <c r="O132" s="35" t="str">
        <f>IF(NOT(ISNUMBER(M132)),"",IFERROR(IF(L132="EUR",M132,IF(L132="IRR",M132/INDEX('Assumptions &amp; FX Reference'!$C$5:$C$25,MATCH(H132,'Assumptions &amp; FX Reference'!$A$5:$A$25,0)),IF(L132="USD",M132*INDEX('Assumptions &amp; FX Reference'!$B$5:$B$25,MATCH(H132,'Assumptions &amp; FX Reference'!$A$5:$A$25,0))/INDEX('Assumptions &amp; FX Reference'!$C$5:$C$25,MATCH(H132,'Assumptions &amp; FX Reference'!$A$5:$A$25,0)),""))),"(FX missing)"))</f>
        <v/>
      </c>
      <c r="P132" s="30"/>
      <c r="Q132" s="30"/>
      <c r="R132" s="30"/>
      <c r="S132" s="30"/>
      <c r="T132" s="30"/>
      <c r="U132" s="30"/>
      <c r="V132" s="30"/>
    </row>
    <row r="133" spans="1:22">
      <c r="A133" s="30"/>
      <c r="B133" s="30"/>
      <c r="C133" s="33" t="str">
        <f>IF(B133="","",IFERROR(INDEX('Master Database'!$D$5:$D$600,MATCH(B133,'Master Database'!$A$5:$A$600,0)),"(row not found)"))</f>
        <v/>
      </c>
      <c r="D133" s="33" t="str">
        <f>IF(B133="","",IFERROR(INDEX('Master Database'!$B$5:$B$600,MATCH(B133,'Master Database'!$A$5:$A$600,0)),"(row not found)"))</f>
        <v/>
      </c>
      <c r="E133" s="30"/>
      <c r="F133" s="33" t="str">
        <f>IF(E133="","",IFERROR(INDEX(Vendor_Register!$B$5:$B$205,MATCH(E133,Vendor_Register!$A$5:$A$205,0)),"(not in register)"))</f>
        <v/>
      </c>
      <c r="G133" s="33" t="str">
        <f>IF(E133="","",IFERROR(INDEX(Vendor_Register!$E$5:$E$205,MATCH(E133,Vendor_Register!$A$5:$A$205,0)),"(not in register)"))</f>
        <v/>
      </c>
      <c r="H133" s="30"/>
      <c r="I133" s="30"/>
      <c r="J133" s="30"/>
      <c r="K133" s="30"/>
      <c r="L133" s="30"/>
      <c r="M133" s="34"/>
      <c r="N133" s="30"/>
      <c r="O133" s="35" t="str">
        <f>IF(NOT(ISNUMBER(M133)),"",IFERROR(IF(L133="EUR",M133,IF(L133="IRR",M133/INDEX('Assumptions &amp; FX Reference'!$C$5:$C$25,MATCH(H133,'Assumptions &amp; FX Reference'!$A$5:$A$25,0)),IF(L133="USD",M133*INDEX('Assumptions &amp; FX Reference'!$B$5:$B$25,MATCH(H133,'Assumptions &amp; FX Reference'!$A$5:$A$25,0))/INDEX('Assumptions &amp; FX Reference'!$C$5:$C$25,MATCH(H133,'Assumptions &amp; FX Reference'!$A$5:$A$25,0)),""))),"(FX missing)"))</f>
        <v/>
      </c>
      <c r="P133" s="30"/>
      <c r="Q133" s="30"/>
      <c r="R133" s="30"/>
      <c r="S133" s="30"/>
      <c r="T133" s="30"/>
      <c r="U133" s="30"/>
      <c r="V133" s="30"/>
    </row>
    <row r="134" spans="1:22">
      <c r="A134" s="30"/>
      <c r="B134" s="30"/>
      <c r="C134" s="33" t="str">
        <f>IF(B134="","",IFERROR(INDEX('Master Database'!$D$5:$D$600,MATCH(B134,'Master Database'!$A$5:$A$600,0)),"(row not found)"))</f>
        <v/>
      </c>
      <c r="D134" s="33" t="str">
        <f>IF(B134="","",IFERROR(INDEX('Master Database'!$B$5:$B$600,MATCH(B134,'Master Database'!$A$5:$A$600,0)),"(row not found)"))</f>
        <v/>
      </c>
      <c r="E134" s="30"/>
      <c r="F134" s="33" t="str">
        <f>IF(E134="","",IFERROR(INDEX(Vendor_Register!$B$5:$B$205,MATCH(E134,Vendor_Register!$A$5:$A$205,0)),"(not in register)"))</f>
        <v/>
      </c>
      <c r="G134" s="33" t="str">
        <f>IF(E134="","",IFERROR(INDEX(Vendor_Register!$E$5:$E$205,MATCH(E134,Vendor_Register!$A$5:$A$205,0)),"(not in register)"))</f>
        <v/>
      </c>
      <c r="H134" s="30"/>
      <c r="I134" s="30"/>
      <c r="J134" s="30"/>
      <c r="K134" s="30"/>
      <c r="L134" s="30"/>
      <c r="M134" s="34"/>
      <c r="N134" s="30"/>
      <c r="O134" s="35" t="str">
        <f>IF(NOT(ISNUMBER(M134)),"",IFERROR(IF(L134="EUR",M134,IF(L134="IRR",M134/INDEX('Assumptions &amp; FX Reference'!$C$5:$C$25,MATCH(H134,'Assumptions &amp; FX Reference'!$A$5:$A$25,0)),IF(L134="USD",M134*INDEX('Assumptions &amp; FX Reference'!$B$5:$B$25,MATCH(H134,'Assumptions &amp; FX Reference'!$A$5:$A$25,0))/INDEX('Assumptions &amp; FX Reference'!$C$5:$C$25,MATCH(H134,'Assumptions &amp; FX Reference'!$A$5:$A$25,0)),""))),"(FX missing)"))</f>
        <v/>
      </c>
      <c r="P134" s="30"/>
      <c r="Q134" s="30"/>
      <c r="R134" s="30"/>
      <c r="S134" s="30"/>
      <c r="T134" s="30"/>
      <c r="U134" s="30"/>
      <c r="V134" s="30"/>
    </row>
    <row r="135" spans="1:22">
      <c r="A135" s="30"/>
      <c r="B135" s="30"/>
      <c r="C135" s="33" t="str">
        <f>IF(B135="","",IFERROR(INDEX('Master Database'!$D$5:$D$600,MATCH(B135,'Master Database'!$A$5:$A$600,0)),"(row not found)"))</f>
        <v/>
      </c>
      <c r="D135" s="33" t="str">
        <f>IF(B135="","",IFERROR(INDEX('Master Database'!$B$5:$B$600,MATCH(B135,'Master Database'!$A$5:$A$600,0)),"(row not found)"))</f>
        <v/>
      </c>
      <c r="E135" s="30"/>
      <c r="F135" s="33" t="str">
        <f>IF(E135="","",IFERROR(INDEX(Vendor_Register!$B$5:$B$205,MATCH(E135,Vendor_Register!$A$5:$A$205,0)),"(not in register)"))</f>
        <v/>
      </c>
      <c r="G135" s="33" t="str">
        <f>IF(E135="","",IFERROR(INDEX(Vendor_Register!$E$5:$E$205,MATCH(E135,Vendor_Register!$A$5:$A$205,0)),"(not in register)"))</f>
        <v/>
      </c>
      <c r="H135" s="30"/>
      <c r="I135" s="30"/>
      <c r="J135" s="30"/>
      <c r="K135" s="30"/>
      <c r="L135" s="30"/>
      <c r="M135" s="34"/>
      <c r="N135" s="30"/>
      <c r="O135" s="35" t="str">
        <f>IF(NOT(ISNUMBER(M135)),"",IFERROR(IF(L135="EUR",M135,IF(L135="IRR",M135/INDEX('Assumptions &amp; FX Reference'!$C$5:$C$25,MATCH(H135,'Assumptions &amp; FX Reference'!$A$5:$A$25,0)),IF(L135="USD",M135*INDEX('Assumptions &amp; FX Reference'!$B$5:$B$25,MATCH(H135,'Assumptions &amp; FX Reference'!$A$5:$A$25,0))/INDEX('Assumptions &amp; FX Reference'!$C$5:$C$25,MATCH(H135,'Assumptions &amp; FX Reference'!$A$5:$A$25,0)),""))),"(FX missing)"))</f>
        <v/>
      </c>
      <c r="P135" s="30"/>
      <c r="Q135" s="30"/>
      <c r="R135" s="30"/>
      <c r="S135" s="30"/>
      <c r="T135" s="30"/>
      <c r="U135" s="30"/>
      <c r="V135" s="30"/>
    </row>
    <row r="136" spans="1:22">
      <c r="A136" s="30"/>
      <c r="B136" s="30"/>
      <c r="C136" s="33" t="str">
        <f>IF(B136="","",IFERROR(INDEX('Master Database'!$D$5:$D$600,MATCH(B136,'Master Database'!$A$5:$A$600,0)),"(row not found)"))</f>
        <v/>
      </c>
      <c r="D136" s="33" t="str">
        <f>IF(B136="","",IFERROR(INDEX('Master Database'!$B$5:$B$600,MATCH(B136,'Master Database'!$A$5:$A$600,0)),"(row not found)"))</f>
        <v/>
      </c>
      <c r="E136" s="30"/>
      <c r="F136" s="33" t="str">
        <f>IF(E136="","",IFERROR(INDEX(Vendor_Register!$B$5:$B$205,MATCH(E136,Vendor_Register!$A$5:$A$205,0)),"(not in register)"))</f>
        <v/>
      </c>
      <c r="G136" s="33" t="str">
        <f>IF(E136="","",IFERROR(INDEX(Vendor_Register!$E$5:$E$205,MATCH(E136,Vendor_Register!$A$5:$A$205,0)),"(not in register)"))</f>
        <v/>
      </c>
      <c r="H136" s="30"/>
      <c r="I136" s="30"/>
      <c r="J136" s="30"/>
      <c r="K136" s="30"/>
      <c r="L136" s="30"/>
      <c r="M136" s="34"/>
      <c r="N136" s="30"/>
      <c r="O136" s="35" t="str">
        <f>IF(NOT(ISNUMBER(M136)),"",IFERROR(IF(L136="EUR",M136,IF(L136="IRR",M136/INDEX('Assumptions &amp; FX Reference'!$C$5:$C$25,MATCH(H136,'Assumptions &amp; FX Reference'!$A$5:$A$25,0)),IF(L136="USD",M136*INDEX('Assumptions &amp; FX Reference'!$B$5:$B$25,MATCH(H136,'Assumptions &amp; FX Reference'!$A$5:$A$25,0))/INDEX('Assumptions &amp; FX Reference'!$C$5:$C$25,MATCH(H136,'Assumptions &amp; FX Reference'!$A$5:$A$25,0)),""))),"(FX missing)"))</f>
        <v/>
      </c>
      <c r="P136" s="30"/>
      <c r="Q136" s="30"/>
      <c r="R136" s="30"/>
      <c r="S136" s="30"/>
      <c r="T136" s="30"/>
      <c r="U136" s="30"/>
      <c r="V136" s="30"/>
    </row>
    <row r="137" spans="1:22">
      <c r="A137" s="30"/>
      <c r="B137" s="30"/>
      <c r="C137" s="33" t="str">
        <f>IF(B137="","",IFERROR(INDEX('Master Database'!$D$5:$D$600,MATCH(B137,'Master Database'!$A$5:$A$600,0)),"(row not found)"))</f>
        <v/>
      </c>
      <c r="D137" s="33" t="str">
        <f>IF(B137="","",IFERROR(INDEX('Master Database'!$B$5:$B$600,MATCH(B137,'Master Database'!$A$5:$A$600,0)),"(row not found)"))</f>
        <v/>
      </c>
      <c r="E137" s="30"/>
      <c r="F137" s="33" t="str">
        <f>IF(E137="","",IFERROR(INDEX(Vendor_Register!$B$5:$B$205,MATCH(E137,Vendor_Register!$A$5:$A$205,0)),"(not in register)"))</f>
        <v/>
      </c>
      <c r="G137" s="33" t="str">
        <f>IF(E137="","",IFERROR(INDEX(Vendor_Register!$E$5:$E$205,MATCH(E137,Vendor_Register!$A$5:$A$205,0)),"(not in register)"))</f>
        <v/>
      </c>
      <c r="H137" s="30"/>
      <c r="I137" s="30"/>
      <c r="J137" s="30"/>
      <c r="K137" s="30"/>
      <c r="L137" s="30"/>
      <c r="M137" s="34"/>
      <c r="N137" s="30"/>
      <c r="O137" s="35" t="str">
        <f>IF(NOT(ISNUMBER(M137)),"",IFERROR(IF(L137="EUR",M137,IF(L137="IRR",M137/INDEX('Assumptions &amp; FX Reference'!$C$5:$C$25,MATCH(H137,'Assumptions &amp; FX Reference'!$A$5:$A$25,0)),IF(L137="USD",M137*INDEX('Assumptions &amp; FX Reference'!$B$5:$B$25,MATCH(H137,'Assumptions &amp; FX Reference'!$A$5:$A$25,0))/INDEX('Assumptions &amp; FX Reference'!$C$5:$C$25,MATCH(H137,'Assumptions &amp; FX Reference'!$A$5:$A$25,0)),""))),"(FX missing)"))</f>
        <v/>
      </c>
      <c r="P137" s="30"/>
      <c r="Q137" s="30"/>
      <c r="R137" s="30"/>
      <c r="S137" s="30"/>
      <c r="T137" s="30"/>
      <c r="U137" s="30"/>
      <c r="V137" s="30"/>
    </row>
    <row r="138" spans="1:22">
      <c r="A138" s="30"/>
      <c r="B138" s="30"/>
      <c r="C138" s="33" t="str">
        <f>IF(B138="","",IFERROR(INDEX('Master Database'!$D$5:$D$600,MATCH(B138,'Master Database'!$A$5:$A$600,0)),"(row not found)"))</f>
        <v/>
      </c>
      <c r="D138" s="33" t="str">
        <f>IF(B138="","",IFERROR(INDEX('Master Database'!$B$5:$B$600,MATCH(B138,'Master Database'!$A$5:$A$600,0)),"(row not found)"))</f>
        <v/>
      </c>
      <c r="E138" s="30"/>
      <c r="F138" s="33" t="str">
        <f>IF(E138="","",IFERROR(INDEX(Vendor_Register!$B$5:$B$205,MATCH(E138,Vendor_Register!$A$5:$A$205,0)),"(not in register)"))</f>
        <v/>
      </c>
      <c r="G138" s="33" t="str">
        <f>IF(E138="","",IFERROR(INDEX(Vendor_Register!$E$5:$E$205,MATCH(E138,Vendor_Register!$A$5:$A$205,0)),"(not in register)"))</f>
        <v/>
      </c>
      <c r="H138" s="30"/>
      <c r="I138" s="30"/>
      <c r="J138" s="30"/>
      <c r="K138" s="30"/>
      <c r="L138" s="30"/>
      <c r="M138" s="34"/>
      <c r="N138" s="30"/>
      <c r="O138" s="35" t="str">
        <f>IF(NOT(ISNUMBER(M138)),"",IFERROR(IF(L138="EUR",M138,IF(L138="IRR",M138/INDEX('Assumptions &amp; FX Reference'!$C$5:$C$25,MATCH(H138,'Assumptions &amp; FX Reference'!$A$5:$A$25,0)),IF(L138="USD",M138*INDEX('Assumptions &amp; FX Reference'!$B$5:$B$25,MATCH(H138,'Assumptions &amp; FX Reference'!$A$5:$A$25,0))/INDEX('Assumptions &amp; FX Reference'!$C$5:$C$25,MATCH(H138,'Assumptions &amp; FX Reference'!$A$5:$A$25,0)),""))),"(FX missing)"))</f>
        <v/>
      </c>
      <c r="P138" s="30"/>
      <c r="Q138" s="30"/>
      <c r="R138" s="30"/>
      <c r="S138" s="30"/>
      <c r="T138" s="30"/>
      <c r="U138" s="30"/>
      <c r="V138" s="30"/>
    </row>
    <row r="139" spans="1:22">
      <c r="A139" s="30"/>
      <c r="B139" s="30"/>
      <c r="C139" s="33" t="str">
        <f>IF(B139="","",IFERROR(INDEX('Master Database'!$D$5:$D$600,MATCH(B139,'Master Database'!$A$5:$A$600,0)),"(row not found)"))</f>
        <v/>
      </c>
      <c r="D139" s="33" t="str">
        <f>IF(B139="","",IFERROR(INDEX('Master Database'!$B$5:$B$600,MATCH(B139,'Master Database'!$A$5:$A$600,0)),"(row not found)"))</f>
        <v/>
      </c>
      <c r="E139" s="30"/>
      <c r="F139" s="33" t="str">
        <f>IF(E139="","",IFERROR(INDEX(Vendor_Register!$B$5:$B$205,MATCH(E139,Vendor_Register!$A$5:$A$205,0)),"(not in register)"))</f>
        <v/>
      </c>
      <c r="G139" s="33" t="str">
        <f>IF(E139="","",IFERROR(INDEX(Vendor_Register!$E$5:$E$205,MATCH(E139,Vendor_Register!$A$5:$A$205,0)),"(not in register)"))</f>
        <v/>
      </c>
      <c r="H139" s="30"/>
      <c r="I139" s="30"/>
      <c r="J139" s="30"/>
      <c r="K139" s="30"/>
      <c r="L139" s="30"/>
      <c r="M139" s="34"/>
      <c r="N139" s="30"/>
      <c r="O139" s="35" t="str">
        <f>IF(NOT(ISNUMBER(M139)),"",IFERROR(IF(L139="EUR",M139,IF(L139="IRR",M139/INDEX('Assumptions &amp; FX Reference'!$C$5:$C$25,MATCH(H139,'Assumptions &amp; FX Reference'!$A$5:$A$25,0)),IF(L139="USD",M139*INDEX('Assumptions &amp; FX Reference'!$B$5:$B$25,MATCH(H139,'Assumptions &amp; FX Reference'!$A$5:$A$25,0))/INDEX('Assumptions &amp; FX Reference'!$C$5:$C$25,MATCH(H139,'Assumptions &amp; FX Reference'!$A$5:$A$25,0)),""))),"(FX missing)"))</f>
        <v/>
      </c>
      <c r="P139" s="30"/>
      <c r="Q139" s="30"/>
      <c r="R139" s="30"/>
      <c r="S139" s="30"/>
      <c r="T139" s="30"/>
      <c r="U139" s="30"/>
      <c r="V139" s="30"/>
    </row>
    <row r="140" spans="1:22">
      <c r="A140" s="30"/>
      <c r="B140" s="30"/>
      <c r="C140" s="33" t="str">
        <f>IF(B140="","",IFERROR(INDEX('Master Database'!$D$5:$D$600,MATCH(B140,'Master Database'!$A$5:$A$600,0)),"(row not found)"))</f>
        <v/>
      </c>
      <c r="D140" s="33" t="str">
        <f>IF(B140="","",IFERROR(INDEX('Master Database'!$B$5:$B$600,MATCH(B140,'Master Database'!$A$5:$A$600,0)),"(row not found)"))</f>
        <v/>
      </c>
      <c r="E140" s="30"/>
      <c r="F140" s="33" t="str">
        <f>IF(E140="","",IFERROR(INDEX(Vendor_Register!$B$5:$B$205,MATCH(E140,Vendor_Register!$A$5:$A$205,0)),"(not in register)"))</f>
        <v/>
      </c>
      <c r="G140" s="33" t="str">
        <f>IF(E140="","",IFERROR(INDEX(Vendor_Register!$E$5:$E$205,MATCH(E140,Vendor_Register!$A$5:$A$205,0)),"(not in register)"))</f>
        <v/>
      </c>
      <c r="H140" s="30"/>
      <c r="I140" s="30"/>
      <c r="J140" s="30"/>
      <c r="K140" s="30"/>
      <c r="L140" s="30"/>
      <c r="M140" s="34"/>
      <c r="N140" s="30"/>
      <c r="O140" s="35" t="str">
        <f>IF(NOT(ISNUMBER(M140)),"",IFERROR(IF(L140="EUR",M140,IF(L140="IRR",M140/INDEX('Assumptions &amp; FX Reference'!$C$5:$C$25,MATCH(H140,'Assumptions &amp; FX Reference'!$A$5:$A$25,0)),IF(L140="USD",M140*INDEX('Assumptions &amp; FX Reference'!$B$5:$B$25,MATCH(H140,'Assumptions &amp; FX Reference'!$A$5:$A$25,0))/INDEX('Assumptions &amp; FX Reference'!$C$5:$C$25,MATCH(H140,'Assumptions &amp; FX Reference'!$A$5:$A$25,0)),""))),"(FX missing)"))</f>
        <v/>
      </c>
      <c r="P140" s="30"/>
      <c r="Q140" s="30"/>
      <c r="R140" s="30"/>
      <c r="S140" s="30"/>
      <c r="T140" s="30"/>
      <c r="U140" s="30"/>
      <c r="V140" s="30"/>
    </row>
    <row r="141" spans="1:22">
      <c r="A141" s="30"/>
      <c r="B141" s="30"/>
      <c r="C141" s="33" t="str">
        <f>IF(B141="","",IFERROR(INDEX('Master Database'!$D$5:$D$600,MATCH(B141,'Master Database'!$A$5:$A$600,0)),"(row not found)"))</f>
        <v/>
      </c>
      <c r="D141" s="33" t="str">
        <f>IF(B141="","",IFERROR(INDEX('Master Database'!$B$5:$B$600,MATCH(B141,'Master Database'!$A$5:$A$600,0)),"(row not found)"))</f>
        <v/>
      </c>
      <c r="E141" s="30"/>
      <c r="F141" s="33" t="str">
        <f>IF(E141="","",IFERROR(INDEX(Vendor_Register!$B$5:$B$205,MATCH(E141,Vendor_Register!$A$5:$A$205,0)),"(not in register)"))</f>
        <v/>
      </c>
      <c r="G141" s="33" t="str">
        <f>IF(E141="","",IFERROR(INDEX(Vendor_Register!$E$5:$E$205,MATCH(E141,Vendor_Register!$A$5:$A$205,0)),"(not in register)"))</f>
        <v/>
      </c>
      <c r="H141" s="30"/>
      <c r="I141" s="30"/>
      <c r="J141" s="30"/>
      <c r="K141" s="30"/>
      <c r="L141" s="30"/>
      <c r="M141" s="34"/>
      <c r="N141" s="30"/>
      <c r="O141" s="35" t="str">
        <f>IF(NOT(ISNUMBER(M141)),"",IFERROR(IF(L141="EUR",M141,IF(L141="IRR",M141/INDEX('Assumptions &amp; FX Reference'!$C$5:$C$25,MATCH(H141,'Assumptions &amp; FX Reference'!$A$5:$A$25,0)),IF(L141="USD",M141*INDEX('Assumptions &amp; FX Reference'!$B$5:$B$25,MATCH(H141,'Assumptions &amp; FX Reference'!$A$5:$A$25,0))/INDEX('Assumptions &amp; FX Reference'!$C$5:$C$25,MATCH(H141,'Assumptions &amp; FX Reference'!$A$5:$A$25,0)),""))),"(FX missing)"))</f>
        <v/>
      </c>
      <c r="P141" s="30"/>
      <c r="Q141" s="30"/>
      <c r="R141" s="30"/>
      <c r="S141" s="30"/>
      <c r="T141" s="30"/>
      <c r="U141" s="30"/>
      <c r="V141" s="30"/>
    </row>
    <row r="142" spans="1:22">
      <c r="A142" s="30"/>
      <c r="B142" s="30"/>
      <c r="C142" s="33" t="str">
        <f>IF(B142="","",IFERROR(INDEX('Master Database'!$D$5:$D$600,MATCH(B142,'Master Database'!$A$5:$A$600,0)),"(row not found)"))</f>
        <v/>
      </c>
      <c r="D142" s="33" t="str">
        <f>IF(B142="","",IFERROR(INDEX('Master Database'!$B$5:$B$600,MATCH(B142,'Master Database'!$A$5:$A$600,0)),"(row not found)"))</f>
        <v/>
      </c>
      <c r="E142" s="30"/>
      <c r="F142" s="33" t="str">
        <f>IF(E142="","",IFERROR(INDEX(Vendor_Register!$B$5:$B$205,MATCH(E142,Vendor_Register!$A$5:$A$205,0)),"(not in register)"))</f>
        <v/>
      </c>
      <c r="G142" s="33" t="str">
        <f>IF(E142="","",IFERROR(INDEX(Vendor_Register!$E$5:$E$205,MATCH(E142,Vendor_Register!$A$5:$A$205,0)),"(not in register)"))</f>
        <v/>
      </c>
      <c r="H142" s="30"/>
      <c r="I142" s="30"/>
      <c r="J142" s="30"/>
      <c r="K142" s="30"/>
      <c r="L142" s="30"/>
      <c r="M142" s="34"/>
      <c r="N142" s="30"/>
      <c r="O142" s="35" t="str">
        <f>IF(NOT(ISNUMBER(M142)),"",IFERROR(IF(L142="EUR",M142,IF(L142="IRR",M142/INDEX('Assumptions &amp; FX Reference'!$C$5:$C$25,MATCH(H142,'Assumptions &amp; FX Reference'!$A$5:$A$25,0)),IF(L142="USD",M142*INDEX('Assumptions &amp; FX Reference'!$B$5:$B$25,MATCH(H142,'Assumptions &amp; FX Reference'!$A$5:$A$25,0))/INDEX('Assumptions &amp; FX Reference'!$C$5:$C$25,MATCH(H142,'Assumptions &amp; FX Reference'!$A$5:$A$25,0)),""))),"(FX missing)"))</f>
        <v/>
      </c>
      <c r="P142" s="30"/>
      <c r="Q142" s="30"/>
      <c r="R142" s="30"/>
      <c r="S142" s="30"/>
      <c r="T142" s="30"/>
      <c r="U142" s="30"/>
      <c r="V142" s="30"/>
    </row>
    <row r="143" spans="1:22">
      <c r="A143" s="30"/>
      <c r="B143" s="30"/>
      <c r="C143" s="33" t="str">
        <f>IF(B143="","",IFERROR(INDEX('Master Database'!$D$5:$D$600,MATCH(B143,'Master Database'!$A$5:$A$600,0)),"(row not found)"))</f>
        <v/>
      </c>
      <c r="D143" s="33" t="str">
        <f>IF(B143="","",IFERROR(INDEX('Master Database'!$B$5:$B$600,MATCH(B143,'Master Database'!$A$5:$A$600,0)),"(row not found)"))</f>
        <v/>
      </c>
      <c r="E143" s="30"/>
      <c r="F143" s="33" t="str">
        <f>IF(E143="","",IFERROR(INDEX(Vendor_Register!$B$5:$B$205,MATCH(E143,Vendor_Register!$A$5:$A$205,0)),"(not in register)"))</f>
        <v/>
      </c>
      <c r="G143" s="33" t="str">
        <f>IF(E143="","",IFERROR(INDEX(Vendor_Register!$E$5:$E$205,MATCH(E143,Vendor_Register!$A$5:$A$205,0)),"(not in register)"))</f>
        <v/>
      </c>
      <c r="H143" s="30"/>
      <c r="I143" s="30"/>
      <c r="J143" s="30"/>
      <c r="K143" s="30"/>
      <c r="L143" s="30"/>
      <c r="M143" s="34"/>
      <c r="N143" s="30"/>
      <c r="O143" s="35" t="str">
        <f>IF(NOT(ISNUMBER(M143)),"",IFERROR(IF(L143="EUR",M143,IF(L143="IRR",M143/INDEX('Assumptions &amp; FX Reference'!$C$5:$C$25,MATCH(H143,'Assumptions &amp; FX Reference'!$A$5:$A$25,0)),IF(L143="USD",M143*INDEX('Assumptions &amp; FX Reference'!$B$5:$B$25,MATCH(H143,'Assumptions &amp; FX Reference'!$A$5:$A$25,0))/INDEX('Assumptions &amp; FX Reference'!$C$5:$C$25,MATCH(H143,'Assumptions &amp; FX Reference'!$A$5:$A$25,0)),""))),"(FX missing)"))</f>
        <v/>
      </c>
      <c r="P143" s="30"/>
      <c r="Q143" s="30"/>
      <c r="R143" s="30"/>
      <c r="S143" s="30"/>
      <c r="T143" s="30"/>
      <c r="U143" s="30"/>
      <c r="V143" s="30"/>
    </row>
    <row r="144" spans="1:22">
      <c r="A144" s="30"/>
      <c r="B144" s="30"/>
      <c r="C144" s="33" t="str">
        <f>IF(B144="","",IFERROR(INDEX('Master Database'!$D$5:$D$600,MATCH(B144,'Master Database'!$A$5:$A$600,0)),"(row not found)"))</f>
        <v/>
      </c>
      <c r="D144" s="33" t="str">
        <f>IF(B144="","",IFERROR(INDEX('Master Database'!$B$5:$B$600,MATCH(B144,'Master Database'!$A$5:$A$600,0)),"(row not found)"))</f>
        <v/>
      </c>
      <c r="E144" s="30"/>
      <c r="F144" s="33" t="str">
        <f>IF(E144="","",IFERROR(INDEX(Vendor_Register!$B$5:$B$205,MATCH(E144,Vendor_Register!$A$5:$A$205,0)),"(not in register)"))</f>
        <v/>
      </c>
      <c r="G144" s="33" t="str">
        <f>IF(E144="","",IFERROR(INDEX(Vendor_Register!$E$5:$E$205,MATCH(E144,Vendor_Register!$A$5:$A$205,0)),"(not in register)"))</f>
        <v/>
      </c>
      <c r="H144" s="30"/>
      <c r="I144" s="30"/>
      <c r="J144" s="30"/>
      <c r="K144" s="30"/>
      <c r="L144" s="30"/>
      <c r="M144" s="34"/>
      <c r="N144" s="30"/>
      <c r="O144" s="35" t="str">
        <f>IF(NOT(ISNUMBER(M144)),"",IFERROR(IF(L144="EUR",M144,IF(L144="IRR",M144/INDEX('Assumptions &amp; FX Reference'!$C$5:$C$25,MATCH(H144,'Assumptions &amp; FX Reference'!$A$5:$A$25,0)),IF(L144="USD",M144*INDEX('Assumptions &amp; FX Reference'!$B$5:$B$25,MATCH(H144,'Assumptions &amp; FX Reference'!$A$5:$A$25,0))/INDEX('Assumptions &amp; FX Reference'!$C$5:$C$25,MATCH(H144,'Assumptions &amp; FX Reference'!$A$5:$A$25,0)),""))),"(FX missing)"))</f>
        <v/>
      </c>
      <c r="P144" s="30"/>
      <c r="Q144" s="30"/>
      <c r="R144" s="30"/>
      <c r="S144" s="30"/>
      <c r="T144" s="30"/>
      <c r="U144" s="30"/>
      <c r="V144" s="30"/>
    </row>
    <row r="145" spans="1:22">
      <c r="A145" s="30"/>
      <c r="B145" s="30"/>
      <c r="C145" s="33" t="str">
        <f>IF(B145="","",IFERROR(INDEX('Master Database'!$D$5:$D$600,MATCH(B145,'Master Database'!$A$5:$A$600,0)),"(row not found)"))</f>
        <v/>
      </c>
      <c r="D145" s="33" t="str">
        <f>IF(B145="","",IFERROR(INDEX('Master Database'!$B$5:$B$600,MATCH(B145,'Master Database'!$A$5:$A$600,0)),"(row not found)"))</f>
        <v/>
      </c>
      <c r="E145" s="30"/>
      <c r="F145" s="33" t="str">
        <f>IF(E145="","",IFERROR(INDEX(Vendor_Register!$B$5:$B$205,MATCH(E145,Vendor_Register!$A$5:$A$205,0)),"(not in register)"))</f>
        <v/>
      </c>
      <c r="G145" s="33" t="str">
        <f>IF(E145="","",IFERROR(INDEX(Vendor_Register!$E$5:$E$205,MATCH(E145,Vendor_Register!$A$5:$A$205,0)),"(not in register)"))</f>
        <v/>
      </c>
      <c r="H145" s="30"/>
      <c r="I145" s="30"/>
      <c r="J145" s="30"/>
      <c r="K145" s="30"/>
      <c r="L145" s="30"/>
      <c r="M145" s="34"/>
      <c r="N145" s="30"/>
      <c r="O145" s="35" t="str">
        <f>IF(NOT(ISNUMBER(M145)),"",IFERROR(IF(L145="EUR",M145,IF(L145="IRR",M145/INDEX('Assumptions &amp; FX Reference'!$C$5:$C$25,MATCH(H145,'Assumptions &amp; FX Reference'!$A$5:$A$25,0)),IF(L145="USD",M145*INDEX('Assumptions &amp; FX Reference'!$B$5:$B$25,MATCH(H145,'Assumptions &amp; FX Reference'!$A$5:$A$25,0))/INDEX('Assumptions &amp; FX Reference'!$C$5:$C$25,MATCH(H145,'Assumptions &amp; FX Reference'!$A$5:$A$25,0)),""))),"(FX missing)"))</f>
        <v/>
      </c>
      <c r="P145" s="30"/>
      <c r="Q145" s="30"/>
      <c r="R145" s="30"/>
      <c r="S145" s="30"/>
      <c r="T145" s="30"/>
      <c r="U145" s="30"/>
      <c r="V145" s="30"/>
    </row>
    <row r="146" spans="1:22">
      <c r="A146" s="30"/>
      <c r="B146" s="30"/>
      <c r="C146" s="33" t="str">
        <f>IF(B146="","",IFERROR(INDEX('Master Database'!$D$5:$D$600,MATCH(B146,'Master Database'!$A$5:$A$600,0)),"(row not found)"))</f>
        <v/>
      </c>
      <c r="D146" s="33" t="str">
        <f>IF(B146="","",IFERROR(INDEX('Master Database'!$B$5:$B$600,MATCH(B146,'Master Database'!$A$5:$A$600,0)),"(row not found)"))</f>
        <v/>
      </c>
      <c r="E146" s="30"/>
      <c r="F146" s="33" t="str">
        <f>IF(E146="","",IFERROR(INDEX(Vendor_Register!$B$5:$B$205,MATCH(E146,Vendor_Register!$A$5:$A$205,0)),"(not in register)"))</f>
        <v/>
      </c>
      <c r="G146" s="33" t="str">
        <f>IF(E146="","",IFERROR(INDEX(Vendor_Register!$E$5:$E$205,MATCH(E146,Vendor_Register!$A$5:$A$205,0)),"(not in register)"))</f>
        <v/>
      </c>
      <c r="H146" s="30"/>
      <c r="I146" s="30"/>
      <c r="J146" s="30"/>
      <c r="K146" s="30"/>
      <c r="L146" s="30"/>
      <c r="M146" s="34"/>
      <c r="N146" s="30"/>
      <c r="O146" s="35" t="str">
        <f>IF(NOT(ISNUMBER(M146)),"",IFERROR(IF(L146="EUR",M146,IF(L146="IRR",M146/INDEX('Assumptions &amp; FX Reference'!$C$5:$C$25,MATCH(H146,'Assumptions &amp; FX Reference'!$A$5:$A$25,0)),IF(L146="USD",M146*INDEX('Assumptions &amp; FX Reference'!$B$5:$B$25,MATCH(H146,'Assumptions &amp; FX Reference'!$A$5:$A$25,0))/INDEX('Assumptions &amp; FX Reference'!$C$5:$C$25,MATCH(H146,'Assumptions &amp; FX Reference'!$A$5:$A$25,0)),""))),"(FX missing)"))</f>
        <v/>
      </c>
      <c r="P146" s="30"/>
      <c r="Q146" s="30"/>
      <c r="R146" s="30"/>
      <c r="S146" s="30"/>
      <c r="T146" s="30"/>
      <c r="U146" s="30"/>
      <c r="V146" s="30"/>
    </row>
    <row r="147" spans="1:22">
      <c r="A147" s="30"/>
      <c r="B147" s="30"/>
      <c r="C147" s="33" t="str">
        <f>IF(B147="","",IFERROR(INDEX('Master Database'!$D$5:$D$600,MATCH(B147,'Master Database'!$A$5:$A$600,0)),"(row not found)"))</f>
        <v/>
      </c>
      <c r="D147" s="33" t="str">
        <f>IF(B147="","",IFERROR(INDEX('Master Database'!$B$5:$B$600,MATCH(B147,'Master Database'!$A$5:$A$600,0)),"(row not found)"))</f>
        <v/>
      </c>
      <c r="E147" s="30"/>
      <c r="F147" s="33" t="str">
        <f>IF(E147="","",IFERROR(INDEX(Vendor_Register!$B$5:$B$205,MATCH(E147,Vendor_Register!$A$5:$A$205,0)),"(not in register)"))</f>
        <v/>
      </c>
      <c r="G147" s="33" t="str">
        <f>IF(E147="","",IFERROR(INDEX(Vendor_Register!$E$5:$E$205,MATCH(E147,Vendor_Register!$A$5:$A$205,0)),"(not in register)"))</f>
        <v/>
      </c>
      <c r="H147" s="30"/>
      <c r="I147" s="30"/>
      <c r="J147" s="30"/>
      <c r="K147" s="30"/>
      <c r="L147" s="30"/>
      <c r="M147" s="34"/>
      <c r="N147" s="30"/>
      <c r="O147" s="35" t="str">
        <f>IF(NOT(ISNUMBER(M147)),"",IFERROR(IF(L147="EUR",M147,IF(L147="IRR",M147/INDEX('Assumptions &amp; FX Reference'!$C$5:$C$25,MATCH(H147,'Assumptions &amp; FX Reference'!$A$5:$A$25,0)),IF(L147="USD",M147*INDEX('Assumptions &amp; FX Reference'!$B$5:$B$25,MATCH(H147,'Assumptions &amp; FX Reference'!$A$5:$A$25,0))/INDEX('Assumptions &amp; FX Reference'!$C$5:$C$25,MATCH(H147,'Assumptions &amp; FX Reference'!$A$5:$A$25,0)),""))),"(FX missing)"))</f>
        <v/>
      </c>
      <c r="P147" s="30"/>
      <c r="Q147" s="30"/>
      <c r="R147" s="30"/>
      <c r="S147" s="30"/>
      <c r="T147" s="30"/>
      <c r="U147" s="30"/>
      <c r="V147" s="30"/>
    </row>
    <row r="148" spans="1:22">
      <c r="A148" s="30"/>
      <c r="B148" s="30"/>
      <c r="C148" s="33" t="str">
        <f>IF(B148="","",IFERROR(INDEX('Master Database'!$D$5:$D$600,MATCH(B148,'Master Database'!$A$5:$A$600,0)),"(row not found)"))</f>
        <v/>
      </c>
      <c r="D148" s="33" t="str">
        <f>IF(B148="","",IFERROR(INDEX('Master Database'!$B$5:$B$600,MATCH(B148,'Master Database'!$A$5:$A$600,0)),"(row not found)"))</f>
        <v/>
      </c>
      <c r="E148" s="30"/>
      <c r="F148" s="33" t="str">
        <f>IF(E148="","",IFERROR(INDEX(Vendor_Register!$B$5:$B$205,MATCH(E148,Vendor_Register!$A$5:$A$205,0)),"(not in register)"))</f>
        <v/>
      </c>
      <c r="G148" s="33" t="str">
        <f>IF(E148="","",IFERROR(INDEX(Vendor_Register!$E$5:$E$205,MATCH(E148,Vendor_Register!$A$5:$A$205,0)),"(not in register)"))</f>
        <v/>
      </c>
      <c r="H148" s="30"/>
      <c r="I148" s="30"/>
      <c r="J148" s="30"/>
      <c r="K148" s="30"/>
      <c r="L148" s="30"/>
      <c r="M148" s="34"/>
      <c r="N148" s="30"/>
      <c r="O148" s="35" t="str">
        <f>IF(NOT(ISNUMBER(M148)),"",IFERROR(IF(L148="EUR",M148,IF(L148="IRR",M148/INDEX('Assumptions &amp; FX Reference'!$C$5:$C$25,MATCH(H148,'Assumptions &amp; FX Reference'!$A$5:$A$25,0)),IF(L148="USD",M148*INDEX('Assumptions &amp; FX Reference'!$B$5:$B$25,MATCH(H148,'Assumptions &amp; FX Reference'!$A$5:$A$25,0))/INDEX('Assumptions &amp; FX Reference'!$C$5:$C$25,MATCH(H148,'Assumptions &amp; FX Reference'!$A$5:$A$25,0)),""))),"(FX missing)"))</f>
        <v/>
      </c>
      <c r="P148" s="30"/>
      <c r="Q148" s="30"/>
      <c r="R148" s="30"/>
      <c r="S148" s="30"/>
      <c r="T148" s="30"/>
      <c r="U148" s="30"/>
      <c r="V148" s="30"/>
    </row>
    <row r="149" spans="1:22">
      <c r="A149" s="30"/>
      <c r="B149" s="30"/>
      <c r="C149" s="33" t="str">
        <f>IF(B149="","",IFERROR(INDEX('Master Database'!$D$5:$D$600,MATCH(B149,'Master Database'!$A$5:$A$600,0)),"(row not found)"))</f>
        <v/>
      </c>
      <c r="D149" s="33" t="str">
        <f>IF(B149="","",IFERROR(INDEX('Master Database'!$B$5:$B$600,MATCH(B149,'Master Database'!$A$5:$A$600,0)),"(row not found)"))</f>
        <v/>
      </c>
      <c r="E149" s="30"/>
      <c r="F149" s="33" t="str">
        <f>IF(E149="","",IFERROR(INDEX(Vendor_Register!$B$5:$B$205,MATCH(E149,Vendor_Register!$A$5:$A$205,0)),"(not in register)"))</f>
        <v/>
      </c>
      <c r="G149" s="33" t="str">
        <f>IF(E149="","",IFERROR(INDEX(Vendor_Register!$E$5:$E$205,MATCH(E149,Vendor_Register!$A$5:$A$205,0)),"(not in register)"))</f>
        <v/>
      </c>
      <c r="H149" s="30"/>
      <c r="I149" s="30"/>
      <c r="J149" s="30"/>
      <c r="K149" s="30"/>
      <c r="L149" s="30"/>
      <c r="M149" s="34"/>
      <c r="N149" s="30"/>
      <c r="O149" s="35" t="str">
        <f>IF(NOT(ISNUMBER(M149)),"",IFERROR(IF(L149="EUR",M149,IF(L149="IRR",M149/INDEX('Assumptions &amp; FX Reference'!$C$5:$C$25,MATCH(H149,'Assumptions &amp; FX Reference'!$A$5:$A$25,0)),IF(L149="USD",M149*INDEX('Assumptions &amp; FX Reference'!$B$5:$B$25,MATCH(H149,'Assumptions &amp; FX Reference'!$A$5:$A$25,0))/INDEX('Assumptions &amp; FX Reference'!$C$5:$C$25,MATCH(H149,'Assumptions &amp; FX Reference'!$A$5:$A$25,0)),""))),"(FX missing)"))</f>
        <v/>
      </c>
      <c r="P149" s="30"/>
      <c r="Q149" s="30"/>
      <c r="R149" s="30"/>
      <c r="S149" s="30"/>
      <c r="T149" s="30"/>
      <c r="U149" s="30"/>
      <c r="V149" s="30"/>
    </row>
    <row r="150" spans="1:22">
      <c r="A150" s="30"/>
      <c r="B150" s="30"/>
      <c r="C150" s="33" t="str">
        <f>IF(B150="","",IFERROR(INDEX('Master Database'!$D$5:$D$600,MATCH(B150,'Master Database'!$A$5:$A$600,0)),"(row not found)"))</f>
        <v/>
      </c>
      <c r="D150" s="33" t="str">
        <f>IF(B150="","",IFERROR(INDEX('Master Database'!$B$5:$B$600,MATCH(B150,'Master Database'!$A$5:$A$600,0)),"(row not found)"))</f>
        <v/>
      </c>
      <c r="E150" s="30"/>
      <c r="F150" s="33" t="str">
        <f>IF(E150="","",IFERROR(INDEX(Vendor_Register!$B$5:$B$205,MATCH(E150,Vendor_Register!$A$5:$A$205,0)),"(not in register)"))</f>
        <v/>
      </c>
      <c r="G150" s="33" t="str">
        <f>IF(E150="","",IFERROR(INDEX(Vendor_Register!$E$5:$E$205,MATCH(E150,Vendor_Register!$A$5:$A$205,0)),"(not in register)"))</f>
        <v/>
      </c>
      <c r="H150" s="30"/>
      <c r="I150" s="30"/>
      <c r="J150" s="30"/>
      <c r="K150" s="30"/>
      <c r="L150" s="30"/>
      <c r="M150" s="34"/>
      <c r="N150" s="30"/>
      <c r="O150" s="35" t="str">
        <f>IF(NOT(ISNUMBER(M150)),"",IFERROR(IF(L150="EUR",M150,IF(L150="IRR",M150/INDEX('Assumptions &amp; FX Reference'!$C$5:$C$25,MATCH(H150,'Assumptions &amp; FX Reference'!$A$5:$A$25,0)),IF(L150="USD",M150*INDEX('Assumptions &amp; FX Reference'!$B$5:$B$25,MATCH(H150,'Assumptions &amp; FX Reference'!$A$5:$A$25,0))/INDEX('Assumptions &amp; FX Reference'!$C$5:$C$25,MATCH(H150,'Assumptions &amp; FX Reference'!$A$5:$A$25,0)),""))),"(FX missing)"))</f>
        <v/>
      </c>
      <c r="P150" s="30"/>
      <c r="Q150" s="30"/>
      <c r="R150" s="30"/>
      <c r="S150" s="30"/>
      <c r="T150" s="30"/>
      <c r="U150" s="30"/>
      <c r="V150" s="30"/>
    </row>
    <row r="151" spans="1:22">
      <c r="A151" s="30"/>
      <c r="B151" s="30"/>
      <c r="C151" s="33" t="str">
        <f>IF(B151="","",IFERROR(INDEX('Master Database'!$D$5:$D$600,MATCH(B151,'Master Database'!$A$5:$A$600,0)),"(row not found)"))</f>
        <v/>
      </c>
      <c r="D151" s="33" t="str">
        <f>IF(B151="","",IFERROR(INDEX('Master Database'!$B$5:$B$600,MATCH(B151,'Master Database'!$A$5:$A$600,0)),"(row not found)"))</f>
        <v/>
      </c>
      <c r="E151" s="30"/>
      <c r="F151" s="33" t="str">
        <f>IF(E151="","",IFERROR(INDEX(Vendor_Register!$B$5:$B$205,MATCH(E151,Vendor_Register!$A$5:$A$205,0)),"(not in register)"))</f>
        <v/>
      </c>
      <c r="G151" s="33" t="str">
        <f>IF(E151="","",IFERROR(INDEX(Vendor_Register!$E$5:$E$205,MATCH(E151,Vendor_Register!$A$5:$A$205,0)),"(not in register)"))</f>
        <v/>
      </c>
      <c r="H151" s="30"/>
      <c r="I151" s="30"/>
      <c r="J151" s="30"/>
      <c r="K151" s="30"/>
      <c r="L151" s="30"/>
      <c r="M151" s="34"/>
      <c r="N151" s="30"/>
      <c r="O151" s="35" t="str">
        <f>IF(NOT(ISNUMBER(M151)),"",IFERROR(IF(L151="EUR",M151,IF(L151="IRR",M151/INDEX('Assumptions &amp; FX Reference'!$C$5:$C$25,MATCH(H151,'Assumptions &amp; FX Reference'!$A$5:$A$25,0)),IF(L151="USD",M151*INDEX('Assumptions &amp; FX Reference'!$B$5:$B$25,MATCH(H151,'Assumptions &amp; FX Reference'!$A$5:$A$25,0))/INDEX('Assumptions &amp; FX Reference'!$C$5:$C$25,MATCH(H151,'Assumptions &amp; FX Reference'!$A$5:$A$25,0)),""))),"(FX missing)"))</f>
        <v/>
      </c>
      <c r="P151" s="30"/>
      <c r="Q151" s="30"/>
      <c r="R151" s="30"/>
      <c r="S151" s="30"/>
      <c r="T151" s="30"/>
      <c r="U151" s="30"/>
      <c r="V151" s="30"/>
    </row>
    <row r="152" spans="1:22">
      <c r="A152" s="30"/>
      <c r="B152" s="30"/>
      <c r="C152" s="33" t="str">
        <f>IF(B152="","",IFERROR(INDEX('Master Database'!$D$5:$D$600,MATCH(B152,'Master Database'!$A$5:$A$600,0)),"(row not found)"))</f>
        <v/>
      </c>
      <c r="D152" s="33" t="str">
        <f>IF(B152="","",IFERROR(INDEX('Master Database'!$B$5:$B$600,MATCH(B152,'Master Database'!$A$5:$A$600,0)),"(row not found)"))</f>
        <v/>
      </c>
      <c r="E152" s="30"/>
      <c r="F152" s="33" t="str">
        <f>IF(E152="","",IFERROR(INDEX(Vendor_Register!$B$5:$B$205,MATCH(E152,Vendor_Register!$A$5:$A$205,0)),"(not in register)"))</f>
        <v/>
      </c>
      <c r="G152" s="33" t="str">
        <f>IF(E152="","",IFERROR(INDEX(Vendor_Register!$E$5:$E$205,MATCH(E152,Vendor_Register!$A$5:$A$205,0)),"(not in register)"))</f>
        <v/>
      </c>
      <c r="H152" s="30"/>
      <c r="I152" s="30"/>
      <c r="J152" s="30"/>
      <c r="K152" s="30"/>
      <c r="L152" s="30"/>
      <c r="M152" s="34"/>
      <c r="N152" s="30"/>
      <c r="O152" s="35" t="str">
        <f>IF(NOT(ISNUMBER(M152)),"",IFERROR(IF(L152="EUR",M152,IF(L152="IRR",M152/INDEX('Assumptions &amp; FX Reference'!$C$5:$C$25,MATCH(H152,'Assumptions &amp; FX Reference'!$A$5:$A$25,0)),IF(L152="USD",M152*INDEX('Assumptions &amp; FX Reference'!$B$5:$B$25,MATCH(H152,'Assumptions &amp; FX Reference'!$A$5:$A$25,0))/INDEX('Assumptions &amp; FX Reference'!$C$5:$C$25,MATCH(H152,'Assumptions &amp; FX Reference'!$A$5:$A$25,0)),""))),"(FX missing)"))</f>
        <v/>
      </c>
      <c r="P152" s="30"/>
      <c r="Q152" s="30"/>
      <c r="R152" s="30"/>
      <c r="S152" s="30"/>
      <c r="T152" s="30"/>
      <c r="U152" s="30"/>
      <c r="V152" s="30"/>
    </row>
    <row r="153" spans="1:22">
      <c r="A153" s="30"/>
      <c r="B153" s="30"/>
      <c r="C153" s="33" t="str">
        <f>IF(B153="","",IFERROR(INDEX('Master Database'!$D$5:$D$600,MATCH(B153,'Master Database'!$A$5:$A$600,0)),"(row not found)"))</f>
        <v/>
      </c>
      <c r="D153" s="33" t="str">
        <f>IF(B153="","",IFERROR(INDEX('Master Database'!$B$5:$B$600,MATCH(B153,'Master Database'!$A$5:$A$600,0)),"(row not found)"))</f>
        <v/>
      </c>
      <c r="E153" s="30"/>
      <c r="F153" s="33" t="str">
        <f>IF(E153="","",IFERROR(INDEX(Vendor_Register!$B$5:$B$205,MATCH(E153,Vendor_Register!$A$5:$A$205,0)),"(not in register)"))</f>
        <v/>
      </c>
      <c r="G153" s="33" t="str">
        <f>IF(E153="","",IFERROR(INDEX(Vendor_Register!$E$5:$E$205,MATCH(E153,Vendor_Register!$A$5:$A$205,0)),"(not in register)"))</f>
        <v/>
      </c>
      <c r="H153" s="30"/>
      <c r="I153" s="30"/>
      <c r="J153" s="30"/>
      <c r="K153" s="30"/>
      <c r="L153" s="30"/>
      <c r="M153" s="34"/>
      <c r="N153" s="30"/>
      <c r="O153" s="35" t="str">
        <f>IF(NOT(ISNUMBER(M153)),"",IFERROR(IF(L153="EUR",M153,IF(L153="IRR",M153/INDEX('Assumptions &amp; FX Reference'!$C$5:$C$25,MATCH(H153,'Assumptions &amp; FX Reference'!$A$5:$A$25,0)),IF(L153="USD",M153*INDEX('Assumptions &amp; FX Reference'!$B$5:$B$25,MATCH(H153,'Assumptions &amp; FX Reference'!$A$5:$A$25,0))/INDEX('Assumptions &amp; FX Reference'!$C$5:$C$25,MATCH(H153,'Assumptions &amp; FX Reference'!$A$5:$A$25,0)),""))),"(FX missing)"))</f>
        <v/>
      </c>
      <c r="P153" s="30"/>
      <c r="Q153" s="30"/>
      <c r="R153" s="30"/>
      <c r="S153" s="30"/>
      <c r="T153" s="30"/>
      <c r="U153" s="30"/>
      <c r="V153" s="30"/>
    </row>
    <row r="154" spans="1:22">
      <c r="A154" s="30"/>
      <c r="B154" s="30"/>
      <c r="C154" s="33" t="str">
        <f>IF(B154="","",IFERROR(INDEX('Master Database'!$D$5:$D$600,MATCH(B154,'Master Database'!$A$5:$A$600,0)),"(row not found)"))</f>
        <v/>
      </c>
      <c r="D154" s="33" t="str">
        <f>IF(B154="","",IFERROR(INDEX('Master Database'!$B$5:$B$600,MATCH(B154,'Master Database'!$A$5:$A$600,0)),"(row not found)"))</f>
        <v/>
      </c>
      <c r="E154" s="30"/>
      <c r="F154" s="33" t="str">
        <f>IF(E154="","",IFERROR(INDEX(Vendor_Register!$B$5:$B$205,MATCH(E154,Vendor_Register!$A$5:$A$205,0)),"(not in register)"))</f>
        <v/>
      </c>
      <c r="G154" s="33" t="str">
        <f>IF(E154="","",IFERROR(INDEX(Vendor_Register!$E$5:$E$205,MATCH(E154,Vendor_Register!$A$5:$A$205,0)),"(not in register)"))</f>
        <v/>
      </c>
      <c r="H154" s="30"/>
      <c r="I154" s="30"/>
      <c r="J154" s="30"/>
      <c r="K154" s="30"/>
      <c r="L154" s="30"/>
      <c r="M154" s="34"/>
      <c r="N154" s="30"/>
      <c r="O154" s="35" t="str">
        <f>IF(NOT(ISNUMBER(M154)),"",IFERROR(IF(L154="EUR",M154,IF(L154="IRR",M154/INDEX('Assumptions &amp; FX Reference'!$C$5:$C$25,MATCH(H154,'Assumptions &amp; FX Reference'!$A$5:$A$25,0)),IF(L154="USD",M154*INDEX('Assumptions &amp; FX Reference'!$B$5:$B$25,MATCH(H154,'Assumptions &amp; FX Reference'!$A$5:$A$25,0))/INDEX('Assumptions &amp; FX Reference'!$C$5:$C$25,MATCH(H154,'Assumptions &amp; FX Reference'!$A$5:$A$25,0)),""))),"(FX missing)"))</f>
        <v/>
      </c>
      <c r="P154" s="30"/>
      <c r="Q154" s="30"/>
      <c r="R154" s="30"/>
      <c r="S154" s="30"/>
      <c r="T154" s="30"/>
      <c r="U154" s="30"/>
      <c r="V154" s="30"/>
    </row>
    <row r="155" spans="1:22">
      <c r="A155" s="30"/>
      <c r="B155" s="30"/>
      <c r="C155" s="33" t="str">
        <f>IF(B155="","",IFERROR(INDEX('Master Database'!$D$5:$D$600,MATCH(B155,'Master Database'!$A$5:$A$600,0)),"(row not found)"))</f>
        <v/>
      </c>
      <c r="D155" s="33" t="str">
        <f>IF(B155="","",IFERROR(INDEX('Master Database'!$B$5:$B$600,MATCH(B155,'Master Database'!$A$5:$A$600,0)),"(row not found)"))</f>
        <v/>
      </c>
      <c r="E155" s="30"/>
      <c r="F155" s="33" t="str">
        <f>IF(E155="","",IFERROR(INDEX(Vendor_Register!$B$5:$B$205,MATCH(E155,Vendor_Register!$A$5:$A$205,0)),"(not in register)"))</f>
        <v/>
      </c>
      <c r="G155" s="33" t="str">
        <f>IF(E155="","",IFERROR(INDEX(Vendor_Register!$E$5:$E$205,MATCH(E155,Vendor_Register!$A$5:$A$205,0)),"(not in register)"))</f>
        <v/>
      </c>
      <c r="H155" s="30"/>
      <c r="I155" s="30"/>
      <c r="J155" s="30"/>
      <c r="K155" s="30"/>
      <c r="L155" s="30"/>
      <c r="M155" s="34"/>
      <c r="N155" s="30"/>
      <c r="O155" s="35" t="str">
        <f>IF(NOT(ISNUMBER(M155)),"",IFERROR(IF(L155="EUR",M155,IF(L155="IRR",M155/INDEX('Assumptions &amp; FX Reference'!$C$5:$C$25,MATCH(H155,'Assumptions &amp; FX Reference'!$A$5:$A$25,0)),IF(L155="USD",M155*INDEX('Assumptions &amp; FX Reference'!$B$5:$B$25,MATCH(H155,'Assumptions &amp; FX Reference'!$A$5:$A$25,0))/INDEX('Assumptions &amp; FX Reference'!$C$5:$C$25,MATCH(H155,'Assumptions &amp; FX Reference'!$A$5:$A$25,0)),""))),"(FX missing)"))</f>
        <v/>
      </c>
      <c r="P155" s="30"/>
      <c r="Q155" s="30"/>
      <c r="R155" s="30"/>
      <c r="S155" s="30"/>
      <c r="T155" s="30"/>
      <c r="U155" s="30"/>
      <c r="V155" s="30"/>
    </row>
    <row r="156" spans="1:22">
      <c r="A156" s="30"/>
      <c r="B156" s="30"/>
      <c r="C156" s="33" t="str">
        <f>IF(B156="","",IFERROR(INDEX('Master Database'!$D$5:$D$600,MATCH(B156,'Master Database'!$A$5:$A$600,0)),"(row not found)"))</f>
        <v/>
      </c>
      <c r="D156" s="33" t="str">
        <f>IF(B156="","",IFERROR(INDEX('Master Database'!$B$5:$B$600,MATCH(B156,'Master Database'!$A$5:$A$600,0)),"(row not found)"))</f>
        <v/>
      </c>
      <c r="E156" s="30"/>
      <c r="F156" s="33" t="str">
        <f>IF(E156="","",IFERROR(INDEX(Vendor_Register!$B$5:$B$205,MATCH(E156,Vendor_Register!$A$5:$A$205,0)),"(not in register)"))</f>
        <v/>
      </c>
      <c r="G156" s="33" t="str">
        <f>IF(E156="","",IFERROR(INDEX(Vendor_Register!$E$5:$E$205,MATCH(E156,Vendor_Register!$A$5:$A$205,0)),"(not in register)"))</f>
        <v/>
      </c>
      <c r="H156" s="30"/>
      <c r="I156" s="30"/>
      <c r="J156" s="30"/>
      <c r="K156" s="30"/>
      <c r="L156" s="30"/>
      <c r="M156" s="34"/>
      <c r="N156" s="30"/>
      <c r="O156" s="35" t="str">
        <f>IF(NOT(ISNUMBER(M156)),"",IFERROR(IF(L156="EUR",M156,IF(L156="IRR",M156/INDEX('Assumptions &amp; FX Reference'!$C$5:$C$25,MATCH(H156,'Assumptions &amp; FX Reference'!$A$5:$A$25,0)),IF(L156="USD",M156*INDEX('Assumptions &amp; FX Reference'!$B$5:$B$25,MATCH(H156,'Assumptions &amp; FX Reference'!$A$5:$A$25,0))/INDEX('Assumptions &amp; FX Reference'!$C$5:$C$25,MATCH(H156,'Assumptions &amp; FX Reference'!$A$5:$A$25,0)),""))),"(FX missing)"))</f>
        <v/>
      </c>
      <c r="P156" s="30"/>
      <c r="Q156" s="30"/>
      <c r="R156" s="30"/>
      <c r="S156" s="30"/>
      <c r="T156" s="30"/>
      <c r="U156" s="30"/>
      <c r="V156" s="30"/>
    </row>
    <row r="157" spans="1:22">
      <c r="A157" s="30"/>
      <c r="B157" s="30"/>
      <c r="C157" s="33" t="str">
        <f>IF(B157="","",IFERROR(INDEX('Master Database'!$D$5:$D$600,MATCH(B157,'Master Database'!$A$5:$A$600,0)),"(row not found)"))</f>
        <v/>
      </c>
      <c r="D157" s="33" t="str">
        <f>IF(B157="","",IFERROR(INDEX('Master Database'!$B$5:$B$600,MATCH(B157,'Master Database'!$A$5:$A$600,0)),"(row not found)"))</f>
        <v/>
      </c>
      <c r="E157" s="30"/>
      <c r="F157" s="33" t="str">
        <f>IF(E157="","",IFERROR(INDEX(Vendor_Register!$B$5:$B$205,MATCH(E157,Vendor_Register!$A$5:$A$205,0)),"(not in register)"))</f>
        <v/>
      </c>
      <c r="G157" s="33" t="str">
        <f>IF(E157="","",IFERROR(INDEX(Vendor_Register!$E$5:$E$205,MATCH(E157,Vendor_Register!$A$5:$A$205,0)),"(not in register)"))</f>
        <v/>
      </c>
      <c r="H157" s="30"/>
      <c r="I157" s="30"/>
      <c r="J157" s="30"/>
      <c r="K157" s="30"/>
      <c r="L157" s="30"/>
      <c r="M157" s="34"/>
      <c r="N157" s="30"/>
      <c r="O157" s="35" t="str">
        <f>IF(NOT(ISNUMBER(M157)),"",IFERROR(IF(L157="EUR",M157,IF(L157="IRR",M157/INDEX('Assumptions &amp; FX Reference'!$C$5:$C$25,MATCH(H157,'Assumptions &amp; FX Reference'!$A$5:$A$25,0)),IF(L157="USD",M157*INDEX('Assumptions &amp; FX Reference'!$B$5:$B$25,MATCH(H157,'Assumptions &amp; FX Reference'!$A$5:$A$25,0))/INDEX('Assumptions &amp; FX Reference'!$C$5:$C$25,MATCH(H157,'Assumptions &amp; FX Reference'!$A$5:$A$25,0)),""))),"(FX missing)"))</f>
        <v/>
      </c>
      <c r="P157" s="30"/>
      <c r="Q157" s="30"/>
      <c r="R157" s="30"/>
      <c r="S157" s="30"/>
      <c r="T157" s="30"/>
      <c r="U157" s="30"/>
      <c r="V157" s="30"/>
    </row>
    <row r="158" spans="1:22">
      <c r="A158" s="30"/>
      <c r="B158" s="30"/>
      <c r="C158" s="33" t="str">
        <f>IF(B158="","",IFERROR(INDEX('Master Database'!$D$5:$D$600,MATCH(B158,'Master Database'!$A$5:$A$600,0)),"(row not found)"))</f>
        <v/>
      </c>
      <c r="D158" s="33" t="str">
        <f>IF(B158="","",IFERROR(INDEX('Master Database'!$B$5:$B$600,MATCH(B158,'Master Database'!$A$5:$A$600,0)),"(row not found)"))</f>
        <v/>
      </c>
      <c r="E158" s="30"/>
      <c r="F158" s="33" t="str">
        <f>IF(E158="","",IFERROR(INDEX(Vendor_Register!$B$5:$B$205,MATCH(E158,Vendor_Register!$A$5:$A$205,0)),"(not in register)"))</f>
        <v/>
      </c>
      <c r="G158" s="33" t="str">
        <f>IF(E158="","",IFERROR(INDEX(Vendor_Register!$E$5:$E$205,MATCH(E158,Vendor_Register!$A$5:$A$205,0)),"(not in register)"))</f>
        <v/>
      </c>
      <c r="H158" s="30"/>
      <c r="I158" s="30"/>
      <c r="J158" s="30"/>
      <c r="K158" s="30"/>
      <c r="L158" s="30"/>
      <c r="M158" s="34"/>
      <c r="N158" s="30"/>
      <c r="O158" s="35" t="str">
        <f>IF(NOT(ISNUMBER(M158)),"",IFERROR(IF(L158="EUR",M158,IF(L158="IRR",M158/INDEX('Assumptions &amp; FX Reference'!$C$5:$C$25,MATCH(H158,'Assumptions &amp; FX Reference'!$A$5:$A$25,0)),IF(L158="USD",M158*INDEX('Assumptions &amp; FX Reference'!$B$5:$B$25,MATCH(H158,'Assumptions &amp; FX Reference'!$A$5:$A$25,0))/INDEX('Assumptions &amp; FX Reference'!$C$5:$C$25,MATCH(H158,'Assumptions &amp; FX Reference'!$A$5:$A$25,0)),""))),"(FX missing)"))</f>
        <v/>
      </c>
      <c r="P158" s="30"/>
      <c r="Q158" s="30"/>
      <c r="R158" s="30"/>
      <c r="S158" s="30"/>
      <c r="T158" s="30"/>
      <c r="U158" s="30"/>
      <c r="V158" s="30"/>
    </row>
    <row r="159" spans="1:22">
      <c r="A159" s="30"/>
      <c r="B159" s="30"/>
      <c r="C159" s="33" t="str">
        <f>IF(B159="","",IFERROR(INDEX('Master Database'!$D$5:$D$600,MATCH(B159,'Master Database'!$A$5:$A$600,0)),"(row not found)"))</f>
        <v/>
      </c>
      <c r="D159" s="33" t="str">
        <f>IF(B159="","",IFERROR(INDEX('Master Database'!$B$5:$B$600,MATCH(B159,'Master Database'!$A$5:$A$600,0)),"(row not found)"))</f>
        <v/>
      </c>
      <c r="E159" s="30"/>
      <c r="F159" s="33" t="str">
        <f>IF(E159="","",IFERROR(INDEX(Vendor_Register!$B$5:$B$205,MATCH(E159,Vendor_Register!$A$5:$A$205,0)),"(not in register)"))</f>
        <v/>
      </c>
      <c r="G159" s="33" t="str">
        <f>IF(E159="","",IFERROR(INDEX(Vendor_Register!$E$5:$E$205,MATCH(E159,Vendor_Register!$A$5:$A$205,0)),"(not in register)"))</f>
        <v/>
      </c>
      <c r="H159" s="30"/>
      <c r="I159" s="30"/>
      <c r="J159" s="30"/>
      <c r="K159" s="30"/>
      <c r="L159" s="30"/>
      <c r="M159" s="34"/>
      <c r="N159" s="30"/>
      <c r="O159" s="35" t="str">
        <f>IF(NOT(ISNUMBER(M159)),"",IFERROR(IF(L159="EUR",M159,IF(L159="IRR",M159/INDEX('Assumptions &amp; FX Reference'!$C$5:$C$25,MATCH(H159,'Assumptions &amp; FX Reference'!$A$5:$A$25,0)),IF(L159="USD",M159*INDEX('Assumptions &amp; FX Reference'!$B$5:$B$25,MATCH(H159,'Assumptions &amp; FX Reference'!$A$5:$A$25,0))/INDEX('Assumptions &amp; FX Reference'!$C$5:$C$25,MATCH(H159,'Assumptions &amp; FX Reference'!$A$5:$A$25,0)),""))),"(FX missing)"))</f>
        <v/>
      </c>
      <c r="P159" s="30"/>
      <c r="Q159" s="30"/>
      <c r="R159" s="30"/>
      <c r="S159" s="30"/>
      <c r="T159" s="30"/>
      <c r="U159" s="30"/>
      <c r="V159" s="30"/>
    </row>
    <row r="160" spans="1:22">
      <c r="A160" s="30"/>
      <c r="B160" s="30"/>
      <c r="C160" s="33" t="str">
        <f>IF(B160="","",IFERROR(INDEX('Master Database'!$D$5:$D$600,MATCH(B160,'Master Database'!$A$5:$A$600,0)),"(row not found)"))</f>
        <v/>
      </c>
      <c r="D160" s="33" t="str">
        <f>IF(B160="","",IFERROR(INDEX('Master Database'!$B$5:$B$600,MATCH(B160,'Master Database'!$A$5:$A$600,0)),"(row not found)"))</f>
        <v/>
      </c>
      <c r="E160" s="30"/>
      <c r="F160" s="33" t="str">
        <f>IF(E160="","",IFERROR(INDEX(Vendor_Register!$B$5:$B$205,MATCH(E160,Vendor_Register!$A$5:$A$205,0)),"(not in register)"))</f>
        <v/>
      </c>
      <c r="G160" s="33" t="str">
        <f>IF(E160="","",IFERROR(INDEX(Vendor_Register!$E$5:$E$205,MATCH(E160,Vendor_Register!$A$5:$A$205,0)),"(not in register)"))</f>
        <v/>
      </c>
      <c r="H160" s="30"/>
      <c r="I160" s="30"/>
      <c r="J160" s="30"/>
      <c r="K160" s="30"/>
      <c r="L160" s="30"/>
      <c r="M160" s="34"/>
      <c r="N160" s="30"/>
      <c r="O160" s="35" t="str">
        <f>IF(NOT(ISNUMBER(M160)),"",IFERROR(IF(L160="EUR",M160,IF(L160="IRR",M160/INDEX('Assumptions &amp; FX Reference'!$C$5:$C$25,MATCH(H160,'Assumptions &amp; FX Reference'!$A$5:$A$25,0)),IF(L160="USD",M160*INDEX('Assumptions &amp; FX Reference'!$B$5:$B$25,MATCH(H160,'Assumptions &amp; FX Reference'!$A$5:$A$25,0))/INDEX('Assumptions &amp; FX Reference'!$C$5:$C$25,MATCH(H160,'Assumptions &amp; FX Reference'!$A$5:$A$25,0)),""))),"(FX missing)"))</f>
        <v/>
      </c>
      <c r="P160" s="30"/>
      <c r="Q160" s="30"/>
      <c r="R160" s="30"/>
      <c r="S160" s="30"/>
      <c r="T160" s="30"/>
      <c r="U160" s="30"/>
      <c r="V160" s="30"/>
    </row>
    <row r="161" spans="1:22">
      <c r="A161" s="30"/>
      <c r="B161" s="30"/>
      <c r="C161" s="33" t="str">
        <f>IF(B161="","",IFERROR(INDEX('Master Database'!$D$5:$D$600,MATCH(B161,'Master Database'!$A$5:$A$600,0)),"(row not found)"))</f>
        <v/>
      </c>
      <c r="D161" s="33" t="str">
        <f>IF(B161="","",IFERROR(INDEX('Master Database'!$B$5:$B$600,MATCH(B161,'Master Database'!$A$5:$A$600,0)),"(row not found)"))</f>
        <v/>
      </c>
      <c r="E161" s="30"/>
      <c r="F161" s="33" t="str">
        <f>IF(E161="","",IFERROR(INDEX(Vendor_Register!$B$5:$B$205,MATCH(E161,Vendor_Register!$A$5:$A$205,0)),"(not in register)"))</f>
        <v/>
      </c>
      <c r="G161" s="33" t="str">
        <f>IF(E161="","",IFERROR(INDEX(Vendor_Register!$E$5:$E$205,MATCH(E161,Vendor_Register!$A$5:$A$205,0)),"(not in register)"))</f>
        <v/>
      </c>
      <c r="H161" s="30"/>
      <c r="I161" s="30"/>
      <c r="J161" s="30"/>
      <c r="K161" s="30"/>
      <c r="L161" s="30"/>
      <c r="M161" s="34"/>
      <c r="N161" s="30"/>
      <c r="O161" s="35" t="str">
        <f>IF(NOT(ISNUMBER(M161)),"",IFERROR(IF(L161="EUR",M161,IF(L161="IRR",M161/INDEX('Assumptions &amp; FX Reference'!$C$5:$C$25,MATCH(H161,'Assumptions &amp; FX Reference'!$A$5:$A$25,0)),IF(L161="USD",M161*INDEX('Assumptions &amp; FX Reference'!$B$5:$B$25,MATCH(H161,'Assumptions &amp; FX Reference'!$A$5:$A$25,0))/INDEX('Assumptions &amp; FX Reference'!$C$5:$C$25,MATCH(H161,'Assumptions &amp; FX Reference'!$A$5:$A$25,0)),""))),"(FX missing)"))</f>
        <v/>
      </c>
      <c r="P161" s="30"/>
      <c r="Q161" s="30"/>
      <c r="R161" s="30"/>
      <c r="S161" s="30"/>
      <c r="T161" s="30"/>
      <c r="U161" s="30"/>
      <c r="V161" s="30"/>
    </row>
    <row r="162" spans="1:22">
      <c r="A162" s="30"/>
      <c r="B162" s="30"/>
      <c r="C162" s="33" t="str">
        <f>IF(B162="","",IFERROR(INDEX('Master Database'!$D$5:$D$600,MATCH(B162,'Master Database'!$A$5:$A$600,0)),"(row not found)"))</f>
        <v/>
      </c>
      <c r="D162" s="33" t="str">
        <f>IF(B162="","",IFERROR(INDEX('Master Database'!$B$5:$B$600,MATCH(B162,'Master Database'!$A$5:$A$600,0)),"(row not found)"))</f>
        <v/>
      </c>
      <c r="E162" s="30"/>
      <c r="F162" s="33" t="str">
        <f>IF(E162="","",IFERROR(INDEX(Vendor_Register!$B$5:$B$205,MATCH(E162,Vendor_Register!$A$5:$A$205,0)),"(not in register)"))</f>
        <v/>
      </c>
      <c r="G162" s="33" t="str">
        <f>IF(E162="","",IFERROR(INDEX(Vendor_Register!$E$5:$E$205,MATCH(E162,Vendor_Register!$A$5:$A$205,0)),"(not in register)"))</f>
        <v/>
      </c>
      <c r="H162" s="30"/>
      <c r="I162" s="30"/>
      <c r="J162" s="30"/>
      <c r="K162" s="30"/>
      <c r="L162" s="30"/>
      <c r="M162" s="34"/>
      <c r="N162" s="30"/>
      <c r="O162" s="35" t="str">
        <f>IF(NOT(ISNUMBER(M162)),"",IFERROR(IF(L162="EUR",M162,IF(L162="IRR",M162/INDEX('Assumptions &amp; FX Reference'!$C$5:$C$25,MATCH(H162,'Assumptions &amp; FX Reference'!$A$5:$A$25,0)),IF(L162="USD",M162*INDEX('Assumptions &amp; FX Reference'!$B$5:$B$25,MATCH(H162,'Assumptions &amp; FX Reference'!$A$5:$A$25,0))/INDEX('Assumptions &amp; FX Reference'!$C$5:$C$25,MATCH(H162,'Assumptions &amp; FX Reference'!$A$5:$A$25,0)),""))),"(FX missing)"))</f>
        <v/>
      </c>
      <c r="P162" s="30"/>
      <c r="Q162" s="30"/>
      <c r="R162" s="30"/>
      <c r="S162" s="30"/>
      <c r="T162" s="30"/>
      <c r="U162" s="30"/>
      <c r="V162" s="30"/>
    </row>
    <row r="163" spans="1:22">
      <c r="A163" s="30"/>
      <c r="B163" s="30"/>
      <c r="C163" s="33" t="str">
        <f>IF(B163="","",IFERROR(INDEX('Master Database'!$D$5:$D$600,MATCH(B163,'Master Database'!$A$5:$A$600,0)),"(row not found)"))</f>
        <v/>
      </c>
      <c r="D163" s="33" t="str">
        <f>IF(B163="","",IFERROR(INDEX('Master Database'!$B$5:$B$600,MATCH(B163,'Master Database'!$A$5:$A$600,0)),"(row not found)"))</f>
        <v/>
      </c>
      <c r="E163" s="30"/>
      <c r="F163" s="33" t="str">
        <f>IF(E163="","",IFERROR(INDEX(Vendor_Register!$B$5:$B$205,MATCH(E163,Vendor_Register!$A$5:$A$205,0)),"(not in register)"))</f>
        <v/>
      </c>
      <c r="G163" s="33" t="str">
        <f>IF(E163="","",IFERROR(INDEX(Vendor_Register!$E$5:$E$205,MATCH(E163,Vendor_Register!$A$5:$A$205,0)),"(not in register)"))</f>
        <v/>
      </c>
      <c r="H163" s="30"/>
      <c r="I163" s="30"/>
      <c r="J163" s="30"/>
      <c r="K163" s="30"/>
      <c r="L163" s="30"/>
      <c r="M163" s="34"/>
      <c r="N163" s="30"/>
      <c r="O163" s="35" t="str">
        <f>IF(NOT(ISNUMBER(M163)),"",IFERROR(IF(L163="EUR",M163,IF(L163="IRR",M163/INDEX('Assumptions &amp; FX Reference'!$C$5:$C$25,MATCH(H163,'Assumptions &amp; FX Reference'!$A$5:$A$25,0)),IF(L163="USD",M163*INDEX('Assumptions &amp; FX Reference'!$B$5:$B$25,MATCH(H163,'Assumptions &amp; FX Reference'!$A$5:$A$25,0))/INDEX('Assumptions &amp; FX Reference'!$C$5:$C$25,MATCH(H163,'Assumptions &amp; FX Reference'!$A$5:$A$25,0)),""))),"(FX missing)"))</f>
        <v/>
      </c>
      <c r="P163" s="30"/>
      <c r="Q163" s="30"/>
      <c r="R163" s="30"/>
      <c r="S163" s="30"/>
      <c r="T163" s="30"/>
      <c r="U163" s="30"/>
      <c r="V163" s="30"/>
    </row>
    <row r="164" spans="1:22">
      <c r="A164" s="30"/>
      <c r="B164" s="30"/>
      <c r="C164" s="33" t="str">
        <f>IF(B164="","",IFERROR(INDEX('Master Database'!$D$5:$D$600,MATCH(B164,'Master Database'!$A$5:$A$600,0)),"(row not found)"))</f>
        <v/>
      </c>
      <c r="D164" s="33" t="str">
        <f>IF(B164="","",IFERROR(INDEX('Master Database'!$B$5:$B$600,MATCH(B164,'Master Database'!$A$5:$A$600,0)),"(row not found)"))</f>
        <v/>
      </c>
      <c r="E164" s="30"/>
      <c r="F164" s="33" t="str">
        <f>IF(E164="","",IFERROR(INDEX(Vendor_Register!$B$5:$B$205,MATCH(E164,Vendor_Register!$A$5:$A$205,0)),"(not in register)"))</f>
        <v/>
      </c>
      <c r="G164" s="33" t="str">
        <f>IF(E164="","",IFERROR(INDEX(Vendor_Register!$E$5:$E$205,MATCH(E164,Vendor_Register!$A$5:$A$205,0)),"(not in register)"))</f>
        <v/>
      </c>
      <c r="H164" s="30"/>
      <c r="I164" s="30"/>
      <c r="J164" s="30"/>
      <c r="K164" s="30"/>
      <c r="L164" s="30"/>
      <c r="M164" s="34"/>
      <c r="N164" s="30"/>
      <c r="O164" s="35" t="str">
        <f>IF(NOT(ISNUMBER(M164)),"",IFERROR(IF(L164="EUR",M164,IF(L164="IRR",M164/INDEX('Assumptions &amp; FX Reference'!$C$5:$C$25,MATCH(H164,'Assumptions &amp; FX Reference'!$A$5:$A$25,0)),IF(L164="USD",M164*INDEX('Assumptions &amp; FX Reference'!$B$5:$B$25,MATCH(H164,'Assumptions &amp; FX Reference'!$A$5:$A$25,0))/INDEX('Assumptions &amp; FX Reference'!$C$5:$C$25,MATCH(H164,'Assumptions &amp; FX Reference'!$A$5:$A$25,0)),""))),"(FX missing)"))</f>
        <v/>
      </c>
      <c r="P164" s="30"/>
      <c r="Q164" s="30"/>
      <c r="R164" s="30"/>
      <c r="S164" s="30"/>
      <c r="T164" s="30"/>
      <c r="U164" s="30"/>
      <c r="V164" s="30"/>
    </row>
    <row r="165" spans="1:22">
      <c r="A165" s="30"/>
      <c r="B165" s="30"/>
      <c r="C165" s="33" t="str">
        <f>IF(B165="","",IFERROR(INDEX('Master Database'!$D$5:$D$600,MATCH(B165,'Master Database'!$A$5:$A$600,0)),"(row not found)"))</f>
        <v/>
      </c>
      <c r="D165" s="33" t="str">
        <f>IF(B165="","",IFERROR(INDEX('Master Database'!$B$5:$B$600,MATCH(B165,'Master Database'!$A$5:$A$600,0)),"(row not found)"))</f>
        <v/>
      </c>
      <c r="E165" s="30"/>
      <c r="F165" s="33" t="str">
        <f>IF(E165="","",IFERROR(INDEX(Vendor_Register!$B$5:$B$205,MATCH(E165,Vendor_Register!$A$5:$A$205,0)),"(not in register)"))</f>
        <v/>
      </c>
      <c r="G165" s="33" t="str">
        <f>IF(E165="","",IFERROR(INDEX(Vendor_Register!$E$5:$E$205,MATCH(E165,Vendor_Register!$A$5:$A$205,0)),"(not in register)"))</f>
        <v/>
      </c>
      <c r="H165" s="30"/>
      <c r="I165" s="30"/>
      <c r="J165" s="30"/>
      <c r="K165" s="30"/>
      <c r="L165" s="30"/>
      <c r="M165" s="34"/>
      <c r="N165" s="30"/>
      <c r="O165" s="35" t="str">
        <f>IF(NOT(ISNUMBER(M165)),"",IFERROR(IF(L165="EUR",M165,IF(L165="IRR",M165/INDEX('Assumptions &amp; FX Reference'!$C$5:$C$25,MATCH(H165,'Assumptions &amp; FX Reference'!$A$5:$A$25,0)),IF(L165="USD",M165*INDEX('Assumptions &amp; FX Reference'!$B$5:$B$25,MATCH(H165,'Assumptions &amp; FX Reference'!$A$5:$A$25,0))/INDEX('Assumptions &amp; FX Reference'!$C$5:$C$25,MATCH(H165,'Assumptions &amp; FX Reference'!$A$5:$A$25,0)),""))),"(FX missing)"))</f>
        <v/>
      </c>
      <c r="P165" s="30"/>
      <c r="Q165" s="30"/>
      <c r="R165" s="30"/>
      <c r="S165" s="30"/>
      <c r="T165" s="30"/>
      <c r="U165" s="30"/>
      <c r="V165" s="30"/>
    </row>
    <row r="166" spans="1:22">
      <c r="A166" s="30"/>
      <c r="B166" s="30"/>
      <c r="C166" s="33" t="str">
        <f>IF(B166="","",IFERROR(INDEX('Master Database'!$D$5:$D$600,MATCH(B166,'Master Database'!$A$5:$A$600,0)),"(row not found)"))</f>
        <v/>
      </c>
      <c r="D166" s="33" t="str">
        <f>IF(B166="","",IFERROR(INDEX('Master Database'!$B$5:$B$600,MATCH(B166,'Master Database'!$A$5:$A$600,0)),"(row not found)"))</f>
        <v/>
      </c>
      <c r="E166" s="30"/>
      <c r="F166" s="33" t="str">
        <f>IF(E166="","",IFERROR(INDEX(Vendor_Register!$B$5:$B$205,MATCH(E166,Vendor_Register!$A$5:$A$205,0)),"(not in register)"))</f>
        <v/>
      </c>
      <c r="G166" s="33" t="str">
        <f>IF(E166="","",IFERROR(INDEX(Vendor_Register!$E$5:$E$205,MATCH(E166,Vendor_Register!$A$5:$A$205,0)),"(not in register)"))</f>
        <v/>
      </c>
      <c r="H166" s="30"/>
      <c r="I166" s="30"/>
      <c r="J166" s="30"/>
      <c r="K166" s="30"/>
      <c r="L166" s="30"/>
      <c r="M166" s="34"/>
      <c r="N166" s="30"/>
      <c r="O166" s="35" t="str">
        <f>IF(NOT(ISNUMBER(M166)),"",IFERROR(IF(L166="EUR",M166,IF(L166="IRR",M166/INDEX('Assumptions &amp; FX Reference'!$C$5:$C$25,MATCH(H166,'Assumptions &amp; FX Reference'!$A$5:$A$25,0)),IF(L166="USD",M166*INDEX('Assumptions &amp; FX Reference'!$B$5:$B$25,MATCH(H166,'Assumptions &amp; FX Reference'!$A$5:$A$25,0))/INDEX('Assumptions &amp; FX Reference'!$C$5:$C$25,MATCH(H166,'Assumptions &amp; FX Reference'!$A$5:$A$25,0)),""))),"(FX missing)"))</f>
        <v/>
      </c>
      <c r="P166" s="30"/>
      <c r="Q166" s="30"/>
      <c r="R166" s="30"/>
      <c r="S166" s="30"/>
      <c r="T166" s="30"/>
      <c r="U166" s="30"/>
      <c r="V166" s="30"/>
    </row>
    <row r="167" spans="1:22">
      <c r="A167" s="30"/>
      <c r="B167" s="30"/>
      <c r="C167" s="33" t="str">
        <f>IF(B167="","",IFERROR(INDEX('Master Database'!$D$5:$D$600,MATCH(B167,'Master Database'!$A$5:$A$600,0)),"(row not found)"))</f>
        <v/>
      </c>
      <c r="D167" s="33" t="str">
        <f>IF(B167="","",IFERROR(INDEX('Master Database'!$B$5:$B$600,MATCH(B167,'Master Database'!$A$5:$A$600,0)),"(row not found)"))</f>
        <v/>
      </c>
      <c r="E167" s="30"/>
      <c r="F167" s="33" t="str">
        <f>IF(E167="","",IFERROR(INDEX(Vendor_Register!$B$5:$B$205,MATCH(E167,Vendor_Register!$A$5:$A$205,0)),"(not in register)"))</f>
        <v/>
      </c>
      <c r="G167" s="33" t="str">
        <f>IF(E167="","",IFERROR(INDEX(Vendor_Register!$E$5:$E$205,MATCH(E167,Vendor_Register!$A$5:$A$205,0)),"(not in register)"))</f>
        <v/>
      </c>
      <c r="H167" s="30"/>
      <c r="I167" s="30"/>
      <c r="J167" s="30"/>
      <c r="K167" s="30"/>
      <c r="L167" s="30"/>
      <c r="M167" s="34"/>
      <c r="N167" s="30"/>
      <c r="O167" s="35" t="str">
        <f>IF(NOT(ISNUMBER(M167)),"",IFERROR(IF(L167="EUR",M167,IF(L167="IRR",M167/INDEX('Assumptions &amp; FX Reference'!$C$5:$C$25,MATCH(H167,'Assumptions &amp; FX Reference'!$A$5:$A$25,0)),IF(L167="USD",M167*INDEX('Assumptions &amp; FX Reference'!$B$5:$B$25,MATCH(H167,'Assumptions &amp; FX Reference'!$A$5:$A$25,0))/INDEX('Assumptions &amp; FX Reference'!$C$5:$C$25,MATCH(H167,'Assumptions &amp; FX Reference'!$A$5:$A$25,0)),""))),"(FX missing)"))</f>
        <v/>
      </c>
      <c r="P167" s="30"/>
      <c r="Q167" s="30"/>
      <c r="R167" s="30"/>
      <c r="S167" s="30"/>
      <c r="T167" s="30"/>
      <c r="U167" s="30"/>
      <c r="V167" s="30"/>
    </row>
    <row r="168" spans="1:22">
      <c r="A168" s="30"/>
      <c r="B168" s="30"/>
      <c r="C168" s="33" t="str">
        <f>IF(B168="","",IFERROR(INDEX('Master Database'!$D$5:$D$600,MATCH(B168,'Master Database'!$A$5:$A$600,0)),"(row not found)"))</f>
        <v/>
      </c>
      <c r="D168" s="33" t="str">
        <f>IF(B168="","",IFERROR(INDEX('Master Database'!$B$5:$B$600,MATCH(B168,'Master Database'!$A$5:$A$600,0)),"(row not found)"))</f>
        <v/>
      </c>
      <c r="E168" s="30"/>
      <c r="F168" s="33" t="str">
        <f>IF(E168="","",IFERROR(INDEX(Vendor_Register!$B$5:$B$205,MATCH(E168,Vendor_Register!$A$5:$A$205,0)),"(not in register)"))</f>
        <v/>
      </c>
      <c r="G168" s="33" t="str">
        <f>IF(E168="","",IFERROR(INDEX(Vendor_Register!$E$5:$E$205,MATCH(E168,Vendor_Register!$A$5:$A$205,0)),"(not in register)"))</f>
        <v/>
      </c>
      <c r="H168" s="30"/>
      <c r="I168" s="30"/>
      <c r="J168" s="30"/>
      <c r="K168" s="30"/>
      <c r="L168" s="30"/>
      <c r="M168" s="34"/>
      <c r="N168" s="30"/>
      <c r="O168" s="35" t="str">
        <f>IF(NOT(ISNUMBER(M168)),"",IFERROR(IF(L168="EUR",M168,IF(L168="IRR",M168/INDEX('Assumptions &amp; FX Reference'!$C$5:$C$25,MATCH(H168,'Assumptions &amp; FX Reference'!$A$5:$A$25,0)),IF(L168="USD",M168*INDEX('Assumptions &amp; FX Reference'!$B$5:$B$25,MATCH(H168,'Assumptions &amp; FX Reference'!$A$5:$A$25,0))/INDEX('Assumptions &amp; FX Reference'!$C$5:$C$25,MATCH(H168,'Assumptions &amp; FX Reference'!$A$5:$A$25,0)),""))),"(FX missing)"))</f>
        <v/>
      </c>
      <c r="P168" s="30"/>
      <c r="Q168" s="30"/>
      <c r="R168" s="30"/>
      <c r="S168" s="30"/>
      <c r="T168" s="30"/>
      <c r="U168" s="30"/>
      <c r="V168" s="30"/>
    </row>
    <row r="169" spans="1:22">
      <c r="A169" s="30"/>
      <c r="B169" s="30"/>
      <c r="C169" s="33" t="str">
        <f>IF(B169="","",IFERROR(INDEX('Master Database'!$D$5:$D$600,MATCH(B169,'Master Database'!$A$5:$A$600,0)),"(row not found)"))</f>
        <v/>
      </c>
      <c r="D169" s="33" t="str">
        <f>IF(B169="","",IFERROR(INDEX('Master Database'!$B$5:$B$600,MATCH(B169,'Master Database'!$A$5:$A$600,0)),"(row not found)"))</f>
        <v/>
      </c>
      <c r="E169" s="30"/>
      <c r="F169" s="33" t="str">
        <f>IF(E169="","",IFERROR(INDEX(Vendor_Register!$B$5:$B$205,MATCH(E169,Vendor_Register!$A$5:$A$205,0)),"(not in register)"))</f>
        <v/>
      </c>
      <c r="G169" s="33" t="str">
        <f>IF(E169="","",IFERROR(INDEX(Vendor_Register!$E$5:$E$205,MATCH(E169,Vendor_Register!$A$5:$A$205,0)),"(not in register)"))</f>
        <v/>
      </c>
      <c r="H169" s="30"/>
      <c r="I169" s="30"/>
      <c r="J169" s="30"/>
      <c r="K169" s="30"/>
      <c r="L169" s="30"/>
      <c r="M169" s="34"/>
      <c r="N169" s="30"/>
      <c r="O169" s="35" t="str">
        <f>IF(NOT(ISNUMBER(M169)),"",IFERROR(IF(L169="EUR",M169,IF(L169="IRR",M169/INDEX('Assumptions &amp; FX Reference'!$C$5:$C$25,MATCH(H169,'Assumptions &amp; FX Reference'!$A$5:$A$25,0)),IF(L169="USD",M169*INDEX('Assumptions &amp; FX Reference'!$B$5:$B$25,MATCH(H169,'Assumptions &amp; FX Reference'!$A$5:$A$25,0))/INDEX('Assumptions &amp; FX Reference'!$C$5:$C$25,MATCH(H169,'Assumptions &amp; FX Reference'!$A$5:$A$25,0)),""))),"(FX missing)"))</f>
        <v/>
      </c>
      <c r="P169" s="30"/>
      <c r="Q169" s="30"/>
      <c r="R169" s="30"/>
      <c r="S169" s="30"/>
      <c r="T169" s="30"/>
      <c r="U169" s="30"/>
      <c r="V169" s="30"/>
    </row>
    <row r="170" spans="1:22">
      <c r="A170" s="30"/>
      <c r="B170" s="30"/>
      <c r="C170" s="33" t="str">
        <f>IF(B170="","",IFERROR(INDEX('Master Database'!$D$5:$D$600,MATCH(B170,'Master Database'!$A$5:$A$600,0)),"(row not found)"))</f>
        <v/>
      </c>
      <c r="D170" s="33" t="str">
        <f>IF(B170="","",IFERROR(INDEX('Master Database'!$B$5:$B$600,MATCH(B170,'Master Database'!$A$5:$A$600,0)),"(row not found)"))</f>
        <v/>
      </c>
      <c r="E170" s="30"/>
      <c r="F170" s="33" t="str">
        <f>IF(E170="","",IFERROR(INDEX(Vendor_Register!$B$5:$B$205,MATCH(E170,Vendor_Register!$A$5:$A$205,0)),"(not in register)"))</f>
        <v/>
      </c>
      <c r="G170" s="33" t="str">
        <f>IF(E170="","",IFERROR(INDEX(Vendor_Register!$E$5:$E$205,MATCH(E170,Vendor_Register!$A$5:$A$205,0)),"(not in register)"))</f>
        <v/>
      </c>
      <c r="H170" s="30"/>
      <c r="I170" s="30"/>
      <c r="J170" s="30"/>
      <c r="K170" s="30"/>
      <c r="L170" s="30"/>
      <c r="M170" s="34"/>
      <c r="N170" s="30"/>
      <c r="O170" s="35" t="str">
        <f>IF(NOT(ISNUMBER(M170)),"",IFERROR(IF(L170="EUR",M170,IF(L170="IRR",M170/INDEX('Assumptions &amp; FX Reference'!$C$5:$C$25,MATCH(H170,'Assumptions &amp; FX Reference'!$A$5:$A$25,0)),IF(L170="USD",M170*INDEX('Assumptions &amp; FX Reference'!$B$5:$B$25,MATCH(H170,'Assumptions &amp; FX Reference'!$A$5:$A$25,0))/INDEX('Assumptions &amp; FX Reference'!$C$5:$C$25,MATCH(H170,'Assumptions &amp; FX Reference'!$A$5:$A$25,0)),""))),"(FX missing)"))</f>
        <v/>
      </c>
      <c r="P170" s="30"/>
      <c r="Q170" s="30"/>
      <c r="R170" s="30"/>
      <c r="S170" s="30"/>
      <c r="T170" s="30"/>
      <c r="U170" s="30"/>
      <c r="V170" s="30"/>
    </row>
    <row r="171" spans="1:22">
      <c r="A171" s="30"/>
      <c r="B171" s="30"/>
      <c r="C171" s="33" t="str">
        <f>IF(B171="","",IFERROR(INDEX('Master Database'!$D$5:$D$600,MATCH(B171,'Master Database'!$A$5:$A$600,0)),"(row not found)"))</f>
        <v/>
      </c>
      <c r="D171" s="33" t="str">
        <f>IF(B171="","",IFERROR(INDEX('Master Database'!$B$5:$B$600,MATCH(B171,'Master Database'!$A$5:$A$600,0)),"(row not found)"))</f>
        <v/>
      </c>
      <c r="E171" s="30"/>
      <c r="F171" s="33" t="str">
        <f>IF(E171="","",IFERROR(INDEX(Vendor_Register!$B$5:$B$205,MATCH(E171,Vendor_Register!$A$5:$A$205,0)),"(not in register)"))</f>
        <v/>
      </c>
      <c r="G171" s="33" t="str">
        <f>IF(E171="","",IFERROR(INDEX(Vendor_Register!$E$5:$E$205,MATCH(E171,Vendor_Register!$A$5:$A$205,0)),"(not in register)"))</f>
        <v/>
      </c>
      <c r="H171" s="30"/>
      <c r="I171" s="30"/>
      <c r="J171" s="30"/>
      <c r="K171" s="30"/>
      <c r="L171" s="30"/>
      <c r="M171" s="34"/>
      <c r="N171" s="30"/>
      <c r="O171" s="35" t="str">
        <f>IF(NOT(ISNUMBER(M171)),"",IFERROR(IF(L171="EUR",M171,IF(L171="IRR",M171/INDEX('Assumptions &amp; FX Reference'!$C$5:$C$25,MATCH(H171,'Assumptions &amp; FX Reference'!$A$5:$A$25,0)),IF(L171="USD",M171*INDEX('Assumptions &amp; FX Reference'!$B$5:$B$25,MATCH(H171,'Assumptions &amp; FX Reference'!$A$5:$A$25,0))/INDEX('Assumptions &amp; FX Reference'!$C$5:$C$25,MATCH(H171,'Assumptions &amp; FX Reference'!$A$5:$A$25,0)),""))),"(FX missing)"))</f>
        <v/>
      </c>
      <c r="P171" s="30"/>
      <c r="Q171" s="30"/>
      <c r="R171" s="30"/>
      <c r="S171" s="30"/>
      <c r="T171" s="30"/>
      <c r="U171" s="30"/>
      <c r="V171" s="30"/>
    </row>
    <row r="172" spans="1:22">
      <c r="A172" s="30"/>
      <c r="B172" s="30"/>
      <c r="C172" s="33" t="str">
        <f>IF(B172="","",IFERROR(INDEX('Master Database'!$D$5:$D$600,MATCH(B172,'Master Database'!$A$5:$A$600,0)),"(row not found)"))</f>
        <v/>
      </c>
      <c r="D172" s="33" t="str">
        <f>IF(B172="","",IFERROR(INDEX('Master Database'!$B$5:$B$600,MATCH(B172,'Master Database'!$A$5:$A$600,0)),"(row not found)"))</f>
        <v/>
      </c>
      <c r="E172" s="30"/>
      <c r="F172" s="33" t="str">
        <f>IF(E172="","",IFERROR(INDEX(Vendor_Register!$B$5:$B$205,MATCH(E172,Vendor_Register!$A$5:$A$205,0)),"(not in register)"))</f>
        <v/>
      </c>
      <c r="G172" s="33" t="str">
        <f>IF(E172="","",IFERROR(INDEX(Vendor_Register!$E$5:$E$205,MATCH(E172,Vendor_Register!$A$5:$A$205,0)),"(not in register)"))</f>
        <v/>
      </c>
      <c r="H172" s="30"/>
      <c r="I172" s="30"/>
      <c r="J172" s="30"/>
      <c r="K172" s="30"/>
      <c r="L172" s="30"/>
      <c r="M172" s="34"/>
      <c r="N172" s="30"/>
      <c r="O172" s="35" t="str">
        <f>IF(NOT(ISNUMBER(M172)),"",IFERROR(IF(L172="EUR",M172,IF(L172="IRR",M172/INDEX('Assumptions &amp; FX Reference'!$C$5:$C$25,MATCH(H172,'Assumptions &amp; FX Reference'!$A$5:$A$25,0)),IF(L172="USD",M172*INDEX('Assumptions &amp; FX Reference'!$B$5:$B$25,MATCH(H172,'Assumptions &amp; FX Reference'!$A$5:$A$25,0))/INDEX('Assumptions &amp; FX Reference'!$C$5:$C$25,MATCH(H172,'Assumptions &amp; FX Reference'!$A$5:$A$25,0)),""))),"(FX missing)"))</f>
        <v/>
      </c>
      <c r="P172" s="30"/>
      <c r="Q172" s="30"/>
      <c r="R172" s="30"/>
      <c r="S172" s="30"/>
      <c r="T172" s="30"/>
      <c r="U172" s="30"/>
      <c r="V172" s="30"/>
    </row>
    <row r="173" spans="1:22">
      <c r="A173" s="30"/>
      <c r="B173" s="30"/>
      <c r="C173" s="33" t="str">
        <f>IF(B173="","",IFERROR(INDEX('Master Database'!$D$5:$D$600,MATCH(B173,'Master Database'!$A$5:$A$600,0)),"(row not found)"))</f>
        <v/>
      </c>
      <c r="D173" s="33" t="str">
        <f>IF(B173="","",IFERROR(INDEX('Master Database'!$B$5:$B$600,MATCH(B173,'Master Database'!$A$5:$A$600,0)),"(row not found)"))</f>
        <v/>
      </c>
      <c r="E173" s="30"/>
      <c r="F173" s="33" t="str">
        <f>IF(E173="","",IFERROR(INDEX(Vendor_Register!$B$5:$B$205,MATCH(E173,Vendor_Register!$A$5:$A$205,0)),"(not in register)"))</f>
        <v/>
      </c>
      <c r="G173" s="33" t="str">
        <f>IF(E173="","",IFERROR(INDEX(Vendor_Register!$E$5:$E$205,MATCH(E173,Vendor_Register!$A$5:$A$205,0)),"(not in register)"))</f>
        <v/>
      </c>
      <c r="H173" s="30"/>
      <c r="I173" s="30"/>
      <c r="J173" s="30"/>
      <c r="K173" s="30"/>
      <c r="L173" s="30"/>
      <c r="M173" s="34"/>
      <c r="N173" s="30"/>
      <c r="O173" s="35" t="str">
        <f>IF(NOT(ISNUMBER(M173)),"",IFERROR(IF(L173="EUR",M173,IF(L173="IRR",M173/INDEX('Assumptions &amp; FX Reference'!$C$5:$C$25,MATCH(H173,'Assumptions &amp; FX Reference'!$A$5:$A$25,0)),IF(L173="USD",M173*INDEX('Assumptions &amp; FX Reference'!$B$5:$B$25,MATCH(H173,'Assumptions &amp; FX Reference'!$A$5:$A$25,0))/INDEX('Assumptions &amp; FX Reference'!$C$5:$C$25,MATCH(H173,'Assumptions &amp; FX Reference'!$A$5:$A$25,0)),""))),"(FX missing)"))</f>
        <v/>
      </c>
      <c r="P173" s="30"/>
      <c r="Q173" s="30"/>
      <c r="R173" s="30"/>
      <c r="S173" s="30"/>
      <c r="T173" s="30"/>
      <c r="U173" s="30"/>
      <c r="V173" s="30"/>
    </row>
    <row r="174" spans="1:22">
      <c r="A174" s="30"/>
      <c r="B174" s="30"/>
      <c r="C174" s="33" t="str">
        <f>IF(B174="","",IFERROR(INDEX('Master Database'!$D$5:$D$600,MATCH(B174,'Master Database'!$A$5:$A$600,0)),"(row not found)"))</f>
        <v/>
      </c>
      <c r="D174" s="33" t="str">
        <f>IF(B174="","",IFERROR(INDEX('Master Database'!$B$5:$B$600,MATCH(B174,'Master Database'!$A$5:$A$600,0)),"(row not found)"))</f>
        <v/>
      </c>
      <c r="E174" s="30"/>
      <c r="F174" s="33" t="str">
        <f>IF(E174="","",IFERROR(INDEX(Vendor_Register!$B$5:$B$205,MATCH(E174,Vendor_Register!$A$5:$A$205,0)),"(not in register)"))</f>
        <v/>
      </c>
      <c r="G174" s="33" t="str">
        <f>IF(E174="","",IFERROR(INDEX(Vendor_Register!$E$5:$E$205,MATCH(E174,Vendor_Register!$A$5:$A$205,0)),"(not in register)"))</f>
        <v/>
      </c>
      <c r="H174" s="30"/>
      <c r="I174" s="30"/>
      <c r="J174" s="30"/>
      <c r="K174" s="30"/>
      <c r="L174" s="30"/>
      <c r="M174" s="34"/>
      <c r="N174" s="30"/>
      <c r="O174" s="35" t="str">
        <f>IF(NOT(ISNUMBER(M174)),"",IFERROR(IF(L174="EUR",M174,IF(L174="IRR",M174/INDEX('Assumptions &amp; FX Reference'!$C$5:$C$25,MATCH(H174,'Assumptions &amp; FX Reference'!$A$5:$A$25,0)),IF(L174="USD",M174*INDEX('Assumptions &amp; FX Reference'!$B$5:$B$25,MATCH(H174,'Assumptions &amp; FX Reference'!$A$5:$A$25,0))/INDEX('Assumptions &amp; FX Reference'!$C$5:$C$25,MATCH(H174,'Assumptions &amp; FX Reference'!$A$5:$A$25,0)),""))),"(FX missing)"))</f>
        <v/>
      </c>
      <c r="P174" s="30"/>
      <c r="Q174" s="30"/>
      <c r="R174" s="30"/>
      <c r="S174" s="30"/>
      <c r="T174" s="30"/>
      <c r="U174" s="30"/>
      <c r="V174" s="30"/>
    </row>
    <row r="175" spans="1:22">
      <c r="A175" s="30"/>
      <c r="B175" s="30"/>
      <c r="C175" s="33" t="str">
        <f>IF(B175="","",IFERROR(INDEX('Master Database'!$D$5:$D$600,MATCH(B175,'Master Database'!$A$5:$A$600,0)),"(row not found)"))</f>
        <v/>
      </c>
      <c r="D175" s="33" t="str">
        <f>IF(B175="","",IFERROR(INDEX('Master Database'!$B$5:$B$600,MATCH(B175,'Master Database'!$A$5:$A$600,0)),"(row not found)"))</f>
        <v/>
      </c>
      <c r="E175" s="30"/>
      <c r="F175" s="33" t="str">
        <f>IF(E175="","",IFERROR(INDEX(Vendor_Register!$B$5:$B$205,MATCH(E175,Vendor_Register!$A$5:$A$205,0)),"(not in register)"))</f>
        <v/>
      </c>
      <c r="G175" s="33" t="str">
        <f>IF(E175="","",IFERROR(INDEX(Vendor_Register!$E$5:$E$205,MATCH(E175,Vendor_Register!$A$5:$A$205,0)),"(not in register)"))</f>
        <v/>
      </c>
      <c r="H175" s="30"/>
      <c r="I175" s="30"/>
      <c r="J175" s="30"/>
      <c r="K175" s="30"/>
      <c r="L175" s="30"/>
      <c r="M175" s="34"/>
      <c r="N175" s="30"/>
      <c r="O175" s="35" t="str">
        <f>IF(NOT(ISNUMBER(M175)),"",IFERROR(IF(L175="EUR",M175,IF(L175="IRR",M175/INDEX('Assumptions &amp; FX Reference'!$C$5:$C$25,MATCH(H175,'Assumptions &amp; FX Reference'!$A$5:$A$25,0)),IF(L175="USD",M175*INDEX('Assumptions &amp; FX Reference'!$B$5:$B$25,MATCH(H175,'Assumptions &amp; FX Reference'!$A$5:$A$25,0))/INDEX('Assumptions &amp; FX Reference'!$C$5:$C$25,MATCH(H175,'Assumptions &amp; FX Reference'!$A$5:$A$25,0)),""))),"(FX missing)"))</f>
        <v/>
      </c>
      <c r="P175" s="30"/>
      <c r="Q175" s="30"/>
      <c r="R175" s="30"/>
      <c r="S175" s="30"/>
      <c r="T175" s="30"/>
      <c r="U175" s="30"/>
      <c r="V175" s="30"/>
    </row>
    <row r="176" spans="1:22">
      <c r="A176" s="30"/>
      <c r="B176" s="30"/>
      <c r="C176" s="33" t="str">
        <f>IF(B176="","",IFERROR(INDEX('Master Database'!$D$5:$D$600,MATCH(B176,'Master Database'!$A$5:$A$600,0)),"(row not found)"))</f>
        <v/>
      </c>
      <c r="D176" s="33" t="str">
        <f>IF(B176="","",IFERROR(INDEX('Master Database'!$B$5:$B$600,MATCH(B176,'Master Database'!$A$5:$A$600,0)),"(row not found)"))</f>
        <v/>
      </c>
      <c r="E176" s="30"/>
      <c r="F176" s="33" t="str">
        <f>IF(E176="","",IFERROR(INDEX(Vendor_Register!$B$5:$B$205,MATCH(E176,Vendor_Register!$A$5:$A$205,0)),"(not in register)"))</f>
        <v/>
      </c>
      <c r="G176" s="33" t="str">
        <f>IF(E176="","",IFERROR(INDEX(Vendor_Register!$E$5:$E$205,MATCH(E176,Vendor_Register!$A$5:$A$205,0)),"(not in register)"))</f>
        <v/>
      </c>
      <c r="H176" s="30"/>
      <c r="I176" s="30"/>
      <c r="J176" s="30"/>
      <c r="K176" s="30"/>
      <c r="L176" s="30"/>
      <c r="M176" s="34"/>
      <c r="N176" s="30"/>
      <c r="O176" s="35" t="str">
        <f>IF(NOT(ISNUMBER(M176)),"",IFERROR(IF(L176="EUR",M176,IF(L176="IRR",M176/INDEX('Assumptions &amp; FX Reference'!$C$5:$C$25,MATCH(H176,'Assumptions &amp; FX Reference'!$A$5:$A$25,0)),IF(L176="USD",M176*INDEX('Assumptions &amp; FX Reference'!$B$5:$B$25,MATCH(H176,'Assumptions &amp; FX Reference'!$A$5:$A$25,0))/INDEX('Assumptions &amp; FX Reference'!$C$5:$C$25,MATCH(H176,'Assumptions &amp; FX Reference'!$A$5:$A$25,0)),""))),"(FX missing)"))</f>
        <v/>
      </c>
      <c r="P176" s="30"/>
      <c r="Q176" s="30"/>
      <c r="R176" s="30"/>
      <c r="S176" s="30"/>
      <c r="T176" s="30"/>
      <c r="U176" s="30"/>
      <c r="V176" s="30"/>
    </row>
    <row r="177" spans="1:22">
      <c r="A177" s="30"/>
      <c r="B177" s="30"/>
      <c r="C177" s="33" t="str">
        <f>IF(B177="","",IFERROR(INDEX('Master Database'!$D$5:$D$600,MATCH(B177,'Master Database'!$A$5:$A$600,0)),"(row not found)"))</f>
        <v/>
      </c>
      <c r="D177" s="33" t="str">
        <f>IF(B177="","",IFERROR(INDEX('Master Database'!$B$5:$B$600,MATCH(B177,'Master Database'!$A$5:$A$600,0)),"(row not found)"))</f>
        <v/>
      </c>
      <c r="E177" s="30"/>
      <c r="F177" s="33" t="str">
        <f>IF(E177="","",IFERROR(INDEX(Vendor_Register!$B$5:$B$205,MATCH(E177,Vendor_Register!$A$5:$A$205,0)),"(not in register)"))</f>
        <v/>
      </c>
      <c r="G177" s="33" t="str">
        <f>IF(E177="","",IFERROR(INDEX(Vendor_Register!$E$5:$E$205,MATCH(E177,Vendor_Register!$A$5:$A$205,0)),"(not in register)"))</f>
        <v/>
      </c>
      <c r="H177" s="30"/>
      <c r="I177" s="30"/>
      <c r="J177" s="30"/>
      <c r="K177" s="30"/>
      <c r="L177" s="30"/>
      <c r="M177" s="34"/>
      <c r="N177" s="30"/>
      <c r="O177" s="35" t="str">
        <f>IF(NOT(ISNUMBER(M177)),"",IFERROR(IF(L177="EUR",M177,IF(L177="IRR",M177/INDEX('Assumptions &amp; FX Reference'!$C$5:$C$25,MATCH(H177,'Assumptions &amp; FX Reference'!$A$5:$A$25,0)),IF(L177="USD",M177*INDEX('Assumptions &amp; FX Reference'!$B$5:$B$25,MATCH(H177,'Assumptions &amp; FX Reference'!$A$5:$A$25,0))/INDEX('Assumptions &amp; FX Reference'!$C$5:$C$25,MATCH(H177,'Assumptions &amp; FX Reference'!$A$5:$A$25,0)),""))),"(FX missing)"))</f>
        <v/>
      </c>
      <c r="P177" s="30"/>
      <c r="Q177" s="30"/>
      <c r="R177" s="30"/>
      <c r="S177" s="30"/>
      <c r="T177" s="30"/>
      <c r="U177" s="30"/>
      <c r="V177" s="30"/>
    </row>
    <row r="178" spans="1:22">
      <c r="A178" s="30"/>
      <c r="B178" s="30"/>
      <c r="C178" s="33" t="str">
        <f>IF(B178="","",IFERROR(INDEX('Master Database'!$D$5:$D$600,MATCH(B178,'Master Database'!$A$5:$A$600,0)),"(row not found)"))</f>
        <v/>
      </c>
      <c r="D178" s="33" t="str">
        <f>IF(B178="","",IFERROR(INDEX('Master Database'!$B$5:$B$600,MATCH(B178,'Master Database'!$A$5:$A$600,0)),"(row not found)"))</f>
        <v/>
      </c>
      <c r="E178" s="30"/>
      <c r="F178" s="33" t="str">
        <f>IF(E178="","",IFERROR(INDEX(Vendor_Register!$B$5:$B$205,MATCH(E178,Vendor_Register!$A$5:$A$205,0)),"(not in register)"))</f>
        <v/>
      </c>
      <c r="G178" s="33" t="str">
        <f>IF(E178="","",IFERROR(INDEX(Vendor_Register!$E$5:$E$205,MATCH(E178,Vendor_Register!$A$5:$A$205,0)),"(not in register)"))</f>
        <v/>
      </c>
      <c r="H178" s="30"/>
      <c r="I178" s="30"/>
      <c r="J178" s="30"/>
      <c r="K178" s="30"/>
      <c r="L178" s="30"/>
      <c r="M178" s="34"/>
      <c r="N178" s="30"/>
      <c r="O178" s="35" t="str">
        <f>IF(NOT(ISNUMBER(M178)),"",IFERROR(IF(L178="EUR",M178,IF(L178="IRR",M178/INDEX('Assumptions &amp; FX Reference'!$C$5:$C$25,MATCH(H178,'Assumptions &amp; FX Reference'!$A$5:$A$25,0)),IF(L178="USD",M178*INDEX('Assumptions &amp; FX Reference'!$B$5:$B$25,MATCH(H178,'Assumptions &amp; FX Reference'!$A$5:$A$25,0))/INDEX('Assumptions &amp; FX Reference'!$C$5:$C$25,MATCH(H178,'Assumptions &amp; FX Reference'!$A$5:$A$25,0)),""))),"(FX missing)"))</f>
        <v/>
      </c>
      <c r="P178" s="30"/>
      <c r="Q178" s="30"/>
      <c r="R178" s="30"/>
      <c r="S178" s="30"/>
      <c r="T178" s="30"/>
      <c r="U178" s="30"/>
      <c r="V178" s="30"/>
    </row>
    <row r="179" spans="1:22">
      <c r="A179" s="30"/>
      <c r="B179" s="30"/>
      <c r="C179" s="33" t="str">
        <f>IF(B179="","",IFERROR(INDEX('Master Database'!$D$5:$D$600,MATCH(B179,'Master Database'!$A$5:$A$600,0)),"(row not found)"))</f>
        <v/>
      </c>
      <c r="D179" s="33" t="str">
        <f>IF(B179="","",IFERROR(INDEX('Master Database'!$B$5:$B$600,MATCH(B179,'Master Database'!$A$5:$A$600,0)),"(row not found)"))</f>
        <v/>
      </c>
      <c r="E179" s="30"/>
      <c r="F179" s="33" t="str">
        <f>IF(E179="","",IFERROR(INDEX(Vendor_Register!$B$5:$B$205,MATCH(E179,Vendor_Register!$A$5:$A$205,0)),"(not in register)"))</f>
        <v/>
      </c>
      <c r="G179" s="33" t="str">
        <f>IF(E179="","",IFERROR(INDEX(Vendor_Register!$E$5:$E$205,MATCH(E179,Vendor_Register!$A$5:$A$205,0)),"(not in register)"))</f>
        <v/>
      </c>
      <c r="H179" s="30"/>
      <c r="I179" s="30"/>
      <c r="J179" s="30"/>
      <c r="K179" s="30"/>
      <c r="L179" s="30"/>
      <c r="M179" s="34"/>
      <c r="N179" s="30"/>
      <c r="O179" s="35" t="str">
        <f>IF(NOT(ISNUMBER(M179)),"",IFERROR(IF(L179="EUR",M179,IF(L179="IRR",M179/INDEX('Assumptions &amp; FX Reference'!$C$5:$C$25,MATCH(H179,'Assumptions &amp; FX Reference'!$A$5:$A$25,0)),IF(L179="USD",M179*INDEX('Assumptions &amp; FX Reference'!$B$5:$B$25,MATCH(H179,'Assumptions &amp; FX Reference'!$A$5:$A$25,0))/INDEX('Assumptions &amp; FX Reference'!$C$5:$C$25,MATCH(H179,'Assumptions &amp; FX Reference'!$A$5:$A$25,0)),""))),"(FX missing)"))</f>
        <v/>
      </c>
      <c r="P179" s="30"/>
      <c r="Q179" s="30"/>
      <c r="R179" s="30"/>
      <c r="S179" s="30"/>
      <c r="T179" s="30"/>
      <c r="U179" s="30"/>
      <c r="V179" s="30"/>
    </row>
    <row r="180" spans="1:22">
      <c r="A180" s="30"/>
      <c r="B180" s="30"/>
      <c r="C180" s="33" t="str">
        <f>IF(B180="","",IFERROR(INDEX('Master Database'!$D$5:$D$600,MATCH(B180,'Master Database'!$A$5:$A$600,0)),"(row not found)"))</f>
        <v/>
      </c>
      <c r="D180" s="33" t="str">
        <f>IF(B180="","",IFERROR(INDEX('Master Database'!$B$5:$B$600,MATCH(B180,'Master Database'!$A$5:$A$600,0)),"(row not found)"))</f>
        <v/>
      </c>
      <c r="E180" s="30"/>
      <c r="F180" s="33" t="str">
        <f>IF(E180="","",IFERROR(INDEX(Vendor_Register!$B$5:$B$205,MATCH(E180,Vendor_Register!$A$5:$A$205,0)),"(not in register)"))</f>
        <v/>
      </c>
      <c r="G180" s="33" t="str">
        <f>IF(E180="","",IFERROR(INDEX(Vendor_Register!$E$5:$E$205,MATCH(E180,Vendor_Register!$A$5:$A$205,0)),"(not in register)"))</f>
        <v/>
      </c>
      <c r="H180" s="30"/>
      <c r="I180" s="30"/>
      <c r="J180" s="30"/>
      <c r="K180" s="30"/>
      <c r="L180" s="30"/>
      <c r="M180" s="34"/>
      <c r="N180" s="30"/>
      <c r="O180" s="35" t="str">
        <f>IF(NOT(ISNUMBER(M180)),"",IFERROR(IF(L180="EUR",M180,IF(L180="IRR",M180/INDEX('Assumptions &amp; FX Reference'!$C$5:$C$25,MATCH(H180,'Assumptions &amp; FX Reference'!$A$5:$A$25,0)),IF(L180="USD",M180*INDEX('Assumptions &amp; FX Reference'!$B$5:$B$25,MATCH(H180,'Assumptions &amp; FX Reference'!$A$5:$A$25,0))/INDEX('Assumptions &amp; FX Reference'!$C$5:$C$25,MATCH(H180,'Assumptions &amp; FX Reference'!$A$5:$A$25,0)),""))),"(FX missing)"))</f>
        <v/>
      </c>
      <c r="P180" s="30"/>
      <c r="Q180" s="30"/>
      <c r="R180" s="30"/>
      <c r="S180" s="30"/>
      <c r="T180" s="30"/>
      <c r="U180" s="30"/>
      <c r="V180" s="30"/>
    </row>
    <row r="181" spans="1:22">
      <c r="A181" s="30"/>
      <c r="B181" s="30"/>
      <c r="C181" s="33" t="str">
        <f>IF(B181="","",IFERROR(INDEX('Master Database'!$D$5:$D$600,MATCH(B181,'Master Database'!$A$5:$A$600,0)),"(row not found)"))</f>
        <v/>
      </c>
      <c r="D181" s="33" t="str">
        <f>IF(B181="","",IFERROR(INDEX('Master Database'!$B$5:$B$600,MATCH(B181,'Master Database'!$A$5:$A$600,0)),"(row not found)"))</f>
        <v/>
      </c>
      <c r="E181" s="30"/>
      <c r="F181" s="33" t="str">
        <f>IF(E181="","",IFERROR(INDEX(Vendor_Register!$B$5:$B$205,MATCH(E181,Vendor_Register!$A$5:$A$205,0)),"(not in register)"))</f>
        <v/>
      </c>
      <c r="G181" s="33" t="str">
        <f>IF(E181="","",IFERROR(INDEX(Vendor_Register!$E$5:$E$205,MATCH(E181,Vendor_Register!$A$5:$A$205,0)),"(not in register)"))</f>
        <v/>
      </c>
      <c r="H181" s="30"/>
      <c r="I181" s="30"/>
      <c r="J181" s="30"/>
      <c r="K181" s="30"/>
      <c r="L181" s="30"/>
      <c r="M181" s="34"/>
      <c r="N181" s="30"/>
      <c r="O181" s="35" t="str">
        <f>IF(NOT(ISNUMBER(M181)),"",IFERROR(IF(L181="EUR",M181,IF(L181="IRR",M181/INDEX('Assumptions &amp; FX Reference'!$C$5:$C$25,MATCH(H181,'Assumptions &amp; FX Reference'!$A$5:$A$25,0)),IF(L181="USD",M181*INDEX('Assumptions &amp; FX Reference'!$B$5:$B$25,MATCH(H181,'Assumptions &amp; FX Reference'!$A$5:$A$25,0))/INDEX('Assumptions &amp; FX Reference'!$C$5:$C$25,MATCH(H181,'Assumptions &amp; FX Reference'!$A$5:$A$25,0)),""))),"(FX missing)"))</f>
        <v/>
      </c>
      <c r="P181" s="30"/>
      <c r="Q181" s="30"/>
      <c r="R181" s="30"/>
      <c r="S181" s="30"/>
      <c r="T181" s="30"/>
      <c r="U181" s="30"/>
      <c r="V181" s="30"/>
    </row>
    <row r="182" spans="1:22">
      <c r="A182" s="30"/>
      <c r="B182" s="30"/>
      <c r="C182" s="33" t="str">
        <f>IF(B182="","",IFERROR(INDEX('Master Database'!$D$5:$D$600,MATCH(B182,'Master Database'!$A$5:$A$600,0)),"(row not found)"))</f>
        <v/>
      </c>
      <c r="D182" s="33" t="str">
        <f>IF(B182="","",IFERROR(INDEX('Master Database'!$B$5:$B$600,MATCH(B182,'Master Database'!$A$5:$A$600,0)),"(row not found)"))</f>
        <v/>
      </c>
      <c r="E182" s="30"/>
      <c r="F182" s="33" t="str">
        <f>IF(E182="","",IFERROR(INDEX(Vendor_Register!$B$5:$B$205,MATCH(E182,Vendor_Register!$A$5:$A$205,0)),"(not in register)"))</f>
        <v/>
      </c>
      <c r="G182" s="33" t="str">
        <f>IF(E182="","",IFERROR(INDEX(Vendor_Register!$E$5:$E$205,MATCH(E182,Vendor_Register!$A$5:$A$205,0)),"(not in register)"))</f>
        <v/>
      </c>
      <c r="H182" s="30"/>
      <c r="I182" s="30"/>
      <c r="J182" s="30"/>
      <c r="K182" s="30"/>
      <c r="L182" s="30"/>
      <c r="M182" s="34"/>
      <c r="N182" s="30"/>
      <c r="O182" s="35" t="str">
        <f>IF(NOT(ISNUMBER(M182)),"",IFERROR(IF(L182="EUR",M182,IF(L182="IRR",M182/INDEX('Assumptions &amp; FX Reference'!$C$5:$C$25,MATCH(H182,'Assumptions &amp; FX Reference'!$A$5:$A$25,0)),IF(L182="USD",M182*INDEX('Assumptions &amp; FX Reference'!$B$5:$B$25,MATCH(H182,'Assumptions &amp; FX Reference'!$A$5:$A$25,0))/INDEX('Assumptions &amp; FX Reference'!$C$5:$C$25,MATCH(H182,'Assumptions &amp; FX Reference'!$A$5:$A$25,0)),""))),"(FX missing)"))</f>
        <v/>
      </c>
      <c r="P182" s="30"/>
      <c r="Q182" s="30"/>
      <c r="R182" s="30"/>
      <c r="S182" s="30"/>
      <c r="T182" s="30"/>
      <c r="U182" s="30"/>
      <c r="V182" s="30"/>
    </row>
    <row r="183" spans="1:22">
      <c r="A183" s="30"/>
      <c r="B183" s="30"/>
      <c r="C183" s="33" t="str">
        <f>IF(B183="","",IFERROR(INDEX('Master Database'!$D$5:$D$600,MATCH(B183,'Master Database'!$A$5:$A$600,0)),"(row not found)"))</f>
        <v/>
      </c>
      <c r="D183" s="33" t="str">
        <f>IF(B183="","",IFERROR(INDEX('Master Database'!$B$5:$B$600,MATCH(B183,'Master Database'!$A$5:$A$600,0)),"(row not found)"))</f>
        <v/>
      </c>
      <c r="E183" s="30"/>
      <c r="F183" s="33" t="str">
        <f>IF(E183="","",IFERROR(INDEX(Vendor_Register!$B$5:$B$205,MATCH(E183,Vendor_Register!$A$5:$A$205,0)),"(not in register)"))</f>
        <v/>
      </c>
      <c r="G183" s="33" t="str">
        <f>IF(E183="","",IFERROR(INDEX(Vendor_Register!$E$5:$E$205,MATCH(E183,Vendor_Register!$A$5:$A$205,0)),"(not in register)"))</f>
        <v/>
      </c>
      <c r="H183" s="30"/>
      <c r="I183" s="30"/>
      <c r="J183" s="30"/>
      <c r="K183" s="30"/>
      <c r="L183" s="30"/>
      <c r="M183" s="34"/>
      <c r="N183" s="30"/>
      <c r="O183" s="35" t="str">
        <f>IF(NOT(ISNUMBER(M183)),"",IFERROR(IF(L183="EUR",M183,IF(L183="IRR",M183/INDEX('Assumptions &amp; FX Reference'!$C$5:$C$25,MATCH(H183,'Assumptions &amp; FX Reference'!$A$5:$A$25,0)),IF(L183="USD",M183*INDEX('Assumptions &amp; FX Reference'!$B$5:$B$25,MATCH(H183,'Assumptions &amp; FX Reference'!$A$5:$A$25,0))/INDEX('Assumptions &amp; FX Reference'!$C$5:$C$25,MATCH(H183,'Assumptions &amp; FX Reference'!$A$5:$A$25,0)),""))),"(FX missing)"))</f>
        <v/>
      </c>
      <c r="P183" s="30"/>
      <c r="Q183" s="30"/>
      <c r="R183" s="30"/>
      <c r="S183" s="30"/>
      <c r="T183" s="30"/>
      <c r="U183" s="30"/>
      <c r="V183" s="30"/>
    </row>
    <row r="184" spans="1:22">
      <c r="A184" s="30"/>
      <c r="B184" s="30"/>
      <c r="C184" s="33" t="str">
        <f>IF(B184="","",IFERROR(INDEX('Master Database'!$D$5:$D$600,MATCH(B184,'Master Database'!$A$5:$A$600,0)),"(row not found)"))</f>
        <v/>
      </c>
      <c r="D184" s="33" t="str">
        <f>IF(B184="","",IFERROR(INDEX('Master Database'!$B$5:$B$600,MATCH(B184,'Master Database'!$A$5:$A$600,0)),"(row not found)"))</f>
        <v/>
      </c>
      <c r="E184" s="30"/>
      <c r="F184" s="33" t="str">
        <f>IF(E184="","",IFERROR(INDEX(Vendor_Register!$B$5:$B$205,MATCH(E184,Vendor_Register!$A$5:$A$205,0)),"(not in register)"))</f>
        <v/>
      </c>
      <c r="G184" s="33" t="str">
        <f>IF(E184="","",IFERROR(INDEX(Vendor_Register!$E$5:$E$205,MATCH(E184,Vendor_Register!$A$5:$A$205,0)),"(not in register)"))</f>
        <v/>
      </c>
      <c r="H184" s="30"/>
      <c r="I184" s="30"/>
      <c r="J184" s="30"/>
      <c r="K184" s="30"/>
      <c r="L184" s="30"/>
      <c r="M184" s="34"/>
      <c r="N184" s="30"/>
      <c r="O184" s="35" t="str">
        <f>IF(NOT(ISNUMBER(M184)),"",IFERROR(IF(L184="EUR",M184,IF(L184="IRR",M184/INDEX('Assumptions &amp; FX Reference'!$C$5:$C$25,MATCH(H184,'Assumptions &amp; FX Reference'!$A$5:$A$25,0)),IF(L184="USD",M184*INDEX('Assumptions &amp; FX Reference'!$B$5:$B$25,MATCH(H184,'Assumptions &amp; FX Reference'!$A$5:$A$25,0))/INDEX('Assumptions &amp; FX Reference'!$C$5:$C$25,MATCH(H184,'Assumptions &amp; FX Reference'!$A$5:$A$25,0)),""))),"(FX missing)"))</f>
        <v/>
      </c>
      <c r="P184" s="30"/>
      <c r="Q184" s="30"/>
      <c r="R184" s="30"/>
      <c r="S184" s="30"/>
      <c r="T184" s="30"/>
      <c r="U184" s="30"/>
      <c r="V184" s="30"/>
    </row>
    <row r="185" spans="1:22">
      <c r="A185" s="30"/>
      <c r="B185" s="30"/>
      <c r="C185" s="33" t="str">
        <f>IF(B185="","",IFERROR(INDEX('Master Database'!$D$5:$D$600,MATCH(B185,'Master Database'!$A$5:$A$600,0)),"(row not found)"))</f>
        <v/>
      </c>
      <c r="D185" s="33" t="str">
        <f>IF(B185="","",IFERROR(INDEX('Master Database'!$B$5:$B$600,MATCH(B185,'Master Database'!$A$5:$A$600,0)),"(row not found)"))</f>
        <v/>
      </c>
      <c r="E185" s="30"/>
      <c r="F185" s="33" t="str">
        <f>IF(E185="","",IFERROR(INDEX(Vendor_Register!$B$5:$B$205,MATCH(E185,Vendor_Register!$A$5:$A$205,0)),"(not in register)"))</f>
        <v/>
      </c>
      <c r="G185" s="33" t="str">
        <f>IF(E185="","",IFERROR(INDEX(Vendor_Register!$E$5:$E$205,MATCH(E185,Vendor_Register!$A$5:$A$205,0)),"(not in register)"))</f>
        <v/>
      </c>
      <c r="H185" s="30"/>
      <c r="I185" s="30"/>
      <c r="J185" s="30"/>
      <c r="K185" s="30"/>
      <c r="L185" s="30"/>
      <c r="M185" s="34"/>
      <c r="N185" s="30"/>
      <c r="O185" s="35" t="str">
        <f>IF(NOT(ISNUMBER(M185)),"",IFERROR(IF(L185="EUR",M185,IF(L185="IRR",M185/INDEX('Assumptions &amp; FX Reference'!$C$5:$C$25,MATCH(H185,'Assumptions &amp; FX Reference'!$A$5:$A$25,0)),IF(L185="USD",M185*INDEX('Assumptions &amp; FX Reference'!$B$5:$B$25,MATCH(H185,'Assumptions &amp; FX Reference'!$A$5:$A$25,0))/INDEX('Assumptions &amp; FX Reference'!$C$5:$C$25,MATCH(H185,'Assumptions &amp; FX Reference'!$A$5:$A$25,0)),""))),"(FX missing)"))</f>
        <v/>
      </c>
      <c r="P185" s="30"/>
      <c r="Q185" s="30"/>
      <c r="R185" s="30"/>
      <c r="S185" s="30"/>
      <c r="T185" s="30"/>
      <c r="U185" s="30"/>
      <c r="V185" s="30"/>
    </row>
    <row r="186" spans="1:22">
      <c r="A186" s="30"/>
      <c r="B186" s="30"/>
      <c r="C186" s="33" t="str">
        <f>IF(B186="","",IFERROR(INDEX('Master Database'!$D$5:$D$600,MATCH(B186,'Master Database'!$A$5:$A$600,0)),"(row not found)"))</f>
        <v/>
      </c>
      <c r="D186" s="33" t="str">
        <f>IF(B186="","",IFERROR(INDEX('Master Database'!$B$5:$B$600,MATCH(B186,'Master Database'!$A$5:$A$600,0)),"(row not found)"))</f>
        <v/>
      </c>
      <c r="E186" s="30"/>
      <c r="F186" s="33" t="str">
        <f>IF(E186="","",IFERROR(INDEX(Vendor_Register!$B$5:$B$205,MATCH(E186,Vendor_Register!$A$5:$A$205,0)),"(not in register)"))</f>
        <v/>
      </c>
      <c r="G186" s="33" t="str">
        <f>IF(E186="","",IFERROR(INDEX(Vendor_Register!$E$5:$E$205,MATCH(E186,Vendor_Register!$A$5:$A$205,0)),"(not in register)"))</f>
        <v/>
      </c>
      <c r="H186" s="30"/>
      <c r="I186" s="30"/>
      <c r="J186" s="30"/>
      <c r="K186" s="30"/>
      <c r="L186" s="30"/>
      <c r="M186" s="34"/>
      <c r="N186" s="30"/>
      <c r="O186" s="35" t="str">
        <f>IF(NOT(ISNUMBER(M186)),"",IFERROR(IF(L186="EUR",M186,IF(L186="IRR",M186/INDEX('Assumptions &amp; FX Reference'!$C$5:$C$25,MATCH(H186,'Assumptions &amp; FX Reference'!$A$5:$A$25,0)),IF(L186="USD",M186*INDEX('Assumptions &amp; FX Reference'!$B$5:$B$25,MATCH(H186,'Assumptions &amp; FX Reference'!$A$5:$A$25,0))/INDEX('Assumptions &amp; FX Reference'!$C$5:$C$25,MATCH(H186,'Assumptions &amp; FX Reference'!$A$5:$A$25,0)),""))),"(FX missing)"))</f>
        <v/>
      </c>
      <c r="P186" s="30"/>
      <c r="Q186" s="30"/>
      <c r="R186" s="30"/>
      <c r="S186" s="30"/>
      <c r="T186" s="30"/>
      <c r="U186" s="30"/>
      <c r="V186" s="30"/>
    </row>
    <row r="187" spans="1:22">
      <c r="A187" s="30"/>
      <c r="B187" s="30"/>
      <c r="C187" s="33" t="str">
        <f>IF(B187="","",IFERROR(INDEX('Master Database'!$D$5:$D$600,MATCH(B187,'Master Database'!$A$5:$A$600,0)),"(row not found)"))</f>
        <v/>
      </c>
      <c r="D187" s="33" t="str">
        <f>IF(B187="","",IFERROR(INDEX('Master Database'!$B$5:$B$600,MATCH(B187,'Master Database'!$A$5:$A$600,0)),"(row not found)"))</f>
        <v/>
      </c>
      <c r="E187" s="30"/>
      <c r="F187" s="33" t="str">
        <f>IF(E187="","",IFERROR(INDEX(Vendor_Register!$B$5:$B$205,MATCH(E187,Vendor_Register!$A$5:$A$205,0)),"(not in register)"))</f>
        <v/>
      </c>
      <c r="G187" s="33" t="str">
        <f>IF(E187="","",IFERROR(INDEX(Vendor_Register!$E$5:$E$205,MATCH(E187,Vendor_Register!$A$5:$A$205,0)),"(not in register)"))</f>
        <v/>
      </c>
      <c r="H187" s="30"/>
      <c r="I187" s="30"/>
      <c r="J187" s="30"/>
      <c r="K187" s="30"/>
      <c r="L187" s="30"/>
      <c r="M187" s="34"/>
      <c r="N187" s="30"/>
      <c r="O187" s="35" t="str">
        <f>IF(NOT(ISNUMBER(M187)),"",IFERROR(IF(L187="EUR",M187,IF(L187="IRR",M187/INDEX('Assumptions &amp; FX Reference'!$C$5:$C$25,MATCH(H187,'Assumptions &amp; FX Reference'!$A$5:$A$25,0)),IF(L187="USD",M187*INDEX('Assumptions &amp; FX Reference'!$B$5:$B$25,MATCH(H187,'Assumptions &amp; FX Reference'!$A$5:$A$25,0))/INDEX('Assumptions &amp; FX Reference'!$C$5:$C$25,MATCH(H187,'Assumptions &amp; FX Reference'!$A$5:$A$25,0)),""))),"(FX missing)"))</f>
        <v/>
      </c>
      <c r="P187" s="30"/>
      <c r="Q187" s="30"/>
      <c r="R187" s="30"/>
      <c r="S187" s="30"/>
      <c r="T187" s="30"/>
      <c r="U187" s="30"/>
      <c r="V187" s="30"/>
    </row>
    <row r="188" spans="1:22">
      <c r="A188" s="30"/>
      <c r="B188" s="30"/>
      <c r="C188" s="33" t="str">
        <f>IF(B188="","",IFERROR(INDEX('Master Database'!$D$5:$D$600,MATCH(B188,'Master Database'!$A$5:$A$600,0)),"(row not found)"))</f>
        <v/>
      </c>
      <c r="D188" s="33" t="str">
        <f>IF(B188="","",IFERROR(INDEX('Master Database'!$B$5:$B$600,MATCH(B188,'Master Database'!$A$5:$A$600,0)),"(row not found)"))</f>
        <v/>
      </c>
      <c r="E188" s="30"/>
      <c r="F188" s="33" t="str">
        <f>IF(E188="","",IFERROR(INDEX(Vendor_Register!$B$5:$B$205,MATCH(E188,Vendor_Register!$A$5:$A$205,0)),"(not in register)"))</f>
        <v/>
      </c>
      <c r="G188" s="33" t="str">
        <f>IF(E188="","",IFERROR(INDEX(Vendor_Register!$E$5:$E$205,MATCH(E188,Vendor_Register!$A$5:$A$205,0)),"(not in register)"))</f>
        <v/>
      </c>
      <c r="H188" s="30"/>
      <c r="I188" s="30"/>
      <c r="J188" s="30"/>
      <c r="K188" s="30"/>
      <c r="L188" s="30"/>
      <c r="M188" s="34"/>
      <c r="N188" s="30"/>
      <c r="O188" s="35" t="str">
        <f>IF(NOT(ISNUMBER(M188)),"",IFERROR(IF(L188="EUR",M188,IF(L188="IRR",M188/INDEX('Assumptions &amp; FX Reference'!$C$5:$C$25,MATCH(H188,'Assumptions &amp; FX Reference'!$A$5:$A$25,0)),IF(L188="USD",M188*INDEX('Assumptions &amp; FX Reference'!$B$5:$B$25,MATCH(H188,'Assumptions &amp; FX Reference'!$A$5:$A$25,0))/INDEX('Assumptions &amp; FX Reference'!$C$5:$C$25,MATCH(H188,'Assumptions &amp; FX Reference'!$A$5:$A$25,0)),""))),"(FX missing)"))</f>
        <v/>
      </c>
      <c r="P188" s="30"/>
      <c r="Q188" s="30"/>
      <c r="R188" s="30"/>
      <c r="S188" s="30"/>
      <c r="T188" s="30"/>
      <c r="U188" s="30"/>
      <c r="V188" s="30"/>
    </row>
    <row r="189" spans="1:22">
      <c r="A189" s="30"/>
      <c r="B189" s="30"/>
      <c r="C189" s="33" t="str">
        <f>IF(B189="","",IFERROR(INDEX('Master Database'!$D$5:$D$600,MATCH(B189,'Master Database'!$A$5:$A$600,0)),"(row not found)"))</f>
        <v/>
      </c>
      <c r="D189" s="33" t="str">
        <f>IF(B189="","",IFERROR(INDEX('Master Database'!$B$5:$B$600,MATCH(B189,'Master Database'!$A$5:$A$600,0)),"(row not found)"))</f>
        <v/>
      </c>
      <c r="E189" s="30"/>
      <c r="F189" s="33" t="str">
        <f>IF(E189="","",IFERROR(INDEX(Vendor_Register!$B$5:$B$205,MATCH(E189,Vendor_Register!$A$5:$A$205,0)),"(not in register)"))</f>
        <v/>
      </c>
      <c r="G189" s="33" t="str">
        <f>IF(E189="","",IFERROR(INDEX(Vendor_Register!$E$5:$E$205,MATCH(E189,Vendor_Register!$A$5:$A$205,0)),"(not in register)"))</f>
        <v/>
      </c>
      <c r="H189" s="30"/>
      <c r="I189" s="30"/>
      <c r="J189" s="30"/>
      <c r="K189" s="30"/>
      <c r="L189" s="30"/>
      <c r="M189" s="34"/>
      <c r="N189" s="30"/>
      <c r="O189" s="35" t="str">
        <f>IF(NOT(ISNUMBER(M189)),"",IFERROR(IF(L189="EUR",M189,IF(L189="IRR",M189/INDEX('Assumptions &amp; FX Reference'!$C$5:$C$25,MATCH(H189,'Assumptions &amp; FX Reference'!$A$5:$A$25,0)),IF(L189="USD",M189*INDEX('Assumptions &amp; FX Reference'!$B$5:$B$25,MATCH(H189,'Assumptions &amp; FX Reference'!$A$5:$A$25,0))/INDEX('Assumptions &amp; FX Reference'!$C$5:$C$25,MATCH(H189,'Assumptions &amp; FX Reference'!$A$5:$A$25,0)),""))),"(FX missing)"))</f>
        <v/>
      </c>
      <c r="P189" s="30"/>
      <c r="Q189" s="30"/>
      <c r="R189" s="30"/>
      <c r="S189" s="30"/>
      <c r="T189" s="30"/>
      <c r="U189" s="30"/>
      <c r="V189" s="30"/>
    </row>
    <row r="190" spans="1:22">
      <c r="A190" s="30"/>
      <c r="B190" s="30"/>
      <c r="C190" s="33" t="str">
        <f>IF(B190="","",IFERROR(INDEX('Master Database'!$D$5:$D$600,MATCH(B190,'Master Database'!$A$5:$A$600,0)),"(row not found)"))</f>
        <v/>
      </c>
      <c r="D190" s="33" t="str">
        <f>IF(B190="","",IFERROR(INDEX('Master Database'!$B$5:$B$600,MATCH(B190,'Master Database'!$A$5:$A$600,0)),"(row not found)"))</f>
        <v/>
      </c>
      <c r="E190" s="30"/>
      <c r="F190" s="33" t="str">
        <f>IF(E190="","",IFERROR(INDEX(Vendor_Register!$B$5:$B$205,MATCH(E190,Vendor_Register!$A$5:$A$205,0)),"(not in register)"))</f>
        <v/>
      </c>
      <c r="G190" s="33" t="str">
        <f>IF(E190="","",IFERROR(INDEX(Vendor_Register!$E$5:$E$205,MATCH(E190,Vendor_Register!$A$5:$A$205,0)),"(not in register)"))</f>
        <v/>
      </c>
      <c r="H190" s="30"/>
      <c r="I190" s="30"/>
      <c r="J190" s="30"/>
      <c r="K190" s="30"/>
      <c r="L190" s="30"/>
      <c r="M190" s="34"/>
      <c r="N190" s="30"/>
      <c r="O190" s="35" t="str">
        <f>IF(NOT(ISNUMBER(M190)),"",IFERROR(IF(L190="EUR",M190,IF(L190="IRR",M190/INDEX('Assumptions &amp; FX Reference'!$C$5:$C$25,MATCH(H190,'Assumptions &amp; FX Reference'!$A$5:$A$25,0)),IF(L190="USD",M190*INDEX('Assumptions &amp; FX Reference'!$B$5:$B$25,MATCH(H190,'Assumptions &amp; FX Reference'!$A$5:$A$25,0))/INDEX('Assumptions &amp; FX Reference'!$C$5:$C$25,MATCH(H190,'Assumptions &amp; FX Reference'!$A$5:$A$25,0)),""))),"(FX missing)"))</f>
        <v/>
      </c>
      <c r="P190" s="30"/>
      <c r="Q190" s="30"/>
      <c r="R190" s="30"/>
      <c r="S190" s="30"/>
      <c r="T190" s="30"/>
      <c r="U190" s="30"/>
      <c r="V190" s="30"/>
    </row>
    <row r="191" spans="1:22">
      <c r="A191" s="30"/>
      <c r="B191" s="30"/>
      <c r="C191" s="33" t="str">
        <f>IF(B191="","",IFERROR(INDEX('Master Database'!$D$5:$D$600,MATCH(B191,'Master Database'!$A$5:$A$600,0)),"(row not found)"))</f>
        <v/>
      </c>
      <c r="D191" s="33" t="str">
        <f>IF(B191="","",IFERROR(INDEX('Master Database'!$B$5:$B$600,MATCH(B191,'Master Database'!$A$5:$A$600,0)),"(row not found)"))</f>
        <v/>
      </c>
      <c r="E191" s="30"/>
      <c r="F191" s="33" t="str">
        <f>IF(E191="","",IFERROR(INDEX(Vendor_Register!$B$5:$B$205,MATCH(E191,Vendor_Register!$A$5:$A$205,0)),"(not in register)"))</f>
        <v/>
      </c>
      <c r="G191" s="33" t="str">
        <f>IF(E191="","",IFERROR(INDEX(Vendor_Register!$E$5:$E$205,MATCH(E191,Vendor_Register!$A$5:$A$205,0)),"(not in register)"))</f>
        <v/>
      </c>
      <c r="H191" s="30"/>
      <c r="I191" s="30"/>
      <c r="J191" s="30"/>
      <c r="K191" s="30"/>
      <c r="L191" s="30"/>
      <c r="M191" s="34"/>
      <c r="N191" s="30"/>
      <c r="O191" s="35" t="str">
        <f>IF(NOT(ISNUMBER(M191)),"",IFERROR(IF(L191="EUR",M191,IF(L191="IRR",M191/INDEX('Assumptions &amp; FX Reference'!$C$5:$C$25,MATCH(H191,'Assumptions &amp; FX Reference'!$A$5:$A$25,0)),IF(L191="USD",M191*INDEX('Assumptions &amp; FX Reference'!$B$5:$B$25,MATCH(H191,'Assumptions &amp; FX Reference'!$A$5:$A$25,0))/INDEX('Assumptions &amp; FX Reference'!$C$5:$C$25,MATCH(H191,'Assumptions &amp; FX Reference'!$A$5:$A$25,0)),""))),"(FX missing)"))</f>
        <v/>
      </c>
      <c r="P191" s="30"/>
      <c r="Q191" s="30"/>
      <c r="R191" s="30"/>
      <c r="S191" s="30"/>
      <c r="T191" s="30"/>
      <c r="U191" s="30"/>
      <c r="V191" s="30"/>
    </row>
    <row r="192" spans="1:22">
      <c r="A192" s="30"/>
      <c r="B192" s="30"/>
      <c r="C192" s="33" t="str">
        <f>IF(B192="","",IFERROR(INDEX('Master Database'!$D$5:$D$600,MATCH(B192,'Master Database'!$A$5:$A$600,0)),"(row not found)"))</f>
        <v/>
      </c>
      <c r="D192" s="33" t="str">
        <f>IF(B192="","",IFERROR(INDEX('Master Database'!$B$5:$B$600,MATCH(B192,'Master Database'!$A$5:$A$600,0)),"(row not found)"))</f>
        <v/>
      </c>
      <c r="E192" s="30"/>
      <c r="F192" s="33" t="str">
        <f>IF(E192="","",IFERROR(INDEX(Vendor_Register!$B$5:$B$205,MATCH(E192,Vendor_Register!$A$5:$A$205,0)),"(not in register)"))</f>
        <v/>
      </c>
      <c r="G192" s="33" t="str">
        <f>IF(E192="","",IFERROR(INDEX(Vendor_Register!$E$5:$E$205,MATCH(E192,Vendor_Register!$A$5:$A$205,0)),"(not in register)"))</f>
        <v/>
      </c>
      <c r="H192" s="30"/>
      <c r="I192" s="30"/>
      <c r="J192" s="30"/>
      <c r="K192" s="30"/>
      <c r="L192" s="30"/>
      <c r="M192" s="34"/>
      <c r="N192" s="30"/>
      <c r="O192" s="35" t="str">
        <f>IF(NOT(ISNUMBER(M192)),"",IFERROR(IF(L192="EUR",M192,IF(L192="IRR",M192/INDEX('Assumptions &amp; FX Reference'!$C$5:$C$25,MATCH(H192,'Assumptions &amp; FX Reference'!$A$5:$A$25,0)),IF(L192="USD",M192*INDEX('Assumptions &amp; FX Reference'!$B$5:$B$25,MATCH(H192,'Assumptions &amp; FX Reference'!$A$5:$A$25,0))/INDEX('Assumptions &amp; FX Reference'!$C$5:$C$25,MATCH(H192,'Assumptions &amp; FX Reference'!$A$5:$A$25,0)),""))),"(FX missing)"))</f>
        <v/>
      </c>
      <c r="P192" s="30"/>
      <c r="Q192" s="30"/>
      <c r="R192" s="30"/>
      <c r="S192" s="30"/>
      <c r="T192" s="30"/>
      <c r="U192" s="30"/>
      <c r="V192" s="30"/>
    </row>
    <row r="193" spans="1:22">
      <c r="A193" s="30"/>
      <c r="B193" s="30"/>
      <c r="C193" s="33" t="str">
        <f>IF(B193="","",IFERROR(INDEX('Master Database'!$D$5:$D$600,MATCH(B193,'Master Database'!$A$5:$A$600,0)),"(row not found)"))</f>
        <v/>
      </c>
      <c r="D193" s="33" t="str">
        <f>IF(B193="","",IFERROR(INDEX('Master Database'!$B$5:$B$600,MATCH(B193,'Master Database'!$A$5:$A$600,0)),"(row not found)"))</f>
        <v/>
      </c>
      <c r="E193" s="30"/>
      <c r="F193" s="33" t="str">
        <f>IF(E193="","",IFERROR(INDEX(Vendor_Register!$B$5:$B$205,MATCH(E193,Vendor_Register!$A$5:$A$205,0)),"(not in register)"))</f>
        <v/>
      </c>
      <c r="G193" s="33" t="str">
        <f>IF(E193="","",IFERROR(INDEX(Vendor_Register!$E$5:$E$205,MATCH(E193,Vendor_Register!$A$5:$A$205,0)),"(not in register)"))</f>
        <v/>
      </c>
      <c r="H193" s="30"/>
      <c r="I193" s="30"/>
      <c r="J193" s="30"/>
      <c r="K193" s="30"/>
      <c r="L193" s="30"/>
      <c r="M193" s="34"/>
      <c r="N193" s="30"/>
      <c r="O193" s="35" t="str">
        <f>IF(NOT(ISNUMBER(M193)),"",IFERROR(IF(L193="EUR",M193,IF(L193="IRR",M193/INDEX('Assumptions &amp; FX Reference'!$C$5:$C$25,MATCH(H193,'Assumptions &amp; FX Reference'!$A$5:$A$25,0)),IF(L193="USD",M193*INDEX('Assumptions &amp; FX Reference'!$B$5:$B$25,MATCH(H193,'Assumptions &amp; FX Reference'!$A$5:$A$25,0))/INDEX('Assumptions &amp; FX Reference'!$C$5:$C$25,MATCH(H193,'Assumptions &amp; FX Reference'!$A$5:$A$25,0)),""))),"(FX missing)"))</f>
        <v/>
      </c>
      <c r="P193" s="30"/>
      <c r="Q193" s="30"/>
      <c r="R193" s="30"/>
      <c r="S193" s="30"/>
      <c r="T193" s="30"/>
      <c r="U193" s="30"/>
      <c r="V193" s="30"/>
    </row>
    <row r="194" spans="1:22">
      <c r="A194" s="30"/>
      <c r="B194" s="30"/>
      <c r="C194" s="33" t="str">
        <f>IF(B194="","",IFERROR(INDEX('Master Database'!$D$5:$D$600,MATCH(B194,'Master Database'!$A$5:$A$600,0)),"(row not found)"))</f>
        <v/>
      </c>
      <c r="D194" s="33" t="str">
        <f>IF(B194="","",IFERROR(INDEX('Master Database'!$B$5:$B$600,MATCH(B194,'Master Database'!$A$5:$A$600,0)),"(row not found)"))</f>
        <v/>
      </c>
      <c r="E194" s="30"/>
      <c r="F194" s="33" t="str">
        <f>IF(E194="","",IFERROR(INDEX(Vendor_Register!$B$5:$B$205,MATCH(E194,Vendor_Register!$A$5:$A$205,0)),"(not in register)"))</f>
        <v/>
      </c>
      <c r="G194" s="33" t="str">
        <f>IF(E194="","",IFERROR(INDEX(Vendor_Register!$E$5:$E$205,MATCH(E194,Vendor_Register!$A$5:$A$205,0)),"(not in register)"))</f>
        <v/>
      </c>
      <c r="H194" s="30"/>
      <c r="I194" s="30"/>
      <c r="J194" s="30"/>
      <c r="K194" s="30"/>
      <c r="L194" s="30"/>
      <c r="M194" s="34"/>
      <c r="N194" s="30"/>
      <c r="O194" s="35" t="str">
        <f>IF(NOT(ISNUMBER(M194)),"",IFERROR(IF(L194="EUR",M194,IF(L194="IRR",M194/INDEX('Assumptions &amp; FX Reference'!$C$5:$C$25,MATCH(H194,'Assumptions &amp; FX Reference'!$A$5:$A$25,0)),IF(L194="USD",M194*INDEX('Assumptions &amp; FX Reference'!$B$5:$B$25,MATCH(H194,'Assumptions &amp; FX Reference'!$A$5:$A$25,0))/INDEX('Assumptions &amp; FX Reference'!$C$5:$C$25,MATCH(H194,'Assumptions &amp; FX Reference'!$A$5:$A$25,0)),""))),"(FX missing)"))</f>
        <v/>
      </c>
      <c r="P194" s="30"/>
      <c r="Q194" s="30"/>
      <c r="R194" s="30"/>
      <c r="S194" s="30"/>
      <c r="T194" s="30"/>
      <c r="U194" s="30"/>
      <c r="V194" s="30"/>
    </row>
    <row r="195" spans="1:22">
      <c r="A195" s="30"/>
      <c r="B195" s="30"/>
      <c r="C195" s="33" t="str">
        <f>IF(B195="","",IFERROR(INDEX('Master Database'!$D$5:$D$600,MATCH(B195,'Master Database'!$A$5:$A$600,0)),"(row not found)"))</f>
        <v/>
      </c>
      <c r="D195" s="33" t="str">
        <f>IF(B195="","",IFERROR(INDEX('Master Database'!$B$5:$B$600,MATCH(B195,'Master Database'!$A$5:$A$600,0)),"(row not found)"))</f>
        <v/>
      </c>
      <c r="E195" s="30"/>
      <c r="F195" s="33" t="str">
        <f>IF(E195="","",IFERROR(INDEX(Vendor_Register!$B$5:$B$205,MATCH(E195,Vendor_Register!$A$5:$A$205,0)),"(not in register)"))</f>
        <v/>
      </c>
      <c r="G195" s="33" t="str">
        <f>IF(E195="","",IFERROR(INDEX(Vendor_Register!$E$5:$E$205,MATCH(E195,Vendor_Register!$A$5:$A$205,0)),"(not in register)"))</f>
        <v/>
      </c>
      <c r="H195" s="30"/>
      <c r="I195" s="30"/>
      <c r="J195" s="30"/>
      <c r="K195" s="30"/>
      <c r="L195" s="30"/>
      <c r="M195" s="34"/>
      <c r="N195" s="30"/>
      <c r="O195" s="35" t="str">
        <f>IF(NOT(ISNUMBER(M195)),"",IFERROR(IF(L195="EUR",M195,IF(L195="IRR",M195/INDEX('Assumptions &amp; FX Reference'!$C$5:$C$25,MATCH(H195,'Assumptions &amp; FX Reference'!$A$5:$A$25,0)),IF(L195="USD",M195*INDEX('Assumptions &amp; FX Reference'!$B$5:$B$25,MATCH(H195,'Assumptions &amp; FX Reference'!$A$5:$A$25,0))/INDEX('Assumptions &amp; FX Reference'!$C$5:$C$25,MATCH(H195,'Assumptions &amp; FX Reference'!$A$5:$A$25,0)),""))),"(FX missing)"))</f>
        <v/>
      </c>
      <c r="P195" s="30"/>
      <c r="Q195" s="30"/>
      <c r="R195" s="30"/>
      <c r="S195" s="30"/>
      <c r="T195" s="30"/>
      <c r="U195" s="30"/>
      <c r="V195" s="30"/>
    </row>
    <row r="196" spans="1:22">
      <c r="A196" s="30"/>
      <c r="B196" s="30"/>
      <c r="C196" s="33" t="str">
        <f>IF(B196="","",IFERROR(INDEX('Master Database'!$D$5:$D$600,MATCH(B196,'Master Database'!$A$5:$A$600,0)),"(row not found)"))</f>
        <v/>
      </c>
      <c r="D196" s="33" t="str">
        <f>IF(B196="","",IFERROR(INDEX('Master Database'!$B$5:$B$600,MATCH(B196,'Master Database'!$A$5:$A$600,0)),"(row not found)"))</f>
        <v/>
      </c>
      <c r="E196" s="30"/>
      <c r="F196" s="33" t="str">
        <f>IF(E196="","",IFERROR(INDEX(Vendor_Register!$B$5:$B$205,MATCH(E196,Vendor_Register!$A$5:$A$205,0)),"(not in register)"))</f>
        <v/>
      </c>
      <c r="G196" s="33" t="str">
        <f>IF(E196="","",IFERROR(INDEX(Vendor_Register!$E$5:$E$205,MATCH(E196,Vendor_Register!$A$5:$A$205,0)),"(not in register)"))</f>
        <v/>
      </c>
      <c r="H196" s="30"/>
      <c r="I196" s="30"/>
      <c r="J196" s="30"/>
      <c r="K196" s="30"/>
      <c r="L196" s="30"/>
      <c r="M196" s="34"/>
      <c r="N196" s="30"/>
      <c r="O196" s="35" t="str">
        <f>IF(NOT(ISNUMBER(M196)),"",IFERROR(IF(L196="EUR",M196,IF(L196="IRR",M196/INDEX('Assumptions &amp; FX Reference'!$C$5:$C$25,MATCH(H196,'Assumptions &amp; FX Reference'!$A$5:$A$25,0)),IF(L196="USD",M196*INDEX('Assumptions &amp; FX Reference'!$B$5:$B$25,MATCH(H196,'Assumptions &amp; FX Reference'!$A$5:$A$25,0))/INDEX('Assumptions &amp; FX Reference'!$C$5:$C$25,MATCH(H196,'Assumptions &amp; FX Reference'!$A$5:$A$25,0)),""))),"(FX missing)"))</f>
        <v/>
      </c>
      <c r="P196" s="30"/>
      <c r="Q196" s="30"/>
      <c r="R196" s="30"/>
      <c r="S196" s="30"/>
      <c r="T196" s="30"/>
      <c r="U196" s="30"/>
      <c r="V196" s="30"/>
    </row>
    <row r="197" spans="1:22">
      <c r="A197" s="30"/>
      <c r="B197" s="30"/>
      <c r="C197" s="33" t="str">
        <f>IF(B197="","",IFERROR(INDEX('Master Database'!$D$5:$D$600,MATCH(B197,'Master Database'!$A$5:$A$600,0)),"(row not found)"))</f>
        <v/>
      </c>
      <c r="D197" s="33" t="str">
        <f>IF(B197="","",IFERROR(INDEX('Master Database'!$B$5:$B$600,MATCH(B197,'Master Database'!$A$5:$A$600,0)),"(row not found)"))</f>
        <v/>
      </c>
      <c r="E197" s="30"/>
      <c r="F197" s="33" t="str">
        <f>IF(E197="","",IFERROR(INDEX(Vendor_Register!$B$5:$B$205,MATCH(E197,Vendor_Register!$A$5:$A$205,0)),"(not in register)"))</f>
        <v/>
      </c>
      <c r="G197" s="33" t="str">
        <f>IF(E197="","",IFERROR(INDEX(Vendor_Register!$E$5:$E$205,MATCH(E197,Vendor_Register!$A$5:$A$205,0)),"(not in register)"))</f>
        <v/>
      </c>
      <c r="H197" s="30"/>
      <c r="I197" s="30"/>
      <c r="J197" s="30"/>
      <c r="K197" s="30"/>
      <c r="L197" s="30"/>
      <c r="M197" s="34"/>
      <c r="N197" s="30"/>
      <c r="O197" s="35" t="str">
        <f>IF(NOT(ISNUMBER(M197)),"",IFERROR(IF(L197="EUR",M197,IF(L197="IRR",M197/INDEX('Assumptions &amp; FX Reference'!$C$5:$C$25,MATCH(H197,'Assumptions &amp; FX Reference'!$A$5:$A$25,0)),IF(L197="USD",M197*INDEX('Assumptions &amp; FX Reference'!$B$5:$B$25,MATCH(H197,'Assumptions &amp; FX Reference'!$A$5:$A$25,0))/INDEX('Assumptions &amp; FX Reference'!$C$5:$C$25,MATCH(H197,'Assumptions &amp; FX Reference'!$A$5:$A$25,0)),""))),"(FX missing)"))</f>
        <v/>
      </c>
      <c r="P197" s="30"/>
      <c r="Q197" s="30"/>
      <c r="R197" s="30"/>
      <c r="S197" s="30"/>
      <c r="T197" s="30"/>
      <c r="U197" s="30"/>
      <c r="V197" s="30"/>
    </row>
    <row r="198" spans="1:22">
      <c r="A198" s="30"/>
      <c r="B198" s="30"/>
      <c r="C198" s="33" t="str">
        <f>IF(B198="","",IFERROR(INDEX('Master Database'!$D$5:$D$600,MATCH(B198,'Master Database'!$A$5:$A$600,0)),"(row not found)"))</f>
        <v/>
      </c>
      <c r="D198" s="33" t="str">
        <f>IF(B198="","",IFERROR(INDEX('Master Database'!$B$5:$B$600,MATCH(B198,'Master Database'!$A$5:$A$600,0)),"(row not found)"))</f>
        <v/>
      </c>
      <c r="E198" s="30"/>
      <c r="F198" s="33" t="str">
        <f>IF(E198="","",IFERROR(INDEX(Vendor_Register!$B$5:$B$205,MATCH(E198,Vendor_Register!$A$5:$A$205,0)),"(not in register)"))</f>
        <v/>
      </c>
      <c r="G198" s="33" t="str">
        <f>IF(E198="","",IFERROR(INDEX(Vendor_Register!$E$5:$E$205,MATCH(E198,Vendor_Register!$A$5:$A$205,0)),"(not in register)"))</f>
        <v/>
      </c>
      <c r="H198" s="30"/>
      <c r="I198" s="30"/>
      <c r="J198" s="30"/>
      <c r="K198" s="30"/>
      <c r="L198" s="30"/>
      <c r="M198" s="34"/>
      <c r="N198" s="30"/>
      <c r="O198" s="35" t="str">
        <f>IF(NOT(ISNUMBER(M198)),"",IFERROR(IF(L198="EUR",M198,IF(L198="IRR",M198/INDEX('Assumptions &amp; FX Reference'!$C$5:$C$25,MATCH(H198,'Assumptions &amp; FX Reference'!$A$5:$A$25,0)),IF(L198="USD",M198*INDEX('Assumptions &amp; FX Reference'!$B$5:$B$25,MATCH(H198,'Assumptions &amp; FX Reference'!$A$5:$A$25,0))/INDEX('Assumptions &amp; FX Reference'!$C$5:$C$25,MATCH(H198,'Assumptions &amp; FX Reference'!$A$5:$A$25,0)),""))),"(FX missing)"))</f>
        <v/>
      </c>
      <c r="P198" s="30"/>
      <c r="Q198" s="30"/>
      <c r="R198" s="30"/>
      <c r="S198" s="30"/>
      <c r="T198" s="30"/>
      <c r="U198" s="30"/>
      <c r="V198" s="30"/>
    </row>
    <row r="199" spans="1:22">
      <c r="A199" s="30"/>
      <c r="B199" s="30"/>
      <c r="C199" s="33" t="str">
        <f>IF(B199="","",IFERROR(INDEX('Master Database'!$D$5:$D$600,MATCH(B199,'Master Database'!$A$5:$A$600,0)),"(row not found)"))</f>
        <v/>
      </c>
      <c r="D199" s="33" t="str">
        <f>IF(B199="","",IFERROR(INDEX('Master Database'!$B$5:$B$600,MATCH(B199,'Master Database'!$A$5:$A$600,0)),"(row not found)"))</f>
        <v/>
      </c>
      <c r="E199" s="30"/>
      <c r="F199" s="33" t="str">
        <f>IF(E199="","",IFERROR(INDEX(Vendor_Register!$B$5:$B$205,MATCH(E199,Vendor_Register!$A$5:$A$205,0)),"(not in register)"))</f>
        <v/>
      </c>
      <c r="G199" s="33" t="str">
        <f>IF(E199="","",IFERROR(INDEX(Vendor_Register!$E$5:$E$205,MATCH(E199,Vendor_Register!$A$5:$A$205,0)),"(not in register)"))</f>
        <v/>
      </c>
      <c r="H199" s="30"/>
      <c r="I199" s="30"/>
      <c r="J199" s="30"/>
      <c r="K199" s="30"/>
      <c r="L199" s="30"/>
      <c r="M199" s="34"/>
      <c r="N199" s="30"/>
      <c r="O199" s="35" t="str">
        <f>IF(NOT(ISNUMBER(M199)),"",IFERROR(IF(L199="EUR",M199,IF(L199="IRR",M199/INDEX('Assumptions &amp; FX Reference'!$C$5:$C$25,MATCH(H199,'Assumptions &amp; FX Reference'!$A$5:$A$25,0)),IF(L199="USD",M199*INDEX('Assumptions &amp; FX Reference'!$B$5:$B$25,MATCH(H199,'Assumptions &amp; FX Reference'!$A$5:$A$25,0))/INDEX('Assumptions &amp; FX Reference'!$C$5:$C$25,MATCH(H199,'Assumptions &amp; FX Reference'!$A$5:$A$25,0)),""))),"(FX missing)"))</f>
        <v/>
      </c>
      <c r="P199" s="30"/>
      <c r="Q199" s="30"/>
      <c r="R199" s="30"/>
      <c r="S199" s="30"/>
      <c r="T199" s="30"/>
      <c r="U199" s="30"/>
      <c r="V199" s="30"/>
    </row>
    <row r="200" spans="1:22">
      <c r="A200" s="30"/>
      <c r="B200" s="30"/>
      <c r="C200" s="33" t="str">
        <f>IF(B200="","",IFERROR(INDEX('Master Database'!$D$5:$D$600,MATCH(B200,'Master Database'!$A$5:$A$600,0)),"(row not found)"))</f>
        <v/>
      </c>
      <c r="D200" s="33" t="str">
        <f>IF(B200="","",IFERROR(INDEX('Master Database'!$B$5:$B$600,MATCH(B200,'Master Database'!$A$5:$A$600,0)),"(row not found)"))</f>
        <v/>
      </c>
      <c r="E200" s="30"/>
      <c r="F200" s="33" t="str">
        <f>IF(E200="","",IFERROR(INDEX(Vendor_Register!$B$5:$B$205,MATCH(E200,Vendor_Register!$A$5:$A$205,0)),"(not in register)"))</f>
        <v/>
      </c>
      <c r="G200" s="33" t="str">
        <f>IF(E200="","",IFERROR(INDEX(Vendor_Register!$E$5:$E$205,MATCH(E200,Vendor_Register!$A$5:$A$205,0)),"(not in register)"))</f>
        <v/>
      </c>
      <c r="H200" s="30"/>
      <c r="I200" s="30"/>
      <c r="J200" s="30"/>
      <c r="K200" s="30"/>
      <c r="L200" s="30"/>
      <c r="M200" s="34"/>
      <c r="N200" s="30"/>
      <c r="O200" s="35" t="str">
        <f>IF(NOT(ISNUMBER(M200)),"",IFERROR(IF(L200="EUR",M200,IF(L200="IRR",M200/INDEX('Assumptions &amp; FX Reference'!$C$5:$C$25,MATCH(H200,'Assumptions &amp; FX Reference'!$A$5:$A$25,0)),IF(L200="USD",M200*INDEX('Assumptions &amp; FX Reference'!$B$5:$B$25,MATCH(H200,'Assumptions &amp; FX Reference'!$A$5:$A$25,0))/INDEX('Assumptions &amp; FX Reference'!$C$5:$C$25,MATCH(H200,'Assumptions &amp; FX Reference'!$A$5:$A$25,0)),""))),"(FX missing)"))</f>
        <v/>
      </c>
      <c r="P200" s="30"/>
      <c r="Q200" s="30"/>
      <c r="R200" s="30"/>
      <c r="S200" s="30"/>
      <c r="T200" s="30"/>
      <c r="U200" s="30"/>
      <c r="V200" s="30"/>
    </row>
    <row r="201" spans="1:22">
      <c r="A201" s="30"/>
      <c r="B201" s="30"/>
      <c r="C201" s="33" t="str">
        <f>IF(B201="","",IFERROR(INDEX('Master Database'!$D$5:$D$600,MATCH(B201,'Master Database'!$A$5:$A$600,0)),"(row not found)"))</f>
        <v/>
      </c>
      <c r="D201" s="33" t="str">
        <f>IF(B201="","",IFERROR(INDEX('Master Database'!$B$5:$B$600,MATCH(B201,'Master Database'!$A$5:$A$600,0)),"(row not found)"))</f>
        <v/>
      </c>
      <c r="E201" s="30"/>
      <c r="F201" s="33" t="str">
        <f>IF(E201="","",IFERROR(INDEX(Vendor_Register!$B$5:$B$205,MATCH(E201,Vendor_Register!$A$5:$A$205,0)),"(not in register)"))</f>
        <v/>
      </c>
      <c r="G201" s="33" t="str">
        <f>IF(E201="","",IFERROR(INDEX(Vendor_Register!$E$5:$E$205,MATCH(E201,Vendor_Register!$A$5:$A$205,0)),"(not in register)"))</f>
        <v/>
      </c>
      <c r="H201" s="30"/>
      <c r="I201" s="30"/>
      <c r="J201" s="30"/>
      <c r="K201" s="30"/>
      <c r="L201" s="30"/>
      <c r="M201" s="34"/>
      <c r="N201" s="30"/>
      <c r="O201" s="35" t="str">
        <f>IF(NOT(ISNUMBER(M201)),"",IFERROR(IF(L201="EUR",M201,IF(L201="IRR",M201/INDEX('Assumptions &amp; FX Reference'!$C$5:$C$25,MATCH(H201,'Assumptions &amp; FX Reference'!$A$5:$A$25,0)),IF(L201="USD",M201*INDEX('Assumptions &amp; FX Reference'!$B$5:$B$25,MATCH(H201,'Assumptions &amp; FX Reference'!$A$5:$A$25,0))/INDEX('Assumptions &amp; FX Reference'!$C$5:$C$25,MATCH(H201,'Assumptions &amp; FX Reference'!$A$5:$A$25,0)),""))),"(FX missing)"))</f>
        <v/>
      </c>
      <c r="P201" s="30"/>
      <c r="Q201" s="30"/>
      <c r="R201" s="30"/>
      <c r="S201" s="30"/>
      <c r="T201" s="30"/>
      <c r="U201" s="30"/>
      <c r="V201" s="30"/>
    </row>
    <row r="202" spans="1:22">
      <c r="A202" s="30"/>
      <c r="B202" s="30"/>
      <c r="C202" s="33" t="str">
        <f>IF(B202="","",IFERROR(INDEX('Master Database'!$D$5:$D$600,MATCH(B202,'Master Database'!$A$5:$A$600,0)),"(row not found)"))</f>
        <v/>
      </c>
      <c r="D202" s="33" t="str">
        <f>IF(B202="","",IFERROR(INDEX('Master Database'!$B$5:$B$600,MATCH(B202,'Master Database'!$A$5:$A$600,0)),"(row not found)"))</f>
        <v/>
      </c>
      <c r="E202" s="30"/>
      <c r="F202" s="33" t="str">
        <f>IF(E202="","",IFERROR(INDEX(Vendor_Register!$B$5:$B$205,MATCH(E202,Vendor_Register!$A$5:$A$205,0)),"(not in register)"))</f>
        <v/>
      </c>
      <c r="G202" s="33" t="str">
        <f>IF(E202="","",IFERROR(INDEX(Vendor_Register!$E$5:$E$205,MATCH(E202,Vendor_Register!$A$5:$A$205,0)),"(not in register)"))</f>
        <v/>
      </c>
      <c r="H202" s="30"/>
      <c r="I202" s="30"/>
      <c r="J202" s="30"/>
      <c r="K202" s="30"/>
      <c r="L202" s="30"/>
      <c r="M202" s="34"/>
      <c r="N202" s="30"/>
      <c r="O202" s="35" t="str">
        <f>IF(NOT(ISNUMBER(M202)),"",IFERROR(IF(L202="EUR",M202,IF(L202="IRR",M202/INDEX('Assumptions &amp; FX Reference'!$C$5:$C$25,MATCH(H202,'Assumptions &amp; FX Reference'!$A$5:$A$25,0)),IF(L202="USD",M202*INDEX('Assumptions &amp; FX Reference'!$B$5:$B$25,MATCH(H202,'Assumptions &amp; FX Reference'!$A$5:$A$25,0))/INDEX('Assumptions &amp; FX Reference'!$C$5:$C$25,MATCH(H202,'Assumptions &amp; FX Reference'!$A$5:$A$25,0)),""))),"(FX missing)"))</f>
        <v/>
      </c>
      <c r="P202" s="30"/>
      <c r="Q202" s="30"/>
      <c r="R202" s="30"/>
      <c r="S202" s="30"/>
      <c r="T202" s="30"/>
      <c r="U202" s="30"/>
      <c r="V202" s="30"/>
    </row>
    <row r="203" spans="1:22">
      <c r="A203" s="30"/>
      <c r="B203" s="30"/>
      <c r="C203" s="33" t="str">
        <f>IF(B203="","",IFERROR(INDEX('Master Database'!$D$5:$D$600,MATCH(B203,'Master Database'!$A$5:$A$600,0)),"(row not found)"))</f>
        <v/>
      </c>
      <c r="D203" s="33" t="str">
        <f>IF(B203="","",IFERROR(INDEX('Master Database'!$B$5:$B$600,MATCH(B203,'Master Database'!$A$5:$A$600,0)),"(row not found)"))</f>
        <v/>
      </c>
      <c r="E203" s="30"/>
      <c r="F203" s="33" t="str">
        <f>IF(E203="","",IFERROR(INDEX(Vendor_Register!$B$5:$B$205,MATCH(E203,Vendor_Register!$A$5:$A$205,0)),"(not in register)"))</f>
        <v/>
      </c>
      <c r="G203" s="33" t="str">
        <f>IF(E203="","",IFERROR(INDEX(Vendor_Register!$E$5:$E$205,MATCH(E203,Vendor_Register!$A$5:$A$205,0)),"(not in register)"))</f>
        <v/>
      </c>
      <c r="H203" s="30"/>
      <c r="I203" s="30"/>
      <c r="J203" s="30"/>
      <c r="K203" s="30"/>
      <c r="L203" s="30"/>
      <c r="M203" s="34"/>
      <c r="N203" s="30"/>
      <c r="O203" s="35" t="str">
        <f>IF(NOT(ISNUMBER(M203)),"",IFERROR(IF(L203="EUR",M203,IF(L203="IRR",M203/INDEX('Assumptions &amp; FX Reference'!$C$5:$C$25,MATCH(H203,'Assumptions &amp; FX Reference'!$A$5:$A$25,0)),IF(L203="USD",M203*INDEX('Assumptions &amp; FX Reference'!$B$5:$B$25,MATCH(H203,'Assumptions &amp; FX Reference'!$A$5:$A$25,0))/INDEX('Assumptions &amp; FX Reference'!$C$5:$C$25,MATCH(H203,'Assumptions &amp; FX Reference'!$A$5:$A$25,0)),""))),"(FX missing)"))</f>
        <v/>
      </c>
      <c r="P203" s="30"/>
      <c r="Q203" s="30"/>
      <c r="R203" s="30"/>
      <c r="S203" s="30"/>
      <c r="T203" s="30"/>
      <c r="U203" s="30"/>
      <c r="V203" s="30"/>
    </row>
    <row r="204" spans="1:22">
      <c r="A204" s="30"/>
      <c r="B204" s="30"/>
      <c r="C204" s="33" t="str">
        <f>IF(B204="","",IFERROR(INDEX('Master Database'!$D$5:$D$600,MATCH(B204,'Master Database'!$A$5:$A$600,0)),"(row not found)"))</f>
        <v/>
      </c>
      <c r="D204" s="33" t="str">
        <f>IF(B204="","",IFERROR(INDEX('Master Database'!$B$5:$B$600,MATCH(B204,'Master Database'!$A$5:$A$600,0)),"(row not found)"))</f>
        <v/>
      </c>
      <c r="E204" s="30"/>
      <c r="F204" s="33" t="str">
        <f>IF(E204="","",IFERROR(INDEX(Vendor_Register!$B$5:$B$205,MATCH(E204,Vendor_Register!$A$5:$A$205,0)),"(not in register)"))</f>
        <v/>
      </c>
      <c r="G204" s="33" t="str">
        <f>IF(E204="","",IFERROR(INDEX(Vendor_Register!$E$5:$E$205,MATCH(E204,Vendor_Register!$A$5:$A$205,0)),"(not in register)"))</f>
        <v/>
      </c>
      <c r="H204" s="30"/>
      <c r="I204" s="30"/>
      <c r="J204" s="30"/>
      <c r="K204" s="30"/>
      <c r="L204" s="30"/>
      <c r="M204" s="34"/>
      <c r="N204" s="30"/>
      <c r="O204" s="35" t="str">
        <f>IF(NOT(ISNUMBER(M204)),"",IFERROR(IF(L204="EUR",M204,IF(L204="IRR",M204/INDEX('Assumptions &amp; FX Reference'!$C$5:$C$25,MATCH(H204,'Assumptions &amp; FX Reference'!$A$5:$A$25,0)),IF(L204="USD",M204*INDEX('Assumptions &amp; FX Reference'!$B$5:$B$25,MATCH(H204,'Assumptions &amp; FX Reference'!$A$5:$A$25,0))/INDEX('Assumptions &amp; FX Reference'!$C$5:$C$25,MATCH(H204,'Assumptions &amp; FX Reference'!$A$5:$A$25,0)),""))),"(FX missing)"))</f>
        <v/>
      </c>
      <c r="P204" s="30"/>
      <c r="Q204" s="30"/>
      <c r="R204" s="30"/>
      <c r="S204" s="30"/>
      <c r="T204" s="30"/>
      <c r="U204" s="30"/>
      <c r="V204" s="30"/>
    </row>
    <row r="205" spans="1:22">
      <c r="A205" s="30"/>
      <c r="B205" s="30"/>
      <c r="C205" s="33" t="str">
        <f>IF(B205="","",IFERROR(INDEX('Master Database'!$D$5:$D$600,MATCH(B205,'Master Database'!$A$5:$A$600,0)),"(row not found)"))</f>
        <v/>
      </c>
      <c r="D205" s="33" t="str">
        <f>IF(B205="","",IFERROR(INDEX('Master Database'!$B$5:$B$600,MATCH(B205,'Master Database'!$A$5:$A$600,0)),"(row not found)"))</f>
        <v/>
      </c>
      <c r="E205" s="30"/>
      <c r="F205" s="33" t="str">
        <f>IF(E205="","",IFERROR(INDEX(Vendor_Register!$B$5:$B$205,MATCH(E205,Vendor_Register!$A$5:$A$205,0)),"(not in register)"))</f>
        <v/>
      </c>
      <c r="G205" s="33" t="str">
        <f>IF(E205="","",IFERROR(INDEX(Vendor_Register!$E$5:$E$205,MATCH(E205,Vendor_Register!$A$5:$A$205,0)),"(not in register)"))</f>
        <v/>
      </c>
      <c r="H205" s="30"/>
      <c r="I205" s="30"/>
      <c r="J205" s="30"/>
      <c r="K205" s="30"/>
      <c r="L205" s="30"/>
      <c r="M205" s="34"/>
      <c r="N205" s="30"/>
      <c r="O205" s="35" t="str">
        <f>IF(NOT(ISNUMBER(M205)),"",IFERROR(IF(L205="EUR",M205,IF(L205="IRR",M205/INDEX('Assumptions &amp; FX Reference'!$C$5:$C$25,MATCH(H205,'Assumptions &amp; FX Reference'!$A$5:$A$25,0)),IF(L205="USD",M205*INDEX('Assumptions &amp; FX Reference'!$B$5:$B$25,MATCH(H205,'Assumptions &amp; FX Reference'!$A$5:$A$25,0))/INDEX('Assumptions &amp; FX Reference'!$C$5:$C$25,MATCH(H205,'Assumptions &amp; FX Reference'!$A$5:$A$25,0)),""))),"(FX missing)"))</f>
        <v/>
      </c>
      <c r="P205" s="30"/>
      <c r="Q205" s="30"/>
      <c r="R205" s="30"/>
      <c r="S205" s="30"/>
      <c r="T205" s="30"/>
      <c r="U205" s="30"/>
      <c r="V205" s="30"/>
    </row>
    <row r="206" spans="1:22">
      <c r="A206" s="30"/>
      <c r="B206" s="30"/>
      <c r="C206" s="33" t="str">
        <f>IF(B206="","",IFERROR(INDEX('Master Database'!$D$5:$D$600,MATCH(B206,'Master Database'!$A$5:$A$600,0)),"(row not found)"))</f>
        <v/>
      </c>
      <c r="D206" s="33" t="str">
        <f>IF(B206="","",IFERROR(INDEX('Master Database'!$B$5:$B$600,MATCH(B206,'Master Database'!$A$5:$A$600,0)),"(row not found)"))</f>
        <v/>
      </c>
      <c r="E206" s="30"/>
      <c r="F206" s="33" t="str">
        <f>IF(E206="","",IFERROR(INDEX(Vendor_Register!$B$5:$B$205,MATCH(E206,Vendor_Register!$A$5:$A$205,0)),"(not in register)"))</f>
        <v/>
      </c>
      <c r="G206" s="33" t="str">
        <f>IF(E206="","",IFERROR(INDEX(Vendor_Register!$E$5:$E$205,MATCH(E206,Vendor_Register!$A$5:$A$205,0)),"(not in register)"))</f>
        <v/>
      </c>
      <c r="H206" s="30"/>
      <c r="I206" s="30"/>
      <c r="J206" s="30"/>
      <c r="K206" s="30"/>
      <c r="L206" s="30"/>
      <c r="M206" s="34"/>
      <c r="N206" s="30"/>
      <c r="O206" s="35" t="str">
        <f>IF(NOT(ISNUMBER(M206)),"",IFERROR(IF(L206="EUR",M206,IF(L206="IRR",M206/INDEX('Assumptions &amp; FX Reference'!$C$5:$C$25,MATCH(H206,'Assumptions &amp; FX Reference'!$A$5:$A$25,0)),IF(L206="USD",M206*INDEX('Assumptions &amp; FX Reference'!$B$5:$B$25,MATCH(H206,'Assumptions &amp; FX Reference'!$A$5:$A$25,0))/INDEX('Assumptions &amp; FX Reference'!$C$5:$C$25,MATCH(H206,'Assumptions &amp; FX Reference'!$A$5:$A$25,0)),""))),"(FX missing)"))</f>
        <v/>
      </c>
      <c r="P206" s="30"/>
      <c r="Q206" s="30"/>
      <c r="R206" s="30"/>
      <c r="S206" s="30"/>
      <c r="T206" s="30"/>
      <c r="U206" s="30"/>
      <c r="V206" s="30"/>
    </row>
    <row r="207" spans="1:22">
      <c r="A207" s="30"/>
      <c r="B207" s="30"/>
      <c r="C207" s="33" t="str">
        <f>IF(B207="","",IFERROR(INDEX('Master Database'!$D$5:$D$600,MATCH(B207,'Master Database'!$A$5:$A$600,0)),"(row not found)"))</f>
        <v/>
      </c>
      <c r="D207" s="33" t="str">
        <f>IF(B207="","",IFERROR(INDEX('Master Database'!$B$5:$B$600,MATCH(B207,'Master Database'!$A$5:$A$600,0)),"(row not found)"))</f>
        <v/>
      </c>
      <c r="E207" s="30"/>
      <c r="F207" s="33" t="str">
        <f>IF(E207="","",IFERROR(INDEX(Vendor_Register!$B$5:$B$205,MATCH(E207,Vendor_Register!$A$5:$A$205,0)),"(not in register)"))</f>
        <v/>
      </c>
      <c r="G207" s="33" t="str">
        <f>IF(E207="","",IFERROR(INDEX(Vendor_Register!$E$5:$E$205,MATCH(E207,Vendor_Register!$A$5:$A$205,0)),"(not in register)"))</f>
        <v/>
      </c>
      <c r="H207" s="30"/>
      <c r="I207" s="30"/>
      <c r="J207" s="30"/>
      <c r="K207" s="30"/>
      <c r="L207" s="30"/>
      <c r="M207" s="34"/>
      <c r="N207" s="30"/>
      <c r="O207" s="35" t="str">
        <f>IF(NOT(ISNUMBER(M207)),"",IFERROR(IF(L207="EUR",M207,IF(L207="IRR",M207/INDEX('Assumptions &amp; FX Reference'!$C$5:$C$25,MATCH(H207,'Assumptions &amp; FX Reference'!$A$5:$A$25,0)),IF(L207="USD",M207*INDEX('Assumptions &amp; FX Reference'!$B$5:$B$25,MATCH(H207,'Assumptions &amp; FX Reference'!$A$5:$A$25,0))/INDEX('Assumptions &amp; FX Reference'!$C$5:$C$25,MATCH(H207,'Assumptions &amp; FX Reference'!$A$5:$A$25,0)),""))),"(FX missing)"))</f>
        <v/>
      </c>
      <c r="P207" s="30"/>
      <c r="Q207" s="30"/>
      <c r="R207" s="30"/>
      <c r="S207" s="30"/>
      <c r="T207" s="30"/>
      <c r="U207" s="30"/>
      <c r="V207" s="30"/>
    </row>
    <row r="208" spans="1:22">
      <c r="A208" s="30"/>
      <c r="B208" s="30"/>
      <c r="C208" s="33" t="str">
        <f>IF(B208="","",IFERROR(INDEX('Master Database'!$D$5:$D$600,MATCH(B208,'Master Database'!$A$5:$A$600,0)),"(row not found)"))</f>
        <v/>
      </c>
      <c r="D208" s="33" t="str">
        <f>IF(B208="","",IFERROR(INDEX('Master Database'!$B$5:$B$600,MATCH(B208,'Master Database'!$A$5:$A$600,0)),"(row not found)"))</f>
        <v/>
      </c>
      <c r="E208" s="30"/>
      <c r="F208" s="33" t="str">
        <f>IF(E208="","",IFERROR(INDEX(Vendor_Register!$B$5:$B$205,MATCH(E208,Vendor_Register!$A$5:$A$205,0)),"(not in register)"))</f>
        <v/>
      </c>
      <c r="G208" s="33" t="str">
        <f>IF(E208="","",IFERROR(INDEX(Vendor_Register!$E$5:$E$205,MATCH(E208,Vendor_Register!$A$5:$A$205,0)),"(not in register)"))</f>
        <v/>
      </c>
      <c r="H208" s="30"/>
      <c r="I208" s="30"/>
      <c r="J208" s="30"/>
      <c r="K208" s="30"/>
      <c r="L208" s="30"/>
      <c r="M208" s="34"/>
      <c r="N208" s="30"/>
      <c r="O208" s="35" t="str">
        <f>IF(NOT(ISNUMBER(M208)),"",IFERROR(IF(L208="EUR",M208,IF(L208="IRR",M208/INDEX('Assumptions &amp; FX Reference'!$C$5:$C$25,MATCH(H208,'Assumptions &amp; FX Reference'!$A$5:$A$25,0)),IF(L208="USD",M208*INDEX('Assumptions &amp; FX Reference'!$B$5:$B$25,MATCH(H208,'Assumptions &amp; FX Reference'!$A$5:$A$25,0))/INDEX('Assumptions &amp; FX Reference'!$C$5:$C$25,MATCH(H208,'Assumptions &amp; FX Reference'!$A$5:$A$25,0)),""))),"(FX missing)"))</f>
        <v/>
      </c>
      <c r="P208" s="30"/>
      <c r="Q208" s="30"/>
      <c r="R208" s="30"/>
      <c r="S208" s="30"/>
      <c r="T208" s="30"/>
      <c r="U208" s="30"/>
      <c r="V208" s="30"/>
    </row>
    <row r="209" spans="1:22">
      <c r="A209" s="30"/>
      <c r="B209" s="30"/>
      <c r="C209" s="33" t="str">
        <f>IF(B209="","",IFERROR(INDEX('Master Database'!$D$5:$D$600,MATCH(B209,'Master Database'!$A$5:$A$600,0)),"(row not found)"))</f>
        <v/>
      </c>
      <c r="D209" s="33" t="str">
        <f>IF(B209="","",IFERROR(INDEX('Master Database'!$B$5:$B$600,MATCH(B209,'Master Database'!$A$5:$A$600,0)),"(row not found)"))</f>
        <v/>
      </c>
      <c r="E209" s="30"/>
      <c r="F209" s="33" t="str">
        <f>IF(E209="","",IFERROR(INDEX(Vendor_Register!$B$5:$B$205,MATCH(E209,Vendor_Register!$A$5:$A$205,0)),"(not in register)"))</f>
        <v/>
      </c>
      <c r="G209" s="33" t="str">
        <f>IF(E209="","",IFERROR(INDEX(Vendor_Register!$E$5:$E$205,MATCH(E209,Vendor_Register!$A$5:$A$205,0)),"(not in register)"))</f>
        <v/>
      </c>
      <c r="H209" s="30"/>
      <c r="I209" s="30"/>
      <c r="J209" s="30"/>
      <c r="K209" s="30"/>
      <c r="L209" s="30"/>
      <c r="M209" s="34"/>
      <c r="N209" s="30"/>
      <c r="O209" s="35" t="str">
        <f>IF(NOT(ISNUMBER(M209)),"",IFERROR(IF(L209="EUR",M209,IF(L209="IRR",M209/INDEX('Assumptions &amp; FX Reference'!$C$5:$C$25,MATCH(H209,'Assumptions &amp; FX Reference'!$A$5:$A$25,0)),IF(L209="USD",M209*INDEX('Assumptions &amp; FX Reference'!$B$5:$B$25,MATCH(H209,'Assumptions &amp; FX Reference'!$A$5:$A$25,0))/INDEX('Assumptions &amp; FX Reference'!$C$5:$C$25,MATCH(H209,'Assumptions &amp; FX Reference'!$A$5:$A$25,0)),""))),"(FX missing)"))</f>
        <v/>
      </c>
      <c r="P209" s="30"/>
      <c r="Q209" s="30"/>
      <c r="R209" s="30"/>
      <c r="S209" s="30"/>
      <c r="T209" s="30"/>
      <c r="U209" s="30"/>
      <c r="V209" s="30"/>
    </row>
    <row r="210" spans="1:22">
      <c r="A210" s="30"/>
      <c r="B210" s="30"/>
      <c r="C210" s="33" t="str">
        <f>IF(B210="","",IFERROR(INDEX('Master Database'!$D$5:$D$600,MATCH(B210,'Master Database'!$A$5:$A$600,0)),"(row not found)"))</f>
        <v/>
      </c>
      <c r="D210" s="33" t="str">
        <f>IF(B210="","",IFERROR(INDEX('Master Database'!$B$5:$B$600,MATCH(B210,'Master Database'!$A$5:$A$600,0)),"(row not found)"))</f>
        <v/>
      </c>
      <c r="E210" s="30"/>
      <c r="F210" s="33" t="str">
        <f>IF(E210="","",IFERROR(INDEX(Vendor_Register!$B$5:$B$205,MATCH(E210,Vendor_Register!$A$5:$A$205,0)),"(not in register)"))</f>
        <v/>
      </c>
      <c r="G210" s="33" t="str">
        <f>IF(E210="","",IFERROR(INDEX(Vendor_Register!$E$5:$E$205,MATCH(E210,Vendor_Register!$A$5:$A$205,0)),"(not in register)"))</f>
        <v/>
      </c>
      <c r="H210" s="30"/>
      <c r="I210" s="30"/>
      <c r="J210" s="30"/>
      <c r="K210" s="30"/>
      <c r="L210" s="30"/>
      <c r="M210" s="34"/>
      <c r="N210" s="30"/>
      <c r="O210" s="35" t="str">
        <f>IF(NOT(ISNUMBER(M210)),"",IFERROR(IF(L210="EUR",M210,IF(L210="IRR",M210/INDEX('Assumptions &amp; FX Reference'!$C$5:$C$25,MATCH(H210,'Assumptions &amp; FX Reference'!$A$5:$A$25,0)),IF(L210="USD",M210*INDEX('Assumptions &amp; FX Reference'!$B$5:$B$25,MATCH(H210,'Assumptions &amp; FX Reference'!$A$5:$A$25,0))/INDEX('Assumptions &amp; FX Reference'!$C$5:$C$25,MATCH(H210,'Assumptions &amp; FX Reference'!$A$5:$A$25,0)),""))),"(FX missing)"))</f>
        <v/>
      </c>
      <c r="P210" s="30"/>
      <c r="Q210" s="30"/>
      <c r="R210" s="30"/>
      <c r="S210" s="30"/>
      <c r="T210" s="30"/>
      <c r="U210" s="30"/>
      <c r="V210" s="30"/>
    </row>
    <row r="211" spans="1:22">
      <c r="A211" s="30"/>
      <c r="B211" s="30"/>
      <c r="C211" s="33" t="str">
        <f>IF(B211="","",IFERROR(INDEX('Master Database'!$D$5:$D$600,MATCH(B211,'Master Database'!$A$5:$A$600,0)),"(row not found)"))</f>
        <v/>
      </c>
      <c r="D211" s="33" t="str">
        <f>IF(B211="","",IFERROR(INDEX('Master Database'!$B$5:$B$600,MATCH(B211,'Master Database'!$A$5:$A$600,0)),"(row not found)"))</f>
        <v/>
      </c>
      <c r="E211" s="30"/>
      <c r="F211" s="33" t="str">
        <f>IF(E211="","",IFERROR(INDEX(Vendor_Register!$B$5:$B$205,MATCH(E211,Vendor_Register!$A$5:$A$205,0)),"(not in register)"))</f>
        <v/>
      </c>
      <c r="G211" s="33" t="str">
        <f>IF(E211="","",IFERROR(INDEX(Vendor_Register!$E$5:$E$205,MATCH(E211,Vendor_Register!$A$5:$A$205,0)),"(not in register)"))</f>
        <v/>
      </c>
      <c r="H211" s="30"/>
      <c r="I211" s="30"/>
      <c r="J211" s="30"/>
      <c r="K211" s="30"/>
      <c r="L211" s="30"/>
      <c r="M211" s="34"/>
      <c r="N211" s="30"/>
      <c r="O211" s="35" t="str">
        <f>IF(NOT(ISNUMBER(M211)),"",IFERROR(IF(L211="EUR",M211,IF(L211="IRR",M211/INDEX('Assumptions &amp; FX Reference'!$C$5:$C$25,MATCH(H211,'Assumptions &amp; FX Reference'!$A$5:$A$25,0)),IF(L211="USD",M211*INDEX('Assumptions &amp; FX Reference'!$B$5:$B$25,MATCH(H211,'Assumptions &amp; FX Reference'!$A$5:$A$25,0))/INDEX('Assumptions &amp; FX Reference'!$C$5:$C$25,MATCH(H211,'Assumptions &amp; FX Reference'!$A$5:$A$25,0)),""))),"(FX missing)"))</f>
        <v/>
      </c>
      <c r="P211" s="30"/>
      <c r="Q211" s="30"/>
      <c r="R211" s="30"/>
      <c r="S211" s="30"/>
      <c r="T211" s="30"/>
      <c r="U211" s="30"/>
      <c r="V211" s="30"/>
    </row>
    <row r="212" spans="1:22">
      <c r="A212" s="30"/>
      <c r="B212" s="30"/>
      <c r="C212" s="33" t="str">
        <f>IF(B212="","",IFERROR(INDEX('Master Database'!$D$5:$D$600,MATCH(B212,'Master Database'!$A$5:$A$600,0)),"(row not found)"))</f>
        <v/>
      </c>
      <c r="D212" s="33" t="str">
        <f>IF(B212="","",IFERROR(INDEX('Master Database'!$B$5:$B$600,MATCH(B212,'Master Database'!$A$5:$A$600,0)),"(row not found)"))</f>
        <v/>
      </c>
      <c r="E212" s="30"/>
      <c r="F212" s="33" t="str">
        <f>IF(E212="","",IFERROR(INDEX(Vendor_Register!$B$5:$B$205,MATCH(E212,Vendor_Register!$A$5:$A$205,0)),"(not in register)"))</f>
        <v/>
      </c>
      <c r="G212" s="33" t="str">
        <f>IF(E212="","",IFERROR(INDEX(Vendor_Register!$E$5:$E$205,MATCH(E212,Vendor_Register!$A$5:$A$205,0)),"(not in register)"))</f>
        <v/>
      </c>
      <c r="H212" s="30"/>
      <c r="I212" s="30"/>
      <c r="J212" s="30"/>
      <c r="K212" s="30"/>
      <c r="L212" s="30"/>
      <c r="M212" s="34"/>
      <c r="N212" s="30"/>
      <c r="O212" s="35" t="str">
        <f>IF(NOT(ISNUMBER(M212)),"",IFERROR(IF(L212="EUR",M212,IF(L212="IRR",M212/INDEX('Assumptions &amp; FX Reference'!$C$5:$C$25,MATCH(H212,'Assumptions &amp; FX Reference'!$A$5:$A$25,0)),IF(L212="USD",M212*INDEX('Assumptions &amp; FX Reference'!$B$5:$B$25,MATCH(H212,'Assumptions &amp; FX Reference'!$A$5:$A$25,0))/INDEX('Assumptions &amp; FX Reference'!$C$5:$C$25,MATCH(H212,'Assumptions &amp; FX Reference'!$A$5:$A$25,0)),""))),"(FX missing)"))</f>
        <v/>
      </c>
      <c r="P212" s="30"/>
      <c r="Q212" s="30"/>
      <c r="R212" s="30"/>
      <c r="S212" s="30"/>
      <c r="T212" s="30"/>
      <c r="U212" s="30"/>
      <c r="V212" s="30"/>
    </row>
    <row r="213" spans="1:22">
      <c r="A213" s="30"/>
      <c r="B213" s="30"/>
      <c r="C213" s="33" t="str">
        <f>IF(B213="","",IFERROR(INDEX('Master Database'!$D$5:$D$600,MATCH(B213,'Master Database'!$A$5:$A$600,0)),"(row not found)"))</f>
        <v/>
      </c>
      <c r="D213" s="33" t="str">
        <f>IF(B213="","",IFERROR(INDEX('Master Database'!$B$5:$B$600,MATCH(B213,'Master Database'!$A$5:$A$600,0)),"(row not found)"))</f>
        <v/>
      </c>
      <c r="E213" s="30"/>
      <c r="F213" s="33" t="str">
        <f>IF(E213="","",IFERROR(INDEX(Vendor_Register!$B$5:$B$205,MATCH(E213,Vendor_Register!$A$5:$A$205,0)),"(not in register)"))</f>
        <v/>
      </c>
      <c r="G213" s="33" t="str">
        <f>IF(E213="","",IFERROR(INDEX(Vendor_Register!$E$5:$E$205,MATCH(E213,Vendor_Register!$A$5:$A$205,0)),"(not in register)"))</f>
        <v/>
      </c>
      <c r="H213" s="30"/>
      <c r="I213" s="30"/>
      <c r="J213" s="30"/>
      <c r="K213" s="30"/>
      <c r="L213" s="30"/>
      <c r="M213" s="34"/>
      <c r="N213" s="30"/>
      <c r="O213" s="35" t="str">
        <f>IF(NOT(ISNUMBER(M213)),"",IFERROR(IF(L213="EUR",M213,IF(L213="IRR",M213/INDEX('Assumptions &amp; FX Reference'!$C$5:$C$25,MATCH(H213,'Assumptions &amp; FX Reference'!$A$5:$A$25,0)),IF(L213="USD",M213*INDEX('Assumptions &amp; FX Reference'!$B$5:$B$25,MATCH(H213,'Assumptions &amp; FX Reference'!$A$5:$A$25,0))/INDEX('Assumptions &amp; FX Reference'!$C$5:$C$25,MATCH(H213,'Assumptions &amp; FX Reference'!$A$5:$A$25,0)),""))),"(FX missing)"))</f>
        <v/>
      </c>
      <c r="P213" s="30"/>
      <c r="Q213" s="30"/>
      <c r="R213" s="30"/>
      <c r="S213" s="30"/>
      <c r="T213" s="30"/>
      <c r="U213" s="30"/>
      <c r="V213" s="30"/>
    </row>
    <row r="214" spans="1:22">
      <c r="A214" s="30"/>
      <c r="B214" s="30"/>
      <c r="C214" s="33" t="str">
        <f>IF(B214="","",IFERROR(INDEX('Master Database'!$D$5:$D$600,MATCH(B214,'Master Database'!$A$5:$A$600,0)),"(row not found)"))</f>
        <v/>
      </c>
      <c r="D214" s="33" t="str">
        <f>IF(B214="","",IFERROR(INDEX('Master Database'!$B$5:$B$600,MATCH(B214,'Master Database'!$A$5:$A$600,0)),"(row not found)"))</f>
        <v/>
      </c>
      <c r="E214" s="30"/>
      <c r="F214" s="33" t="str">
        <f>IF(E214="","",IFERROR(INDEX(Vendor_Register!$B$5:$B$205,MATCH(E214,Vendor_Register!$A$5:$A$205,0)),"(not in register)"))</f>
        <v/>
      </c>
      <c r="G214" s="33" t="str">
        <f>IF(E214="","",IFERROR(INDEX(Vendor_Register!$E$5:$E$205,MATCH(E214,Vendor_Register!$A$5:$A$205,0)),"(not in register)"))</f>
        <v/>
      </c>
      <c r="H214" s="30"/>
      <c r="I214" s="30"/>
      <c r="J214" s="30"/>
      <c r="K214" s="30"/>
      <c r="L214" s="30"/>
      <c r="M214" s="34"/>
      <c r="N214" s="30"/>
      <c r="O214" s="35" t="str">
        <f>IF(NOT(ISNUMBER(M214)),"",IFERROR(IF(L214="EUR",M214,IF(L214="IRR",M214/INDEX('Assumptions &amp; FX Reference'!$C$5:$C$25,MATCH(H214,'Assumptions &amp; FX Reference'!$A$5:$A$25,0)),IF(L214="USD",M214*INDEX('Assumptions &amp; FX Reference'!$B$5:$B$25,MATCH(H214,'Assumptions &amp; FX Reference'!$A$5:$A$25,0))/INDEX('Assumptions &amp; FX Reference'!$C$5:$C$25,MATCH(H214,'Assumptions &amp; FX Reference'!$A$5:$A$25,0)),""))),"(FX missing)"))</f>
        <v/>
      </c>
      <c r="P214" s="30"/>
      <c r="Q214" s="30"/>
      <c r="R214" s="30"/>
      <c r="S214" s="30"/>
      <c r="T214" s="30"/>
      <c r="U214" s="30"/>
      <c r="V214" s="30"/>
    </row>
    <row r="215" spans="1:22">
      <c r="A215" s="30"/>
      <c r="B215" s="30"/>
      <c r="C215" s="33" t="str">
        <f>IF(B215="","",IFERROR(INDEX('Master Database'!$D$5:$D$600,MATCH(B215,'Master Database'!$A$5:$A$600,0)),"(row not found)"))</f>
        <v/>
      </c>
      <c r="D215" s="33" t="str">
        <f>IF(B215="","",IFERROR(INDEX('Master Database'!$B$5:$B$600,MATCH(B215,'Master Database'!$A$5:$A$600,0)),"(row not found)"))</f>
        <v/>
      </c>
      <c r="E215" s="30"/>
      <c r="F215" s="33" t="str">
        <f>IF(E215="","",IFERROR(INDEX(Vendor_Register!$B$5:$B$205,MATCH(E215,Vendor_Register!$A$5:$A$205,0)),"(not in register)"))</f>
        <v/>
      </c>
      <c r="G215" s="33" t="str">
        <f>IF(E215="","",IFERROR(INDEX(Vendor_Register!$E$5:$E$205,MATCH(E215,Vendor_Register!$A$5:$A$205,0)),"(not in register)"))</f>
        <v/>
      </c>
      <c r="H215" s="30"/>
      <c r="I215" s="30"/>
      <c r="J215" s="30"/>
      <c r="K215" s="30"/>
      <c r="L215" s="30"/>
      <c r="M215" s="34"/>
      <c r="N215" s="30"/>
      <c r="O215" s="35" t="str">
        <f>IF(NOT(ISNUMBER(M215)),"",IFERROR(IF(L215="EUR",M215,IF(L215="IRR",M215/INDEX('Assumptions &amp; FX Reference'!$C$5:$C$25,MATCH(H215,'Assumptions &amp; FX Reference'!$A$5:$A$25,0)),IF(L215="USD",M215*INDEX('Assumptions &amp; FX Reference'!$B$5:$B$25,MATCH(H215,'Assumptions &amp; FX Reference'!$A$5:$A$25,0))/INDEX('Assumptions &amp; FX Reference'!$C$5:$C$25,MATCH(H215,'Assumptions &amp; FX Reference'!$A$5:$A$25,0)),""))),"(FX missing)"))</f>
        <v/>
      </c>
      <c r="P215" s="30"/>
      <c r="Q215" s="30"/>
      <c r="R215" s="30"/>
      <c r="S215" s="30"/>
      <c r="T215" s="30"/>
      <c r="U215" s="30"/>
      <c r="V215" s="30"/>
    </row>
    <row r="216" spans="1:22">
      <c r="A216" s="30"/>
      <c r="B216" s="30"/>
      <c r="C216" s="33" t="str">
        <f>IF(B216="","",IFERROR(INDEX('Master Database'!$D$5:$D$600,MATCH(B216,'Master Database'!$A$5:$A$600,0)),"(row not found)"))</f>
        <v/>
      </c>
      <c r="D216" s="33" t="str">
        <f>IF(B216="","",IFERROR(INDEX('Master Database'!$B$5:$B$600,MATCH(B216,'Master Database'!$A$5:$A$600,0)),"(row not found)"))</f>
        <v/>
      </c>
      <c r="E216" s="30"/>
      <c r="F216" s="33" t="str">
        <f>IF(E216="","",IFERROR(INDEX(Vendor_Register!$B$5:$B$205,MATCH(E216,Vendor_Register!$A$5:$A$205,0)),"(not in register)"))</f>
        <v/>
      </c>
      <c r="G216" s="33" t="str">
        <f>IF(E216="","",IFERROR(INDEX(Vendor_Register!$E$5:$E$205,MATCH(E216,Vendor_Register!$A$5:$A$205,0)),"(not in register)"))</f>
        <v/>
      </c>
      <c r="H216" s="30"/>
      <c r="I216" s="30"/>
      <c r="J216" s="30"/>
      <c r="K216" s="30"/>
      <c r="L216" s="30"/>
      <c r="M216" s="34"/>
      <c r="N216" s="30"/>
      <c r="O216" s="35" t="str">
        <f>IF(NOT(ISNUMBER(M216)),"",IFERROR(IF(L216="EUR",M216,IF(L216="IRR",M216/INDEX('Assumptions &amp; FX Reference'!$C$5:$C$25,MATCH(H216,'Assumptions &amp; FX Reference'!$A$5:$A$25,0)),IF(L216="USD",M216*INDEX('Assumptions &amp; FX Reference'!$B$5:$B$25,MATCH(H216,'Assumptions &amp; FX Reference'!$A$5:$A$25,0))/INDEX('Assumptions &amp; FX Reference'!$C$5:$C$25,MATCH(H216,'Assumptions &amp; FX Reference'!$A$5:$A$25,0)),""))),"(FX missing)"))</f>
        <v/>
      </c>
      <c r="P216" s="30"/>
      <c r="Q216" s="30"/>
      <c r="R216" s="30"/>
      <c r="S216" s="30"/>
      <c r="T216" s="30"/>
      <c r="U216" s="30"/>
      <c r="V216" s="30"/>
    </row>
    <row r="217" spans="1:22">
      <c r="A217" s="30"/>
      <c r="B217" s="30"/>
      <c r="C217" s="33" t="str">
        <f>IF(B217="","",IFERROR(INDEX('Master Database'!$D$5:$D$600,MATCH(B217,'Master Database'!$A$5:$A$600,0)),"(row not found)"))</f>
        <v/>
      </c>
      <c r="D217" s="33" t="str">
        <f>IF(B217="","",IFERROR(INDEX('Master Database'!$B$5:$B$600,MATCH(B217,'Master Database'!$A$5:$A$600,0)),"(row not found)"))</f>
        <v/>
      </c>
      <c r="E217" s="30"/>
      <c r="F217" s="33" t="str">
        <f>IF(E217="","",IFERROR(INDEX(Vendor_Register!$B$5:$B$205,MATCH(E217,Vendor_Register!$A$5:$A$205,0)),"(not in register)"))</f>
        <v/>
      </c>
      <c r="G217" s="33" t="str">
        <f>IF(E217="","",IFERROR(INDEX(Vendor_Register!$E$5:$E$205,MATCH(E217,Vendor_Register!$A$5:$A$205,0)),"(not in register)"))</f>
        <v/>
      </c>
      <c r="H217" s="30"/>
      <c r="I217" s="30"/>
      <c r="J217" s="30"/>
      <c r="K217" s="30"/>
      <c r="L217" s="30"/>
      <c r="M217" s="34"/>
      <c r="N217" s="30"/>
      <c r="O217" s="35" t="str">
        <f>IF(NOT(ISNUMBER(M217)),"",IFERROR(IF(L217="EUR",M217,IF(L217="IRR",M217/INDEX('Assumptions &amp; FX Reference'!$C$5:$C$25,MATCH(H217,'Assumptions &amp; FX Reference'!$A$5:$A$25,0)),IF(L217="USD",M217*INDEX('Assumptions &amp; FX Reference'!$B$5:$B$25,MATCH(H217,'Assumptions &amp; FX Reference'!$A$5:$A$25,0))/INDEX('Assumptions &amp; FX Reference'!$C$5:$C$25,MATCH(H217,'Assumptions &amp; FX Reference'!$A$5:$A$25,0)),""))),"(FX missing)"))</f>
        <v/>
      </c>
      <c r="P217" s="30"/>
      <c r="Q217" s="30"/>
      <c r="R217" s="30"/>
      <c r="S217" s="30"/>
      <c r="T217" s="30"/>
      <c r="U217" s="30"/>
      <c r="V217" s="30"/>
    </row>
    <row r="218" spans="1:22">
      <c r="A218" s="30"/>
      <c r="B218" s="30"/>
      <c r="C218" s="33" t="str">
        <f>IF(B218="","",IFERROR(INDEX('Master Database'!$D$5:$D$600,MATCH(B218,'Master Database'!$A$5:$A$600,0)),"(row not found)"))</f>
        <v/>
      </c>
      <c r="D218" s="33" t="str">
        <f>IF(B218="","",IFERROR(INDEX('Master Database'!$B$5:$B$600,MATCH(B218,'Master Database'!$A$5:$A$600,0)),"(row not found)"))</f>
        <v/>
      </c>
      <c r="E218" s="30"/>
      <c r="F218" s="33" t="str">
        <f>IF(E218="","",IFERROR(INDEX(Vendor_Register!$B$5:$B$205,MATCH(E218,Vendor_Register!$A$5:$A$205,0)),"(not in register)"))</f>
        <v/>
      </c>
      <c r="G218" s="33" t="str">
        <f>IF(E218="","",IFERROR(INDEX(Vendor_Register!$E$5:$E$205,MATCH(E218,Vendor_Register!$A$5:$A$205,0)),"(not in register)"))</f>
        <v/>
      </c>
      <c r="H218" s="30"/>
      <c r="I218" s="30"/>
      <c r="J218" s="30"/>
      <c r="K218" s="30"/>
      <c r="L218" s="30"/>
      <c r="M218" s="34"/>
      <c r="N218" s="30"/>
      <c r="O218" s="35" t="str">
        <f>IF(NOT(ISNUMBER(M218)),"",IFERROR(IF(L218="EUR",M218,IF(L218="IRR",M218/INDEX('Assumptions &amp; FX Reference'!$C$5:$C$25,MATCH(H218,'Assumptions &amp; FX Reference'!$A$5:$A$25,0)),IF(L218="USD",M218*INDEX('Assumptions &amp; FX Reference'!$B$5:$B$25,MATCH(H218,'Assumptions &amp; FX Reference'!$A$5:$A$25,0))/INDEX('Assumptions &amp; FX Reference'!$C$5:$C$25,MATCH(H218,'Assumptions &amp; FX Reference'!$A$5:$A$25,0)),""))),"(FX missing)"))</f>
        <v/>
      </c>
      <c r="P218" s="30"/>
      <c r="Q218" s="30"/>
      <c r="R218" s="30"/>
      <c r="S218" s="30"/>
      <c r="T218" s="30"/>
      <c r="U218" s="30"/>
      <c r="V218" s="30"/>
    </row>
    <row r="219" spans="1:22">
      <c r="A219" s="30"/>
      <c r="B219" s="30"/>
      <c r="C219" s="33" t="str">
        <f>IF(B219="","",IFERROR(INDEX('Master Database'!$D$5:$D$600,MATCH(B219,'Master Database'!$A$5:$A$600,0)),"(row not found)"))</f>
        <v/>
      </c>
      <c r="D219" s="33" t="str">
        <f>IF(B219="","",IFERROR(INDEX('Master Database'!$B$5:$B$600,MATCH(B219,'Master Database'!$A$5:$A$600,0)),"(row not found)"))</f>
        <v/>
      </c>
      <c r="E219" s="30"/>
      <c r="F219" s="33" t="str">
        <f>IF(E219="","",IFERROR(INDEX(Vendor_Register!$B$5:$B$205,MATCH(E219,Vendor_Register!$A$5:$A$205,0)),"(not in register)"))</f>
        <v/>
      </c>
      <c r="G219" s="33" t="str">
        <f>IF(E219="","",IFERROR(INDEX(Vendor_Register!$E$5:$E$205,MATCH(E219,Vendor_Register!$A$5:$A$205,0)),"(not in register)"))</f>
        <v/>
      </c>
      <c r="H219" s="30"/>
      <c r="I219" s="30"/>
      <c r="J219" s="30"/>
      <c r="K219" s="30"/>
      <c r="L219" s="30"/>
      <c r="M219" s="34"/>
      <c r="N219" s="30"/>
      <c r="O219" s="35" t="str">
        <f>IF(NOT(ISNUMBER(M219)),"",IFERROR(IF(L219="EUR",M219,IF(L219="IRR",M219/INDEX('Assumptions &amp; FX Reference'!$C$5:$C$25,MATCH(H219,'Assumptions &amp; FX Reference'!$A$5:$A$25,0)),IF(L219="USD",M219*INDEX('Assumptions &amp; FX Reference'!$B$5:$B$25,MATCH(H219,'Assumptions &amp; FX Reference'!$A$5:$A$25,0))/INDEX('Assumptions &amp; FX Reference'!$C$5:$C$25,MATCH(H219,'Assumptions &amp; FX Reference'!$A$5:$A$25,0)),""))),"(FX missing)"))</f>
        <v/>
      </c>
      <c r="P219" s="30"/>
      <c r="Q219" s="30"/>
      <c r="R219" s="30"/>
      <c r="S219" s="30"/>
      <c r="T219" s="30"/>
      <c r="U219" s="30"/>
      <c r="V219" s="30"/>
    </row>
    <row r="220" spans="1:22">
      <c r="A220" s="30"/>
      <c r="B220" s="30"/>
      <c r="C220" s="33" t="str">
        <f>IF(B220="","",IFERROR(INDEX('Master Database'!$D$5:$D$600,MATCH(B220,'Master Database'!$A$5:$A$600,0)),"(row not found)"))</f>
        <v/>
      </c>
      <c r="D220" s="33" t="str">
        <f>IF(B220="","",IFERROR(INDEX('Master Database'!$B$5:$B$600,MATCH(B220,'Master Database'!$A$5:$A$600,0)),"(row not found)"))</f>
        <v/>
      </c>
      <c r="E220" s="30"/>
      <c r="F220" s="33" t="str">
        <f>IF(E220="","",IFERROR(INDEX(Vendor_Register!$B$5:$B$205,MATCH(E220,Vendor_Register!$A$5:$A$205,0)),"(not in register)"))</f>
        <v/>
      </c>
      <c r="G220" s="33" t="str">
        <f>IF(E220="","",IFERROR(INDEX(Vendor_Register!$E$5:$E$205,MATCH(E220,Vendor_Register!$A$5:$A$205,0)),"(not in register)"))</f>
        <v/>
      </c>
      <c r="H220" s="30"/>
      <c r="I220" s="30"/>
      <c r="J220" s="30"/>
      <c r="K220" s="30"/>
      <c r="L220" s="30"/>
      <c r="M220" s="34"/>
      <c r="N220" s="30"/>
      <c r="O220" s="35" t="str">
        <f>IF(NOT(ISNUMBER(M220)),"",IFERROR(IF(L220="EUR",M220,IF(L220="IRR",M220/INDEX('Assumptions &amp; FX Reference'!$C$5:$C$25,MATCH(H220,'Assumptions &amp; FX Reference'!$A$5:$A$25,0)),IF(L220="USD",M220*INDEX('Assumptions &amp; FX Reference'!$B$5:$B$25,MATCH(H220,'Assumptions &amp; FX Reference'!$A$5:$A$25,0))/INDEX('Assumptions &amp; FX Reference'!$C$5:$C$25,MATCH(H220,'Assumptions &amp; FX Reference'!$A$5:$A$25,0)),""))),"(FX missing)"))</f>
        <v/>
      </c>
      <c r="P220" s="30"/>
      <c r="Q220" s="30"/>
      <c r="R220" s="30"/>
      <c r="S220" s="30"/>
      <c r="T220" s="30"/>
      <c r="U220" s="30"/>
      <c r="V220" s="30"/>
    </row>
    <row r="221" spans="1:22">
      <c r="A221" s="30"/>
      <c r="B221" s="30"/>
      <c r="C221" s="33" t="str">
        <f>IF(B221="","",IFERROR(INDEX('Master Database'!$D$5:$D$600,MATCH(B221,'Master Database'!$A$5:$A$600,0)),"(row not found)"))</f>
        <v/>
      </c>
      <c r="D221" s="33" t="str">
        <f>IF(B221="","",IFERROR(INDEX('Master Database'!$B$5:$B$600,MATCH(B221,'Master Database'!$A$5:$A$600,0)),"(row not found)"))</f>
        <v/>
      </c>
      <c r="E221" s="30"/>
      <c r="F221" s="33" t="str">
        <f>IF(E221="","",IFERROR(INDEX(Vendor_Register!$B$5:$B$205,MATCH(E221,Vendor_Register!$A$5:$A$205,0)),"(not in register)"))</f>
        <v/>
      </c>
      <c r="G221" s="33" t="str">
        <f>IF(E221="","",IFERROR(INDEX(Vendor_Register!$E$5:$E$205,MATCH(E221,Vendor_Register!$A$5:$A$205,0)),"(not in register)"))</f>
        <v/>
      </c>
      <c r="H221" s="30"/>
      <c r="I221" s="30"/>
      <c r="J221" s="30"/>
      <c r="K221" s="30"/>
      <c r="L221" s="30"/>
      <c r="M221" s="34"/>
      <c r="N221" s="30"/>
      <c r="O221" s="35" t="str">
        <f>IF(NOT(ISNUMBER(M221)),"",IFERROR(IF(L221="EUR",M221,IF(L221="IRR",M221/INDEX('Assumptions &amp; FX Reference'!$C$5:$C$25,MATCH(H221,'Assumptions &amp; FX Reference'!$A$5:$A$25,0)),IF(L221="USD",M221*INDEX('Assumptions &amp; FX Reference'!$B$5:$B$25,MATCH(H221,'Assumptions &amp; FX Reference'!$A$5:$A$25,0))/INDEX('Assumptions &amp; FX Reference'!$C$5:$C$25,MATCH(H221,'Assumptions &amp; FX Reference'!$A$5:$A$25,0)),""))),"(FX missing)"))</f>
        <v/>
      </c>
      <c r="P221" s="30"/>
      <c r="Q221" s="30"/>
      <c r="R221" s="30"/>
      <c r="S221" s="30"/>
      <c r="T221" s="30"/>
      <c r="U221" s="30"/>
      <c r="V221" s="30"/>
    </row>
    <row r="222" spans="1:22">
      <c r="A222" s="30"/>
      <c r="B222" s="30"/>
      <c r="C222" s="33" t="str">
        <f>IF(B222="","",IFERROR(INDEX('Master Database'!$D$5:$D$600,MATCH(B222,'Master Database'!$A$5:$A$600,0)),"(row not found)"))</f>
        <v/>
      </c>
      <c r="D222" s="33" t="str">
        <f>IF(B222="","",IFERROR(INDEX('Master Database'!$B$5:$B$600,MATCH(B222,'Master Database'!$A$5:$A$600,0)),"(row not found)"))</f>
        <v/>
      </c>
      <c r="E222" s="30"/>
      <c r="F222" s="33" t="str">
        <f>IF(E222="","",IFERROR(INDEX(Vendor_Register!$B$5:$B$205,MATCH(E222,Vendor_Register!$A$5:$A$205,0)),"(not in register)"))</f>
        <v/>
      </c>
      <c r="G222" s="33" t="str">
        <f>IF(E222="","",IFERROR(INDEX(Vendor_Register!$E$5:$E$205,MATCH(E222,Vendor_Register!$A$5:$A$205,0)),"(not in register)"))</f>
        <v/>
      </c>
      <c r="H222" s="30"/>
      <c r="I222" s="30"/>
      <c r="J222" s="30"/>
      <c r="K222" s="30"/>
      <c r="L222" s="30"/>
      <c r="M222" s="34"/>
      <c r="N222" s="30"/>
      <c r="O222" s="35" t="str">
        <f>IF(NOT(ISNUMBER(M222)),"",IFERROR(IF(L222="EUR",M222,IF(L222="IRR",M222/INDEX('Assumptions &amp; FX Reference'!$C$5:$C$25,MATCH(H222,'Assumptions &amp; FX Reference'!$A$5:$A$25,0)),IF(L222="USD",M222*INDEX('Assumptions &amp; FX Reference'!$B$5:$B$25,MATCH(H222,'Assumptions &amp; FX Reference'!$A$5:$A$25,0))/INDEX('Assumptions &amp; FX Reference'!$C$5:$C$25,MATCH(H222,'Assumptions &amp; FX Reference'!$A$5:$A$25,0)),""))),"(FX missing)"))</f>
        <v/>
      </c>
      <c r="P222" s="30"/>
      <c r="Q222" s="30"/>
      <c r="R222" s="30"/>
      <c r="S222" s="30"/>
      <c r="T222" s="30"/>
      <c r="U222" s="30"/>
      <c r="V222" s="30"/>
    </row>
    <row r="223" spans="1:22">
      <c r="A223" s="30"/>
      <c r="B223" s="30"/>
      <c r="C223" s="33" t="str">
        <f>IF(B223="","",IFERROR(INDEX('Master Database'!$D$5:$D$600,MATCH(B223,'Master Database'!$A$5:$A$600,0)),"(row not found)"))</f>
        <v/>
      </c>
      <c r="D223" s="33" t="str">
        <f>IF(B223="","",IFERROR(INDEX('Master Database'!$B$5:$B$600,MATCH(B223,'Master Database'!$A$5:$A$600,0)),"(row not found)"))</f>
        <v/>
      </c>
      <c r="E223" s="30"/>
      <c r="F223" s="33" t="str">
        <f>IF(E223="","",IFERROR(INDEX(Vendor_Register!$B$5:$B$205,MATCH(E223,Vendor_Register!$A$5:$A$205,0)),"(not in register)"))</f>
        <v/>
      </c>
      <c r="G223" s="33" t="str">
        <f>IF(E223="","",IFERROR(INDEX(Vendor_Register!$E$5:$E$205,MATCH(E223,Vendor_Register!$A$5:$A$205,0)),"(not in register)"))</f>
        <v/>
      </c>
      <c r="H223" s="30"/>
      <c r="I223" s="30"/>
      <c r="J223" s="30"/>
      <c r="K223" s="30"/>
      <c r="L223" s="30"/>
      <c r="M223" s="34"/>
      <c r="N223" s="30"/>
      <c r="O223" s="35" t="str">
        <f>IF(NOT(ISNUMBER(M223)),"",IFERROR(IF(L223="EUR",M223,IF(L223="IRR",M223/INDEX('Assumptions &amp; FX Reference'!$C$5:$C$25,MATCH(H223,'Assumptions &amp; FX Reference'!$A$5:$A$25,0)),IF(L223="USD",M223*INDEX('Assumptions &amp; FX Reference'!$B$5:$B$25,MATCH(H223,'Assumptions &amp; FX Reference'!$A$5:$A$25,0))/INDEX('Assumptions &amp; FX Reference'!$C$5:$C$25,MATCH(H223,'Assumptions &amp; FX Reference'!$A$5:$A$25,0)),""))),"(FX missing)"))</f>
        <v/>
      </c>
      <c r="P223" s="30"/>
      <c r="Q223" s="30"/>
      <c r="R223" s="30"/>
      <c r="S223" s="30"/>
      <c r="T223" s="30"/>
      <c r="U223" s="30"/>
      <c r="V223" s="30"/>
    </row>
    <row r="224" spans="1:22">
      <c r="A224" s="30"/>
      <c r="B224" s="30"/>
      <c r="C224" s="33" t="str">
        <f>IF(B224="","",IFERROR(INDEX('Master Database'!$D$5:$D$600,MATCH(B224,'Master Database'!$A$5:$A$600,0)),"(row not found)"))</f>
        <v/>
      </c>
      <c r="D224" s="33" t="str">
        <f>IF(B224="","",IFERROR(INDEX('Master Database'!$B$5:$B$600,MATCH(B224,'Master Database'!$A$5:$A$600,0)),"(row not found)"))</f>
        <v/>
      </c>
      <c r="E224" s="30"/>
      <c r="F224" s="33" t="str">
        <f>IF(E224="","",IFERROR(INDEX(Vendor_Register!$B$5:$B$205,MATCH(E224,Vendor_Register!$A$5:$A$205,0)),"(not in register)"))</f>
        <v/>
      </c>
      <c r="G224" s="33" t="str">
        <f>IF(E224="","",IFERROR(INDEX(Vendor_Register!$E$5:$E$205,MATCH(E224,Vendor_Register!$A$5:$A$205,0)),"(not in register)"))</f>
        <v/>
      </c>
      <c r="H224" s="30"/>
      <c r="I224" s="30"/>
      <c r="J224" s="30"/>
      <c r="K224" s="30"/>
      <c r="L224" s="30"/>
      <c r="M224" s="34"/>
      <c r="N224" s="30"/>
      <c r="O224" s="35" t="str">
        <f>IF(NOT(ISNUMBER(M224)),"",IFERROR(IF(L224="EUR",M224,IF(L224="IRR",M224/INDEX('Assumptions &amp; FX Reference'!$C$5:$C$25,MATCH(H224,'Assumptions &amp; FX Reference'!$A$5:$A$25,0)),IF(L224="USD",M224*INDEX('Assumptions &amp; FX Reference'!$B$5:$B$25,MATCH(H224,'Assumptions &amp; FX Reference'!$A$5:$A$25,0))/INDEX('Assumptions &amp; FX Reference'!$C$5:$C$25,MATCH(H224,'Assumptions &amp; FX Reference'!$A$5:$A$25,0)),""))),"(FX missing)"))</f>
        <v/>
      </c>
      <c r="P224" s="30"/>
      <c r="Q224" s="30"/>
      <c r="R224" s="30"/>
      <c r="S224" s="30"/>
      <c r="T224" s="30"/>
      <c r="U224" s="30"/>
      <c r="V224" s="30"/>
    </row>
    <row r="225" spans="1:22">
      <c r="A225" s="30"/>
      <c r="B225" s="30"/>
      <c r="C225" s="33" t="str">
        <f>IF(B225="","",IFERROR(INDEX('Master Database'!$D$5:$D$600,MATCH(B225,'Master Database'!$A$5:$A$600,0)),"(row not found)"))</f>
        <v/>
      </c>
      <c r="D225" s="33" t="str">
        <f>IF(B225="","",IFERROR(INDEX('Master Database'!$B$5:$B$600,MATCH(B225,'Master Database'!$A$5:$A$600,0)),"(row not found)"))</f>
        <v/>
      </c>
      <c r="E225" s="30"/>
      <c r="F225" s="33" t="str">
        <f>IF(E225="","",IFERROR(INDEX(Vendor_Register!$B$5:$B$205,MATCH(E225,Vendor_Register!$A$5:$A$205,0)),"(not in register)"))</f>
        <v/>
      </c>
      <c r="G225" s="33" t="str">
        <f>IF(E225="","",IFERROR(INDEX(Vendor_Register!$E$5:$E$205,MATCH(E225,Vendor_Register!$A$5:$A$205,0)),"(not in register)"))</f>
        <v/>
      </c>
      <c r="H225" s="30"/>
      <c r="I225" s="30"/>
      <c r="J225" s="30"/>
      <c r="K225" s="30"/>
      <c r="L225" s="30"/>
      <c r="M225" s="34"/>
      <c r="N225" s="30"/>
      <c r="O225" s="35" t="str">
        <f>IF(NOT(ISNUMBER(M225)),"",IFERROR(IF(L225="EUR",M225,IF(L225="IRR",M225/INDEX('Assumptions &amp; FX Reference'!$C$5:$C$25,MATCH(H225,'Assumptions &amp; FX Reference'!$A$5:$A$25,0)),IF(L225="USD",M225*INDEX('Assumptions &amp; FX Reference'!$B$5:$B$25,MATCH(H225,'Assumptions &amp; FX Reference'!$A$5:$A$25,0))/INDEX('Assumptions &amp; FX Reference'!$C$5:$C$25,MATCH(H225,'Assumptions &amp; FX Reference'!$A$5:$A$25,0)),""))),"(FX missing)"))</f>
        <v/>
      </c>
      <c r="P225" s="30"/>
      <c r="Q225" s="30"/>
      <c r="R225" s="30"/>
      <c r="S225" s="30"/>
      <c r="T225" s="30"/>
      <c r="U225" s="30"/>
      <c r="V225" s="30"/>
    </row>
    <row r="226" spans="1:22">
      <c r="A226" s="30"/>
      <c r="B226" s="30"/>
      <c r="C226" s="33" t="str">
        <f>IF(B226="","",IFERROR(INDEX('Master Database'!$D$5:$D$600,MATCH(B226,'Master Database'!$A$5:$A$600,0)),"(row not found)"))</f>
        <v/>
      </c>
      <c r="D226" s="33" t="str">
        <f>IF(B226="","",IFERROR(INDEX('Master Database'!$B$5:$B$600,MATCH(B226,'Master Database'!$A$5:$A$600,0)),"(row not found)"))</f>
        <v/>
      </c>
      <c r="E226" s="30"/>
      <c r="F226" s="33" t="str">
        <f>IF(E226="","",IFERROR(INDEX(Vendor_Register!$B$5:$B$205,MATCH(E226,Vendor_Register!$A$5:$A$205,0)),"(not in register)"))</f>
        <v/>
      </c>
      <c r="G226" s="33" t="str">
        <f>IF(E226="","",IFERROR(INDEX(Vendor_Register!$E$5:$E$205,MATCH(E226,Vendor_Register!$A$5:$A$205,0)),"(not in register)"))</f>
        <v/>
      </c>
      <c r="H226" s="30"/>
      <c r="I226" s="30"/>
      <c r="J226" s="30"/>
      <c r="K226" s="30"/>
      <c r="L226" s="30"/>
      <c r="M226" s="34"/>
      <c r="N226" s="30"/>
      <c r="O226" s="35" t="str">
        <f>IF(NOT(ISNUMBER(M226)),"",IFERROR(IF(L226="EUR",M226,IF(L226="IRR",M226/INDEX('Assumptions &amp; FX Reference'!$C$5:$C$25,MATCH(H226,'Assumptions &amp; FX Reference'!$A$5:$A$25,0)),IF(L226="USD",M226*INDEX('Assumptions &amp; FX Reference'!$B$5:$B$25,MATCH(H226,'Assumptions &amp; FX Reference'!$A$5:$A$25,0))/INDEX('Assumptions &amp; FX Reference'!$C$5:$C$25,MATCH(H226,'Assumptions &amp; FX Reference'!$A$5:$A$25,0)),""))),"(FX missing)"))</f>
        <v/>
      </c>
      <c r="P226" s="30"/>
      <c r="Q226" s="30"/>
      <c r="R226" s="30"/>
      <c r="S226" s="30"/>
      <c r="T226" s="30"/>
      <c r="U226" s="30"/>
      <c r="V226" s="30"/>
    </row>
    <row r="227" spans="1:22">
      <c r="A227" s="30"/>
      <c r="B227" s="30"/>
      <c r="C227" s="33" t="str">
        <f>IF(B227="","",IFERROR(INDEX('Master Database'!$D$5:$D$600,MATCH(B227,'Master Database'!$A$5:$A$600,0)),"(row not found)"))</f>
        <v/>
      </c>
      <c r="D227" s="33" t="str">
        <f>IF(B227="","",IFERROR(INDEX('Master Database'!$B$5:$B$600,MATCH(B227,'Master Database'!$A$5:$A$600,0)),"(row not found)"))</f>
        <v/>
      </c>
      <c r="E227" s="30"/>
      <c r="F227" s="33" t="str">
        <f>IF(E227="","",IFERROR(INDEX(Vendor_Register!$B$5:$B$205,MATCH(E227,Vendor_Register!$A$5:$A$205,0)),"(not in register)"))</f>
        <v/>
      </c>
      <c r="G227" s="33" t="str">
        <f>IF(E227="","",IFERROR(INDEX(Vendor_Register!$E$5:$E$205,MATCH(E227,Vendor_Register!$A$5:$A$205,0)),"(not in register)"))</f>
        <v/>
      </c>
      <c r="H227" s="30"/>
      <c r="I227" s="30"/>
      <c r="J227" s="30"/>
      <c r="K227" s="30"/>
      <c r="L227" s="30"/>
      <c r="M227" s="34"/>
      <c r="N227" s="30"/>
      <c r="O227" s="35" t="str">
        <f>IF(NOT(ISNUMBER(M227)),"",IFERROR(IF(L227="EUR",M227,IF(L227="IRR",M227/INDEX('Assumptions &amp; FX Reference'!$C$5:$C$25,MATCH(H227,'Assumptions &amp; FX Reference'!$A$5:$A$25,0)),IF(L227="USD",M227*INDEX('Assumptions &amp; FX Reference'!$B$5:$B$25,MATCH(H227,'Assumptions &amp; FX Reference'!$A$5:$A$25,0))/INDEX('Assumptions &amp; FX Reference'!$C$5:$C$25,MATCH(H227,'Assumptions &amp; FX Reference'!$A$5:$A$25,0)),""))),"(FX missing)"))</f>
        <v/>
      </c>
      <c r="P227" s="30"/>
      <c r="Q227" s="30"/>
      <c r="R227" s="30"/>
      <c r="S227" s="30"/>
      <c r="T227" s="30"/>
      <c r="U227" s="30"/>
      <c r="V227" s="30"/>
    </row>
    <row r="228" spans="1:22">
      <c r="A228" s="30"/>
      <c r="B228" s="30"/>
      <c r="C228" s="33" t="str">
        <f>IF(B228="","",IFERROR(INDEX('Master Database'!$D$5:$D$600,MATCH(B228,'Master Database'!$A$5:$A$600,0)),"(row not found)"))</f>
        <v/>
      </c>
      <c r="D228" s="33" t="str">
        <f>IF(B228="","",IFERROR(INDEX('Master Database'!$B$5:$B$600,MATCH(B228,'Master Database'!$A$5:$A$600,0)),"(row not found)"))</f>
        <v/>
      </c>
      <c r="E228" s="30"/>
      <c r="F228" s="33" t="str">
        <f>IF(E228="","",IFERROR(INDEX(Vendor_Register!$B$5:$B$205,MATCH(E228,Vendor_Register!$A$5:$A$205,0)),"(not in register)"))</f>
        <v/>
      </c>
      <c r="G228" s="33" t="str">
        <f>IF(E228="","",IFERROR(INDEX(Vendor_Register!$E$5:$E$205,MATCH(E228,Vendor_Register!$A$5:$A$205,0)),"(not in register)"))</f>
        <v/>
      </c>
      <c r="H228" s="30"/>
      <c r="I228" s="30"/>
      <c r="J228" s="30"/>
      <c r="K228" s="30"/>
      <c r="L228" s="30"/>
      <c r="M228" s="34"/>
      <c r="N228" s="30"/>
      <c r="O228" s="35" t="str">
        <f>IF(NOT(ISNUMBER(M228)),"",IFERROR(IF(L228="EUR",M228,IF(L228="IRR",M228/INDEX('Assumptions &amp; FX Reference'!$C$5:$C$25,MATCH(H228,'Assumptions &amp; FX Reference'!$A$5:$A$25,0)),IF(L228="USD",M228*INDEX('Assumptions &amp; FX Reference'!$B$5:$B$25,MATCH(H228,'Assumptions &amp; FX Reference'!$A$5:$A$25,0))/INDEX('Assumptions &amp; FX Reference'!$C$5:$C$25,MATCH(H228,'Assumptions &amp; FX Reference'!$A$5:$A$25,0)),""))),"(FX missing)"))</f>
        <v/>
      </c>
      <c r="P228" s="30"/>
      <c r="Q228" s="30"/>
      <c r="R228" s="30"/>
      <c r="S228" s="30"/>
      <c r="T228" s="30"/>
      <c r="U228" s="30"/>
      <c r="V228" s="30"/>
    </row>
    <row r="229" spans="1:22">
      <c r="A229" s="30"/>
      <c r="B229" s="30"/>
      <c r="C229" s="33" t="str">
        <f>IF(B229="","",IFERROR(INDEX('Master Database'!$D$5:$D$600,MATCH(B229,'Master Database'!$A$5:$A$600,0)),"(row not found)"))</f>
        <v/>
      </c>
      <c r="D229" s="33" t="str">
        <f>IF(B229="","",IFERROR(INDEX('Master Database'!$B$5:$B$600,MATCH(B229,'Master Database'!$A$5:$A$600,0)),"(row not found)"))</f>
        <v/>
      </c>
      <c r="E229" s="30"/>
      <c r="F229" s="33" t="str">
        <f>IF(E229="","",IFERROR(INDEX(Vendor_Register!$B$5:$B$205,MATCH(E229,Vendor_Register!$A$5:$A$205,0)),"(not in register)"))</f>
        <v/>
      </c>
      <c r="G229" s="33" t="str">
        <f>IF(E229="","",IFERROR(INDEX(Vendor_Register!$E$5:$E$205,MATCH(E229,Vendor_Register!$A$5:$A$205,0)),"(not in register)"))</f>
        <v/>
      </c>
      <c r="H229" s="30"/>
      <c r="I229" s="30"/>
      <c r="J229" s="30"/>
      <c r="K229" s="30"/>
      <c r="L229" s="30"/>
      <c r="M229" s="34"/>
      <c r="N229" s="30"/>
      <c r="O229" s="35" t="str">
        <f>IF(NOT(ISNUMBER(M229)),"",IFERROR(IF(L229="EUR",M229,IF(L229="IRR",M229/INDEX('Assumptions &amp; FX Reference'!$C$5:$C$25,MATCH(H229,'Assumptions &amp; FX Reference'!$A$5:$A$25,0)),IF(L229="USD",M229*INDEX('Assumptions &amp; FX Reference'!$B$5:$B$25,MATCH(H229,'Assumptions &amp; FX Reference'!$A$5:$A$25,0))/INDEX('Assumptions &amp; FX Reference'!$C$5:$C$25,MATCH(H229,'Assumptions &amp; FX Reference'!$A$5:$A$25,0)),""))),"(FX missing)"))</f>
        <v/>
      </c>
      <c r="P229" s="30"/>
      <c r="Q229" s="30"/>
      <c r="R229" s="30"/>
      <c r="S229" s="30"/>
      <c r="T229" s="30"/>
      <c r="U229" s="30"/>
      <c r="V229" s="30"/>
    </row>
    <row r="230" spans="1:22">
      <c r="A230" s="30"/>
      <c r="B230" s="30"/>
      <c r="C230" s="33" t="str">
        <f>IF(B230="","",IFERROR(INDEX('Master Database'!$D$5:$D$600,MATCH(B230,'Master Database'!$A$5:$A$600,0)),"(row not found)"))</f>
        <v/>
      </c>
      <c r="D230" s="33" t="str">
        <f>IF(B230="","",IFERROR(INDEX('Master Database'!$B$5:$B$600,MATCH(B230,'Master Database'!$A$5:$A$600,0)),"(row not found)"))</f>
        <v/>
      </c>
      <c r="E230" s="30"/>
      <c r="F230" s="33" t="str">
        <f>IF(E230="","",IFERROR(INDEX(Vendor_Register!$B$5:$B$205,MATCH(E230,Vendor_Register!$A$5:$A$205,0)),"(not in register)"))</f>
        <v/>
      </c>
      <c r="G230" s="33" t="str">
        <f>IF(E230="","",IFERROR(INDEX(Vendor_Register!$E$5:$E$205,MATCH(E230,Vendor_Register!$A$5:$A$205,0)),"(not in register)"))</f>
        <v/>
      </c>
      <c r="H230" s="30"/>
      <c r="I230" s="30"/>
      <c r="J230" s="30"/>
      <c r="K230" s="30"/>
      <c r="L230" s="30"/>
      <c r="M230" s="34"/>
      <c r="N230" s="30"/>
      <c r="O230" s="35" t="str">
        <f>IF(NOT(ISNUMBER(M230)),"",IFERROR(IF(L230="EUR",M230,IF(L230="IRR",M230/INDEX('Assumptions &amp; FX Reference'!$C$5:$C$25,MATCH(H230,'Assumptions &amp; FX Reference'!$A$5:$A$25,0)),IF(L230="USD",M230*INDEX('Assumptions &amp; FX Reference'!$B$5:$B$25,MATCH(H230,'Assumptions &amp; FX Reference'!$A$5:$A$25,0))/INDEX('Assumptions &amp; FX Reference'!$C$5:$C$25,MATCH(H230,'Assumptions &amp; FX Reference'!$A$5:$A$25,0)),""))),"(FX missing)"))</f>
        <v/>
      </c>
      <c r="P230" s="30"/>
      <c r="Q230" s="30"/>
      <c r="R230" s="30"/>
      <c r="S230" s="30"/>
      <c r="T230" s="30"/>
      <c r="U230" s="30"/>
      <c r="V230" s="30"/>
    </row>
    <row r="231" spans="1:22">
      <c r="A231" s="30"/>
      <c r="B231" s="30"/>
      <c r="C231" s="33" t="str">
        <f>IF(B231="","",IFERROR(INDEX('Master Database'!$D$5:$D$600,MATCH(B231,'Master Database'!$A$5:$A$600,0)),"(row not found)"))</f>
        <v/>
      </c>
      <c r="D231" s="33" t="str">
        <f>IF(B231="","",IFERROR(INDEX('Master Database'!$B$5:$B$600,MATCH(B231,'Master Database'!$A$5:$A$600,0)),"(row not found)"))</f>
        <v/>
      </c>
      <c r="E231" s="30"/>
      <c r="F231" s="33" t="str">
        <f>IF(E231="","",IFERROR(INDEX(Vendor_Register!$B$5:$B$205,MATCH(E231,Vendor_Register!$A$5:$A$205,0)),"(not in register)"))</f>
        <v/>
      </c>
      <c r="G231" s="33" t="str">
        <f>IF(E231="","",IFERROR(INDEX(Vendor_Register!$E$5:$E$205,MATCH(E231,Vendor_Register!$A$5:$A$205,0)),"(not in register)"))</f>
        <v/>
      </c>
      <c r="H231" s="30"/>
      <c r="I231" s="30"/>
      <c r="J231" s="30"/>
      <c r="K231" s="30"/>
      <c r="L231" s="30"/>
      <c r="M231" s="34"/>
      <c r="N231" s="30"/>
      <c r="O231" s="35" t="str">
        <f>IF(NOT(ISNUMBER(M231)),"",IFERROR(IF(L231="EUR",M231,IF(L231="IRR",M231/INDEX('Assumptions &amp; FX Reference'!$C$5:$C$25,MATCH(H231,'Assumptions &amp; FX Reference'!$A$5:$A$25,0)),IF(L231="USD",M231*INDEX('Assumptions &amp; FX Reference'!$B$5:$B$25,MATCH(H231,'Assumptions &amp; FX Reference'!$A$5:$A$25,0))/INDEX('Assumptions &amp; FX Reference'!$C$5:$C$25,MATCH(H231,'Assumptions &amp; FX Reference'!$A$5:$A$25,0)),""))),"(FX missing)"))</f>
        <v/>
      </c>
      <c r="P231" s="30"/>
      <c r="Q231" s="30"/>
      <c r="R231" s="30"/>
      <c r="S231" s="30"/>
      <c r="T231" s="30"/>
      <c r="U231" s="30"/>
      <c r="V231" s="30"/>
    </row>
    <row r="232" spans="1:22">
      <c r="A232" s="30"/>
      <c r="B232" s="30"/>
      <c r="C232" s="33" t="str">
        <f>IF(B232="","",IFERROR(INDEX('Master Database'!$D$5:$D$600,MATCH(B232,'Master Database'!$A$5:$A$600,0)),"(row not found)"))</f>
        <v/>
      </c>
      <c r="D232" s="33" t="str">
        <f>IF(B232="","",IFERROR(INDEX('Master Database'!$B$5:$B$600,MATCH(B232,'Master Database'!$A$5:$A$600,0)),"(row not found)"))</f>
        <v/>
      </c>
      <c r="E232" s="30"/>
      <c r="F232" s="33" t="str">
        <f>IF(E232="","",IFERROR(INDEX(Vendor_Register!$B$5:$B$205,MATCH(E232,Vendor_Register!$A$5:$A$205,0)),"(not in register)"))</f>
        <v/>
      </c>
      <c r="G232" s="33" t="str">
        <f>IF(E232="","",IFERROR(INDEX(Vendor_Register!$E$5:$E$205,MATCH(E232,Vendor_Register!$A$5:$A$205,0)),"(not in register)"))</f>
        <v/>
      </c>
      <c r="H232" s="30"/>
      <c r="I232" s="30"/>
      <c r="J232" s="30"/>
      <c r="K232" s="30"/>
      <c r="L232" s="30"/>
      <c r="M232" s="34"/>
      <c r="N232" s="30"/>
      <c r="O232" s="35" t="str">
        <f>IF(NOT(ISNUMBER(M232)),"",IFERROR(IF(L232="EUR",M232,IF(L232="IRR",M232/INDEX('Assumptions &amp; FX Reference'!$C$5:$C$25,MATCH(H232,'Assumptions &amp; FX Reference'!$A$5:$A$25,0)),IF(L232="USD",M232*INDEX('Assumptions &amp; FX Reference'!$B$5:$B$25,MATCH(H232,'Assumptions &amp; FX Reference'!$A$5:$A$25,0))/INDEX('Assumptions &amp; FX Reference'!$C$5:$C$25,MATCH(H232,'Assumptions &amp; FX Reference'!$A$5:$A$25,0)),""))),"(FX missing)"))</f>
        <v/>
      </c>
      <c r="P232" s="30"/>
      <c r="Q232" s="30"/>
      <c r="R232" s="30"/>
      <c r="S232" s="30"/>
      <c r="T232" s="30"/>
      <c r="U232" s="30"/>
      <c r="V232" s="30"/>
    </row>
    <row r="233" spans="1:22">
      <c r="A233" s="30"/>
      <c r="B233" s="30"/>
      <c r="C233" s="33" t="str">
        <f>IF(B233="","",IFERROR(INDEX('Master Database'!$D$5:$D$600,MATCH(B233,'Master Database'!$A$5:$A$600,0)),"(row not found)"))</f>
        <v/>
      </c>
      <c r="D233" s="33" t="str">
        <f>IF(B233="","",IFERROR(INDEX('Master Database'!$B$5:$B$600,MATCH(B233,'Master Database'!$A$5:$A$600,0)),"(row not found)"))</f>
        <v/>
      </c>
      <c r="E233" s="30"/>
      <c r="F233" s="33" t="str">
        <f>IF(E233="","",IFERROR(INDEX(Vendor_Register!$B$5:$B$205,MATCH(E233,Vendor_Register!$A$5:$A$205,0)),"(not in register)"))</f>
        <v/>
      </c>
      <c r="G233" s="33" t="str">
        <f>IF(E233="","",IFERROR(INDEX(Vendor_Register!$E$5:$E$205,MATCH(E233,Vendor_Register!$A$5:$A$205,0)),"(not in register)"))</f>
        <v/>
      </c>
      <c r="H233" s="30"/>
      <c r="I233" s="30"/>
      <c r="J233" s="30"/>
      <c r="K233" s="30"/>
      <c r="L233" s="30"/>
      <c r="M233" s="34"/>
      <c r="N233" s="30"/>
      <c r="O233" s="35" t="str">
        <f>IF(NOT(ISNUMBER(M233)),"",IFERROR(IF(L233="EUR",M233,IF(L233="IRR",M233/INDEX('Assumptions &amp; FX Reference'!$C$5:$C$25,MATCH(H233,'Assumptions &amp; FX Reference'!$A$5:$A$25,0)),IF(L233="USD",M233*INDEX('Assumptions &amp; FX Reference'!$B$5:$B$25,MATCH(H233,'Assumptions &amp; FX Reference'!$A$5:$A$25,0))/INDEX('Assumptions &amp; FX Reference'!$C$5:$C$25,MATCH(H233,'Assumptions &amp; FX Reference'!$A$5:$A$25,0)),""))),"(FX missing)"))</f>
        <v/>
      </c>
      <c r="P233" s="30"/>
      <c r="Q233" s="30"/>
      <c r="R233" s="30"/>
      <c r="S233" s="30"/>
      <c r="T233" s="30"/>
      <c r="U233" s="30"/>
      <c r="V233" s="30"/>
    </row>
    <row r="234" spans="1:22">
      <c r="A234" s="30"/>
      <c r="B234" s="30"/>
      <c r="C234" s="33" t="str">
        <f>IF(B234="","",IFERROR(INDEX('Master Database'!$D$5:$D$600,MATCH(B234,'Master Database'!$A$5:$A$600,0)),"(row not found)"))</f>
        <v/>
      </c>
      <c r="D234" s="33" t="str">
        <f>IF(B234="","",IFERROR(INDEX('Master Database'!$B$5:$B$600,MATCH(B234,'Master Database'!$A$5:$A$600,0)),"(row not found)"))</f>
        <v/>
      </c>
      <c r="E234" s="30"/>
      <c r="F234" s="33" t="str">
        <f>IF(E234="","",IFERROR(INDEX(Vendor_Register!$B$5:$B$205,MATCH(E234,Vendor_Register!$A$5:$A$205,0)),"(not in register)"))</f>
        <v/>
      </c>
      <c r="G234" s="33" t="str">
        <f>IF(E234="","",IFERROR(INDEX(Vendor_Register!$E$5:$E$205,MATCH(E234,Vendor_Register!$A$5:$A$205,0)),"(not in register)"))</f>
        <v/>
      </c>
      <c r="H234" s="30"/>
      <c r="I234" s="30"/>
      <c r="J234" s="30"/>
      <c r="K234" s="30"/>
      <c r="L234" s="30"/>
      <c r="M234" s="34"/>
      <c r="N234" s="30"/>
      <c r="O234" s="35" t="str">
        <f>IF(NOT(ISNUMBER(M234)),"",IFERROR(IF(L234="EUR",M234,IF(L234="IRR",M234/INDEX('Assumptions &amp; FX Reference'!$C$5:$C$25,MATCH(H234,'Assumptions &amp; FX Reference'!$A$5:$A$25,0)),IF(L234="USD",M234*INDEX('Assumptions &amp; FX Reference'!$B$5:$B$25,MATCH(H234,'Assumptions &amp; FX Reference'!$A$5:$A$25,0))/INDEX('Assumptions &amp; FX Reference'!$C$5:$C$25,MATCH(H234,'Assumptions &amp; FX Reference'!$A$5:$A$25,0)),""))),"(FX missing)"))</f>
        <v/>
      </c>
      <c r="P234" s="30"/>
      <c r="Q234" s="30"/>
      <c r="R234" s="30"/>
      <c r="S234" s="30"/>
      <c r="T234" s="30"/>
      <c r="U234" s="30"/>
      <c r="V234" s="30"/>
    </row>
    <row r="235" spans="1:22">
      <c r="A235" s="30"/>
      <c r="B235" s="30"/>
      <c r="C235" s="33" t="str">
        <f>IF(B235="","",IFERROR(INDEX('Master Database'!$D$5:$D$600,MATCH(B235,'Master Database'!$A$5:$A$600,0)),"(row not found)"))</f>
        <v/>
      </c>
      <c r="D235" s="33" t="str">
        <f>IF(B235="","",IFERROR(INDEX('Master Database'!$B$5:$B$600,MATCH(B235,'Master Database'!$A$5:$A$600,0)),"(row not found)"))</f>
        <v/>
      </c>
      <c r="E235" s="30"/>
      <c r="F235" s="33" t="str">
        <f>IF(E235="","",IFERROR(INDEX(Vendor_Register!$B$5:$B$205,MATCH(E235,Vendor_Register!$A$5:$A$205,0)),"(not in register)"))</f>
        <v/>
      </c>
      <c r="G235" s="33" t="str">
        <f>IF(E235="","",IFERROR(INDEX(Vendor_Register!$E$5:$E$205,MATCH(E235,Vendor_Register!$A$5:$A$205,0)),"(not in register)"))</f>
        <v/>
      </c>
      <c r="H235" s="30"/>
      <c r="I235" s="30"/>
      <c r="J235" s="30"/>
      <c r="K235" s="30"/>
      <c r="L235" s="30"/>
      <c r="M235" s="34"/>
      <c r="N235" s="30"/>
      <c r="O235" s="35" t="str">
        <f>IF(NOT(ISNUMBER(M235)),"",IFERROR(IF(L235="EUR",M235,IF(L235="IRR",M235/INDEX('Assumptions &amp; FX Reference'!$C$5:$C$25,MATCH(H235,'Assumptions &amp; FX Reference'!$A$5:$A$25,0)),IF(L235="USD",M235*INDEX('Assumptions &amp; FX Reference'!$B$5:$B$25,MATCH(H235,'Assumptions &amp; FX Reference'!$A$5:$A$25,0))/INDEX('Assumptions &amp; FX Reference'!$C$5:$C$25,MATCH(H235,'Assumptions &amp; FX Reference'!$A$5:$A$25,0)),""))),"(FX missing)"))</f>
        <v/>
      </c>
      <c r="P235" s="30"/>
      <c r="Q235" s="30"/>
      <c r="R235" s="30"/>
      <c r="S235" s="30"/>
      <c r="T235" s="30"/>
      <c r="U235" s="30"/>
      <c r="V235" s="30"/>
    </row>
    <row r="236" spans="1:22">
      <c r="A236" s="30"/>
      <c r="B236" s="30"/>
      <c r="C236" s="33" t="str">
        <f>IF(B236="","",IFERROR(INDEX('Master Database'!$D$5:$D$600,MATCH(B236,'Master Database'!$A$5:$A$600,0)),"(row not found)"))</f>
        <v/>
      </c>
      <c r="D236" s="33" t="str">
        <f>IF(B236="","",IFERROR(INDEX('Master Database'!$B$5:$B$600,MATCH(B236,'Master Database'!$A$5:$A$600,0)),"(row not found)"))</f>
        <v/>
      </c>
      <c r="E236" s="30"/>
      <c r="F236" s="33" t="str">
        <f>IF(E236="","",IFERROR(INDEX(Vendor_Register!$B$5:$B$205,MATCH(E236,Vendor_Register!$A$5:$A$205,0)),"(not in register)"))</f>
        <v/>
      </c>
      <c r="G236" s="33" t="str">
        <f>IF(E236="","",IFERROR(INDEX(Vendor_Register!$E$5:$E$205,MATCH(E236,Vendor_Register!$A$5:$A$205,0)),"(not in register)"))</f>
        <v/>
      </c>
      <c r="H236" s="30"/>
      <c r="I236" s="30"/>
      <c r="J236" s="30"/>
      <c r="K236" s="30"/>
      <c r="L236" s="30"/>
      <c r="M236" s="34"/>
      <c r="N236" s="30"/>
      <c r="O236" s="35" t="str">
        <f>IF(NOT(ISNUMBER(M236)),"",IFERROR(IF(L236="EUR",M236,IF(L236="IRR",M236/INDEX('Assumptions &amp; FX Reference'!$C$5:$C$25,MATCH(H236,'Assumptions &amp; FX Reference'!$A$5:$A$25,0)),IF(L236="USD",M236*INDEX('Assumptions &amp; FX Reference'!$B$5:$B$25,MATCH(H236,'Assumptions &amp; FX Reference'!$A$5:$A$25,0))/INDEX('Assumptions &amp; FX Reference'!$C$5:$C$25,MATCH(H236,'Assumptions &amp; FX Reference'!$A$5:$A$25,0)),""))),"(FX missing)"))</f>
        <v/>
      </c>
      <c r="P236" s="30"/>
      <c r="Q236" s="30"/>
      <c r="R236" s="30"/>
      <c r="S236" s="30"/>
      <c r="T236" s="30"/>
      <c r="U236" s="30"/>
      <c r="V236" s="30"/>
    </row>
    <row r="237" spans="1:22">
      <c r="A237" s="30"/>
      <c r="B237" s="30"/>
      <c r="C237" s="33" t="str">
        <f>IF(B237="","",IFERROR(INDEX('Master Database'!$D$5:$D$600,MATCH(B237,'Master Database'!$A$5:$A$600,0)),"(row not found)"))</f>
        <v/>
      </c>
      <c r="D237" s="33" t="str">
        <f>IF(B237="","",IFERROR(INDEX('Master Database'!$B$5:$B$600,MATCH(B237,'Master Database'!$A$5:$A$600,0)),"(row not found)"))</f>
        <v/>
      </c>
      <c r="E237" s="30"/>
      <c r="F237" s="33" t="str">
        <f>IF(E237="","",IFERROR(INDEX(Vendor_Register!$B$5:$B$205,MATCH(E237,Vendor_Register!$A$5:$A$205,0)),"(not in register)"))</f>
        <v/>
      </c>
      <c r="G237" s="33" t="str">
        <f>IF(E237="","",IFERROR(INDEX(Vendor_Register!$E$5:$E$205,MATCH(E237,Vendor_Register!$A$5:$A$205,0)),"(not in register)"))</f>
        <v/>
      </c>
      <c r="H237" s="30"/>
      <c r="I237" s="30"/>
      <c r="J237" s="30"/>
      <c r="K237" s="30"/>
      <c r="L237" s="30"/>
      <c r="M237" s="34"/>
      <c r="N237" s="30"/>
      <c r="O237" s="35" t="str">
        <f>IF(NOT(ISNUMBER(M237)),"",IFERROR(IF(L237="EUR",M237,IF(L237="IRR",M237/INDEX('Assumptions &amp; FX Reference'!$C$5:$C$25,MATCH(H237,'Assumptions &amp; FX Reference'!$A$5:$A$25,0)),IF(L237="USD",M237*INDEX('Assumptions &amp; FX Reference'!$B$5:$B$25,MATCH(H237,'Assumptions &amp; FX Reference'!$A$5:$A$25,0))/INDEX('Assumptions &amp; FX Reference'!$C$5:$C$25,MATCH(H237,'Assumptions &amp; FX Reference'!$A$5:$A$25,0)),""))),"(FX missing)"))</f>
        <v/>
      </c>
      <c r="P237" s="30"/>
      <c r="Q237" s="30"/>
      <c r="R237" s="30"/>
      <c r="S237" s="30"/>
      <c r="T237" s="30"/>
      <c r="U237" s="30"/>
      <c r="V237" s="30"/>
    </row>
    <row r="238" spans="1:22">
      <c r="A238" s="30"/>
      <c r="B238" s="30"/>
      <c r="C238" s="33" t="str">
        <f>IF(B238="","",IFERROR(INDEX('Master Database'!$D$5:$D$600,MATCH(B238,'Master Database'!$A$5:$A$600,0)),"(row not found)"))</f>
        <v/>
      </c>
      <c r="D238" s="33" t="str">
        <f>IF(B238="","",IFERROR(INDEX('Master Database'!$B$5:$B$600,MATCH(B238,'Master Database'!$A$5:$A$600,0)),"(row not found)"))</f>
        <v/>
      </c>
      <c r="E238" s="30"/>
      <c r="F238" s="33" t="str">
        <f>IF(E238="","",IFERROR(INDEX(Vendor_Register!$B$5:$B$205,MATCH(E238,Vendor_Register!$A$5:$A$205,0)),"(not in register)"))</f>
        <v/>
      </c>
      <c r="G238" s="33" t="str">
        <f>IF(E238="","",IFERROR(INDEX(Vendor_Register!$E$5:$E$205,MATCH(E238,Vendor_Register!$A$5:$A$205,0)),"(not in register)"))</f>
        <v/>
      </c>
      <c r="H238" s="30"/>
      <c r="I238" s="30"/>
      <c r="J238" s="30"/>
      <c r="K238" s="30"/>
      <c r="L238" s="30"/>
      <c r="M238" s="34"/>
      <c r="N238" s="30"/>
      <c r="O238" s="35" t="str">
        <f>IF(NOT(ISNUMBER(M238)),"",IFERROR(IF(L238="EUR",M238,IF(L238="IRR",M238/INDEX('Assumptions &amp; FX Reference'!$C$5:$C$25,MATCH(H238,'Assumptions &amp; FX Reference'!$A$5:$A$25,0)),IF(L238="USD",M238*INDEX('Assumptions &amp; FX Reference'!$B$5:$B$25,MATCH(H238,'Assumptions &amp; FX Reference'!$A$5:$A$25,0))/INDEX('Assumptions &amp; FX Reference'!$C$5:$C$25,MATCH(H238,'Assumptions &amp; FX Reference'!$A$5:$A$25,0)),""))),"(FX missing)"))</f>
        <v/>
      </c>
      <c r="P238" s="30"/>
      <c r="Q238" s="30"/>
      <c r="R238" s="30"/>
      <c r="S238" s="30"/>
      <c r="T238" s="30"/>
      <c r="U238" s="30"/>
      <c r="V238" s="30"/>
    </row>
    <row r="239" spans="1:22">
      <c r="A239" s="30"/>
      <c r="B239" s="30"/>
      <c r="C239" s="33" t="str">
        <f>IF(B239="","",IFERROR(INDEX('Master Database'!$D$5:$D$600,MATCH(B239,'Master Database'!$A$5:$A$600,0)),"(row not found)"))</f>
        <v/>
      </c>
      <c r="D239" s="33" t="str">
        <f>IF(B239="","",IFERROR(INDEX('Master Database'!$B$5:$B$600,MATCH(B239,'Master Database'!$A$5:$A$600,0)),"(row not found)"))</f>
        <v/>
      </c>
      <c r="E239" s="30"/>
      <c r="F239" s="33" t="str">
        <f>IF(E239="","",IFERROR(INDEX(Vendor_Register!$B$5:$B$205,MATCH(E239,Vendor_Register!$A$5:$A$205,0)),"(not in register)"))</f>
        <v/>
      </c>
      <c r="G239" s="33" t="str">
        <f>IF(E239="","",IFERROR(INDEX(Vendor_Register!$E$5:$E$205,MATCH(E239,Vendor_Register!$A$5:$A$205,0)),"(not in register)"))</f>
        <v/>
      </c>
      <c r="H239" s="30"/>
      <c r="I239" s="30"/>
      <c r="J239" s="30"/>
      <c r="K239" s="30"/>
      <c r="L239" s="30"/>
      <c r="M239" s="34"/>
      <c r="N239" s="30"/>
      <c r="O239" s="35" t="str">
        <f>IF(NOT(ISNUMBER(M239)),"",IFERROR(IF(L239="EUR",M239,IF(L239="IRR",M239/INDEX('Assumptions &amp; FX Reference'!$C$5:$C$25,MATCH(H239,'Assumptions &amp; FX Reference'!$A$5:$A$25,0)),IF(L239="USD",M239*INDEX('Assumptions &amp; FX Reference'!$B$5:$B$25,MATCH(H239,'Assumptions &amp; FX Reference'!$A$5:$A$25,0))/INDEX('Assumptions &amp; FX Reference'!$C$5:$C$25,MATCH(H239,'Assumptions &amp; FX Reference'!$A$5:$A$25,0)),""))),"(FX missing)"))</f>
        <v/>
      </c>
      <c r="P239" s="30"/>
      <c r="Q239" s="30"/>
      <c r="R239" s="30"/>
      <c r="S239" s="30"/>
      <c r="T239" s="30"/>
      <c r="U239" s="30"/>
      <c r="V239" s="30"/>
    </row>
    <row r="240" spans="1:22">
      <c r="A240" s="30"/>
      <c r="B240" s="30"/>
      <c r="C240" s="33" t="str">
        <f>IF(B240="","",IFERROR(INDEX('Master Database'!$D$5:$D$600,MATCH(B240,'Master Database'!$A$5:$A$600,0)),"(row not found)"))</f>
        <v/>
      </c>
      <c r="D240" s="33" t="str">
        <f>IF(B240="","",IFERROR(INDEX('Master Database'!$B$5:$B$600,MATCH(B240,'Master Database'!$A$5:$A$600,0)),"(row not found)"))</f>
        <v/>
      </c>
      <c r="E240" s="30"/>
      <c r="F240" s="33" t="str">
        <f>IF(E240="","",IFERROR(INDEX(Vendor_Register!$B$5:$B$205,MATCH(E240,Vendor_Register!$A$5:$A$205,0)),"(not in register)"))</f>
        <v/>
      </c>
      <c r="G240" s="33" t="str">
        <f>IF(E240="","",IFERROR(INDEX(Vendor_Register!$E$5:$E$205,MATCH(E240,Vendor_Register!$A$5:$A$205,0)),"(not in register)"))</f>
        <v/>
      </c>
      <c r="H240" s="30"/>
      <c r="I240" s="30"/>
      <c r="J240" s="30"/>
      <c r="K240" s="30"/>
      <c r="L240" s="30"/>
      <c r="M240" s="34"/>
      <c r="N240" s="30"/>
      <c r="O240" s="35" t="str">
        <f>IF(NOT(ISNUMBER(M240)),"",IFERROR(IF(L240="EUR",M240,IF(L240="IRR",M240/INDEX('Assumptions &amp; FX Reference'!$C$5:$C$25,MATCH(H240,'Assumptions &amp; FX Reference'!$A$5:$A$25,0)),IF(L240="USD",M240*INDEX('Assumptions &amp; FX Reference'!$B$5:$B$25,MATCH(H240,'Assumptions &amp; FX Reference'!$A$5:$A$25,0))/INDEX('Assumptions &amp; FX Reference'!$C$5:$C$25,MATCH(H240,'Assumptions &amp; FX Reference'!$A$5:$A$25,0)),""))),"(FX missing)"))</f>
        <v/>
      </c>
      <c r="P240" s="30"/>
      <c r="Q240" s="30"/>
      <c r="R240" s="30"/>
      <c r="S240" s="30"/>
      <c r="T240" s="30"/>
      <c r="U240" s="30"/>
      <c r="V240" s="30"/>
    </row>
    <row r="241" spans="1:22">
      <c r="A241" s="30"/>
      <c r="B241" s="30"/>
      <c r="C241" s="33" t="str">
        <f>IF(B241="","",IFERROR(INDEX('Master Database'!$D$5:$D$600,MATCH(B241,'Master Database'!$A$5:$A$600,0)),"(row not found)"))</f>
        <v/>
      </c>
      <c r="D241" s="33" t="str">
        <f>IF(B241="","",IFERROR(INDEX('Master Database'!$B$5:$B$600,MATCH(B241,'Master Database'!$A$5:$A$600,0)),"(row not found)"))</f>
        <v/>
      </c>
      <c r="E241" s="30"/>
      <c r="F241" s="33" t="str">
        <f>IF(E241="","",IFERROR(INDEX(Vendor_Register!$B$5:$B$205,MATCH(E241,Vendor_Register!$A$5:$A$205,0)),"(not in register)"))</f>
        <v/>
      </c>
      <c r="G241" s="33" t="str">
        <f>IF(E241="","",IFERROR(INDEX(Vendor_Register!$E$5:$E$205,MATCH(E241,Vendor_Register!$A$5:$A$205,0)),"(not in register)"))</f>
        <v/>
      </c>
      <c r="H241" s="30"/>
      <c r="I241" s="30"/>
      <c r="J241" s="30"/>
      <c r="K241" s="30"/>
      <c r="L241" s="30"/>
      <c r="M241" s="34"/>
      <c r="N241" s="30"/>
      <c r="O241" s="35" t="str">
        <f>IF(NOT(ISNUMBER(M241)),"",IFERROR(IF(L241="EUR",M241,IF(L241="IRR",M241/INDEX('Assumptions &amp; FX Reference'!$C$5:$C$25,MATCH(H241,'Assumptions &amp; FX Reference'!$A$5:$A$25,0)),IF(L241="USD",M241*INDEX('Assumptions &amp; FX Reference'!$B$5:$B$25,MATCH(H241,'Assumptions &amp; FX Reference'!$A$5:$A$25,0))/INDEX('Assumptions &amp; FX Reference'!$C$5:$C$25,MATCH(H241,'Assumptions &amp; FX Reference'!$A$5:$A$25,0)),""))),"(FX missing)"))</f>
        <v/>
      </c>
      <c r="P241" s="30"/>
      <c r="Q241" s="30"/>
      <c r="R241" s="30"/>
      <c r="S241" s="30"/>
      <c r="T241" s="30"/>
      <c r="U241" s="30"/>
      <c r="V241" s="30"/>
    </row>
    <row r="242" spans="1:22">
      <c r="A242" s="30"/>
      <c r="B242" s="30"/>
      <c r="C242" s="33" t="str">
        <f>IF(B242="","",IFERROR(INDEX('Master Database'!$D$5:$D$600,MATCH(B242,'Master Database'!$A$5:$A$600,0)),"(row not found)"))</f>
        <v/>
      </c>
      <c r="D242" s="33" t="str">
        <f>IF(B242="","",IFERROR(INDEX('Master Database'!$B$5:$B$600,MATCH(B242,'Master Database'!$A$5:$A$600,0)),"(row not found)"))</f>
        <v/>
      </c>
      <c r="E242" s="30"/>
      <c r="F242" s="33" t="str">
        <f>IF(E242="","",IFERROR(INDEX(Vendor_Register!$B$5:$B$205,MATCH(E242,Vendor_Register!$A$5:$A$205,0)),"(not in register)"))</f>
        <v/>
      </c>
      <c r="G242" s="33" t="str">
        <f>IF(E242="","",IFERROR(INDEX(Vendor_Register!$E$5:$E$205,MATCH(E242,Vendor_Register!$A$5:$A$205,0)),"(not in register)"))</f>
        <v/>
      </c>
      <c r="H242" s="30"/>
      <c r="I242" s="30"/>
      <c r="J242" s="30"/>
      <c r="K242" s="30"/>
      <c r="L242" s="30"/>
      <c r="M242" s="34"/>
      <c r="N242" s="30"/>
      <c r="O242" s="35" t="str">
        <f>IF(NOT(ISNUMBER(M242)),"",IFERROR(IF(L242="EUR",M242,IF(L242="IRR",M242/INDEX('Assumptions &amp; FX Reference'!$C$5:$C$25,MATCH(H242,'Assumptions &amp; FX Reference'!$A$5:$A$25,0)),IF(L242="USD",M242*INDEX('Assumptions &amp; FX Reference'!$B$5:$B$25,MATCH(H242,'Assumptions &amp; FX Reference'!$A$5:$A$25,0))/INDEX('Assumptions &amp; FX Reference'!$C$5:$C$25,MATCH(H242,'Assumptions &amp; FX Reference'!$A$5:$A$25,0)),""))),"(FX missing)"))</f>
        <v/>
      </c>
      <c r="P242" s="30"/>
      <c r="Q242" s="30"/>
      <c r="R242" s="30"/>
      <c r="S242" s="30"/>
      <c r="T242" s="30"/>
      <c r="U242" s="30"/>
      <c r="V242" s="30"/>
    </row>
    <row r="243" spans="1:22">
      <c r="A243" s="30"/>
      <c r="B243" s="30"/>
      <c r="C243" s="33" t="str">
        <f>IF(B243="","",IFERROR(INDEX('Master Database'!$D$5:$D$600,MATCH(B243,'Master Database'!$A$5:$A$600,0)),"(row not found)"))</f>
        <v/>
      </c>
      <c r="D243" s="33" t="str">
        <f>IF(B243="","",IFERROR(INDEX('Master Database'!$B$5:$B$600,MATCH(B243,'Master Database'!$A$5:$A$600,0)),"(row not found)"))</f>
        <v/>
      </c>
      <c r="E243" s="30"/>
      <c r="F243" s="33" t="str">
        <f>IF(E243="","",IFERROR(INDEX(Vendor_Register!$B$5:$B$205,MATCH(E243,Vendor_Register!$A$5:$A$205,0)),"(not in register)"))</f>
        <v/>
      </c>
      <c r="G243" s="33" t="str">
        <f>IF(E243="","",IFERROR(INDEX(Vendor_Register!$E$5:$E$205,MATCH(E243,Vendor_Register!$A$5:$A$205,0)),"(not in register)"))</f>
        <v/>
      </c>
      <c r="H243" s="30"/>
      <c r="I243" s="30"/>
      <c r="J243" s="30"/>
      <c r="K243" s="30"/>
      <c r="L243" s="30"/>
      <c r="M243" s="34"/>
      <c r="N243" s="30"/>
      <c r="O243" s="35" t="str">
        <f>IF(NOT(ISNUMBER(M243)),"",IFERROR(IF(L243="EUR",M243,IF(L243="IRR",M243/INDEX('Assumptions &amp; FX Reference'!$C$5:$C$25,MATCH(H243,'Assumptions &amp; FX Reference'!$A$5:$A$25,0)),IF(L243="USD",M243*INDEX('Assumptions &amp; FX Reference'!$B$5:$B$25,MATCH(H243,'Assumptions &amp; FX Reference'!$A$5:$A$25,0))/INDEX('Assumptions &amp; FX Reference'!$C$5:$C$25,MATCH(H243,'Assumptions &amp; FX Reference'!$A$5:$A$25,0)),""))),"(FX missing)"))</f>
        <v/>
      </c>
      <c r="P243" s="30"/>
      <c r="Q243" s="30"/>
      <c r="R243" s="30"/>
      <c r="S243" s="30"/>
      <c r="T243" s="30"/>
      <c r="U243" s="30"/>
      <c r="V243" s="30"/>
    </row>
    <row r="244" spans="1:22">
      <c r="A244" s="30"/>
      <c r="B244" s="30"/>
      <c r="C244" s="33" t="str">
        <f>IF(B244="","",IFERROR(INDEX('Master Database'!$D$5:$D$600,MATCH(B244,'Master Database'!$A$5:$A$600,0)),"(row not found)"))</f>
        <v/>
      </c>
      <c r="D244" s="33" t="str">
        <f>IF(B244="","",IFERROR(INDEX('Master Database'!$B$5:$B$600,MATCH(B244,'Master Database'!$A$5:$A$600,0)),"(row not found)"))</f>
        <v/>
      </c>
      <c r="E244" s="30"/>
      <c r="F244" s="33" t="str">
        <f>IF(E244="","",IFERROR(INDEX(Vendor_Register!$B$5:$B$205,MATCH(E244,Vendor_Register!$A$5:$A$205,0)),"(not in register)"))</f>
        <v/>
      </c>
      <c r="G244" s="33" t="str">
        <f>IF(E244="","",IFERROR(INDEX(Vendor_Register!$E$5:$E$205,MATCH(E244,Vendor_Register!$A$5:$A$205,0)),"(not in register)"))</f>
        <v/>
      </c>
      <c r="H244" s="30"/>
      <c r="I244" s="30"/>
      <c r="J244" s="30"/>
      <c r="K244" s="30"/>
      <c r="L244" s="30"/>
      <c r="M244" s="34"/>
      <c r="N244" s="30"/>
      <c r="O244" s="35" t="str">
        <f>IF(NOT(ISNUMBER(M244)),"",IFERROR(IF(L244="EUR",M244,IF(L244="IRR",M244/INDEX('Assumptions &amp; FX Reference'!$C$5:$C$25,MATCH(H244,'Assumptions &amp; FX Reference'!$A$5:$A$25,0)),IF(L244="USD",M244*INDEX('Assumptions &amp; FX Reference'!$B$5:$B$25,MATCH(H244,'Assumptions &amp; FX Reference'!$A$5:$A$25,0))/INDEX('Assumptions &amp; FX Reference'!$C$5:$C$25,MATCH(H244,'Assumptions &amp; FX Reference'!$A$5:$A$25,0)),""))),"(FX missing)"))</f>
        <v/>
      </c>
      <c r="P244" s="30"/>
      <c r="Q244" s="30"/>
      <c r="R244" s="30"/>
      <c r="S244" s="30"/>
      <c r="T244" s="30"/>
      <c r="U244" s="30"/>
      <c r="V244" s="30"/>
    </row>
    <row r="245" spans="1:22">
      <c r="A245" s="30"/>
      <c r="B245" s="30"/>
      <c r="C245" s="33" t="str">
        <f>IF(B245="","",IFERROR(INDEX('Master Database'!$D$5:$D$600,MATCH(B245,'Master Database'!$A$5:$A$600,0)),"(row not found)"))</f>
        <v/>
      </c>
      <c r="D245" s="33" t="str">
        <f>IF(B245="","",IFERROR(INDEX('Master Database'!$B$5:$B$600,MATCH(B245,'Master Database'!$A$5:$A$600,0)),"(row not found)"))</f>
        <v/>
      </c>
      <c r="E245" s="30"/>
      <c r="F245" s="33" t="str">
        <f>IF(E245="","",IFERROR(INDEX(Vendor_Register!$B$5:$B$205,MATCH(E245,Vendor_Register!$A$5:$A$205,0)),"(not in register)"))</f>
        <v/>
      </c>
      <c r="G245" s="33" t="str">
        <f>IF(E245="","",IFERROR(INDEX(Vendor_Register!$E$5:$E$205,MATCH(E245,Vendor_Register!$A$5:$A$205,0)),"(not in register)"))</f>
        <v/>
      </c>
      <c r="H245" s="30"/>
      <c r="I245" s="30"/>
      <c r="J245" s="30"/>
      <c r="K245" s="30"/>
      <c r="L245" s="30"/>
      <c r="M245" s="34"/>
      <c r="N245" s="30"/>
      <c r="O245" s="35" t="str">
        <f>IF(NOT(ISNUMBER(M245)),"",IFERROR(IF(L245="EUR",M245,IF(L245="IRR",M245/INDEX('Assumptions &amp; FX Reference'!$C$5:$C$25,MATCH(H245,'Assumptions &amp; FX Reference'!$A$5:$A$25,0)),IF(L245="USD",M245*INDEX('Assumptions &amp; FX Reference'!$B$5:$B$25,MATCH(H245,'Assumptions &amp; FX Reference'!$A$5:$A$25,0))/INDEX('Assumptions &amp; FX Reference'!$C$5:$C$25,MATCH(H245,'Assumptions &amp; FX Reference'!$A$5:$A$25,0)),""))),"(FX missing)"))</f>
        <v/>
      </c>
      <c r="P245" s="30"/>
      <c r="Q245" s="30"/>
      <c r="R245" s="30"/>
      <c r="S245" s="30"/>
      <c r="T245" s="30"/>
      <c r="U245" s="30"/>
      <c r="V245" s="30"/>
    </row>
    <row r="246" spans="1:22">
      <c r="A246" s="30"/>
      <c r="B246" s="30"/>
      <c r="C246" s="33" t="str">
        <f>IF(B246="","",IFERROR(INDEX('Master Database'!$D$5:$D$600,MATCH(B246,'Master Database'!$A$5:$A$600,0)),"(row not found)"))</f>
        <v/>
      </c>
      <c r="D246" s="33" t="str">
        <f>IF(B246="","",IFERROR(INDEX('Master Database'!$B$5:$B$600,MATCH(B246,'Master Database'!$A$5:$A$600,0)),"(row not found)"))</f>
        <v/>
      </c>
      <c r="E246" s="30"/>
      <c r="F246" s="33" t="str">
        <f>IF(E246="","",IFERROR(INDEX(Vendor_Register!$B$5:$B$205,MATCH(E246,Vendor_Register!$A$5:$A$205,0)),"(not in register)"))</f>
        <v/>
      </c>
      <c r="G246" s="33" t="str">
        <f>IF(E246="","",IFERROR(INDEX(Vendor_Register!$E$5:$E$205,MATCH(E246,Vendor_Register!$A$5:$A$205,0)),"(not in register)"))</f>
        <v/>
      </c>
      <c r="H246" s="30"/>
      <c r="I246" s="30"/>
      <c r="J246" s="30"/>
      <c r="K246" s="30"/>
      <c r="L246" s="30"/>
      <c r="M246" s="34"/>
      <c r="N246" s="30"/>
      <c r="O246" s="35" t="str">
        <f>IF(NOT(ISNUMBER(M246)),"",IFERROR(IF(L246="EUR",M246,IF(L246="IRR",M246/INDEX('Assumptions &amp; FX Reference'!$C$5:$C$25,MATCH(H246,'Assumptions &amp; FX Reference'!$A$5:$A$25,0)),IF(L246="USD",M246*INDEX('Assumptions &amp; FX Reference'!$B$5:$B$25,MATCH(H246,'Assumptions &amp; FX Reference'!$A$5:$A$25,0))/INDEX('Assumptions &amp; FX Reference'!$C$5:$C$25,MATCH(H246,'Assumptions &amp; FX Reference'!$A$5:$A$25,0)),""))),"(FX missing)"))</f>
        <v/>
      </c>
      <c r="P246" s="30"/>
      <c r="Q246" s="30"/>
      <c r="R246" s="30"/>
      <c r="S246" s="30"/>
      <c r="T246" s="30"/>
      <c r="U246" s="30"/>
      <c r="V246" s="30"/>
    </row>
    <row r="247" spans="1:22">
      <c r="A247" s="30"/>
      <c r="B247" s="30"/>
      <c r="C247" s="33" t="str">
        <f>IF(B247="","",IFERROR(INDEX('Master Database'!$D$5:$D$600,MATCH(B247,'Master Database'!$A$5:$A$600,0)),"(row not found)"))</f>
        <v/>
      </c>
      <c r="D247" s="33" t="str">
        <f>IF(B247="","",IFERROR(INDEX('Master Database'!$B$5:$B$600,MATCH(B247,'Master Database'!$A$5:$A$600,0)),"(row not found)"))</f>
        <v/>
      </c>
      <c r="E247" s="30"/>
      <c r="F247" s="33" t="str">
        <f>IF(E247="","",IFERROR(INDEX(Vendor_Register!$B$5:$B$205,MATCH(E247,Vendor_Register!$A$5:$A$205,0)),"(not in register)"))</f>
        <v/>
      </c>
      <c r="G247" s="33" t="str">
        <f>IF(E247="","",IFERROR(INDEX(Vendor_Register!$E$5:$E$205,MATCH(E247,Vendor_Register!$A$5:$A$205,0)),"(not in register)"))</f>
        <v/>
      </c>
      <c r="H247" s="30"/>
      <c r="I247" s="30"/>
      <c r="J247" s="30"/>
      <c r="K247" s="30"/>
      <c r="L247" s="30"/>
      <c r="M247" s="34"/>
      <c r="N247" s="30"/>
      <c r="O247" s="35" t="str">
        <f>IF(NOT(ISNUMBER(M247)),"",IFERROR(IF(L247="EUR",M247,IF(L247="IRR",M247/INDEX('Assumptions &amp; FX Reference'!$C$5:$C$25,MATCH(H247,'Assumptions &amp; FX Reference'!$A$5:$A$25,0)),IF(L247="USD",M247*INDEX('Assumptions &amp; FX Reference'!$B$5:$B$25,MATCH(H247,'Assumptions &amp; FX Reference'!$A$5:$A$25,0))/INDEX('Assumptions &amp; FX Reference'!$C$5:$C$25,MATCH(H247,'Assumptions &amp; FX Reference'!$A$5:$A$25,0)),""))),"(FX missing)"))</f>
        <v/>
      </c>
      <c r="P247" s="30"/>
      <c r="Q247" s="30"/>
      <c r="R247" s="30"/>
      <c r="S247" s="30"/>
      <c r="T247" s="30"/>
      <c r="U247" s="30"/>
      <c r="V247" s="30"/>
    </row>
    <row r="248" spans="1:22">
      <c r="A248" s="30"/>
      <c r="B248" s="30"/>
      <c r="C248" s="33" t="str">
        <f>IF(B248="","",IFERROR(INDEX('Master Database'!$D$5:$D$600,MATCH(B248,'Master Database'!$A$5:$A$600,0)),"(row not found)"))</f>
        <v/>
      </c>
      <c r="D248" s="33" t="str">
        <f>IF(B248="","",IFERROR(INDEX('Master Database'!$B$5:$B$600,MATCH(B248,'Master Database'!$A$5:$A$600,0)),"(row not found)"))</f>
        <v/>
      </c>
      <c r="E248" s="30"/>
      <c r="F248" s="33" t="str">
        <f>IF(E248="","",IFERROR(INDEX(Vendor_Register!$B$5:$B$205,MATCH(E248,Vendor_Register!$A$5:$A$205,0)),"(not in register)"))</f>
        <v/>
      </c>
      <c r="G248" s="33" t="str">
        <f>IF(E248="","",IFERROR(INDEX(Vendor_Register!$E$5:$E$205,MATCH(E248,Vendor_Register!$A$5:$A$205,0)),"(not in register)"))</f>
        <v/>
      </c>
      <c r="H248" s="30"/>
      <c r="I248" s="30"/>
      <c r="J248" s="30"/>
      <c r="K248" s="30"/>
      <c r="L248" s="30"/>
      <c r="M248" s="34"/>
      <c r="N248" s="30"/>
      <c r="O248" s="35" t="str">
        <f>IF(NOT(ISNUMBER(M248)),"",IFERROR(IF(L248="EUR",M248,IF(L248="IRR",M248/INDEX('Assumptions &amp; FX Reference'!$C$5:$C$25,MATCH(H248,'Assumptions &amp; FX Reference'!$A$5:$A$25,0)),IF(L248="USD",M248*INDEX('Assumptions &amp; FX Reference'!$B$5:$B$25,MATCH(H248,'Assumptions &amp; FX Reference'!$A$5:$A$25,0))/INDEX('Assumptions &amp; FX Reference'!$C$5:$C$25,MATCH(H248,'Assumptions &amp; FX Reference'!$A$5:$A$25,0)),""))),"(FX missing)"))</f>
        <v/>
      </c>
      <c r="P248" s="30"/>
      <c r="Q248" s="30"/>
      <c r="R248" s="30"/>
      <c r="S248" s="30"/>
      <c r="T248" s="30"/>
      <c r="U248" s="30"/>
      <c r="V248" s="30"/>
    </row>
    <row r="249" spans="1:22">
      <c r="A249" s="30"/>
      <c r="B249" s="30"/>
      <c r="C249" s="33" t="str">
        <f>IF(B249="","",IFERROR(INDEX('Master Database'!$D$5:$D$600,MATCH(B249,'Master Database'!$A$5:$A$600,0)),"(row not found)"))</f>
        <v/>
      </c>
      <c r="D249" s="33" t="str">
        <f>IF(B249="","",IFERROR(INDEX('Master Database'!$B$5:$B$600,MATCH(B249,'Master Database'!$A$5:$A$600,0)),"(row not found)"))</f>
        <v/>
      </c>
      <c r="E249" s="30"/>
      <c r="F249" s="33" t="str">
        <f>IF(E249="","",IFERROR(INDEX(Vendor_Register!$B$5:$B$205,MATCH(E249,Vendor_Register!$A$5:$A$205,0)),"(not in register)"))</f>
        <v/>
      </c>
      <c r="G249" s="33" t="str">
        <f>IF(E249="","",IFERROR(INDEX(Vendor_Register!$E$5:$E$205,MATCH(E249,Vendor_Register!$A$5:$A$205,0)),"(not in register)"))</f>
        <v/>
      </c>
      <c r="H249" s="30"/>
      <c r="I249" s="30"/>
      <c r="J249" s="30"/>
      <c r="K249" s="30"/>
      <c r="L249" s="30"/>
      <c r="M249" s="34"/>
      <c r="N249" s="30"/>
      <c r="O249" s="35" t="str">
        <f>IF(NOT(ISNUMBER(M249)),"",IFERROR(IF(L249="EUR",M249,IF(L249="IRR",M249/INDEX('Assumptions &amp; FX Reference'!$C$5:$C$25,MATCH(H249,'Assumptions &amp; FX Reference'!$A$5:$A$25,0)),IF(L249="USD",M249*INDEX('Assumptions &amp; FX Reference'!$B$5:$B$25,MATCH(H249,'Assumptions &amp; FX Reference'!$A$5:$A$25,0))/INDEX('Assumptions &amp; FX Reference'!$C$5:$C$25,MATCH(H249,'Assumptions &amp; FX Reference'!$A$5:$A$25,0)),""))),"(FX missing)"))</f>
        <v/>
      </c>
      <c r="P249" s="30"/>
      <c r="Q249" s="30"/>
      <c r="R249" s="30"/>
      <c r="S249" s="30"/>
      <c r="T249" s="30"/>
      <c r="U249" s="30"/>
      <c r="V249" s="30"/>
    </row>
    <row r="250" spans="1:22">
      <c r="A250" s="30"/>
      <c r="B250" s="30"/>
      <c r="C250" s="33" t="str">
        <f>IF(B250="","",IFERROR(INDEX('Master Database'!$D$5:$D$600,MATCH(B250,'Master Database'!$A$5:$A$600,0)),"(row not found)"))</f>
        <v/>
      </c>
      <c r="D250" s="33" t="str">
        <f>IF(B250="","",IFERROR(INDEX('Master Database'!$B$5:$B$600,MATCH(B250,'Master Database'!$A$5:$A$600,0)),"(row not found)"))</f>
        <v/>
      </c>
      <c r="E250" s="30"/>
      <c r="F250" s="33" t="str">
        <f>IF(E250="","",IFERROR(INDEX(Vendor_Register!$B$5:$B$205,MATCH(E250,Vendor_Register!$A$5:$A$205,0)),"(not in register)"))</f>
        <v/>
      </c>
      <c r="G250" s="33" t="str">
        <f>IF(E250="","",IFERROR(INDEX(Vendor_Register!$E$5:$E$205,MATCH(E250,Vendor_Register!$A$5:$A$205,0)),"(not in register)"))</f>
        <v/>
      </c>
      <c r="H250" s="30"/>
      <c r="I250" s="30"/>
      <c r="J250" s="30"/>
      <c r="K250" s="30"/>
      <c r="L250" s="30"/>
      <c r="M250" s="34"/>
      <c r="N250" s="30"/>
      <c r="O250" s="35" t="str">
        <f>IF(NOT(ISNUMBER(M250)),"",IFERROR(IF(L250="EUR",M250,IF(L250="IRR",M250/INDEX('Assumptions &amp; FX Reference'!$C$5:$C$25,MATCH(H250,'Assumptions &amp; FX Reference'!$A$5:$A$25,0)),IF(L250="USD",M250*INDEX('Assumptions &amp; FX Reference'!$B$5:$B$25,MATCH(H250,'Assumptions &amp; FX Reference'!$A$5:$A$25,0))/INDEX('Assumptions &amp; FX Reference'!$C$5:$C$25,MATCH(H250,'Assumptions &amp; FX Reference'!$A$5:$A$25,0)),""))),"(FX missing)"))</f>
        <v/>
      </c>
      <c r="P250" s="30"/>
      <c r="Q250" s="30"/>
      <c r="R250" s="30"/>
      <c r="S250" s="30"/>
      <c r="T250" s="30"/>
      <c r="U250" s="30"/>
      <c r="V250" s="30"/>
    </row>
    <row r="251" spans="1:22">
      <c r="A251" s="30"/>
      <c r="B251" s="30"/>
      <c r="C251" s="33" t="str">
        <f>IF(B251="","",IFERROR(INDEX('Master Database'!$D$5:$D$600,MATCH(B251,'Master Database'!$A$5:$A$600,0)),"(row not found)"))</f>
        <v/>
      </c>
      <c r="D251" s="33" t="str">
        <f>IF(B251="","",IFERROR(INDEX('Master Database'!$B$5:$B$600,MATCH(B251,'Master Database'!$A$5:$A$600,0)),"(row not found)"))</f>
        <v/>
      </c>
      <c r="E251" s="30"/>
      <c r="F251" s="33" t="str">
        <f>IF(E251="","",IFERROR(INDEX(Vendor_Register!$B$5:$B$205,MATCH(E251,Vendor_Register!$A$5:$A$205,0)),"(not in register)"))</f>
        <v/>
      </c>
      <c r="G251" s="33" t="str">
        <f>IF(E251="","",IFERROR(INDEX(Vendor_Register!$E$5:$E$205,MATCH(E251,Vendor_Register!$A$5:$A$205,0)),"(not in register)"))</f>
        <v/>
      </c>
      <c r="H251" s="30"/>
      <c r="I251" s="30"/>
      <c r="J251" s="30"/>
      <c r="K251" s="30"/>
      <c r="L251" s="30"/>
      <c r="M251" s="34"/>
      <c r="N251" s="30"/>
      <c r="O251" s="35" t="str">
        <f>IF(NOT(ISNUMBER(M251)),"",IFERROR(IF(L251="EUR",M251,IF(L251="IRR",M251/INDEX('Assumptions &amp; FX Reference'!$C$5:$C$25,MATCH(H251,'Assumptions &amp; FX Reference'!$A$5:$A$25,0)),IF(L251="USD",M251*INDEX('Assumptions &amp; FX Reference'!$B$5:$B$25,MATCH(H251,'Assumptions &amp; FX Reference'!$A$5:$A$25,0))/INDEX('Assumptions &amp; FX Reference'!$C$5:$C$25,MATCH(H251,'Assumptions &amp; FX Reference'!$A$5:$A$25,0)),""))),"(FX missing)"))</f>
        <v/>
      </c>
      <c r="P251" s="30"/>
      <c r="Q251" s="30"/>
      <c r="R251" s="30"/>
      <c r="S251" s="30"/>
      <c r="T251" s="30"/>
      <c r="U251" s="30"/>
      <c r="V251" s="30"/>
    </row>
    <row r="252" spans="1:22">
      <c r="A252" s="30"/>
      <c r="B252" s="30"/>
      <c r="C252" s="33" t="str">
        <f>IF(B252="","",IFERROR(INDEX('Master Database'!$D$5:$D$600,MATCH(B252,'Master Database'!$A$5:$A$600,0)),"(row not found)"))</f>
        <v/>
      </c>
      <c r="D252" s="33" t="str">
        <f>IF(B252="","",IFERROR(INDEX('Master Database'!$B$5:$B$600,MATCH(B252,'Master Database'!$A$5:$A$600,0)),"(row not found)"))</f>
        <v/>
      </c>
      <c r="E252" s="30"/>
      <c r="F252" s="33" t="str">
        <f>IF(E252="","",IFERROR(INDEX(Vendor_Register!$B$5:$B$205,MATCH(E252,Vendor_Register!$A$5:$A$205,0)),"(not in register)"))</f>
        <v/>
      </c>
      <c r="G252" s="33" t="str">
        <f>IF(E252="","",IFERROR(INDEX(Vendor_Register!$E$5:$E$205,MATCH(E252,Vendor_Register!$A$5:$A$205,0)),"(not in register)"))</f>
        <v/>
      </c>
      <c r="H252" s="30"/>
      <c r="I252" s="30"/>
      <c r="J252" s="30"/>
      <c r="K252" s="30"/>
      <c r="L252" s="30"/>
      <c r="M252" s="34"/>
      <c r="N252" s="30"/>
      <c r="O252" s="35" t="str">
        <f>IF(NOT(ISNUMBER(M252)),"",IFERROR(IF(L252="EUR",M252,IF(L252="IRR",M252/INDEX('Assumptions &amp; FX Reference'!$C$5:$C$25,MATCH(H252,'Assumptions &amp; FX Reference'!$A$5:$A$25,0)),IF(L252="USD",M252*INDEX('Assumptions &amp; FX Reference'!$B$5:$B$25,MATCH(H252,'Assumptions &amp; FX Reference'!$A$5:$A$25,0))/INDEX('Assumptions &amp; FX Reference'!$C$5:$C$25,MATCH(H252,'Assumptions &amp; FX Reference'!$A$5:$A$25,0)),""))),"(FX missing)"))</f>
        <v/>
      </c>
      <c r="P252" s="30"/>
      <c r="Q252" s="30"/>
      <c r="R252" s="30"/>
      <c r="S252" s="30"/>
      <c r="T252" s="30"/>
      <c r="U252" s="30"/>
      <c r="V252" s="30"/>
    </row>
    <row r="253" spans="1:22">
      <c r="A253" s="30"/>
      <c r="B253" s="30"/>
      <c r="C253" s="33" t="str">
        <f>IF(B253="","",IFERROR(INDEX('Master Database'!$D$5:$D$600,MATCH(B253,'Master Database'!$A$5:$A$600,0)),"(row not found)"))</f>
        <v/>
      </c>
      <c r="D253" s="33" t="str">
        <f>IF(B253="","",IFERROR(INDEX('Master Database'!$B$5:$B$600,MATCH(B253,'Master Database'!$A$5:$A$600,0)),"(row not found)"))</f>
        <v/>
      </c>
      <c r="E253" s="30"/>
      <c r="F253" s="33" t="str">
        <f>IF(E253="","",IFERROR(INDEX(Vendor_Register!$B$5:$B$205,MATCH(E253,Vendor_Register!$A$5:$A$205,0)),"(not in register)"))</f>
        <v/>
      </c>
      <c r="G253" s="33" t="str">
        <f>IF(E253="","",IFERROR(INDEX(Vendor_Register!$E$5:$E$205,MATCH(E253,Vendor_Register!$A$5:$A$205,0)),"(not in register)"))</f>
        <v/>
      </c>
      <c r="H253" s="30"/>
      <c r="I253" s="30"/>
      <c r="J253" s="30"/>
      <c r="K253" s="30"/>
      <c r="L253" s="30"/>
      <c r="M253" s="34"/>
      <c r="N253" s="30"/>
      <c r="O253" s="35" t="str">
        <f>IF(NOT(ISNUMBER(M253)),"",IFERROR(IF(L253="EUR",M253,IF(L253="IRR",M253/INDEX('Assumptions &amp; FX Reference'!$C$5:$C$25,MATCH(H253,'Assumptions &amp; FX Reference'!$A$5:$A$25,0)),IF(L253="USD",M253*INDEX('Assumptions &amp; FX Reference'!$B$5:$B$25,MATCH(H253,'Assumptions &amp; FX Reference'!$A$5:$A$25,0))/INDEX('Assumptions &amp; FX Reference'!$C$5:$C$25,MATCH(H253,'Assumptions &amp; FX Reference'!$A$5:$A$25,0)),""))),"(FX missing)"))</f>
        <v/>
      </c>
      <c r="P253" s="30"/>
      <c r="Q253" s="30"/>
      <c r="R253" s="30"/>
      <c r="S253" s="30"/>
      <c r="T253" s="30"/>
      <c r="U253" s="30"/>
      <c r="V253" s="30"/>
    </row>
    <row r="254" spans="1:22">
      <c r="A254" s="30"/>
      <c r="B254" s="30"/>
      <c r="C254" s="33" t="str">
        <f>IF(B254="","",IFERROR(INDEX('Master Database'!$D$5:$D$600,MATCH(B254,'Master Database'!$A$5:$A$600,0)),"(row not found)"))</f>
        <v/>
      </c>
      <c r="D254" s="33" t="str">
        <f>IF(B254="","",IFERROR(INDEX('Master Database'!$B$5:$B$600,MATCH(B254,'Master Database'!$A$5:$A$600,0)),"(row not found)"))</f>
        <v/>
      </c>
      <c r="E254" s="30"/>
      <c r="F254" s="33" t="str">
        <f>IF(E254="","",IFERROR(INDEX(Vendor_Register!$B$5:$B$205,MATCH(E254,Vendor_Register!$A$5:$A$205,0)),"(not in register)"))</f>
        <v/>
      </c>
      <c r="G254" s="33" t="str">
        <f>IF(E254="","",IFERROR(INDEX(Vendor_Register!$E$5:$E$205,MATCH(E254,Vendor_Register!$A$5:$A$205,0)),"(not in register)"))</f>
        <v/>
      </c>
      <c r="H254" s="30"/>
      <c r="I254" s="30"/>
      <c r="J254" s="30"/>
      <c r="K254" s="30"/>
      <c r="L254" s="30"/>
      <c r="M254" s="34"/>
      <c r="N254" s="30"/>
      <c r="O254" s="35" t="str">
        <f>IF(NOT(ISNUMBER(M254)),"",IFERROR(IF(L254="EUR",M254,IF(L254="IRR",M254/INDEX('Assumptions &amp; FX Reference'!$C$5:$C$25,MATCH(H254,'Assumptions &amp; FX Reference'!$A$5:$A$25,0)),IF(L254="USD",M254*INDEX('Assumptions &amp; FX Reference'!$B$5:$B$25,MATCH(H254,'Assumptions &amp; FX Reference'!$A$5:$A$25,0))/INDEX('Assumptions &amp; FX Reference'!$C$5:$C$25,MATCH(H254,'Assumptions &amp; FX Reference'!$A$5:$A$25,0)),""))),"(FX missing)"))</f>
        <v/>
      </c>
      <c r="P254" s="30"/>
      <c r="Q254" s="30"/>
      <c r="R254" s="30"/>
      <c r="S254" s="30"/>
      <c r="T254" s="30"/>
      <c r="U254" s="30"/>
      <c r="V254" s="30"/>
    </row>
    <row r="255" spans="1:22">
      <c r="A255" s="30"/>
      <c r="B255" s="30"/>
      <c r="C255" s="33" t="str">
        <f>IF(B255="","",IFERROR(INDEX('Master Database'!$D$5:$D$600,MATCH(B255,'Master Database'!$A$5:$A$600,0)),"(row not found)"))</f>
        <v/>
      </c>
      <c r="D255" s="33" t="str">
        <f>IF(B255="","",IFERROR(INDEX('Master Database'!$B$5:$B$600,MATCH(B255,'Master Database'!$A$5:$A$600,0)),"(row not found)"))</f>
        <v/>
      </c>
      <c r="E255" s="30"/>
      <c r="F255" s="33" t="str">
        <f>IF(E255="","",IFERROR(INDEX(Vendor_Register!$B$5:$B$205,MATCH(E255,Vendor_Register!$A$5:$A$205,0)),"(not in register)"))</f>
        <v/>
      </c>
      <c r="G255" s="33" t="str">
        <f>IF(E255="","",IFERROR(INDEX(Vendor_Register!$E$5:$E$205,MATCH(E255,Vendor_Register!$A$5:$A$205,0)),"(not in register)"))</f>
        <v/>
      </c>
      <c r="H255" s="30"/>
      <c r="I255" s="30"/>
      <c r="J255" s="30"/>
      <c r="K255" s="30"/>
      <c r="L255" s="30"/>
      <c r="M255" s="34"/>
      <c r="N255" s="30"/>
      <c r="O255" s="35" t="str">
        <f>IF(NOT(ISNUMBER(M255)),"",IFERROR(IF(L255="EUR",M255,IF(L255="IRR",M255/INDEX('Assumptions &amp; FX Reference'!$C$5:$C$25,MATCH(H255,'Assumptions &amp; FX Reference'!$A$5:$A$25,0)),IF(L255="USD",M255*INDEX('Assumptions &amp; FX Reference'!$B$5:$B$25,MATCH(H255,'Assumptions &amp; FX Reference'!$A$5:$A$25,0))/INDEX('Assumptions &amp; FX Reference'!$C$5:$C$25,MATCH(H255,'Assumptions &amp; FX Reference'!$A$5:$A$25,0)),""))),"(FX missing)"))</f>
        <v/>
      </c>
      <c r="P255" s="30"/>
      <c r="Q255" s="30"/>
      <c r="R255" s="30"/>
      <c r="S255" s="30"/>
      <c r="T255" s="30"/>
      <c r="U255" s="30"/>
      <c r="V255" s="30"/>
    </row>
    <row r="256" spans="1:22">
      <c r="A256" s="30"/>
      <c r="B256" s="30"/>
      <c r="C256" s="33" t="str">
        <f>IF(B256="","",IFERROR(INDEX('Master Database'!$D$5:$D$600,MATCH(B256,'Master Database'!$A$5:$A$600,0)),"(row not found)"))</f>
        <v/>
      </c>
      <c r="D256" s="33" t="str">
        <f>IF(B256="","",IFERROR(INDEX('Master Database'!$B$5:$B$600,MATCH(B256,'Master Database'!$A$5:$A$600,0)),"(row not found)"))</f>
        <v/>
      </c>
      <c r="E256" s="30"/>
      <c r="F256" s="33" t="str">
        <f>IF(E256="","",IFERROR(INDEX(Vendor_Register!$B$5:$B$205,MATCH(E256,Vendor_Register!$A$5:$A$205,0)),"(not in register)"))</f>
        <v/>
      </c>
      <c r="G256" s="33" t="str">
        <f>IF(E256="","",IFERROR(INDEX(Vendor_Register!$E$5:$E$205,MATCH(E256,Vendor_Register!$A$5:$A$205,0)),"(not in register)"))</f>
        <v/>
      </c>
      <c r="H256" s="30"/>
      <c r="I256" s="30"/>
      <c r="J256" s="30"/>
      <c r="K256" s="30"/>
      <c r="L256" s="30"/>
      <c r="M256" s="34"/>
      <c r="N256" s="30"/>
      <c r="O256" s="35" t="str">
        <f>IF(NOT(ISNUMBER(M256)),"",IFERROR(IF(L256="EUR",M256,IF(L256="IRR",M256/INDEX('Assumptions &amp; FX Reference'!$C$5:$C$25,MATCH(H256,'Assumptions &amp; FX Reference'!$A$5:$A$25,0)),IF(L256="USD",M256*INDEX('Assumptions &amp; FX Reference'!$B$5:$B$25,MATCH(H256,'Assumptions &amp; FX Reference'!$A$5:$A$25,0))/INDEX('Assumptions &amp; FX Reference'!$C$5:$C$25,MATCH(H256,'Assumptions &amp; FX Reference'!$A$5:$A$25,0)),""))),"(FX missing)"))</f>
        <v/>
      </c>
      <c r="P256" s="30"/>
      <c r="Q256" s="30"/>
      <c r="R256" s="30"/>
      <c r="S256" s="30"/>
      <c r="T256" s="30"/>
      <c r="U256" s="30"/>
      <c r="V256" s="30"/>
    </row>
    <row r="257" spans="1:22">
      <c r="A257" s="30"/>
      <c r="B257" s="30"/>
      <c r="C257" s="33" t="str">
        <f>IF(B257="","",IFERROR(INDEX('Master Database'!$D$5:$D$600,MATCH(B257,'Master Database'!$A$5:$A$600,0)),"(row not found)"))</f>
        <v/>
      </c>
      <c r="D257" s="33" t="str">
        <f>IF(B257="","",IFERROR(INDEX('Master Database'!$B$5:$B$600,MATCH(B257,'Master Database'!$A$5:$A$600,0)),"(row not found)"))</f>
        <v/>
      </c>
      <c r="E257" s="30"/>
      <c r="F257" s="33" t="str">
        <f>IF(E257="","",IFERROR(INDEX(Vendor_Register!$B$5:$B$205,MATCH(E257,Vendor_Register!$A$5:$A$205,0)),"(not in register)"))</f>
        <v/>
      </c>
      <c r="G257" s="33" t="str">
        <f>IF(E257="","",IFERROR(INDEX(Vendor_Register!$E$5:$E$205,MATCH(E257,Vendor_Register!$A$5:$A$205,0)),"(not in register)"))</f>
        <v/>
      </c>
      <c r="H257" s="30"/>
      <c r="I257" s="30"/>
      <c r="J257" s="30"/>
      <c r="K257" s="30"/>
      <c r="L257" s="30"/>
      <c r="M257" s="34"/>
      <c r="N257" s="30"/>
      <c r="O257" s="35" t="str">
        <f>IF(NOT(ISNUMBER(M257)),"",IFERROR(IF(L257="EUR",M257,IF(L257="IRR",M257/INDEX('Assumptions &amp; FX Reference'!$C$5:$C$25,MATCH(H257,'Assumptions &amp; FX Reference'!$A$5:$A$25,0)),IF(L257="USD",M257*INDEX('Assumptions &amp; FX Reference'!$B$5:$B$25,MATCH(H257,'Assumptions &amp; FX Reference'!$A$5:$A$25,0))/INDEX('Assumptions &amp; FX Reference'!$C$5:$C$25,MATCH(H257,'Assumptions &amp; FX Reference'!$A$5:$A$25,0)),""))),"(FX missing)"))</f>
        <v/>
      </c>
      <c r="P257" s="30"/>
      <c r="Q257" s="30"/>
      <c r="R257" s="30"/>
      <c r="S257" s="30"/>
      <c r="T257" s="30"/>
      <c r="U257" s="30"/>
      <c r="V257" s="30"/>
    </row>
    <row r="258" spans="1:22">
      <c r="A258" s="30"/>
      <c r="B258" s="30"/>
      <c r="C258" s="33" t="str">
        <f>IF(B258="","",IFERROR(INDEX('Master Database'!$D$5:$D$600,MATCH(B258,'Master Database'!$A$5:$A$600,0)),"(row not found)"))</f>
        <v/>
      </c>
      <c r="D258" s="33" t="str">
        <f>IF(B258="","",IFERROR(INDEX('Master Database'!$B$5:$B$600,MATCH(B258,'Master Database'!$A$5:$A$600,0)),"(row not found)"))</f>
        <v/>
      </c>
      <c r="E258" s="30"/>
      <c r="F258" s="33" t="str">
        <f>IF(E258="","",IFERROR(INDEX(Vendor_Register!$B$5:$B$205,MATCH(E258,Vendor_Register!$A$5:$A$205,0)),"(not in register)"))</f>
        <v/>
      </c>
      <c r="G258" s="33" t="str">
        <f>IF(E258="","",IFERROR(INDEX(Vendor_Register!$E$5:$E$205,MATCH(E258,Vendor_Register!$A$5:$A$205,0)),"(not in register)"))</f>
        <v/>
      </c>
      <c r="H258" s="30"/>
      <c r="I258" s="30"/>
      <c r="J258" s="30"/>
      <c r="K258" s="30"/>
      <c r="L258" s="30"/>
      <c r="M258" s="34"/>
      <c r="N258" s="30"/>
      <c r="O258" s="35" t="str">
        <f>IF(NOT(ISNUMBER(M258)),"",IFERROR(IF(L258="EUR",M258,IF(L258="IRR",M258/INDEX('Assumptions &amp; FX Reference'!$C$5:$C$25,MATCH(H258,'Assumptions &amp; FX Reference'!$A$5:$A$25,0)),IF(L258="USD",M258*INDEX('Assumptions &amp; FX Reference'!$B$5:$B$25,MATCH(H258,'Assumptions &amp; FX Reference'!$A$5:$A$25,0))/INDEX('Assumptions &amp; FX Reference'!$C$5:$C$25,MATCH(H258,'Assumptions &amp; FX Reference'!$A$5:$A$25,0)),""))),"(FX missing)"))</f>
        <v/>
      </c>
      <c r="P258" s="30"/>
      <c r="Q258" s="30"/>
      <c r="R258" s="30"/>
      <c r="S258" s="30"/>
      <c r="T258" s="30"/>
      <c r="U258" s="30"/>
      <c r="V258" s="30"/>
    </row>
    <row r="259" spans="1:22">
      <c r="A259" s="30"/>
      <c r="B259" s="30"/>
      <c r="C259" s="33" t="str">
        <f>IF(B259="","",IFERROR(INDEX('Master Database'!$D$5:$D$600,MATCH(B259,'Master Database'!$A$5:$A$600,0)),"(row not found)"))</f>
        <v/>
      </c>
      <c r="D259" s="33" t="str">
        <f>IF(B259="","",IFERROR(INDEX('Master Database'!$B$5:$B$600,MATCH(B259,'Master Database'!$A$5:$A$600,0)),"(row not found)"))</f>
        <v/>
      </c>
      <c r="E259" s="30"/>
      <c r="F259" s="33" t="str">
        <f>IF(E259="","",IFERROR(INDEX(Vendor_Register!$B$5:$B$205,MATCH(E259,Vendor_Register!$A$5:$A$205,0)),"(not in register)"))</f>
        <v/>
      </c>
      <c r="G259" s="33" t="str">
        <f>IF(E259="","",IFERROR(INDEX(Vendor_Register!$E$5:$E$205,MATCH(E259,Vendor_Register!$A$5:$A$205,0)),"(not in register)"))</f>
        <v/>
      </c>
      <c r="H259" s="30"/>
      <c r="I259" s="30"/>
      <c r="J259" s="30"/>
      <c r="K259" s="30"/>
      <c r="L259" s="30"/>
      <c r="M259" s="34"/>
      <c r="N259" s="30"/>
      <c r="O259" s="35" t="str">
        <f>IF(NOT(ISNUMBER(M259)),"",IFERROR(IF(L259="EUR",M259,IF(L259="IRR",M259/INDEX('Assumptions &amp; FX Reference'!$C$5:$C$25,MATCH(H259,'Assumptions &amp; FX Reference'!$A$5:$A$25,0)),IF(L259="USD",M259*INDEX('Assumptions &amp; FX Reference'!$B$5:$B$25,MATCH(H259,'Assumptions &amp; FX Reference'!$A$5:$A$25,0))/INDEX('Assumptions &amp; FX Reference'!$C$5:$C$25,MATCH(H259,'Assumptions &amp; FX Reference'!$A$5:$A$25,0)),""))),"(FX missing)"))</f>
        <v/>
      </c>
      <c r="P259" s="30"/>
      <c r="Q259" s="30"/>
      <c r="R259" s="30"/>
      <c r="S259" s="30"/>
      <c r="T259" s="30"/>
      <c r="U259" s="30"/>
      <c r="V259" s="30"/>
    </row>
    <row r="260" spans="1:22">
      <c r="A260" s="30"/>
      <c r="B260" s="30"/>
      <c r="C260" s="33" t="str">
        <f>IF(B260="","",IFERROR(INDEX('Master Database'!$D$5:$D$600,MATCH(B260,'Master Database'!$A$5:$A$600,0)),"(row not found)"))</f>
        <v/>
      </c>
      <c r="D260" s="33" t="str">
        <f>IF(B260="","",IFERROR(INDEX('Master Database'!$B$5:$B$600,MATCH(B260,'Master Database'!$A$5:$A$600,0)),"(row not found)"))</f>
        <v/>
      </c>
      <c r="E260" s="30"/>
      <c r="F260" s="33" t="str">
        <f>IF(E260="","",IFERROR(INDEX(Vendor_Register!$B$5:$B$205,MATCH(E260,Vendor_Register!$A$5:$A$205,0)),"(not in register)"))</f>
        <v/>
      </c>
      <c r="G260" s="33" t="str">
        <f>IF(E260="","",IFERROR(INDEX(Vendor_Register!$E$5:$E$205,MATCH(E260,Vendor_Register!$A$5:$A$205,0)),"(not in register)"))</f>
        <v/>
      </c>
      <c r="H260" s="30"/>
      <c r="I260" s="30"/>
      <c r="J260" s="30"/>
      <c r="K260" s="30"/>
      <c r="L260" s="30"/>
      <c r="M260" s="34"/>
      <c r="N260" s="30"/>
      <c r="O260" s="35" t="str">
        <f>IF(NOT(ISNUMBER(M260)),"",IFERROR(IF(L260="EUR",M260,IF(L260="IRR",M260/INDEX('Assumptions &amp; FX Reference'!$C$5:$C$25,MATCH(H260,'Assumptions &amp; FX Reference'!$A$5:$A$25,0)),IF(L260="USD",M260*INDEX('Assumptions &amp; FX Reference'!$B$5:$B$25,MATCH(H260,'Assumptions &amp; FX Reference'!$A$5:$A$25,0))/INDEX('Assumptions &amp; FX Reference'!$C$5:$C$25,MATCH(H260,'Assumptions &amp; FX Reference'!$A$5:$A$25,0)),""))),"(FX missing)"))</f>
        <v/>
      </c>
      <c r="P260" s="30"/>
      <c r="Q260" s="30"/>
      <c r="R260" s="30"/>
      <c r="S260" s="30"/>
      <c r="T260" s="30"/>
      <c r="U260" s="30"/>
      <c r="V260" s="30"/>
    </row>
    <row r="261" spans="1:22">
      <c r="A261" s="30"/>
      <c r="B261" s="30"/>
      <c r="C261" s="33" t="str">
        <f>IF(B261="","",IFERROR(INDEX('Master Database'!$D$5:$D$600,MATCH(B261,'Master Database'!$A$5:$A$600,0)),"(row not found)"))</f>
        <v/>
      </c>
      <c r="D261" s="33" t="str">
        <f>IF(B261="","",IFERROR(INDEX('Master Database'!$B$5:$B$600,MATCH(B261,'Master Database'!$A$5:$A$600,0)),"(row not found)"))</f>
        <v/>
      </c>
      <c r="E261" s="30"/>
      <c r="F261" s="33" t="str">
        <f>IF(E261="","",IFERROR(INDEX(Vendor_Register!$B$5:$B$205,MATCH(E261,Vendor_Register!$A$5:$A$205,0)),"(not in register)"))</f>
        <v/>
      </c>
      <c r="G261" s="33" t="str">
        <f>IF(E261="","",IFERROR(INDEX(Vendor_Register!$E$5:$E$205,MATCH(E261,Vendor_Register!$A$5:$A$205,0)),"(not in register)"))</f>
        <v/>
      </c>
      <c r="H261" s="30"/>
      <c r="I261" s="30"/>
      <c r="J261" s="30"/>
      <c r="K261" s="30"/>
      <c r="L261" s="30"/>
      <c r="M261" s="34"/>
      <c r="N261" s="30"/>
      <c r="O261" s="35" t="str">
        <f>IF(NOT(ISNUMBER(M261)),"",IFERROR(IF(L261="EUR",M261,IF(L261="IRR",M261/INDEX('Assumptions &amp; FX Reference'!$C$5:$C$25,MATCH(H261,'Assumptions &amp; FX Reference'!$A$5:$A$25,0)),IF(L261="USD",M261*INDEX('Assumptions &amp; FX Reference'!$B$5:$B$25,MATCH(H261,'Assumptions &amp; FX Reference'!$A$5:$A$25,0))/INDEX('Assumptions &amp; FX Reference'!$C$5:$C$25,MATCH(H261,'Assumptions &amp; FX Reference'!$A$5:$A$25,0)),""))),"(FX missing)"))</f>
        <v/>
      </c>
      <c r="P261" s="30"/>
      <c r="Q261" s="30"/>
      <c r="R261" s="30"/>
      <c r="S261" s="30"/>
      <c r="T261" s="30"/>
      <c r="U261" s="30"/>
      <c r="V261" s="30"/>
    </row>
    <row r="262" spans="1:22">
      <c r="A262" s="30"/>
      <c r="B262" s="30"/>
      <c r="C262" s="33" t="str">
        <f>IF(B262="","",IFERROR(INDEX('Master Database'!$D$5:$D$600,MATCH(B262,'Master Database'!$A$5:$A$600,0)),"(row not found)"))</f>
        <v/>
      </c>
      <c r="D262" s="33" t="str">
        <f>IF(B262="","",IFERROR(INDEX('Master Database'!$B$5:$B$600,MATCH(B262,'Master Database'!$A$5:$A$600,0)),"(row not found)"))</f>
        <v/>
      </c>
      <c r="E262" s="30"/>
      <c r="F262" s="33" t="str">
        <f>IF(E262="","",IFERROR(INDEX(Vendor_Register!$B$5:$B$205,MATCH(E262,Vendor_Register!$A$5:$A$205,0)),"(not in register)"))</f>
        <v/>
      </c>
      <c r="G262" s="33" t="str">
        <f>IF(E262="","",IFERROR(INDEX(Vendor_Register!$E$5:$E$205,MATCH(E262,Vendor_Register!$A$5:$A$205,0)),"(not in register)"))</f>
        <v/>
      </c>
      <c r="H262" s="30"/>
      <c r="I262" s="30"/>
      <c r="J262" s="30"/>
      <c r="K262" s="30"/>
      <c r="L262" s="30"/>
      <c r="M262" s="34"/>
      <c r="N262" s="30"/>
      <c r="O262" s="35" t="str">
        <f>IF(NOT(ISNUMBER(M262)),"",IFERROR(IF(L262="EUR",M262,IF(L262="IRR",M262/INDEX('Assumptions &amp; FX Reference'!$C$5:$C$25,MATCH(H262,'Assumptions &amp; FX Reference'!$A$5:$A$25,0)),IF(L262="USD",M262*INDEX('Assumptions &amp; FX Reference'!$B$5:$B$25,MATCH(H262,'Assumptions &amp; FX Reference'!$A$5:$A$25,0))/INDEX('Assumptions &amp; FX Reference'!$C$5:$C$25,MATCH(H262,'Assumptions &amp; FX Reference'!$A$5:$A$25,0)),""))),"(FX missing)"))</f>
        <v/>
      </c>
      <c r="P262" s="30"/>
      <c r="Q262" s="30"/>
      <c r="R262" s="30"/>
      <c r="S262" s="30"/>
      <c r="T262" s="30"/>
      <c r="U262" s="30"/>
      <c r="V262" s="30"/>
    </row>
    <row r="263" spans="1:22">
      <c r="A263" s="30"/>
      <c r="B263" s="30"/>
      <c r="C263" s="33" t="str">
        <f>IF(B263="","",IFERROR(INDEX('Master Database'!$D$5:$D$600,MATCH(B263,'Master Database'!$A$5:$A$600,0)),"(row not found)"))</f>
        <v/>
      </c>
      <c r="D263" s="33" t="str">
        <f>IF(B263="","",IFERROR(INDEX('Master Database'!$B$5:$B$600,MATCH(B263,'Master Database'!$A$5:$A$600,0)),"(row not found)"))</f>
        <v/>
      </c>
      <c r="E263" s="30"/>
      <c r="F263" s="33" t="str">
        <f>IF(E263="","",IFERROR(INDEX(Vendor_Register!$B$5:$B$205,MATCH(E263,Vendor_Register!$A$5:$A$205,0)),"(not in register)"))</f>
        <v/>
      </c>
      <c r="G263" s="33" t="str">
        <f>IF(E263="","",IFERROR(INDEX(Vendor_Register!$E$5:$E$205,MATCH(E263,Vendor_Register!$A$5:$A$205,0)),"(not in register)"))</f>
        <v/>
      </c>
      <c r="H263" s="30"/>
      <c r="I263" s="30"/>
      <c r="J263" s="30"/>
      <c r="K263" s="30"/>
      <c r="L263" s="30"/>
      <c r="M263" s="34"/>
      <c r="N263" s="30"/>
      <c r="O263" s="35" t="str">
        <f>IF(NOT(ISNUMBER(M263)),"",IFERROR(IF(L263="EUR",M263,IF(L263="IRR",M263/INDEX('Assumptions &amp; FX Reference'!$C$5:$C$25,MATCH(H263,'Assumptions &amp; FX Reference'!$A$5:$A$25,0)),IF(L263="USD",M263*INDEX('Assumptions &amp; FX Reference'!$B$5:$B$25,MATCH(H263,'Assumptions &amp; FX Reference'!$A$5:$A$25,0))/INDEX('Assumptions &amp; FX Reference'!$C$5:$C$25,MATCH(H263,'Assumptions &amp; FX Reference'!$A$5:$A$25,0)),""))),"(FX missing)"))</f>
        <v/>
      </c>
      <c r="P263" s="30"/>
      <c r="Q263" s="30"/>
      <c r="R263" s="30"/>
      <c r="S263" s="30"/>
      <c r="T263" s="30"/>
      <c r="U263" s="30"/>
      <c r="V263" s="30"/>
    </row>
    <row r="264" spans="1:22">
      <c r="A264" s="30"/>
      <c r="B264" s="30"/>
      <c r="C264" s="33" t="str">
        <f>IF(B264="","",IFERROR(INDEX('Master Database'!$D$5:$D$600,MATCH(B264,'Master Database'!$A$5:$A$600,0)),"(row not found)"))</f>
        <v/>
      </c>
      <c r="D264" s="33" t="str">
        <f>IF(B264="","",IFERROR(INDEX('Master Database'!$B$5:$B$600,MATCH(B264,'Master Database'!$A$5:$A$600,0)),"(row not found)"))</f>
        <v/>
      </c>
      <c r="E264" s="30"/>
      <c r="F264" s="33" t="str">
        <f>IF(E264="","",IFERROR(INDEX(Vendor_Register!$B$5:$B$205,MATCH(E264,Vendor_Register!$A$5:$A$205,0)),"(not in register)"))</f>
        <v/>
      </c>
      <c r="G264" s="33" t="str">
        <f>IF(E264="","",IFERROR(INDEX(Vendor_Register!$E$5:$E$205,MATCH(E264,Vendor_Register!$A$5:$A$205,0)),"(not in register)"))</f>
        <v/>
      </c>
      <c r="H264" s="30"/>
      <c r="I264" s="30"/>
      <c r="J264" s="30"/>
      <c r="K264" s="30"/>
      <c r="L264" s="30"/>
      <c r="M264" s="34"/>
      <c r="N264" s="30"/>
      <c r="O264" s="35" t="str">
        <f>IF(NOT(ISNUMBER(M264)),"",IFERROR(IF(L264="EUR",M264,IF(L264="IRR",M264/INDEX('Assumptions &amp; FX Reference'!$C$5:$C$25,MATCH(H264,'Assumptions &amp; FX Reference'!$A$5:$A$25,0)),IF(L264="USD",M264*INDEX('Assumptions &amp; FX Reference'!$B$5:$B$25,MATCH(H264,'Assumptions &amp; FX Reference'!$A$5:$A$25,0))/INDEX('Assumptions &amp; FX Reference'!$C$5:$C$25,MATCH(H264,'Assumptions &amp; FX Reference'!$A$5:$A$25,0)),""))),"(FX missing)"))</f>
        <v/>
      </c>
      <c r="P264" s="30"/>
      <c r="Q264" s="30"/>
      <c r="R264" s="30"/>
      <c r="S264" s="30"/>
      <c r="T264" s="30"/>
      <c r="U264" s="30"/>
      <c r="V264" s="30"/>
    </row>
    <row r="265" spans="1:22">
      <c r="A265" s="30"/>
      <c r="B265" s="30"/>
      <c r="C265" s="33" t="str">
        <f>IF(B265="","",IFERROR(INDEX('Master Database'!$D$5:$D$600,MATCH(B265,'Master Database'!$A$5:$A$600,0)),"(row not found)"))</f>
        <v/>
      </c>
      <c r="D265" s="33" t="str">
        <f>IF(B265="","",IFERROR(INDEX('Master Database'!$B$5:$B$600,MATCH(B265,'Master Database'!$A$5:$A$600,0)),"(row not found)"))</f>
        <v/>
      </c>
      <c r="E265" s="30"/>
      <c r="F265" s="33" t="str">
        <f>IF(E265="","",IFERROR(INDEX(Vendor_Register!$B$5:$B$205,MATCH(E265,Vendor_Register!$A$5:$A$205,0)),"(not in register)"))</f>
        <v/>
      </c>
      <c r="G265" s="33" t="str">
        <f>IF(E265="","",IFERROR(INDEX(Vendor_Register!$E$5:$E$205,MATCH(E265,Vendor_Register!$A$5:$A$205,0)),"(not in register)"))</f>
        <v/>
      </c>
      <c r="H265" s="30"/>
      <c r="I265" s="30"/>
      <c r="J265" s="30"/>
      <c r="K265" s="30"/>
      <c r="L265" s="30"/>
      <c r="M265" s="34"/>
      <c r="N265" s="30"/>
      <c r="O265" s="35" t="str">
        <f>IF(NOT(ISNUMBER(M265)),"",IFERROR(IF(L265="EUR",M265,IF(L265="IRR",M265/INDEX('Assumptions &amp; FX Reference'!$C$5:$C$25,MATCH(H265,'Assumptions &amp; FX Reference'!$A$5:$A$25,0)),IF(L265="USD",M265*INDEX('Assumptions &amp; FX Reference'!$B$5:$B$25,MATCH(H265,'Assumptions &amp; FX Reference'!$A$5:$A$25,0))/INDEX('Assumptions &amp; FX Reference'!$C$5:$C$25,MATCH(H265,'Assumptions &amp; FX Reference'!$A$5:$A$25,0)),""))),"(FX missing)"))</f>
        <v/>
      </c>
      <c r="P265" s="30"/>
      <c r="Q265" s="30"/>
      <c r="R265" s="30"/>
      <c r="S265" s="30"/>
      <c r="T265" s="30"/>
      <c r="U265" s="30"/>
      <c r="V265" s="30"/>
    </row>
    <row r="266" spans="1:22">
      <c r="A266" s="30"/>
      <c r="B266" s="30"/>
      <c r="C266" s="33" t="str">
        <f>IF(B266="","",IFERROR(INDEX('Master Database'!$D$5:$D$600,MATCH(B266,'Master Database'!$A$5:$A$600,0)),"(row not found)"))</f>
        <v/>
      </c>
      <c r="D266" s="33" t="str">
        <f>IF(B266="","",IFERROR(INDEX('Master Database'!$B$5:$B$600,MATCH(B266,'Master Database'!$A$5:$A$600,0)),"(row not found)"))</f>
        <v/>
      </c>
      <c r="E266" s="30"/>
      <c r="F266" s="33" t="str">
        <f>IF(E266="","",IFERROR(INDEX(Vendor_Register!$B$5:$B$205,MATCH(E266,Vendor_Register!$A$5:$A$205,0)),"(not in register)"))</f>
        <v/>
      </c>
      <c r="G266" s="33" t="str">
        <f>IF(E266="","",IFERROR(INDEX(Vendor_Register!$E$5:$E$205,MATCH(E266,Vendor_Register!$A$5:$A$205,0)),"(not in register)"))</f>
        <v/>
      </c>
      <c r="H266" s="30"/>
      <c r="I266" s="30"/>
      <c r="J266" s="30"/>
      <c r="K266" s="30"/>
      <c r="L266" s="30"/>
      <c r="M266" s="34"/>
      <c r="N266" s="30"/>
      <c r="O266" s="35" t="str">
        <f>IF(NOT(ISNUMBER(M266)),"",IFERROR(IF(L266="EUR",M266,IF(L266="IRR",M266/INDEX('Assumptions &amp; FX Reference'!$C$5:$C$25,MATCH(H266,'Assumptions &amp; FX Reference'!$A$5:$A$25,0)),IF(L266="USD",M266*INDEX('Assumptions &amp; FX Reference'!$B$5:$B$25,MATCH(H266,'Assumptions &amp; FX Reference'!$A$5:$A$25,0))/INDEX('Assumptions &amp; FX Reference'!$C$5:$C$25,MATCH(H266,'Assumptions &amp; FX Reference'!$A$5:$A$25,0)),""))),"(FX missing)"))</f>
        <v/>
      </c>
      <c r="P266" s="30"/>
      <c r="Q266" s="30"/>
      <c r="R266" s="30"/>
      <c r="S266" s="30"/>
      <c r="T266" s="30"/>
      <c r="U266" s="30"/>
      <c r="V266" s="30"/>
    </row>
    <row r="267" spans="1:22">
      <c r="A267" s="30"/>
      <c r="B267" s="30"/>
      <c r="C267" s="33" t="str">
        <f>IF(B267="","",IFERROR(INDEX('Master Database'!$D$5:$D$600,MATCH(B267,'Master Database'!$A$5:$A$600,0)),"(row not found)"))</f>
        <v/>
      </c>
      <c r="D267" s="33" t="str">
        <f>IF(B267="","",IFERROR(INDEX('Master Database'!$B$5:$B$600,MATCH(B267,'Master Database'!$A$5:$A$600,0)),"(row not found)"))</f>
        <v/>
      </c>
      <c r="E267" s="30"/>
      <c r="F267" s="33" t="str">
        <f>IF(E267="","",IFERROR(INDEX(Vendor_Register!$B$5:$B$205,MATCH(E267,Vendor_Register!$A$5:$A$205,0)),"(not in register)"))</f>
        <v/>
      </c>
      <c r="G267" s="33" t="str">
        <f>IF(E267="","",IFERROR(INDEX(Vendor_Register!$E$5:$E$205,MATCH(E267,Vendor_Register!$A$5:$A$205,0)),"(not in register)"))</f>
        <v/>
      </c>
      <c r="H267" s="30"/>
      <c r="I267" s="30"/>
      <c r="J267" s="30"/>
      <c r="K267" s="30"/>
      <c r="L267" s="30"/>
      <c r="M267" s="34"/>
      <c r="N267" s="30"/>
      <c r="O267" s="35" t="str">
        <f>IF(NOT(ISNUMBER(M267)),"",IFERROR(IF(L267="EUR",M267,IF(L267="IRR",M267/INDEX('Assumptions &amp; FX Reference'!$C$5:$C$25,MATCH(H267,'Assumptions &amp; FX Reference'!$A$5:$A$25,0)),IF(L267="USD",M267*INDEX('Assumptions &amp; FX Reference'!$B$5:$B$25,MATCH(H267,'Assumptions &amp; FX Reference'!$A$5:$A$25,0))/INDEX('Assumptions &amp; FX Reference'!$C$5:$C$25,MATCH(H267,'Assumptions &amp; FX Reference'!$A$5:$A$25,0)),""))),"(FX missing)"))</f>
        <v/>
      </c>
      <c r="P267" s="30"/>
      <c r="Q267" s="30"/>
      <c r="R267" s="30"/>
      <c r="S267" s="30"/>
      <c r="T267" s="30"/>
      <c r="U267" s="30"/>
      <c r="V267" s="30"/>
    </row>
    <row r="268" spans="1:22">
      <c r="A268" s="30"/>
      <c r="B268" s="30"/>
      <c r="C268" s="33" t="str">
        <f>IF(B268="","",IFERROR(INDEX('Master Database'!$D$5:$D$600,MATCH(B268,'Master Database'!$A$5:$A$600,0)),"(row not found)"))</f>
        <v/>
      </c>
      <c r="D268" s="33" t="str">
        <f>IF(B268="","",IFERROR(INDEX('Master Database'!$B$5:$B$600,MATCH(B268,'Master Database'!$A$5:$A$600,0)),"(row not found)"))</f>
        <v/>
      </c>
      <c r="E268" s="30"/>
      <c r="F268" s="33" t="str">
        <f>IF(E268="","",IFERROR(INDEX(Vendor_Register!$B$5:$B$205,MATCH(E268,Vendor_Register!$A$5:$A$205,0)),"(not in register)"))</f>
        <v/>
      </c>
      <c r="G268" s="33" t="str">
        <f>IF(E268="","",IFERROR(INDEX(Vendor_Register!$E$5:$E$205,MATCH(E268,Vendor_Register!$A$5:$A$205,0)),"(not in register)"))</f>
        <v/>
      </c>
      <c r="H268" s="30"/>
      <c r="I268" s="30"/>
      <c r="J268" s="30"/>
      <c r="K268" s="30"/>
      <c r="L268" s="30"/>
      <c r="M268" s="34"/>
      <c r="N268" s="30"/>
      <c r="O268" s="35" t="str">
        <f>IF(NOT(ISNUMBER(M268)),"",IFERROR(IF(L268="EUR",M268,IF(L268="IRR",M268/INDEX('Assumptions &amp; FX Reference'!$C$5:$C$25,MATCH(H268,'Assumptions &amp; FX Reference'!$A$5:$A$25,0)),IF(L268="USD",M268*INDEX('Assumptions &amp; FX Reference'!$B$5:$B$25,MATCH(H268,'Assumptions &amp; FX Reference'!$A$5:$A$25,0))/INDEX('Assumptions &amp; FX Reference'!$C$5:$C$25,MATCH(H268,'Assumptions &amp; FX Reference'!$A$5:$A$25,0)),""))),"(FX missing)"))</f>
        <v/>
      </c>
      <c r="P268" s="30"/>
      <c r="Q268" s="30"/>
      <c r="R268" s="30"/>
      <c r="S268" s="30"/>
      <c r="T268" s="30"/>
      <c r="U268" s="30"/>
      <c r="V268" s="30"/>
    </row>
    <row r="269" spans="1:22">
      <c r="A269" s="30"/>
      <c r="B269" s="30"/>
      <c r="C269" s="33" t="str">
        <f>IF(B269="","",IFERROR(INDEX('Master Database'!$D$5:$D$600,MATCH(B269,'Master Database'!$A$5:$A$600,0)),"(row not found)"))</f>
        <v/>
      </c>
      <c r="D269" s="33" t="str">
        <f>IF(B269="","",IFERROR(INDEX('Master Database'!$B$5:$B$600,MATCH(B269,'Master Database'!$A$5:$A$600,0)),"(row not found)"))</f>
        <v/>
      </c>
      <c r="E269" s="30"/>
      <c r="F269" s="33" t="str">
        <f>IF(E269="","",IFERROR(INDEX(Vendor_Register!$B$5:$B$205,MATCH(E269,Vendor_Register!$A$5:$A$205,0)),"(not in register)"))</f>
        <v/>
      </c>
      <c r="G269" s="33" t="str">
        <f>IF(E269="","",IFERROR(INDEX(Vendor_Register!$E$5:$E$205,MATCH(E269,Vendor_Register!$A$5:$A$205,0)),"(not in register)"))</f>
        <v/>
      </c>
      <c r="H269" s="30"/>
      <c r="I269" s="30"/>
      <c r="J269" s="30"/>
      <c r="K269" s="30"/>
      <c r="L269" s="30"/>
      <c r="M269" s="34"/>
      <c r="N269" s="30"/>
      <c r="O269" s="35" t="str">
        <f>IF(NOT(ISNUMBER(M269)),"",IFERROR(IF(L269="EUR",M269,IF(L269="IRR",M269/INDEX('Assumptions &amp; FX Reference'!$C$5:$C$25,MATCH(H269,'Assumptions &amp; FX Reference'!$A$5:$A$25,0)),IF(L269="USD",M269*INDEX('Assumptions &amp; FX Reference'!$B$5:$B$25,MATCH(H269,'Assumptions &amp; FX Reference'!$A$5:$A$25,0))/INDEX('Assumptions &amp; FX Reference'!$C$5:$C$25,MATCH(H269,'Assumptions &amp; FX Reference'!$A$5:$A$25,0)),""))),"(FX missing)"))</f>
        <v/>
      </c>
      <c r="P269" s="30"/>
      <c r="Q269" s="30"/>
      <c r="R269" s="30"/>
      <c r="S269" s="30"/>
      <c r="T269" s="30"/>
      <c r="U269" s="30"/>
      <c r="V269" s="30"/>
    </row>
    <row r="270" spans="1:22">
      <c r="A270" s="30"/>
      <c r="B270" s="30"/>
      <c r="C270" s="33" t="str">
        <f>IF(B270="","",IFERROR(INDEX('Master Database'!$D$5:$D$600,MATCH(B270,'Master Database'!$A$5:$A$600,0)),"(row not found)"))</f>
        <v/>
      </c>
      <c r="D270" s="33" t="str">
        <f>IF(B270="","",IFERROR(INDEX('Master Database'!$B$5:$B$600,MATCH(B270,'Master Database'!$A$5:$A$600,0)),"(row not found)"))</f>
        <v/>
      </c>
      <c r="E270" s="30"/>
      <c r="F270" s="33" t="str">
        <f>IF(E270="","",IFERROR(INDEX(Vendor_Register!$B$5:$B$205,MATCH(E270,Vendor_Register!$A$5:$A$205,0)),"(not in register)"))</f>
        <v/>
      </c>
      <c r="G270" s="33" t="str">
        <f>IF(E270="","",IFERROR(INDEX(Vendor_Register!$E$5:$E$205,MATCH(E270,Vendor_Register!$A$5:$A$205,0)),"(not in register)"))</f>
        <v/>
      </c>
      <c r="H270" s="30"/>
      <c r="I270" s="30"/>
      <c r="J270" s="30"/>
      <c r="K270" s="30"/>
      <c r="L270" s="30"/>
      <c r="M270" s="34"/>
      <c r="N270" s="30"/>
      <c r="O270" s="35" t="str">
        <f>IF(NOT(ISNUMBER(M270)),"",IFERROR(IF(L270="EUR",M270,IF(L270="IRR",M270/INDEX('Assumptions &amp; FX Reference'!$C$5:$C$25,MATCH(H270,'Assumptions &amp; FX Reference'!$A$5:$A$25,0)),IF(L270="USD",M270*INDEX('Assumptions &amp; FX Reference'!$B$5:$B$25,MATCH(H270,'Assumptions &amp; FX Reference'!$A$5:$A$25,0))/INDEX('Assumptions &amp; FX Reference'!$C$5:$C$25,MATCH(H270,'Assumptions &amp; FX Reference'!$A$5:$A$25,0)),""))),"(FX missing)"))</f>
        <v/>
      </c>
      <c r="P270" s="30"/>
      <c r="Q270" s="30"/>
      <c r="R270" s="30"/>
      <c r="S270" s="30"/>
      <c r="T270" s="30"/>
      <c r="U270" s="30"/>
      <c r="V270" s="30"/>
    </row>
    <row r="271" spans="1:22">
      <c r="A271" s="30"/>
      <c r="B271" s="30"/>
      <c r="C271" s="33" t="str">
        <f>IF(B271="","",IFERROR(INDEX('Master Database'!$D$5:$D$600,MATCH(B271,'Master Database'!$A$5:$A$600,0)),"(row not found)"))</f>
        <v/>
      </c>
      <c r="D271" s="33" t="str">
        <f>IF(B271="","",IFERROR(INDEX('Master Database'!$B$5:$B$600,MATCH(B271,'Master Database'!$A$5:$A$600,0)),"(row not found)"))</f>
        <v/>
      </c>
      <c r="E271" s="30"/>
      <c r="F271" s="33" t="str">
        <f>IF(E271="","",IFERROR(INDEX(Vendor_Register!$B$5:$B$205,MATCH(E271,Vendor_Register!$A$5:$A$205,0)),"(not in register)"))</f>
        <v/>
      </c>
      <c r="G271" s="33" t="str">
        <f>IF(E271="","",IFERROR(INDEX(Vendor_Register!$E$5:$E$205,MATCH(E271,Vendor_Register!$A$5:$A$205,0)),"(not in register)"))</f>
        <v/>
      </c>
      <c r="H271" s="30"/>
      <c r="I271" s="30"/>
      <c r="J271" s="30"/>
      <c r="K271" s="30"/>
      <c r="L271" s="30"/>
      <c r="M271" s="34"/>
      <c r="N271" s="30"/>
      <c r="O271" s="35" t="str">
        <f>IF(NOT(ISNUMBER(M271)),"",IFERROR(IF(L271="EUR",M271,IF(L271="IRR",M271/INDEX('Assumptions &amp; FX Reference'!$C$5:$C$25,MATCH(H271,'Assumptions &amp; FX Reference'!$A$5:$A$25,0)),IF(L271="USD",M271*INDEX('Assumptions &amp; FX Reference'!$B$5:$B$25,MATCH(H271,'Assumptions &amp; FX Reference'!$A$5:$A$25,0))/INDEX('Assumptions &amp; FX Reference'!$C$5:$C$25,MATCH(H271,'Assumptions &amp; FX Reference'!$A$5:$A$25,0)),""))),"(FX missing)"))</f>
        <v/>
      </c>
      <c r="P271" s="30"/>
      <c r="Q271" s="30"/>
      <c r="R271" s="30"/>
      <c r="S271" s="30"/>
      <c r="T271" s="30"/>
      <c r="U271" s="30"/>
      <c r="V271" s="30"/>
    </row>
    <row r="272" spans="1:22">
      <c r="A272" s="30"/>
      <c r="B272" s="30"/>
      <c r="C272" s="33" t="str">
        <f>IF(B272="","",IFERROR(INDEX('Master Database'!$D$5:$D$600,MATCH(B272,'Master Database'!$A$5:$A$600,0)),"(row not found)"))</f>
        <v/>
      </c>
      <c r="D272" s="33" t="str">
        <f>IF(B272="","",IFERROR(INDEX('Master Database'!$B$5:$B$600,MATCH(B272,'Master Database'!$A$5:$A$600,0)),"(row not found)"))</f>
        <v/>
      </c>
      <c r="E272" s="30"/>
      <c r="F272" s="33" t="str">
        <f>IF(E272="","",IFERROR(INDEX(Vendor_Register!$B$5:$B$205,MATCH(E272,Vendor_Register!$A$5:$A$205,0)),"(not in register)"))</f>
        <v/>
      </c>
      <c r="G272" s="33" t="str">
        <f>IF(E272="","",IFERROR(INDEX(Vendor_Register!$E$5:$E$205,MATCH(E272,Vendor_Register!$A$5:$A$205,0)),"(not in register)"))</f>
        <v/>
      </c>
      <c r="H272" s="30"/>
      <c r="I272" s="30"/>
      <c r="J272" s="30"/>
      <c r="K272" s="30"/>
      <c r="L272" s="30"/>
      <c r="M272" s="34"/>
      <c r="N272" s="30"/>
      <c r="O272" s="35" t="str">
        <f>IF(NOT(ISNUMBER(M272)),"",IFERROR(IF(L272="EUR",M272,IF(L272="IRR",M272/INDEX('Assumptions &amp; FX Reference'!$C$5:$C$25,MATCH(H272,'Assumptions &amp; FX Reference'!$A$5:$A$25,0)),IF(L272="USD",M272*INDEX('Assumptions &amp; FX Reference'!$B$5:$B$25,MATCH(H272,'Assumptions &amp; FX Reference'!$A$5:$A$25,0))/INDEX('Assumptions &amp; FX Reference'!$C$5:$C$25,MATCH(H272,'Assumptions &amp; FX Reference'!$A$5:$A$25,0)),""))),"(FX missing)"))</f>
        <v/>
      </c>
      <c r="P272" s="30"/>
      <c r="Q272" s="30"/>
      <c r="R272" s="30"/>
      <c r="S272" s="30"/>
      <c r="T272" s="30"/>
      <c r="U272" s="30"/>
      <c r="V272" s="30"/>
    </row>
    <row r="273" spans="1:22">
      <c r="A273" s="30"/>
      <c r="B273" s="30"/>
      <c r="C273" s="33" t="str">
        <f>IF(B273="","",IFERROR(INDEX('Master Database'!$D$5:$D$600,MATCH(B273,'Master Database'!$A$5:$A$600,0)),"(row not found)"))</f>
        <v/>
      </c>
      <c r="D273" s="33" t="str">
        <f>IF(B273="","",IFERROR(INDEX('Master Database'!$B$5:$B$600,MATCH(B273,'Master Database'!$A$5:$A$600,0)),"(row not found)"))</f>
        <v/>
      </c>
      <c r="E273" s="30"/>
      <c r="F273" s="33" t="str">
        <f>IF(E273="","",IFERROR(INDEX(Vendor_Register!$B$5:$B$205,MATCH(E273,Vendor_Register!$A$5:$A$205,0)),"(not in register)"))</f>
        <v/>
      </c>
      <c r="G273" s="33" t="str">
        <f>IF(E273="","",IFERROR(INDEX(Vendor_Register!$E$5:$E$205,MATCH(E273,Vendor_Register!$A$5:$A$205,0)),"(not in register)"))</f>
        <v/>
      </c>
      <c r="H273" s="30"/>
      <c r="I273" s="30"/>
      <c r="J273" s="30"/>
      <c r="K273" s="30"/>
      <c r="L273" s="30"/>
      <c r="M273" s="34"/>
      <c r="N273" s="30"/>
      <c r="O273" s="35" t="str">
        <f>IF(NOT(ISNUMBER(M273)),"",IFERROR(IF(L273="EUR",M273,IF(L273="IRR",M273/INDEX('Assumptions &amp; FX Reference'!$C$5:$C$25,MATCH(H273,'Assumptions &amp; FX Reference'!$A$5:$A$25,0)),IF(L273="USD",M273*INDEX('Assumptions &amp; FX Reference'!$B$5:$B$25,MATCH(H273,'Assumptions &amp; FX Reference'!$A$5:$A$25,0))/INDEX('Assumptions &amp; FX Reference'!$C$5:$C$25,MATCH(H273,'Assumptions &amp; FX Reference'!$A$5:$A$25,0)),""))),"(FX missing)"))</f>
        <v/>
      </c>
      <c r="P273" s="30"/>
      <c r="Q273" s="30"/>
      <c r="R273" s="30"/>
      <c r="S273" s="30"/>
      <c r="T273" s="30"/>
      <c r="U273" s="30"/>
      <c r="V273" s="30"/>
    </row>
    <row r="274" spans="1:22">
      <c r="A274" s="30"/>
      <c r="B274" s="30"/>
      <c r="C274" s="33" t="str">
        <f>IF(B274="","",IFERROR(INDEX('Master Database'!$D$5:$D$600,MATCH(B274,'Master Database'!$A$5:$A$600,0)),"(row not found)"))</f>
        <v/>
      </c>
      <c r="D274" s="33" t="str">
        <f>IF(B274="","",IFERROR(INDEX('Master Database'!$B$5:$B$600,MATCH(B274,'Master Database'!$A$5:$A$600,0)),"(row not found)"))</f>
        <v/>
      </c>
      <c r="E274" s="30"/>
      <c r="F274" s="33" t="str">
        <f>IF(E274="","",IFERROR(INDEX(Vendor_Register!$B$5:$B$205,MATCH(E274,Vendor_Register!$A$5:$A$205,0)),"(not in register)"))</f>
        <v/>
      </c>
      <c r="G274" s="33" t="str">
        <f>IF(E274="","",IFERROR(INDEX(Vendor_Register!$E$5:$E$205,MATCH(E274,Vendor_Register!$A$5:$A$205,0)),"(not in register)"))</f>
        <v/>
      </c>
      <c r="H274" s="30"/>
      <c r="I274" s="30"/>
      <c r="J274" s="30"/>
      <c r="K274" s="30"/>
      <c r="L274" s="30"/>
      <c r="M274" s="34"/>
      <c r="N274" s="30"/>
      <c r="O274" s="35" t="str">
        <f>IF(NOT(ISNUMBER(M274)),"",IFERROR(IF(L274="EUR",M274,IF(L274="IRR",M274/INDEX('Assumptions &amp; FX Reference'!$C$5:$C$25,MATCH(H274,'Assumptions &amp; FX Reference'!$A$5:$A$25,0)),IF(L274="USD",M274*INDEX('Assumptions &amp; FX Reference'!$B$5:$B$25,MATCH(H274,'Assumptions &amp; FX Reference'!$A$5:$A$25,0))/INDEX('Assumptions &amp; FX Reference'!$C$5:$C$25,MATCH(H274,'Assumptions &amp; FX Reference'!$A$5:$A$25,0)),""))),"(FX missing)"))</f>
        <v/>
      </c>
      <c r="P274" s="30"/>
      <c r="Q274" s="30"/>
      <c r="R274" s="30"/>
      <c r="S274" s="30"/>
      <c r="T274" s="30"/>
      <c r="U274" s="30"/>
      <c r="V274" s="30"/>
    </row>
    <row r="275" spans="1:22">
      <c r="A275" s="30"/>
      <c r="B275" s="30"/>
      <c r="C275" s="33" t="str">
        <f>IF(B275="","",IFERROR(INDEX('Master Database'!$D$5:$D$600,MATCH(B275,'Master Database'!$A$5:$A$600,0)),"(row not found)"))</f>
        <v/>
      </c>
      <c r="D275" s="33" t="str">
        <f>IF(B275="","",IFERROR(INDEX('Master Database'!$B$5:$B$600,MATCH(B275,'Master Database'!$A$5:$A$600,0)),"(row not found)"))</f>
        <v/>
      </c>
      <c r="E275" s="30"/>
      <c r="F275" s="33" t="str">
        <f>IF(E275="","",IFERROR(INDEX(Vendor_Register!$B$5:$B$205,MATCH(E275,Vendor_Register!$A$5:$A$205,0)),"(not in register)"))</f>
        <v/>
      </c>
      <c r="G275" s="33" t="str">
        <f>IF(E275="","",IFERROR(INDEX(Vendor_Register!$E$5:$E$205,MATCH(E275,Vendor_Register!$A$5:$A$205,0)),"(not in register)"))</f>
        <v/>
      </c>
      <c r="H275" s="30"/>
      <c r="I275" s="30"/>
      <c r="J275" s="30"/>
      <c r="K275" s="30"/>
      <c r="L275" s="30"/>
      <c r="M275" s="34"/>
      <c r="N275" s="30"/>
      <c r="O275" s="35" t="str">
        <f>IF(NOT(ISNUMBER(M275)),"",IFERROR(IF(L275="EUR",M275,IF(L275="IRR",M275/INDEX('Assumptions &amp; FX Reference'!$C$5:$C$25,MATCH(H275,'Assumptions &amp; FX Reference'!$A$5:$A$25,0)),IF(L275="USD",M275*INDEX('Assumptions &amp; FX Reference'!$B$5:$B$25,MATCH(H275,'Assumptions &amp; FX Reference'!$A$5:$A$25,0))/INDEX('Assumptions &amp; FX Reference'!$C$5:$C$25,MATCH(H275,'Assumptions &amp; FX Reference'!$A$5:$A$25,0)),""))),"(FX missing)"))</f>
        <v/>
      </c>
      <c r="P275" s="30"/>
      <c r="Q275" s="30"/>
      <c r="R275" s="30"/>
      <c r="S275" s="30"/>
      <c r="T275" s="30"/>
      <c r="U275" s="30"/>
      <c r="V275" s="30"/>
    </row>
    <row r="276" spans="1:22">
      <c r="A276" s="30"/>
      <c r="B276" s="30"/>
      <c r="C276" s="33" t="str">
        <f>IF(B276="","",IFERROR(INDEX('Master Database'!$D$5:$D$600,MATCH(B276,'Master Database'!$A$5:$A$600,0)),"(row not found)"))</f>
        <v/>
      </c>
      <c r="D276" s="33" t="str">
        <f>IF(B276="","",IFERROR(INDEX('Master Database'!$B$5:$B$600,MATCH(B276,'Master Database'!$A$5:$A$600,0)),"(row not found)"))</f>
        <v/>
      </c>
      <c r="E276" s="30"/>
      <c r="F276" s="33" t="str">
        <f>IF(E276="","",IFERROR(INDEX(Vendor_Register!$B$5:$B$205,MATCH(E276,Vendor_Register!$A$5:$A$205,0)),"(not in register)"))</f>
        <v/>
      </c>
      <c r="G276" s="33" t="str">
        <f>IF(E276="","",IFERROR(INDEX(Vendor_Register!$E$5:$E$205,MATCH(E276,Vendor_Register!$A$5:$A$205,0)),"(not in register)"))</f>
        <v/>
      </c>
      <c r="H276" s="30"/>
      <c r="I276" s="30"/>
      <c r="J276" s="30"/>
      <c r="K276" s="30"/>
      <c r="L276" s="30"/>
      <c r="M276" s="34"/>
      <c r="N276" s="30"/>
      <c r="O276" s="35" t="str">
        <f>IF(NOT(ISNUMBER(M276)),"",IFERROR(IF(L276="EUR",M276,IF(L276="IRR",M276/INDEX('Assumptions &amp; FX Reference'!$C$5:$C$25,MATCH(H276,'Assumptions &amp; FX Reference'!$A$5:$A$25,0)),IF(L276="USD",M276*INDEX('Assumptions &amp; FX Reference'!$B$5:$B$25,MATCH(H276,'Assumptions &amp; FX Reference'!$A$5:$A$25,0))/INDEX('Assumptions &amp; FX Reference'!$C$5:$C$25,MATCH(H276,'Assumptions &amp; FX Reference'!$A$5:$A$25,0)),""))),"(FX missing)"))</f>
        <v/>
      </c>
      <c r="P276" s="30"/>
      <c r="Q276" s="30"/>
      <c r="R276" s="30"/>
      <c r="S276" s="30"/>
      <c r="T276" s="30"/>
      <c r="U276" s="30"/>
      <c r="V276" s="30"/>
    </row>
    <row r="277" spans="1:22">
      <c r="A277" s="30"/>
      <c r="B277" s="30"/>
      <c r="C277" s="33" t="str">
        <f>IF(B277="","",IFERROR(INDEX('Master Database'!$D$5:$D$600,MATCH(B277,'Master Database'!$A$5:$A$600,0)),"(row not found)"))</f>
        <v/>
      </c>
      <c r="D277" s="33" t="str">
        <f>IF(B277="","",IFERROR(INDEX('Master Database'!$B$5:$B$600,MATCH(B277,'Master Database'!$A$5:$A$600,0)),"(row not found)"))</f>
        <v/>
      </c>
      <c r="E277" s="30"/>
      <c r="F277" s="33" t="str">
        <f>IF(E277="","",IFERROR(INDEX(Vendor_Register!$B$5:$B$205,MATCH(E277,Vendor_Register!$A$5:$A$205,0)),"(not in register)"))</f>
        <v/>
      </c>
      <c r="G277" s="33" t="str">
        <f>IF(E277="","",IFERROR(INDEX(Vendor_Register!$E$5:$E$205,MATCH(E277,Vendor_Register!$A$5:$A$205,0)),"(not in register)"))</f>
        <v/>
      </c>
      <c r="H277" s="30"/>
      <c r="I277" s="30"/>
      <c r="J277" s="30"/>
      <c r="K277" s="30"/>
      <c r="L277" s="30"/>
      <c r="M277" s="34"/>
      <c r="N277" s="30"/>
      <c r="O277" s="35" t="str">
        <f>IF(NOT(ISNUMBER(M277)),"",IFERROR(IF(L277="EUR",M277,IF(L277="IRR",M277/INDEX('Assumptions &amp; FX Reference'!$C$5:$C$25,MATCH(H277,'Assumptions &amp; FX Reference'!$A$5:$A$25,0)),IF(L277="USD",M277*INDEX('Assumptions &amp; FX Reference'!$B$5:$B$25,MATCH(H277,'Assumptions &amp; FX Reference'!$A$5:$A$25,0))/INDEX('Assumptions &amp; FX Reference'!$C$5:$C$25,MATCH(H277,'Assumptions &amp; FX Reference'!$A$5:$A$25,0)),""))),"(FX missing)"))</f>
        <v/>
      </c>
      <c r="P277" s="30"/>
      <c r="Q277" s="30"/>
      <c r="R277" s="30"/>
      <c r="S277" s="30"/>
      <c r="T277" s="30"/>
      <c r="U277" s="30"/>
      <c r="V277" s="30"/>
    </row>
    <row r="278" spans="1:22">
      <c r="A278" s="30"/>
      <c r="B278" s="30"/>
      <c r="C278" s="33" t="str">
        <f>IF(B278="","",IFERROR(INDEX('Master Database'!$D$5:$D$600,MATCH(B278,'Master Database'!$A$5:$A$600,0)),"(row not found)"))</f>
        <v/>
      </c>
      <c r="D278" s="33" t="str">
        <f>IF(B278="","",IFERROR(INDEX('Master Database'!$B$5:$B$600,MATCH(B278,'Master Database'!$A$5:$A$600,0)),"(row not found)"))</f>
        <v/>
      </c>
      <c r="E278" s="30"/>
      <c r="F278" s="33" t="str">
        <f>IF(E278="","",IFERROR(INDEX(Vendor_Register!$B$5:$B$205,MATCH(E278,Vendor_Register!$A$5:$A$205,0)),"(not in register)"))</f>
        <v/>
      </c>
      <c r="G278" s="33" t="str">
        <f>IF(E278="","",IFERROR(INDEX(Vendor_Register!$E$5:$E$205,MATCH(E278,Vendor_Register!$A$5:$A$205,0)),"(not in register)"))</f>
        <v/>
      </c>
      <c r="H278" s="30"/>
      <c r="I278" s="30"/>
      <c r="J278" s="30"/>
      <c r="K278" s="30"/>
      <c r="L278" s="30"/>
      <c r="M278" s="34"/>
      <c r="N278" s="30"/>
      <c r="O278" s="35" t="str">
        <f>IF(NOT(ISNUMBER(M278)),"",IFERROR(IF(L278="EUR",M278,IF(L278="IRR",M278/INDEX('Assumptions &amp; FX Reference'!$C$5:$C$25,MATCH(H278,'Assumptions &amp; FX Reference'!$A$5:$A$25,0)),IF(L278="USD",M278*INDEX('Assumptions &amp; FX Reference'!$B$5:$B$25,MATCH(H278,'Assumptions &amp; FX Reference'!$A$5:$A$25,0))/INDEX('Assumptions &amp; FX Reference'!$C$5:$C$25,MATCH(H278,'Assumptions &amp; FX Reference'!$A$5:$A$25,0)),""))),"(FX missing)"))</f>
        <v/>
      </c>
      <c r="P278" s="30"/>
      <c r="Q278" s="30"/>
      <c r="R278" s="30"/>
      <c r="S278" s="30"/>
      <c r="T278" s="30"/>
      <c r="U278" s="30"/>
      <c r="V278" s="30"/>
    </row>
    <row r="279" spans="1:22">
      <c r="A279" s="30"/>
      <c r="B279" s="30"/>
      <c r="C279" s="33" t="str">
        <f>IF(B279="","",IFERROR(INDEX('Master Database'!$D$5:$D$600,MATCH(B279,'Master Database'!$A$5:$A$600,0)),"(row not found)"))</f>
        <v/>
      </c>
      <c r="D279" s="33" t="str">
        <f>IF(B279="","",IFERROR(INDEX('Master Database'!$B$5:$B$600,MATCH(B279,'Master Database'!$A$5:$A$600,0)),"(row not found)"))</f>
        <v/>
      </c>
      <c r="E279" s="30"/>
      <c r="F279" s="33" t="str">
        <f>IF(E279="","",IFERROR(INDEX(Vendor_Register!$B$5:$B$205,MATCH(E279,Vendor_Register!$A$5:$A$205,0)),"(not in register)"))</f>
        <v/>
      </c>
      <c r="G279" s="33" t="str">
        <f>IF(E279="","",IFERROR(INDEX(Vendor_Register!$E$5:$E$205,MATCH(E279,Vendor_Register!$A$5:$A$205,0)),"(not in register)"))</f>
        <v/>
      </c>
      <c r="H279" s="30"/>
      <c r="I279" s="30"/>
      <c r="J279" s="30"/>
      <c r="K279" s="30"/>
      <c r="L279" s="30"/>
      <c r="M279" s="34"/>
      <c r="N279" s="30"/>
      <c r="O279" s="35" t="str">
        <f>IF(NOT(ISNUMBER(M279)),"",IFERROR(IF(L279="EUR",M279,IF(L279="IRR",M279/INDEX('Assumptions &amp; FX Reference'!$C$5:$C$25,MATCH(H279,'Assumptions &amp; FX Reference'!$A$5:$A$25,0)),IF(L279="USD",M279*INDEX('Assumptions &amp; FX Reference'!$B$5:$B$25,MATCH(H279,'Assumptions &amp; FX Reference'!$A$5:$A$25,0))/INDEX('Assumptions &amp; FX Reference'!$C$5:$C$25,MATCH(H279,'Assumptions &amp; FX Reference'!$A$5:$A$25,0)),""))),"(FX missing)"))</f>
        <v/>
      </c>
      <c r="P279" s="30"/>
      <c r="Q279" s="30"/>
      <c r="R279" s="30"/>
      <c r="S279" s="30"/>
      <c r="T279" s="30"/>
      <c r="U279" s="30"/>
      <c r="V279" s="30"/>
    </row>
    <row r="280" spans="1:22">
      <c r="A280" s="30"/>
      <c r="B280" s="30"/>
      <c r="C280" s="33" t="str">
        <f>IF(B280="","",IFERROR(INDEX('Master Database'!$D$5:$D$600,MATCH(B280,'Master Database'!$A$5:$A$600,0)),"(row not found)"))</f>
        <v/>
      </c>
      <c r="D280" s="33" t="str">
        <f>IF(B280="","",IFERROR(INDEX('Master Database'!$B$5:$B$600,MATCH(B280,'Master Database'!$A$5:$A$600,0)),"(row not found)"))</f>
        <v/>
      </c>
      <c r="E280" s="30"/>
      <c r="F280" s="33" t="str">
        <f>IF(E280="","",IFERROR(INDEX(Vendor_Register!$B$5:$B$205,MATCH(E280,Vendor_Register!$A$5:$A$205,0)),"(not in register)"))</f>
        <v/>
      </c>
      <c r="G280" s="33" t="str">
        <f>IF(E280="","",IFERROR(INDEX(Vendor_Register!$E$5:$E$205,MATCH(E280,Vendor_Register!$A$5:$A$205,0)),"(not in register)"))</f>
        <v/>
      </c>
      <c r="H280" s="30"/>
      <c r="I280" s="30"/>
      <c r="J280" s="30"/>
      <c r="K280" s="30"/>
      <c r="L280" s="30"/>
      <c r="M280" s="34"/>
      <c r="N280" s="30"/>
      <c r="O280" s="35" t="str">
        <f>IF(NOT(ISNUMBER(M280)),"",IFERROR(IF(L280="EUR",M280,IF(L280="IRR",M280/INDEX('Assumptions &amp; FX Reference'!$C$5:$C$25,MATCH(H280,'Assumptions &amp; FX Reference'!$A$5:$A$25,0)),IF(L280="USD",M280*INDEX('Assumptions &amp; FX Reference'!$B$5:$B$25,MATCH(H280,'Assumptions &amp; FX Reference'!$A$5:$A$25,0))/INDEX('Assumptions &amp; FX Reference'!$C$5:$C$25,MATCH(H280,'Assumptions &amp; FX Reference'!$A$5:$A$25,0)),""))),"(FX missing)"))</f>
        <v/>
      </c>
      <c r="P280" s="30"/>
      <c r="Q280" s="30"/>
      <c r="R280" s="30"/>
      <c r="S280" s="30"/>
      <c r="T280" s="30"/>
      <c r="U280" s="30"/>
      <c r="V280" s="30"/>
    </row>
    <row r="281" spans="1:22">
      <c r="A281" s="30"/>
      <c r="B281" s="30"/>
      <c r="C281" s="33" t="str">
        <f>IF(B281="","",IFERROR(INDEX('Master Database'!$D$5:$D$600,MATCH(B281,'Master Database'!$A$5:$A$600,0)),"(row not found)"))</f>
        <v/>
      </c>
      <c r="D281" s="33" t="str">
        <f>IF(B281="","",IFERROR(INDEX('Master Database'!$B$5:$B$600,MATCH(B281,'Master Database'!$A$5:$A$600,0)),"(row not found)"))</f>
        <v/>
      </c>
      <c r="E281" s="30"/>
      <c r="F281" s="33" t="str">
        <f>IF(E281="","",IFERROR(INDEX(Vendor_Register!$B$5:$B$205,MATCH(E281,Vendor_Register!$A$5:$A$205,0)),"(not in register)"))</f>
        <v/>
      </c>
      <c r="G281" s="33" t="str">
        <f>IF(E281="","",IFERROR(INDEX(Vendor_Register!$E$5:$E$205,MATCH(E281,Vendor_Register!$A$5:$A$205,0)),"(not in register)"))</f>
        <v/>
      </c>
      <c r="H281" s="30"/>
      <c r="I281" s="30"/>
      <c r="J281" s="30"/>
      <c r="K281" s="30"/>
      <c r="L281" s="30"/>
      <c r="M281" s="34"/>
      <c r="N281" s="30"/>
      <c r="O281" s="35" t="str">
        <f>IF(NOT(ISNUMBER(M281)),"",IFERROR(IF(L281="EUR",M281,IF(L281="IRR",M281/INDEX('Assumptions &amp; FX Reference'!$C$5:$C$25,MATCH(H281,'Assumptions &amp; FX Reference'!$A$5:$A$25,0)),IF(L281="USD",M281*INDEX('Assumptions &amp; FX Reference'!$B$5:$B$25,MATCH(H281,'Assumptions &amp; FX Reference'!$A$5:$A$25,0))/INDEX('Assumptions &amp; FX Reference'!$C$5:$C$25,MATCH(H281,'Assumptions &amp; FX Reference'!$A$5:$A$25,0)),""))),"(FX missing)"))</f>
        <v/>
      </c>
      <c r="P281" s="30"/>
      <c r="Q281" s="30"/>
      <c r="R281" s="30"/>
      <c r="S281" s="30"/>
      <c r="T281" s="30"/>
      <c r="U281" s="30"/>
      <c r="V281" s="30"/>
    </row>
    <row r="282" spans="1:22">
      <c r="A282" s="30"/>
      <c r="B282" s="30"/>
      <c r="C282" s="33" t="str">
        <f>IF(B282="","",IFERROR(INDEX('Master Database'!$D$5:$D$600,MATCH(B282,'Master Database'!$A$5:$A$600,0)),"(row not found)"))</f>
        <v/>
      </c>
      <c r="D282" s="33" t="str">
        <f>IF(B282="","",IFERROR(INDEX('Master Database'!$B$5:$B$600,MATCH(B282,'Master Database'!$A$5:$A$600,0)),"(row not found)"))</f>
        <v/>
      </c>
      <c r="E282" s="30"/>
      <c r="F282" s="33" t="str">
        <f>IF(E282="","",IFERROR(INDEX(Vendor_Register!$B$5:$B$205,MATCH(E282,Vendor_Register!$A$5:$A$205,0)),"(not in register)"))</f>
        <v/>
      </c>
      <c r="G282" s="33" t="str">
        <f>IF(E282="","",IFERROR(INDEX(Vendor_Register!$E$5:$E$205,MATCH(E282,Vendor_Register!$A$5:$A$205,0)),"(not in register)"))</f>
        <v/>
      </c>
      <c r="H282" s="30"/>
      <c r="I282" s="30"/>
      <c r="J282" s="30"/>
      <c r="K282" s="30"/>
      <c r="L282" s="30"/>
      <c r="M282" s="34"/>
      <c r="N282" s="30"/>
      <c r="O282" s="35" t="str">
        <f>IF(NOT(ISNUMBER(M282)),"",IFERROR(IF(L282="EUR",M282,IF(L282="IRR",M282/INDEX('Assumptions &amp; FX Reference'!$C$5:$C$25,MATCH(H282,'Assumptions &amp; FX Reference'!$A$5:$A$25,0)),IF(L282="USD",M282*INDEX('Assumptions &amp; FX Reference'!$B$5:$B$25,MATCH(H282,'Assumptions &amp; FX Reference'!$A$5:$A$25,0))/INDEX('Assumptions &amp; FX Reference'!$C$5:$C$25,MATCH(H282,'Assumptions &amp; FX Reference'!$A$5:$A$25,0)),""))),"(FX missing)"))</f>
        <v/>
      </c>
      <c r="P282" s="30"/>
      <c r="Q282" s="30"/>
      <c r="R282" s="30"/>
      <c r="S282" s="30"/>
      <c r="T282" s="30"/>
      <c r="U282" s="30"/>
      <c r="V282" s="30"/>
    </row>
    <row r="283" spans="1:22">
      <c r="A283" s="30"/>
      <c r="B283" s="30"/>
      <c r="C283" s="33" t="str">
        <f>IF(B283="","",IFERROR(INDEX('Master Database'!$D$5:$D$600,MATCH(B283,'Master Database'!$A$5:$A$600,0)),"(row not found)"))</f>
        <v/>
      </c>
      <c r="D283" s="33" t="str">
        <f>IF(B283="","",IFERROR(INDEX('Master Database'!$B$5:$B$600,MATCH(B283,'Master Database'!$A$5:$A$600,0)),"(row not found)"))</f>
        <v/>
      </c>
      <c r="E283" s="30"/>
      <c r="F283" s="33" t="str">
        <f>IF(E283="","",IFERROR(INDEX(Vendor_Register!$B$5:$B$205,MATCH(E283,Vendor_Register!$A$5:$A$205,0)),"(not in register)"))</f>
        <v/>
      </c>
      <c r="G283" s="33" t="str">
        <f>IF(E283="","",IFERROR(INDEX(Vendor_Register!$E$5:$E$205,MATCH(E283,Vendor_Register!$A$5:$A$205,0)),"(not in register)"))</f>
        <v/>
      </c>
      <c r="H283" s="30"/>
      <c r="I283" s="30"/>
      <c r="J283" s="30"/>
      <c r="K283" s="30"/>
      <c r="L283" s="30"/>
      <c r="M283" s="34"/>
      <c r="N283" s="30"/>
      <c r="O283" s="35" t="str">
        <f>IF(NOT(ISNUMBER(M283)),"",IFERROR(IF(L283="EUR",M283,IF(L283="IRR",M283/INDEX('Assumptions &amp; FX Reference'!$C$5:$C$25,MATCH(H283,'Assumptions &amp; FX Reference'!$A$5:$A$25,0)),IF(L283="USD",M283*INDEX('Assumptions &amp; FX Reference'!$B$5:$B$25,MATCH(H283,'Assumptions &amp; FX Reference'!$A$5:$A$25,0))/INDEX('Assumptions &amp; FX Reference'!$C$5:$C$25,MATCH(H283,'Assumptions &amp; FX Reference'!$A$5:$A$25,0)),""))),"(FX missing)"))</f>
        <v/>
      </c>
      <c r="P283" s="30"/>
      <c r="Q283" s="30"/>
      <c r="R283" s="30"/>
      <c r="S283" s="30"/>
      <c r="T283" s="30"/>
      <c r="U283" s="30"/>
      <c r="V283" s="30"/>
    </row>
    <row r="284" spans="1:22">
      <c r="A284" s="30"/>
      <c r="B284" s="30"/>
      <c r="C284" s="33" t="str">
        <f>IF(B284="","",IFERROR(INDEX('Master Database'!$D$5:$D$600,MATCH(B284,'Master Database'!$A$5:$A$600,0)),"(row not found)"))</f>
        <v/>
      </c>
      <c r="D284" s="33" t="str">
        <f>IF(B284="","",IFERROR(INDEX('Master Database'!$B$5:$B$600,MATCH(B284,'Master Database'!$A$5:$A$600,0)),"(row not found)"))</f>
        <v/>
      </c>
      <c r="E284" s="30"/>
      <c r="F284" s="33" t="str">
        <f>IF(E284="","",IFERROR(INDEX(Vendor_Register!$B$5:$B$205,MATCH(E284,Vendor_Register!$A$5:$A$205,0)),"(not in register)"))</f>
        <v/>
      </c>
      <c r="G284" s="33" t="str">
        <f>IF(E284="","",IFERROR(INDEX(Vendor_Register!$E$5:$E$205,MATCH(E284,Vendor_Register!$A$5:$A$205,0)),"(not in register)"))</f>
        <v/>
      </c>
      <c r="H284" s="30"/>
      <c r="I284" s="30"/>
      <c r="J284" s="30"/>
      <c r="K284" s="30"/>
      <c r="L284" s="30"/>
      <c r="M284" s="34"/>
      <c r="N284" s="30"/>
      <c r="O284" s="35" t="str">
        <f>IF(NOT(ISNUMBER(M284)),"",IFERROR(IF(L284="EUR",M284,IF(L284="IRR",M284/INDEX('Assumptions &amp; FX Reference'!$C$5:$C$25,MATCH(H284,'Assumptions &amp; FX Reference'!$A$5:$A$25,0)),IF(L284="USD",M284*INDEX('Assumptions &amp; FX Reference'!$B$5:$B$25,MATCH(H284,'Assumptions &amp; FX Reference'!$A$5:$A$25,0))/INDEX('Assumptions &amp; FX Reference'!$C$5:$C$25,MATCH(H284,'Assumptions &amp; FX Reference'!$A$5:$A$25,0)),""))),"(FX missing)"))</f>
        <v/>
      </c>
      <c r="P284" s="30"/>
      <c r="Q284" s="30"/>
      <c r="R284" s="30"/>
      <c r="S284" s="30"/>
      <c r="T284" s="30"/>
      <c r="U284" s="30"/>
      <c r="V284" s="30"/>
    </row>
    <row r="285" spans="1:22">
      <c r="A285" s="30"/>
      <c r="B285" s="30"/>
      <c r="C285" s="33" t="str">
        <f>IF(B285="","",IFERROR(INDEX('Master Database'!$D$5:$D$600,MATCH(B285,'Master Database'!$A$5:$A$600,0)),"(row not found)"))</f>
        <v/>
      </c>
      <c r="D285" s="33" t="str">
        <f>IF(B285="","",IFERROR(INDEX('Master Database'!$B$5:$B$600,MATCH(B285,'Master Database'!$A$5:$A$600,0)),"(row not found)"))</f>
        <v/>
      </c>
      <c r="E285" s="30"/>
      <c r="F285" s="33" t="str">
        <f>IF(E285="","",IFERROR(INDEX(Vendor_Register!$B$5:$B$205,MATCH(E285,Vendor_Register!$A$5:$A$205,0)),"(not in register)"))</f>
        <v/>
      </c>
      <c r="G285" s="33" t="str">
        <f>IF(E285="","",IFERROR(INDEX(Vendor_Register!$E$5:$E$205,MATCH(E285,Vendor_Register!$A$5:$A$205,0)),"(not in register)"))</f>
        <v/>
      </c>
      <c r="H285" s="30"/>
      <c r="I285" s="30"/>
      <c r="J285" s="30"/>
      <c r="K285" s="30"/>
      <c r="L285" s="30"/>
      <c r="M285" s="34"/>
      <c r="N285" s="30"/>
      <c r="O285" s="35" t="str">
        <f>IF(NOT(ISNUMBER(M285)),"",IFERROR(IF(L285="EUR",M285,IF(L285="IRR",M285/INDEX('Assumptions &amp; FX Reference'!$C$5:$C$25,MATCH(H285,'Assumptions &amp; FX Reference'!$A$5:$A$25,0)),IF(L285="USD",M285*INDEX('Assumptions &amp; FX Reference'!$B$5:$B$25,MATCH(H285,'Assumptions &amp; FX Reference'!$A$5:$A$25,0))/INDEX('Assumptions &amp; FX Reference'!$C$5:$C$25,MATCH(H285,'Assumptions &amp; FX Reference'!$A$5:$A$25,0)),""))),"(FX missing)"))</f>
        <v/>
      </c>
      <c r="P285" s="30"/>
      <c r="Q285" s="30"/>
      <c r="R285" s="30"/>
      <c r="S285" s="30"/>
      <c r="T285" s="30"/>
      <c r="U285" s="30"/>
      <c r="V285" s="30"/>
    </row>
    <row r="286" spans="1:22">
      <c r="A286" s="30"/>
      <c r="B286" s="30"/>
      <c r="C286" s="33" t="str">
        <f>IF(B286="","",IFERROR(INDEX('Master Database'!$D$5:$D$600,MATCH(B286,'Master Database'!$A$5:$A$600,0)),"(row not found)"))</f>
        <v/>
      </c>
      <c r="D286" s="33" t="str">
        <f>IF(B286="","",IFERROR(INDEX('Master Database'!$B$5:$B$600,MATCH(B286,'Master Database'!$A$5:$A$600,0)),"(row not found)"))</f>
        <v/>
      </c>
      <c r="E286" s="30"/>
      <c r="F286" s="33" t="str">
        <f>IF(E286="","",IFERROR(INDEX(Vendor_Register!$B$5:$B$205,MATCH(E286,Vendor_Register!$A$5:$A$205,0)),"(not in register)"))</f>
        <v/>
      </c>
      <c r="G286" s="33" t="str">
        <f>IF(E286="","",IFERROR(INDEX(Vendor_Register!$E$5:$E$205,MATCH(E286,Vendor_Register!$A$5:$A$205,0)),"(not in register)"))</f>
        <v/>
      </c>
      <c r="H286" s="30"/>
      <c r="I286" s="30"/>
      <c r="J286" s="30"/>
      <c r="K286" s="30"/>
      <c r="L286" s="30"/>
      <c r="M286" s="34"/>
      <c r="N286" s="30"/>
      <c r="O286" s="35" t="str">
        <f>IF(NOT(ISNUMBER(M286)),"",IFERROR(IF(L286="EUR",M286,IF(L286="IRR",M286/INDEX('Assumptions &amp; FX Reference'!$C$5:$C$25,MATCH(H286,'Assumptions &amp; FX Reference'!$A$5:$A$25,0)),IF(L286="USD",M286*INDEX('Assumptions &amp; FX Reference'!$B$5:$B$25,MATCH(H286,'Assumptions &amp; FX Reference'!$A$5:$A$25,0))/INDEX('Assumptions &amp; FX Reference'!$C$5:$C$25,MATCH(H286,'Assumptions &amp; FX Reference'!$A$5:$A$25,0)),""))),"(FX missing)"))</f>
        <v/>
      </c>
      <c r="P286" s="30"/>
      <c r="Q286" s="30"/>
      <c r="R286" s="30"/>
      <c r="S286" s="30"/>
      <c r="T286" s="30"/>
      <c r="U286" s="30"/>
      <c r="V286" s="30"/>
    </row>
    <row r="287" spans="1:22">
      <c r="A287" s="30"/>
      <c r="B287" s="30"/>
      <c r="C287" s="33" t="str">
        <f>IF(B287="","",IFERROR(INDEX('Master Database'!$D$5:$D$600,MATCH(B287,'Master Database'!$A$5:$A$600,0)),"(row not found)"))</f>
        <v/>
      </c>
      <c r="D287" s="33" t="str">
        <f>IF(B287="","",IFERROR(INDEX('Master Database'!$B$5:$B$600,MATCH(B287,'Master Database'!$A$5:$A$600,0)),"(row not found)"))</f>
        <v/>
      </c>
      <c r="E287" s="30"/>
      <c r="F287" s="33" t="str">
        <f>IF(E287="","",IFERROR(INDEX(Vendor_Register!$B$5:$B$205,MATCH(E287,Vendor_Register!$A$5:$A$205,0)),"(not in register)"))</f>
        <v/>
      </c>
      <c r="G287" s="33" t="str">
        <f>IF(E287="","",IFERROR(INDEX(Vendor_Register!$E$5:$E$205,MATCH(E287,Vendor_Register!$A$5:$A$205,0)),"(not in register)"))</f>
        <v/>
      </c>
      <c r="H287" s="30"/>
      <c r="I287" s="30"/>
      <c r="J287" s="30"/>
      <c r="K287" s="30"/>
      <c r="L287" s="30"/>
      <c r="M287" s="34"/>
      <c r="N287" s="30"/>
      <c r="O287" s="35" t="str">
        <f>IF(NOT(ISNUMBER(M287)),"",IFERROR(IF(L287="EUR",M287,IF(L287="IRR",M287/INDEX('Assumptions &amp; FX Reference'!$C$5:$C$25,MATCH(H287,'Assumptions &amp; FX Reference'!$A$5:$A$25,0)),IF(L287="USD",M287*INDEX('Assumptions &amp; FX Reference'!$B$5:$B$25,MATCH(H287,'Assumptions &amp; FX Reference'!$A$5:$A$25,0))/INDEX('Assumptions &amp; FX Reference'!$C$5:$C$25,MATCH(H287,'Assumptions &amp; FX Reference'!$A$5:$A$25,0)),""))),"(FX missing)"))</f>
        <v/>
      </c>
      <c r="P287" s="30"/>
      <c r="Q287" s="30"/>
      <c r="R287" s="30"/>
      <c r="S287" s="30"/>
      <c r="T287" s="30"/>
      <c r="U287" s="30"/>
      <c r="V287" s="30"/>
    </row>
    <row r="288" spans="1:22">
      <c r="A288" s="30"/>
      <c r="B288" s="30"/>
      <c r="C288" s="33" t="str">
        <f>IF(B288="","",IFERROR(INDEX('Master Database'!$D$5:$D$600,MATCH(B288,'Master Database'!$A$5:$A$600,0)),"(row not found)"))</f>
        <v/>
      </c>
      <c r="D288" s="33" t="str">
        <f>IF(B288="","",IFERROR(INDEX('Master Database'!$B$5:$B$600,MATCH(B288,'Master Database'!$A$5:$A$600,0)),"(row not found)"))</f>
        <v/>
      </c>
      <c r="E288" s="30"/>
      <c r="F288" s="33" t="str">
        <f>IF(E288="","",IFERROR(INDEX(Vendor_Register!$B$5:$B$205,MATCH(E288,Vendor_Register!$A$5:$A$205,0)),"(not in register)"))</f>
        <v/>
      </c>
      <c r="G288" s="33" t="str">
        <f>IF(E288="","",IFERROR(INDEX(Vendor_Register!$E$5:$E$205,MATCH(E288,Vendor_Register!$A$5:$A$205,0)),"(not in register)"))</f>
        <v/>
      </c>
      <c r="H288" s="30"/>
      <c r="I288" s="30"/>
      <c r="J288" s="30"/>
      <c r="K288" s="30"/>
      <c r="L288" s="30"/>
      <c r="M288" s="34"/>
      <c r="N288" s="30"/>
      <c r="O288" s="35" t="str">
        <f>IF(NOT(ISNUMBER(M288)),"",IFERROR(IF(L288="EUR",M288,IF(L288="IRR",M288/INDEX('Assumptions &amp; FX Reference'!$C$5:$C$25,MATCH(H288,'Assumptions &amp; FX Reference'!$A$5:$A$25,0)),IF(L288="USD",M288*INDEX('Assumptions &amp; FX Reference'!$B$5:$B$25,MATCH(H288,'Assumptions &amp; FX Reference'!$A$5:$A$25,0))/INDEX('Assumptions &amp; FX Reference'!$C$5:$C$25,MATCH(H288,'Assumptions &amp; FX Reference'!$A$5:$A$25,0)),""))),"(FX missing)"))</f>
        <v/>
      </c>
      <c r="P288" s="30"/>
      <c r="Q288" s="30"/>
      <c r="R288" s="30"/>
      <c r="S288" s="30"/>
      <c r="T288" s="30"/>
      <c r="U288" s="30"/>
      <c r="V288" s="30"/>
    </row>
    <row r="289" spans="1:22">
      <c r="A289" s="30"/>
      <c r="B289" s="30"/>
      <c r="C289" s="33" t="str">
        <f>IF(B289="","",IFERROR(INDEX('Master Database'!$D$5:$D$600,MATCH(B289,'Master Database'!$A$5:$A$600,0)),"(row not found)"))</f>
        <v/>
      </c>
      <c r="D289" s="33" t="str">
        <f>IF(B289="","",IFERROR(INDEX('Master Database'!$B$5:$B$600,MATCH(B289,'Master Database'!$A$5:$A$600,0)),"(row not found)"))</f>
        <v/>
      </c>
      <c r="E289" s="30"/>
      <c r="F289" s="33" t="str">
        <f>IF(E289="","",IFERROR(INDEX(Vendor_Register!$B$5:$B$205,MATCH(E289,Vendor_Register!$A$5:$A$205,0)),"(not in register)"))</f>
        <v/>
      </c>
      <c r="G289" s="33" t="str">
        <f>IF(E289="","",IFERROR(INDEX(Vendor_Register!$E$5:$E$205,MATCH(E289,Vendor_Register!$A$5:$A$205,0)),"(not in register)"))</f>
        <v/>
      </c>
      <c r="H289" s="30"/>
      <c r="I289" s="30"/>
      <c r="J289" s="30"/>
      <c r="K289" s="30"/>
      <c r="L289" s="30"/>
      <c r="M289" s="34"/>
      <c r="N289" s="30"/>
      <c r="O289" s="35" t="str">
        <f>IF(NOT(ISNUMBER(M289)),"",IFERROR(IF(L289="EUR",M289,IF(L289="IRR",M289/INDEX('Assumptions &amp; FX Reference'!$C$5:$C$25,MATCH(H289,'Assumptions &amp; FX Reference'!$A$5:$A$25,0)),IF(L289="USD",M289*INDEX('Assumptions &amp; FX Reference'!$B$5:$B$25,MATCH(H289,'Assumptions &amp; FX Reference'!$A$5:$A$25,0))/INDEX('Assumptions &amp; FX Reference'!$C$5:$C$25,MATCH(H289,'Assumptions &amp; FX Reference'!$A$5:$A$25,0)),""))),"(FX missing)"))</f>
        <v/>
      </c>
      <c r="P289" s="30"/>
      <c r="Q289" s="30"/>
      <c r="R289" s="30"/>
      <c r="S289" s="30"/>
      <c r="T289" s="30"/>
      <c r="U289" s="30"/>
      <c r="V289" s="30"/>
    </row>
    <row r="290" spans="1:22">
      <c r="A290" s="30"/>
      <c r="B290" s="30"/>
      <c r="C290" s="33" t="str">
        <f>IF(B290="","",IFERROR(INDEX('Master Database'!$D$5:$D$600,MATCH(B290,'Master Database'!$A$5:$A$600,0)),"(row not found)"))</f>
        <v/>
      </c>
      <c r="D290" s="33" t="str">
        <f>IF(B290="","",IFERROR(INDEX('Master Database'!$B$5:$B$600,MATCH(B290,'Master Database'!$A$5:$A$600,0)),"(row not found)"))</f>
        <v/>
      </c>
      <c r="E290" s="30"/>
      <c r="F290" s="33" t="str">
        <f>IF(E290="","",IFERROR(INDEX(Vendor_Register!$B$5:$B$205,MATCH(E290,Vendor_Register!$A$5:$A$205,0)),"(not in register)"))</f>
        <v/>
      </c>
      <c r="G290" s="33" t="str">
        <f>IF(E290="","",IFERROR(INDEX(Vendor_Register!$E$5:$E$205,MATCH(E290,Vendor_Register!$A$5:$A$205,0)),"(not in register)"))</f>
        <v/>
      </c>
      <c r="H290" s="30"/>
      <c r="I290" s="30"/>
      <c r="J290" s="30"/>
      <c r="K290" s="30"/>
      <c r="L290" s="30"/>
      <c r="M290" s="34"/>
      <c r="N290" s="30"/>
      <c r="O290" s="35" t="str">
        <f>IF(NOT(ISNUMBER(M290)),"",IFERROR(IF(L290="EUR",M290,IF(L290="IRR",M290/INDEX('Assumptions &amp; FX Reference'!$C$5:$C$25,MATCH(H290,'Assumptions &amp; FX Reference'!$A$5:$A$25,0)),IF(L290="USD",M290*INDEX('Assumptions &amp; FX Reference'!$B$5:$B$25,MATCH(H290,'Assumptions &amp; FX Reference'!$A$5:$A$25,0))/INDEX('Assumptions &amp; FX Reference'!$C$5:$C$25,MATCH(H290,'Assumptions &amp; FX Reference'!$A$5:$A$25,0)),""))),"(FX missing)"))</f>
        <v/>
      </c>
      <c r="P290" s="30"/>
      <c r="Q290" s="30"/>
      <c r="R290" s="30"/>
      <c r="S290" s="30"/>
      <c r="T290" s="30"/>
      <c r="U290" s="30"/>
      <c r="V290" s="30"/>
    </row>
    <row r="291" spans="1:22">
      <c r="A291" s="30"/>
      <c r="B291" s="30"/>
      <c r="C291" s="33" t="str">
        <f>IF(B291="","",IFERROR(INDEX('Master Database'!$D$5:$D$600,MATCH(B291,'Master Database'!$A$5:$A$600,0)),"(row not found)"))</f>
        <v/>
      </c>
      <c r="D291" s="33" t="str">
        <f>IF(B291="","",IFERROR(INDEX('Master Database'!$B$5:$B$600,MATCH(B291,'Master Database'!$A$5:$A$600,0)),"(row not found)"))</f>
        <v/>
      </c>
      <c r="E291" s="30"/>
      <c r="F291" s="33" t="str">
        <f>IF(E291="","",IFERROR(INDEX(Vendor_Register!$B$5:$B$205,MATCH(E291,Vendor_Register!$A$5:$A$205,0)),"(not in register)"))</f>
        <v/>
      </c>
      <c r="G291" s="33" t="str">
        <f>IF(E291="","",IFERROR(INDEX(Vendor_Register!$E$5:$E$205,MATCH(E291,Vendor_Register!$A$5:$A$205,0)),"(not in register)"))</f>
        <v/>
      </c>
      <c r="H291" s="30"/>
      <c r="I291" s="30"/>
      <c r="J291" s="30"/>
      <c r="K291" s="30"/>
      <c r="L291" s="30"/>
      <c r="M291" s="34"/>
      <c r="N291" s="30"/>
      <c r="O291" s="35" t="str">
        <f>IF(NOT(ISNUMBER(M291)),"",IFERROR(IF(L291="EUR",M291,IF(L291="IRR",M291/INDEX('Assumptions &amp; FX Reference'!$C$5:$C$25,MATCH(H291,'Assumptions &amp; FX Reference'!$A$5:$A$25,0)),IF(L291="USD",M291*INDEX('Assumptions &amp; FX Reference'!$B$5:$B$25,MATCH(H291,'Assumptions &amp; FX Reference'!$A$5:$A$25,0))/INDEX('Assumptions &amp; FX Reference'!$C$5:$C$25,MATCH(H291,'Assumptions &amp; FX Reference'!$A$5:$A$25,0)),""))),"(FX missing)"))</f>
        <v/>
      </c>
      <c r="P291" s="30"/>
      <c r="Q291" s="30"/>
      <c r="R291" s="30"/>
      <c r="S291" s="30"/>
      <c r="T291" s="30"/>
      <c r="U291" s="30"/>
      <c r="V291" s="30"/>
    </row>
    <row r="292" spans="1:22">
      <c r="A292" s="30"/>
      <c r="B292" s="30"/>
      <c r="C292" s="33" t="str">
        <f>IF(B292="","",IFERROR(INDEX('Master Database'!$D$5:$D$600,MATCH(B292,'Master Database'!$A$5:$A$600,0)),"(row not found)"))</f>
        <v/>
      </c>
      <c r="D292" s="33" t="str">
        <f>IF(B292="","",IFERROR(INDEX('Master Database'!$B$5:$B$600,MATCH(B292,'Master Database'!$A$5:$A$600,0)),"(row not found)"))</f>
        <v/>
      </c>
      <c r="E292" s="30"/>
      <c r="F292" s="33" t="str">
        <f>IF(E292="","",IFERROR(INDEX(Vendor_Register!$B$5:$B$205,MATCH(E292,Vendor_Register!$A$5:$A$205,0)),"(not in register)"))</f>
        <v/>
      </c>
      <c r="G292" s="33" t="str">
        <f>IF(E292="","",IFERROR(INDEX(Vendor_Register!$E$5:$E$205,MATCH(E292,Vendor_Register!$A$5:$A$205,0)),"(not in register)"))</f>
        <v/>
      </c>
      <c r="H292" s="30"/>
      <c r="I292" s="30"/>
      <c r="J292" s="30"/>
      <c r="K292" s="30"/>
      <c r="L292" s="30"/>
      <c r="M292" s="34"/>
      <c r="N292" s="30"/>
      <c r="O292" s="35" t="str">
        <f>IF(NOT(ISNUMBER(M292)),"",IFERROR(IF(L292="EUR",M292,IF(L292="IRR",M292/INDEX('Assumptions &amp; FX Reference'!$C$5:$C$25,MATCH(H292,'Assumptions &amp; FX Reference'!$A$5:$A$25,0)),IF(L292="USD",M292*INDEX('Assumptions &amp; FX Reference'!$B$5:$B$25,MATCH(H292,'Assumptions &amp; FX Reference'!$A$5:$A$25,0))/INDEX('Assumptions &amp; FX Reference'!$C$5:$C$25,MATCH(H292,'Assumptions &amp; FX Reference'!$A$5:$A$25,0)),""))),"(FX missing)"))</f>
        <v/>
      </c>
      <c r="P292" s="30"/>
      <c r="Q292" s="30"/>
      <c r="R292" s="30"/>
      <c r="S292" s="30"/>
      <c r="T292" s="30"/>
      <c r="U292" s="30"/>
      <c r="V292" s="30"/>
    </row>
    <row r="293" spans="1:22">
      <c r="A293" s="30"/>
      <c r="B293" s="30"/>
      <c r="C293" s="33" t="str">
        <f>IF(B293="","",IFERROR(INDEX('Master Database'!$D$5:$D$600,MATCH(B293,'Master Database'!$A$5:$A$600,0)),"(row not found)"))</f>
        <v/>
      </c>
      <c r="D293" s="33" t="str">
        <f>IF(B293="","",IFERROR(INDEX('Master Database'!$B$5:$B$600,MATCH(B293,'Master Database'!$A$5:$A$600,0)),"(row not found)"))</f>
        <v/>
      </c>
      <c r="E293" s="30"/>
      <c r="F293" s="33" t="str">
        <f>IF(E293="","",IFERROR(INDEX(Vendor_Register!$B$5:$B$205,MATCH(E293,Vendor_Register!$A$5:$A$205,0)),"(not in register)"))</f>
        <v/>
      </c>
      <c r="G293" s="33" t="str">
        <f>IF(E293="","",IFERROR(INDEX(Vendor_Register!$E$5:$E$205,MATCH(E293,Vendor_Register!$A$5:$A$205,0)),"(not in register)"))</f>
        <v/>
      </c>
      <c r="H293" s="30"/>
      <c r="I293" s="30"/>
      <c r="J293" s="30"/>
      <c r="K293" s="30"/>
      <c r="L293" s="30"/>
      <c r="M293" s="34"/>
      <c r="N293" s="30"/>
      <c r="O293" s="35" t="str">
        <f>IF(NOT(ISNUMBER(M293)),"",IFERROR(IF(L293="EUR",M293,IF(L293="IRR",M293/INDEX('Assumptions &amp; FX Reference'!$C$5:$C$25,MATCH(H293,'Assumptions &amp; FX Reference'!$A$5:$A$25,0)),IF(L293="USD",M293*INDEX('Assumptions &amp; FX Reference'!$B$5:$B$25,MATCH(H293,'Assumptions &amp; FX Reference'!$A$5:$A$25,0))/INDEX('Assumptions &amp; FX Reference'!$C$5:$C$25,MATCH(H293,'Assumptions &amp; FX Reference'!$A$5:$A$25,0)),""))),"(FX missing)"))</f>
        <v/>
      </c>
      <c r="P293" s="30"/>
      <c r="Q293" s="30"/>
      <c r="R293" s="30"/>
      <c r="S293" s="30"/>
      <c r="T293" s="30"/>
      <c r="U293" s="30"/>
      <c r="V293" s="30"/>
    </row>
    <row r="294" spans="1:22">
      <c r="A294" s="30"/>
      <c r="B294" s="30"/>
      <c r="C294" s="33" t="str">
        <f>IF(B294="","",IFERROR(INDEX('Master Database'!$D$5:$D$600,MATCH(B294,'Master Database'!$A$5:$A$600,0)),"(row not found)"))</f>
        <v/>
      </c>
      <c r="D294" s="33" t="str">
        <f>IF(B294="","",IFERROR(INDEX('Master Database'!$B$5:$B$600,MATCH(B294,'Master Database'!$A$5:$A$600,0)),"(row not found)"))</f>
        <v/>
      </c>
      <c r="E294" s="30"/>
      <c r="F294" s="33" t="str">
        <f>IF(E294="","",IFERROR(INDEX(Vendor_Register!$B$5:$B$205,MATCH(E294,Vendor_Register!$A$5:$A$205,0)),"(not in register)"))</f>
        <v/>
      </c>
      <c r="G294" s="33" t="str">
        <f>IF(E294="","",IFERROR(INDEX(Vendor_Register!$E$5:$E$205,MATCH(E294,Vendor_Register!$A$5:$A$205,0)),"(not in register)"))</f>
        <v/>
      </c>
      <c r="H294" s="30"/>
      <c r="I294" s="30"/>
      <c r="J294" s="30"/>
      <c r="K294" s="30"/>
      <c r="L294" s="30"/>
      <c r="M294" s="34"/>
      <c r="N294" s="30"/>
      <c r="O294" s="35" t="str">
        <f>IF(NOT(ISNUMBER(M294)),"",IFERROR(IF(L294="EUR",M294,IF(L294="IRR",M294/INDEX('Assumptions &amp; FX Reference'!$C$5:$C$25,MATCH(H294,'Assumptions &amp; FX Reference'!$A$5:$A$25,0)),IF(L294="USD",M294*INDEX('Assumptions &amp; FX Reference'!$B$5:$B$25,MATCH(H294,'Assumptions &amp; FX Reference'!$A$5:$A$25,0))/INDEX('Assumptions &amp; FX Reference'!$C$5:$C$25,MATCH(H294,'Assumptions &amp; FX Reference'!$A$5:$A$25,0)),""))),"(FX missing)"))</f>
        <v/>
      </c>
      <c r="P294" s="30"/>
      <c r="Q294" s="30"/>
      <c r="R294" s="30"/>
      <c r="S294" s="30"/>
      <c r="T294" s="30"/>
      <c r="U294" s="30"/>
      <c r="V294" s="30"/>
    </row>
    <row r="295" spans="1:22">
      <c r="A295" s="30"/>
      <c r="B295" s="30"/>
      <c r="C295" s="33" t="str">
        <f>IF(B295="","",IFERROR(INDEX('Master Database'!$D$5:$D$600,MATCH(B295,'Master Database'!$A$5:$A$600,0)),"(row not found)"))</f>
        <v/>
      </c>
      <c r="D295" s="33" t="str">
        <f>IF(B295="","",IFERROR(INDEX('Master Database'!$B$5:$B$600,MATCH(B295,'Master Database'!$A$5:$A$600,0)),"(row not found)"))</f>
        <v/>
      </c>
      <c r="E295" s="30"/>
      <c r="F295" s="33" t="str">
        <f>IF(E295="","",IFERROR(INDEX(Vendor_Register!$B$5:$B$205,MATCH(E295,Vendor_Register!$A$5:$A$205,0)),"(not in register)"))</f>
        <v/>
      </c>
      <c r="G295" s="33" t="str">
        <f>IF(E295="","",IFERROR(INDEX(Vendor_Register!$E$5:$E$205,MATCH(E295,Vendor_Register!$A$5:$A$205,0)),"(not in register)"))</f>
        <v/>
      </c>
      <c r="H295" s="30"/>
      <c r="I295" s="30"/>
      <c r="J295" s="30"/>
      <c r="K295" s="30"/>
      <c r="L295" s="30"/>
      <c r="M295" s="34"/>
      <c r="N295" s="30"/>
      <c r="O295" s="35" t="str">
        <f>IF(NOT(ISNUMBER(M295)),"",IFERROR(IF(L295="EUR",M295,IF(L295="IRR",M295/INDEX('Assumptions &amp; FX Reference'!$C$5:$C$25,MATCH(H295,'Assumptions &amp; FX Reference'!$A$5:$A$25,0)),IF(L295="USD",M295*INDEX('Assumptions &amp; FX Reference'!$B$5:$B$25,MATCH(H295,'Assumptions &amp; FX Reference'!$A$5:$A$25,0))/INDEX('Assumptions &amp; FX Reference'!$C$5:$C$25,MATCH(H295,'Assumptions &amp; FX Reference'!$A$5:$A$25,0)),""))),"(FX missing)"))</f>
        <v/>
      </c>
      <c r="P295" s="30"/>
      <c r="Q295" s="30"/>
      <c r="R295" s="30"/>
      <c r="S295" s="30"/>
      <c r="T295" s="30"/>
      <c r="U295" s="30"/>
      <c r="V295" s="30"/>
    </row>
    <row r="296" spans="1:22">
      <c r="A296" s="30"/>
      <c r="B296" s="30"/>
      <c r="C296" s="33" t="str">
        <f>IF(B296="","",IFERROR(INDEX('Master Database'!$D$5:$D$600,MATCH(B296,'Master Database'!$A$5:$A$600,0)),"(row not found)"))</f>
        <v/>
      </c>
      <c r="D296" s="33" t="str">
        <f>IF(B296="","",IFERROR(INDEX('Master Database'!$B$5:$B$600,MATCH(B296,'Master Database'!$A$5:$A$600,0)),"(row not found)"))</f>
        <v/>
      </c>
      <c r="E296" s="30"/>
      <c r="F296" s="33" t="str">
        <f>IF(E296="","",IFERROR(INDEX(Vendor_Register!$B$5:$B$205,MATCH(E296,Vendor_Register!$A$5:$A$205,0)),"(not in register)"))</f>
        <v/>
      </c>
      <c r="G296" s="33" t="str">
        <f>IF(E296="","",IFERROR(INDEX(Vendor_Register!$E$5:$E$205,MATCH(E296,Vendor_Register!$A$5:$A$205,0)),"(not in register)"))</f>
        <v/>
      </c>
      <c r="H296" s="30"/>
      <c r="I296" s="30"/>
      <c r="J296" s="30"/>
      <c r="K296" s="30"/>
      <c r="L296" s="30"/>
      <c r="M296" s="34"/>
      <c r="N296" s="30"/>
      <c r="O296" s="35" t="str">
        <f>IF(NOT(ISNUMBER(M296)),"",IFERROR(IF(L296="EUR",M296,IF(L296="IRR",M296/INDEX('Assumptions &amp; FX Reference'!$C$5:$C$25,MATCH(H296,'Assumptions &amp; FX Reference'!$A$5:$A$25,0)),IF(L296="USD",M296*INDEX('Assumptions &amp; FX Reference'!$B$5:$B$25,MATCH(H296,'Assumptions &amp; FX Reference'!$A$5:$A$25,0))/INDEX('Assumptions &amp; FX Reference'!$C$5:$C$25,MATCH(H296,'Assumptions &amp; FX Reference'!$A$5:$A$25,0)),""))),"(FX missing)"))</f>
        <v/>
      </c>
      <c r="P296" s="30"/>
      <c r="Q296" s="30"/>
      <c r="R296" s="30"/>
      <c r="S296" s="30"/>
      <c r="T296" s="30"/>
      <c r="U296" s="30"/>
      <c r="V296" s="30"/>
    </row>
    <row r="297" spans="1:22">
      <c r="A297" s="30"/>
      <c r="B297" s="30"/>
      <c r="C297" s="33" t="str">
        <f>IF(B297="","",IFERROR(INDEX('Master Database'!$D$5:$D$600,MATCH(B297,'Master Database'!$A$5:$A$600,0)),"(row not found)"))</f>
        <v/>
      </c>
      <c r="D297" s="33" t="str">
        <f>IF(B297="","",IFERROR(INDEX('Master Database'!$B$5:$B$600,MATCH(B297,'Master Database'!$A$5:$A$600,0)),"(row not found)"))</f>
        <v/>
      </c>
      <c r="E297" s="30"/>
      <c r="F297" s="33" t="str">
        <f>IF(E297="","",IFERROR(INDEX(Vendor_Register!$B$5:$B$205,MATCH(E297,Vendor_Register!$A$5:$A$205,0)),"(not in register)"))</f>
        <v/>
      </c>
      <c r="G297" s="33" t="str">
        <f>IF(E297="","",IFERROR(INDEX(Vendor_Register!$E$5:$E$205,MATCH(E297,Vendor_Register!$A$5:$A$205,0)),"(not in register)"))</f>
        <v/>
      </c>
      <c r="H297" s="30"/>
      <c r="I297" s="30"/>
      <c r="J297" s="30"/>
      <c r="K297" s="30"/>
      <c r="L297" s="30"/>
      <c r="M297" s="34"/>
      <c r="N297" s="30"/>
      <c r="O297" s="35" t="str">
        <f>IF(NOT(ISNUMBER(M297)),"",IFERROR(IF(L297="EUR",M297,IF(L297="IRR",M297/INDEX('Assumptions &amp; FX Reference'!$C$5:$C$25,MATCH(H297,'Assumptions &amp; FX Reference'!$A$5:$A$25,0)),IF(L297="USD",M297*INDEX('Assumptions &amp; FX Reference'!$B$5:$B$25,MATCH(H297,'Assumptions &amp; FX Reference'!$A$5:$A$25,0))/INDEX('Assumptions &amp; FX Reference'!$C$5:$C$25,MATCH(H297,'Assumptions &amp; FX Reference'!$A$5:$A$25,0)),""))),"(FX missing)"))</f>
        <v/>
      </c>
      <c r="P297" s="30"/>
      <c r="Q297" s="30"/>
      <c r="R297" s="30"/>
      <c r="S297" s="30"/>
      <c r="T297" s="30"/>
      <c r="U297" s="30"/>
      <c r="V297" s="30"/>
    </row>
    <row r="298" spans="1:22">
      <c r="A298" s="30"/>
      <c r="B298" s="30"/>
      <c r="C298" s="33" t="str">
        <f>IF(B298="","",IFERROR(INDEX('Master Database'!$D$5:$D$600,MATCH(B298,'Master Database'!$A$5:$A$600,0)),"(row not found)"))</f>
        <v/>
      </c>
      <c r="D298" s="33" t="str">
        <f>IF(B298="","",IFERROR(INDEX('Master Database'!$B$5:$B$600,MATCH(B298,'Master Database'!$A$5:$A$600,0)),"(row not found)"))</f>
        <v/>
      </c>
      <c r="E298" s="30"/>
      <c r="F298" s="33" t="str">
        <f>IF(E298="","",IFERROR(INDEX(Vendor_Register!$B$5:$B$205,MATCH(E298,Vendor_Register!$A$5:$A$205,0)),"(not in register)"))</f>
        <v/>
      </c>
      <c r="G298" s="33" t="str">
        <f>IF(E298="","",IFERROR(INDEX(Vendor_Register!$E$5:$E$205,MATCH(E298,Vendor_Register!$A$5:$A$205,0)),"(not in register)"))</f>
        <v/>
      </c>
      <c r="H298" s="30"/>
      <c r="I298" s="30"/>
      <c r="J298" s="30"/>
      <c r="K298" s="30"/>
      <c r="L298" s="30"/>
      <c r="M298" s="34"/>
      <c r="N298" s="30"/>
      <c r="O298" s="35" t="str">
        <f>IF(NOT(ISNUMBER(M298)),"",IFERROR(IF(L298="EUR",M298,IF(L298="IRR",M298/INDEX('Assumptions &amp; FX Reference'!$C$5:$C$25,MATCH(H298,'Assumptions &amp; FX Reference'!$A$5:$A$25,0)),IF(L298="USD",M298*INDEX('Assumptions &amp; FX Reference'!$B$5:$B$25,MATCH(H298,'Assumptions &amp; FX Reference'!$A$5:$A$25,0))/INDEX('Assumptions &amp; FX Reference'!$C$5:$C$25,MATCH(H298,'Assumptions &amp; FX Reference'!$A$5:$A$25,0)),""))),"(FX missing)"))</f>
        <v/>
      </c>
      <c r="P298" s="30"/>
      <c r="Q298" s="30"/>
      <c r="R298" s="30"/>
      <c r="S298" s="30"/>
      <c r="T298" s="30"/>
      <c r="U298" s="30"/>
      <c r="V298" s="30"/>
    </row>
    <row r="299" spans="1:22">
      <c r="A299" s="30"/>
      <c r="B299" s="30"/>
      <c r="C299" s="33" t="str">
        <f>IF(B299="","",IFERROR(INDEX('Master Database'!$D$5:$D$600,MATCH(B299,'Master Database'!$A$5:$A$600,0)),"(row not found)"))</f>
        <v/>
      </c>
      <c r="D299" s="33" t="str">
        <f>IF(B299="","",IFERROR(INDEX('Master Database'!$B$5:$B$600,MATCH(B299,'Master Database'!$A$5:$A$600,0)),"(row not found)"))</f>
        <v/>
      </c>
      <c r="E299" s="30"/>
      <c r="F299" s="33" t="str">
        <f>IF(E299="","",IFERROR(INDEX(Vendor_Register!$B$5:$B$205,MATCH(E299,Vendor_Register!$A$5:$A$205,0)),"(not in register)"))</f>
        <v/>
      </c>
      <c r="G299" s="33" t="str">
        <f>IF(E299="","",IFERROR(INDEX(Vendor_Register!$E$5:$E$205,MATCH(E299,Vendor_Register!$A$5:$A$205,0)),"(not in register)"))</f>
        <v/>
      </c>
      <c r="H299" s="30"/>
      <c r="I299" s="30"/>
      <c r="J299" s="30"/>
      <c r="K299" s="30"/>
      <c r="L299" s="30"/>
      <c r="M299" s="34"/>
      <c r="N299" s="30"/>
      <c r="O299" s="35" t="str">
        <f>IF(NOT(ISNUMBER(M299)),"",IFERROR(IF(L299="EUR",M299,IF(L299="IRR",M299/INDEX('Assumptions &amp; FX Reference'!$C$5:$C$25,MATCH(H299,'Assumptions &amp; FX Reference'!$A$5:$A$25,0)),IF(L299="USD",M299*INDEX('Assumptions &amp; FX Reference'!$B$5:$B$25,MATCH(H299,'Assumptions &amp; FX Reference'!$A$5:$A$25,0))/INDEX('Assumptions &amp; FX Reference'!$C$5:$C$25,MATCH(H299,'Assumptions &amp; FX Reference'!$A$5:$A$25,0)),""))),"(FX missing)"))</f>
        <v/>
      </c>
      <c r="P299" s="30"/>
      <c r="Q299" s="30"/>
      <c r="R299" s="30"/>
      <c r="S299" s="30"/>
      <c r="T299" s="30"/>
      <c r="U299" s="30"/>
      <c r="V299" s="30"/>
    </row>
    <row r="300" spans="1:22">
      <c r="A300" s="30"/>
      <c r="B300" s="30"/>
      <c r="C300" s="33" t="str">
        <f>IF(B300="","",IFERROR(INDEX('Master Database'!$D$5:$D$600,MATCH(B300,'Master Database'!$A$5:$A$600,0)),"(row not found)"))</f>
        <v/>
      </c>
      <c r="D300" s="33" t="str">
        <f>IF(B300="","",IFERROR(INDEX('Master Database'!$B$5:$B$600,MATCH(B300,'Master Database'!$A$5:$A$600,0)),"(row not found)"))</f>
        <v/>
      </c>
      <c r="E300" s="30"/>
      <c r="F300" s="33" t="str">
        <f>IF(E300="","",IFERROR(INDEX(Vendor_Register!$B$5:$B$205,MATCH(E300,Vendor_Register!$A$5:$A$205,0)),"(not in register)"))</f>
        <v/>
      </c>
      <c r="G300" s="33" t="str">
        <f>IF(E300="","",IFERROR(INDEX(Vendor_Register!$E$5:$E$205,MATCH(E300,Vendor_Register!$A$5:$A$205,0)),"(not in register)"))</f>
        <v/>
      </c>
      <c r="H300" s="30"/>
      <c r="I300" s="30"/>
      <c r="J300" s="30"/>
      <c r="K300" s="30"/>
      <c r="L300" s="30"/>
      <c r="M300" s="34"/>
      <c r="N300" s="30"/>
      <c r="O300" s="35" t="str">
        <f>IF(NOT(ISNUMBER(M300)),"",IFERROR(IF(L300="EUR",M300,IF(L300="IRR",M300/INDEX('Assumptions &amp; FX Reference'!$C$5:$C$25,MATCH(H300,'Assumptions &amp; FX Reference'!$A$5:$A$25,0)),IF(L300="USD",M300*INDEX('Assumptions &amp; FX Reference'!$B$5:$B$25,MATCH(H300,'Assumptions &amp; FX Reference'!$A$5:$A$25,0))/INDEX('Assumptions &amp; FX Reference'!$C$5:$C$25,MATCH(H300,'Assumptions &amp; FX Reference'!$A$5:$A$25,0)),""))),"(FX missing)"))</f>
        <v/>
      </c>
      <c r="P300" s="30"/>
      <c r="Q300" s="30"/>
      <c r="R300" s="30"/>
      <c r="S300" s="30"/>
      <c r="T300" s="30"/>
      <c r="U300" s="30"/>
      <c r="V300" s="30"/>
    </row>
    <row r="301" spans="1:22">
      <c r="A301" s="30"/>
      <c r="B301" s="30"/>
      <c r="C301" s="33" t="str">
        <f>IF(B301="","",IFERROR(INDEX('Master Database'!$D$5:$D$600,MATCH(B301,'Master Database'!$A$5:$A$600,0)),"(row not found)"))</f>
        <v/>
      </c>
      <c r="D301" s="33" t="str">
        <f>IF(B301="","",IFERROR(INDEX('Master Database'!$B$5:$B$600,MATCH(B301,'Master Database'!$A$5:$A$600,0)),"(row not found)"))</f>
        <v/>
      </c>
      <c r="E301" s="30"/>
      <c r="F301" s="33" t="str">
        <f>IF(E301="","",IFERROR(INDEX(Vendor_Register!$B$5:$B$205,MATCH(E301,Vendor_Register!$A$5:$A$205,0)),"(not in register)"))</f>
        <v/>
      </c>
      <c r="G301" s="33" t="str">
        <f>IF(E301="","",IFERROR(INDEX(Vendor_Register!$E$5:$E$205,MATCH(E301,Vendor_Register!$A$5:$A$205,0)),"(not in register)"))</f>
        <v/>
      </c>
      <c r="H301" s="30"/>
      <c r="I301" s="30"/>
      <c r="J301" s="30"/>
      <c r="K301" s="30"/>
      <c r="L301" s="30"/>
      <c r="M301" s="34"/>
      <c r="N301" s="30"/>
      <c r="O301" s="35" t="str">
        <f>IF(NOT(ISNUMBER(M301)),"",IFERROR(IF(L301="EUR",M301,IF(L301="IRR",M301/INDEX('Assumptions &amp; FX Reference'!$C$5:$C$25,MATCH(H301,'Assumptions &amp; FX Reference'!$A$5:$A$25,0)),IF(L301="USD",M301*INDEX('Assumptions &amp; FX Reference'!$B$5:$B$25,MATCH(H301,'Assumptions &amp; FX Reference'!$A$5:$A$25,0))/INDEX('Assumptions &amp; FX Reference'!$C$5:$C$25,MATCH(H301,'Assumptions &amp; FX Reference'!$A$5:$A$25,0)),""))),"(FX missing)"))</f>
        <v/>
      </c>
      <c r="P301" s="30"/>
      <c r="Q301" s="30"/>
      <c r="R301" s="30"/>
      <c r="S301" s="30"/>
      <c r="T301" s="30"/>
      <c r="U301" s="30"/>
      <c r="V301" s="30"/>
    </row>
    <row r="302" spans="1:22">
      <c r="A302" s="30"/>
      <c r="B302" s="30"/>
      <c r="C302" s="33" t="str">
        <f>IF(B302="","",IFERROR(INDEX('Master Database'!$D$5:$D$600,MATCH(B302,'Master Database'!$A$5:$A$600,0)),"(row not found)"))</f>
        <v/>
      </c>
      <c r="D302" s="33" t="str">
        <f>IF(B302="","",IFERROR(INDEX('Master Database'!$B$5:$B$600,MATCH(B302,'Master Database'!$A$5:$A$600,0)),"(row not found)"))</f>
        <v/>
      </c>
      <c r="E302" s="30"/>
      <c r="F302" s="33" t="str">
        <f>IF(E302="","",IFERROR(INDEX(Vendor_Register!$B$5:$B$205,MATCH(E302,Vendor_Register!$A$5:$A$205,0)),"(not in register)"))</f>
        <v/>
      </c>
      <c r="G302" s="33" t="str">
        <f>IF(E302="","",IFERROR(INDEX(Vendor_Register!$E$5:$E$205,MATCH(E302,Vendor_Register!$A$5:$A$205,0)),"(not in register)"))</f>
        <v/>
      </c>
      <c r="H302" s="30"/>
      <c r="I302" s="30"/>
      <c r="J302" s="30"/>
      <c r="K302" s="30"/>
      <c r="L302" s="30"/>
      <c r="M302" s="34"/>
      <c r="N302" s="30"/>
      <c r="O302" s="35" t="str">
        <f>IF(NOT(ISNUMBER(M302)),"",IFERROR(IF(L302="EUR",M302,IF(L302="IRR",M302/INDEX('Assumptions &amp; FX Reference'!$C$5:$C$25,MATCH(H302,'Assumptions &amp; FX Reference'!$A$5:$A$25,0)),IF(L302="USD",M302*INDEX('Assumptions &amp; FX Reference'!$B$5:$B$25,MATCH(H302,'Assumptions &amp; FX Reference'!$A$5:$A$25,0))/INDEX('Assumptions &amp; FX Reference'!$C$5:$C$25,MATCH(H302,'Assumptions &amp; FX Reference'!$A$5:$A$25,0)),""))),"(FX missing)"))</f>
        <v/>
      </c>
      <c r="P302" s="30"/>
      <c r="Q302" s="30"/>
      <c r="R302" s="30"/>
      <c r="S302" s="30"/>
      <c r="T302" s="30"/>
      <c r="U302" s="30"/>
      <c r="V302" s="30"/>
    </row>
    <row r="303" spans="1:22">
      <c r="A303" s="30"/>
      <c r="B303" s="30"/>
      <c r="C303" s="33" t="str">
        <f>IF(B303="","",IFERROR(INDEX('Master Database'!$D$5:$D$600,MATCH(B303,'Master Database'!$A$5:$A$600,0)),"(row not found)"))</f>
        <v/>
      </c>
      <c r="D303" s="33" t="str">
        <f>IF(B303="","",IFERROR(INDEX('Master Database'!$B$5:$B$600,MATCH(B303,'Master Database'!$A$5:$A$600,0)),"(row not found)"))</f>
        <v/>
      </c>
      <c r="E303" s="30"/>
      <c r="F303" s="33" t="str">
        <f>IF(E303="","",IFERROR(INDEX(Vendor_Register!$B$5:$B$205,MATCH(E303,Vendor_Register!$A$5:$A$205,0)),"(not in register)"))</f>
        <v/>
      </c>
      <c r="G303" s="33" t="str">
        <f>IF(E303="","",IFERROR(INDEX(Vendor_Register!$E$5:$E$205,MATCH(E303,Vendor_Register!$A$5:$A$205,0)),"(not in register)"))</f>
        <v/>
      </c>
      <c r="H303" s="30"/>
      <c r="I303" s="30"/>
      <c r="J303" s="30"/>
      <c r="K303" s="30"/>
      <c r="L303" s="30"/>
      <c r="M303" s="34"/>
      <c r="N303" s="30"/>
      <c r="O303" s="35" t="str">
        <f>IF(NOT(ISNUMBER(M303)),"",IFERROR(IF(L303="EUR",M303,IF(L303="IRR",M303/INDEX('Assumptions &amp; FX Reference'!$C$5:$C$25,MATCH(H303,'Assumptions &amp; FX Reference'!$A$5:$A$25,0)),IF(L303="USD",M303*INDEX('Assumptions &amp; FX Reference'!$B$5:$B$25,MATCH(H303,'Assumptions &amp; FX Reference'!$A$5:$A$25,0))/INDEX('Assumptions &amp; FX Reference'!$C$5:$C$25,MATCH(H303,'Assumptions &amp; FX Reference'!$A$5:$A$25,0)),""))),"(FX missing)"))</f>
        <v/>
      </c>
      <c r="P303" s="30"/>
      <c r="Q303" s="30"/>
      <c r="R303" s="30"/>
      <c r="S303" s="30"/>
      <c r="T303" s="30"/>
      <c r="U303" s="30"/>
      <c r="V303" s="30"/>
    </row>
    <row r="304" spans="1:22">
      <c r="A304" s="30"/>
      <c r="B304" s="30"/>
      <c r="C304" s="33" t="str">
        <f>IF(B304="","",IFERROR(INDEX('Master Database'!$D$5:$D$600,MATCH(B304,'Master Database'!$A$5:$A$600,0)),"(row not found)"))</f>
        <v/>
      </c>
      <c r="D304" s="33" t="str">
        <f>IF(B304="","",IFERROR(INDEX('Master Database'!$B$5:$B$600,MATCH(B304,'Master Database'!$A$5:$A$600,0)),"(row not found)"))</f>
        <v/>
      </c>
      <c r="E304" s="30"/>
      <c r="F304" s="33" t="str">
        <f>IF(E304="","",IFERROR(INDEX(Vendor_Register!$B$5:$B$205,MATCH(E304,Vendor_Register!$A$5:$A$205,0)),"(not in register)"))</f>
        <v/>
      </c>
      <c r="G304" s="33" t="str">
        <f>IF(E304="","",IFERROR(INDEX(Vendor_Register!$E$5:$E$205,MATCH(E304,Vendor_Register!$A$5:$A$205,0)),"(not in register)"))</f>
        <v/>
      </c>
      <c r="H304" s="30"/>
      <c r="I304" s="30"/>
      <c r="J304" s="30"/>
      <c r="K304" s="30"/>
      <c r="L304" s="30"/>
      <c r="M304" s="34"/>
      <c r="N304" s="30"/>
      <c r="O304" s="35" t="str">
        <f>IF(NOT(ISNUMBER(M304)),"",IFERROR(IF(L304="EUR",M304,IF(L304="IRR",M304/INDEX('Assumptions &amp; FX Reference'!$C$5:$C$25,MATCH(H304,'Assumptions &amp; FX Reference'!$A$5:$A$25,0)),IF(L304="USD",M304*INDEX('Assumptions &amp; FX Reference'!$B$5:$B$25,MATCH(H304,'Assumptions &amp; FX Reference'!$A$5:$A$25,0))/INDEX('Assumptions &amp; FX Reference'!$C$5:$C$25,MATCH(H304,'Assumptions &amp; FX Reference'!$A$5:$A$25,0)),""))),"(FX missing)"))</f>
        <v/>
      </c>
      <c r="P304" s="30"/>
      <c r="Q304" s="30"/>
      <c r="R304" s="30"/>
      <c r="S304" s="30"/>
      <c r="T304" s="30"/>
      <c r="U304" s="30"/>
      <c r="V304" s="30"/>
    </row>
    <row r="305" spans="1:22">
      <c r="A305" s="30"/>
      <c r="B305" s="30"/>
      <c r="C305" s="33" t="str">
        <f>IF(B305="","",IFERROR(INDEX('Master Database'!$D$5:$D$600,MATCH(B305,'Master Database'!$A$5:$A$600,0)),"(row not found)"))</f>
        <v/>
      </c>
      <c r="D305" s="33" t="str">
        <f>IF(B305="","",IFERROR(INDEX('Master Database'!$B$5:$B$600,MATCH(B305,'Master Database'!$A$5:$A$600,0)),"(row not found)"))</f>
        <v/>
      </c>
      <c r="E305" s="30"/>
      <c r="F305" s="33" t="str">
        <f>IF(E305="","",IFERROR(INDEX(Vendor_Register!$B$5:$B$205,MATCH(E305,Vendor_Register!$A$5:$A$205,0)),"(not in register)"))</f>
        <v/>
      </c>
      <c r="G305" s="33" t="str">
        <f>IF(E305="","",IFERROR(INDEX(Vendor_Register!$E$5:$E$205,MATCH(E305,Vendor_Register!$A$5:$A$205,0)),"(not in register)"))</f>
        <v/>
      </c>
      <c r="H305" s="30"/>
      <c r="I305" s="30"/>
      <c r="J305" s="30"/>
      <c r="K305" s="30"/>
      <c r="L305" s="30"/>
      <c r="M305" s="34"/>
      <c r="N305" s="30"/>
      <c r="O305" s="35" t="str">
        <f>IF(NOT(ISNUMBER(M305)),"",IFERROR(IF(L305="EUR",M305,IF(L305="IRR",M305/INDEX('Assumptions &amp; FX Reference'!$C$5:$C$25,MATCH(H305,'Assumptions &amp; FX Reference'!$A$5:$A$25,0)),IF(L305="USD",M305*INDEX('Assumptions &amp; FX Reference'!$B$5:$B$25,MATCH(H305,'Assumptions &amp; FX Reference'!$A$5:$A$25,0))/INDEX('Assumptions &amp; FX Reference'!$C$5:$C$25,MATCH(H305,'Assumptions &amp; FX Reference'!$A$5:$A$25,0)),""))),"(FX missing)"))</f>
        <v/>
      </c>
      <c r="P305" s="30"/>
      <c r="Q305" s="30"/>
      <c r="R305" s="30"/>
      <c r="S305" s="30"/>
      <c r="T305" s="30"/>
      <c r="U305" s="30"/>
      <c r="V305" s="30"/>
    </row>
    <row r="306" spans="1:22">
      <c r="A306" s="30"/>
      <c r="B306" s="30"/>
      <c r="C306" s="33" t="str">
        <f>IF(B306="","",IFERROR(INDEX('Master Database'!$D$5:$D$600,MATCH(B306,'Master Database'!$A$5:$A$600,0)),"(row not found)"))</f>
        <v/>
      </c>
      <c r="D306" s="33" t="str">
        <f>IF(B306="","",IFERROR(INDEX('Master Database'!$B$5:$B$600,MATCH(B306,'Master Database'!$A$5:$A$600,0)),"(row not found)"))</f>
        <v/>
      </c>
      <c r="E306" s="30"/>
      <c r="F306" s="33" t="str">
        <f>IF(E306="","",IFERROR(INDEX(Vendor_Register!$B$5:$B$205,MATCH(E306,Vendor_Register!$A$5:$A$205,0)),"(not in register)"))</f>
        <v/>
      </c>
      <c r="G306" s="33" t="str">
        <f>IF(E306="","",IFERROR(INDEX(Vendor_Register!$E$5:$E$205,MATCH(E306,Vendor_Register!$A$5:$A$205,0)),"(not in register)"))</f>
        <v/>
      </c>
      <c r="H306" s="30"/>
      <c r="I306" s="30"/>
      <c r="J306" s="30"/>
      <c r="K306" s="30"/>
      <c r="L306" s="30"/>
      <c r="M306" s="34"/>
      <c r="N306" s="30"/>
      <c r="O306" s="35" t="str">
        <f>IF(NOT(ISNUMBER(M306)),"",IFERROR(IF(L306="EUR",M306,IF(L306="IRR",M306/INDEX('Assumptions &amp; FX Reference'!$C$5:$C$25,MATCH(H306,'Assumptions &amp; FX Reference'!$A$5:$A$25,0)),IF(L306="USD",M306*INDEX('Assumptions &amp; FX Reference'!$B$5:$B$25,MATCH(H306,'Assumptions &amp; FX Reference'!$A$5:$A$25,0))/INDEX('Assumptions &amp; FX Reference'!$C$5:$C$25,MATCH(H306,'Assumptions &amp; FX Reference'!$A$5:$A$25,0)),""))),"(FX missing)"))</f>
        <v/>
      </c>
      <c r="P306" s="30"/>
      <c r="Q306" s="30"/>
      <c r="R306" s="30"/>
      <c r="S306" s="30"/>
      <c r="T306" s="30"/>
      <c r="U306" s="30"/>
      <c r="V306" s="30"/>
    </row>
    <row r="307" spans="1:22">
      <c r="A307" s="30"/>
      <c r="B307" s="30"/>
      <c r="C307" s="33" t="str">
        <f>IF(B307="","",IFERROR(INDEX('Master Database'!$D$5:$D$600,MATCH(B307,'Master Database'!$A$5:$A$600,0)),"(row not found)"))</f>
        <v/>
      </c>
      <c r="D307" s="33" t="str">
        <f>IF(B307="","",IFERROR(INDEX('Master Database'!$B$5:$B$600,MATCH(B307,'Master Database'!$A$5:$A$600,0)),"(row not found)"))</f>
        <v/>
      </c>
      <c r="E307" s="30"/>
      <c r="F307" s="33" t="str">
        <f>IF(E307="","",IFERROR(INDEX(Vendor_Register!$B$5:$B$205,MATCH(E307,Vendor_Register!$A$5:$A$205,0)),"(not in register)"))</f>
        <v/>
      </c>
      <c r="G307" s="33" t="str">
        <f>IF(E307="","",IFERROR(INDEX(Vendor_Register!$E$5:$E$205,MATCH(E307,Vendor_Register!$A$5:$A$205,0)),"(not in register)"))</f>
        <v/>
      </c>
      <c r="H307" s="30"/>
      <c r="I307" s="30"/>
      <c r="J307" s="30"/>
      <c r="K307" s="30"/>
      <c r="L307" s="30"/>
      <c r="M307" s="34"/>
      <c r="N307" s="30"/>
      <c r="O307" s="35" t="str">
        <f>IF(NOT(ISNUMBER(M307)),"",IFERROR(IF(L307="EUR",M307,IF(L307="IRR",M307/INDEX('Assumptions &amp; FX Reference'!$C$5:$C$25,MATCH(H307,'Assumptions &amp; FX Reference'!$A$5:$A$25,0)),IF(L307="USD",M307*INDEX('Assumptions &amp; FX Reference'!$B$5:$B$25,MATCH(H307,'Assumptions &amp; FX Reference'!$A$5:$A$25,0))/INDEX('Assumptions &amp; FX Reference'!$C$5:$C$25,MATCH(H307,'Assumptions &amp; FX Reference'!$A$5:$A$25,0)),""))),"(FX missing)"))</f>
        <v/>
      </c>
      <c r="P307" s="30"/>
      <c r="Q307" s="30"/>
      <c r="R307" s="30"/>
      <c r="S307" s="30"/>
      <c r="T307" s="30"/>
      <c r="U307" s="30"/>
      <c r="V307" s="30"/>
    </row>
    <row r="308" spans="1:22">
      <c r="A308" s="30"/>
      <c r="B308" s="30"/>
      <c r="C308" s="33" t="str">
        <f>IF(B308="","",IFERROR(INDEX('Master Database'!$D$5:$D$600,MATCH(B308,'Master Database'!$A$5:$A$600,0)),"(row not found)"))</f>
        <v/>
      </c>
      <c r="D308" s="33" t="str">
        <f>IF(B308="","",IFERROR(INDEX('Master Database'!$B$5:$B$600,MATCH(B308,'Master Database'!$A$5:$A$600,0)),"(row not found)"))</f>
        <v/>
      </c>
      <c r="E308" s="30"/>
      <c r="F308" s="33" t="str">
        <f>IF(E308="","",IFERROR(INDEX(Vendor_Register!$B$5:$B$205,MATCH(E308,Vendor_Register!$A$5:$A$205,0)),"(not in register)"))</f>
        <v/>
      </c>
      <c r="G308" s="33" t="str">
        <f>IF(E308="","",IFERROR(INDEX(Vendor_Register!$E$5:$E$205,MATCH(E308,Vendor_Register!$A$5:$A$205,0)),"(not in register)"))</f>
        <v/>
      </c>
      <c r="H308" s="30"/>
      <c r="I308" s="30"/>
      <c r="J308" s="30"/>
      <c r="K308" s="30"/>
      <c r="L308" s="30"/>
      <c r="M308" s="34"/>
      <c r="N308" s="30"/>
      <c r="O308" s="35" t="str">
        <f>IF(NOT(ISNUMBER(M308)),"",IFERROR(IF(L308="EUR",M308,IF(L308="IRR",M308/INDEX('Assumptions &amp; FX Reference'!$C$5:$C$25,MATCH(H308,'Assumptions &amp; FX Reference'!$A$5:$A$25,0)),IF(L308="USD",M308*INDEX('Assumptions &amp; FX Reference'!$B$5:$B$25,MATCH(H308,'Assumptions &amp; FX Reference'!$A$5:$A$25,0))/INDEX('Assumptions &amp; FX Reference'!$C$5:$C$25,MATCH(H308,'Assumptions &amp; FX Reference'!$A$5:$A$25,0)),""))),"(FX missing)"))</f>
        <v/>
      </c>
      <c r="P308" s="30"/>
      <c r="Q308" s="30"/>
      <c r="R308" s="30"/>
      <c r="S308" s="30"/>
      <c r="T308" s="30"/>
      <c r="U308" s="30"/>
      <c r="V308" s="30"/>
    </row>
    <row r="309" spans="1:22">
      <c r="A309" s="30"/>
      <c r="B309" s="30"/>
      <c r="C309" s="33" t="str">
        <f>IF(B309="","",IFERROR(INDEX('Master Database'!$D$5:$D$600,MATCH(B309,'Master Database'!$A$5:$A$600,0)),"(row not found)"))</f>
        <v/>
      </c>
      <c r="D309" s="33" t="str">
        <f>IF(B309="","",IFERROR(INDEX('Master Database'!$B$5:$B$600,MATCH(B309,'Master Database'!$A$5:$A$600,0)),"(row not found)"))</f>
        <v/>
      </c>
      <c r="E309" s="30"/>
      <c r="F309" s="33" t="str">
        <f>IF(E309="","",IFERROR(INDEX(Vendor_Register!$B$5:$B$205,MATCH(E309,Vendor_Register!$A$5:$A$205,0)),"(not in register)"))</f>
        <v/>
      </c>
      <c r="G309" s="33" t="str">
        <f>IF(E309="","",IFERROR(INDEX(Vendor_Register!$E$5:$E$205,MATCH(E309,Vendor_Register!$A$5:$A$205,0)),"(not in register)"))</f>
        <v/>
      </c>
      <c r="H309" s="30"/>
      <c r="I309" s="30"/>
      <c r="J309" s="30"/>
      <c r="K309" s="30"/>
      <c r="L309" s="30"/>
      <c r="M309" s="34"/>
      <c r="N309" s="30"/>
      <c r="O309" s="35" t="str">
        <f>IF(NOT(ISNUMBER(M309)),"",IFERROR(IF(L309="EUR",M309,IF(L309="IRR",M309/INDEX('Assumptions &amp; FX Reference'!$C$5:$C$25,MATCH(H309,'Assumptions &amp; FX Reference'!$A$5:$A$25,0)),IF(L309="USD",M309*INDEX('Assumptions &amp; FX Reference'!$B$5:$B$25,MATCH(H309,'Assumptions &amp; FX Reference'!$A$5:$A$25,0))/INDEX('Assumptions &amp; FX Reference'!$C$5:$C$25,MATCH(H309,'Assumptions &amp; FX Reference'!$A$5:$A$25,0)),""))),"(FX missing)"))</f>
        <v/>
      </c>
      <c r="P309" s="30"/>
      <c r="Q309" s="30"/>
      <c r="R309" s="30"/>
      <c r="S309" s="30"/>
      <c r="T309" s="30"/>
      <c r="U309" s="30"/>
      <c r="V309" s="30"/>
    </row>
    <row r="310" spans="1:22">
      <c r="A310" s="30"/>
      <c r="B310" s="30"/>
      <c r="C310" s="33" t="str">
        <f>IF(B310="","",IFERROR(INDEX('Master Database'!$D$5:$D$600,MATCH(B310,'Master Database'!$A$5:$A$600,0)),"(row not found)"))</f>
        <v/>
      </c>
      <c r="D310" s="33" t="str">
        <f>IF(B310="","",IFERROR(INDEX('Master Database'!$B$5:$B$600,MATCH(B310,'Master Database'!$A$5:$A$600,0)),"(row not found)"))</f>
        <v/>
      </c>
      <c r="E310" s="30"/>
      <c r="F310" s="33" t="str">
        <f>IF(E310="","",IFERROR(INDEX(Vendor_Register!$B$5:$B$205,MATCH(E310,Vendor_Register!$A$5:$A$205,0)),"(not in register)"))</f>
        <v/>
      </c>
      <c r="G310" s="33" t="str">
        <f>IF(E310="","",IFERROR(INDEX(Vendor_Register!$E$5:$E$205,MATCH(E310,Vendor_Register!$A$5:$A$205,0)),"(not in register)"))</f>
        <v/>
      </c>
      <c r="H310" s="30"/>
      <c r="I310" s="30"/>
      <c r="J310" s="30"/>
      <c r="K310" s="30"/>
      <c r="L310" s="30"/>
      <c r="M310" s="34"/>
      <c r="N310" s="30"/>
      <c r="O310" s="35" t="str">
        <f>IF(NOT(ISNUMBER(M310)),"",IFERROR(IF(L310="EUR",M310,IF(L310="IRR",M310/INDEX('Assumptions &amp; FX Reference'!$C$5:$C$25,MATCH(H310,'Assumptions &amp; FX Reference'!$A$5:$A$25,0)),IF(L310="USD",M310*INDEX('Assumptions &amp; FX Reference'!$B$5:$B$25,MATCH(H310,'Assumptions &amp; FX Reference'!$A$5:$A$25,0))/INDEX('Assumptions &amp; FX Reference'!$C$5:$C$25,MATCH(H310,'Assumptions &amp; FX Reference'!$A$5:$A$25,0)),""))),"(FX missing)"))</f>
        <v/>
      </c>
      <c r="P310" s="30"/>
      <c r="Q310" s="30"/>
      <c r="R310" s="30"/>
      <c r="S310" s="30"/>
      <c r="T310" s="30"/>
      <c r="U310" s="30"/>
      <c r="V310" s="30"/>
    </row>
    <row r="311" spans="1:22">
      <c r="A311" s="30"/>
      <c r="B311" s="30"/>
      <c r="C311" s="33" t="str">
        <f>IF(B311="","",IFERROR(INDEX('Master Database'!$D$5:$D$600,MATCH(B311,'Master Database'!$A$5:$A$600,0)),"(row not found)"))</f>
        <v/>
      </c>
      <c r="D311" s="33" t="str">
        <f>IF(B311="","",IFERROR(INDEX('Master Database'!$B$5:$B$600,MATCH(B311,'Master Database'!$A$5:$A$600,0)),"(row not found)"))</f>
        <v/>
      </c>
      <c r="E311" s="30"/>
      <c r="F311" s="33" t="str">
        <f>IF(E311="","",IFERROR(INDEX(Vendor_Register!$B$5:$B$205,MATCH(E311,Vendor_Register!$A$5:$A$205,0)),"(not in register)"))</f>
        <v/>
      </c>
      <c r="G311" s="33" t="str">
        <f>IF(E311="","",IFERROR(INDEX(Vendor_Register!$E$5:$E$205,MATCH(E311,Vendor_Register!$A$5:$A$205,0)),"(not in register)"))</f>
        <v/>
      </c>
      <c r="H311" s="30"/>
      <c r="I311" s="30"/>
      <c r="J311" s="30"/>
      <c r="K311" s="30"/>
      <c r="L311" s="30"/>
      <c r="M311" s="34"/>
      <c r="N311" s="30"/>
      <c r="O311" s="35" t="str">
        <f>IF(NOT(ISNUMBER(M311)),"",IFERROR(IF(L311="EUR",M311,IF(L311="IRR",M311/INDEX('Assumptions &amp; FX Reference'!$C$5:$C$25,MATCH(H311,'Assumptions &amp; FX Reference'!$A$5:$A$25,0)),IF(L311="USD",M311*INDEX('Assumptions &amp; FX Reference'!$B$5:$B$25,MATCH(H311,'Assumptions &amp; FX Reference'!$A$5:$A$25,0))/INDEX('Assumptions &amp; FX Reference'!$C$5:$C$25,MATCH(H311,'Assumptions &amp; FX Reference'!$A$5:$A$25,0)),""))),"(FX missing)"))</f>
        <v/>
      </c>
      <c r="P311" s="30"/>
      <c r="Q311" s="30"/>
      <c r="R311" s="30"/>
      <c r="S311" s="30"/>
      <c r="T311" s="30"/>
      <c r="U311" s="30"/>
      <c r="V311" s="30"/>
    </row>
    <row r="312" spans="1:22">
      <c r="A312" s="30"/>
      <c r="B312" s="30"/>
      <c r="C312" s="33" t="str">
        <f>IF(B312="","",IFERROR(INDEX('Master Database'!$D$5:$D$600,MATCH(B312,'Master Database'!$A$5:$A$600,0)),"(row not found)"))</f>
        <v/>
      </c>
      <c r="D312" s="33" t="str">
        <f>IF(B312="","",IFERROR(INDEX('Master Database'!$B$5:$B$600,MATCH(B312,'Master Database'!$A$5:$A$600,0)),"(row not found)"))</f>
        <v/>
      </c>
      <c r="E312" s="30"/>
      <c r="F312" s="33" t="str">
        <f>IF(E312="","",IFERROR(INDEX(Vendor_Register!$B$5:$B$205,MATCH(E312,Vendor_Register!$A$5:$A$205,0)),"(not in register)"))</f>
        <v/>
      </c>
      <c r="G312" s="33" t="str">
        <f>IF(E312="","",IFERROR(INDEX(Vendor_Register!$E$5:$E$205,MATCH(E312,Vendor_Register!$A$5:$A$205,0)),"(not in register)"))</f>
        <v/>
      </c>
      <c r="H312" s="30"/>
      <c r="I312" s="30"/>
      <c r="J312" s="30"/>
      <c r="K312" s="30"/>
      <c r="L312" s="30"/>
      <c r="M312" s="34"/>
      <c r="N312" s="30"/>
      <c r="O312" s="35" t="str">
        <f>IF(NOT(ISNUMBER(M312)),"",IFERROR(IF(L312="EUR",M312,IF(L312="IRR",M312/INDEX('Assumptions &amp; FX Reference'!$C$5:$C$25,MATCH(H312,'Assumptions &amp; FX Reference'!$A$5:$A$25,0)),IF(L312="USD",M312*INDEX('Assumptions &amp; FX Reference'!$B$5:$B$25,MATCH(H312,'Assumptions &amp; FX Reference'!$A$5:$A$25,0))/INDEX('Assumptions &amp; FX Reference'!$C$5:$C$25,MATCH(H312,'Assumptions &amp; FX Reference'!$A$5:$A$25,0)),""))),"(FX missing)"))</f>
        <v/>
      </c>
      <c r="P312" s="30"/>
      <c r="Q312" s="30"/>
      <c r="R312" s="30"/>
      <c r="S312" s="30"/>
      <c r="T312" s="30"/>
      <c r="U312" s="30"/>
      <c r="V312" s="30"/>
    </row>
    <row r="313" spans="1:22">
      <c r="A313" s="30"/>
      <c r="B313" s="30"/>
      <c r="C313" s="33" t="str">
        <f>IF(B313="","",IFERROR(INDEX('Master Database'!$D$5:$D$600,MATCH(B313,'Master Database'!$A$5:$A$600,0)),"(row not found)"))</f>
        <v/>
      </c>
      <c r="D313" s="33" t="str">
        <f>IF(B313="","",IFERROR(INDEX('Master Database'!$B$5:$B$600,MATCH(B313,'Master Database'!$A$5:$A$600,0)),"(row not found)"))</f>
        <v/>
      </c>
      <c r="E313" s="30"/>
      <c r="F313" s="33" t="str">
        <f>IF(E313="","",IFERROR(INDEX(Vendor_Register!$B$5:$B$205,MATCH(E313,Vendor_Register!$A$5:$A$205,0)),"(not in register)"))</f>
        <v/>
      </c>
      <c r="G313" s="33" t="str">
        <f>IF(E313="","",IFERROR(INDEX(Vendor_Register!$E$5:$E$205,MATCH(E313,Vendor_Register!$A$5:$A$205,0)),"(not in register)"))</f>
        <v/>
      </c>
      <c r="H313" s="30"/>
      <c r="I313" s="30"/>
      <c r="J313" s="30"/>
      <c r="K313" s="30"/>
      <c r="L313" s="30"/>
      <c r="M313" s="34"/>
      <c r="N313" s="30"/>
      <c r="O313" s="35" t="str">
        <f>IF(NOT(ISNUMBER(M313)),"",IFERROR(IF(L313="EUR",M313,IF(L313="IRR",M313/INDEX('Assumptions &amp; FX Reference'!$C$5:$C$25,MATCH(H313,'Assumptions &amp; FX Reference'!$A$5:$A$25,0)),IF(L313="USD",M313*INDEX('Assumptions &amp; FX Reference'!$B$5:$B$25,MATCH(H313,'Assumptions &amp; FX Reference'!$A$5:$A$25,0))/INDEX('Assumptions &amp; FX Reference'!$C$5:$C$25,MATCH(H313,'Assumptions &amp; FX Reference'!$A$5:$A$25,0)),""))),"(FX missing)"))</f>
        <v/>
      </c>
      <c r="P313" s="30"/>
      <c r="Q313" s="30"/>
      <c r="R313" s="30"/>
      <c r="S313" s="30"/>
      <c r="T313" s="30"/>
      <c r="U313" s="30"/>
      <c r="V313" s="30"/>
    </row>
    <row r="314" spans="1:22">
      <c r="A314" s="30"/>
      <c r="B314" s="30"/>
      <c r="C314" s="33" t="str">
        <f>IF(B314="","",IFERROR(INDEX('Master Database'!$D$5:$D$600,MATCH(B314,'Master Database'!$A$5:$A$600,0)),"(row not found)"))</f>
        <v/>
      </c>
      <c r="D314" s="33" t="str">
        <f>IF(B314="","",IFERROR(INDEX('Master Database'!$B$5:$B$600,MATCH(B314,'Master Database'!$A$5:$A$600,0)),"(row not found)"))</f>
        <v/>
      </c>
      <c r="E314" s="30"/>
      <c r="F314" s="33" t="str">
        <f>IF(E314="","",IFERROR(INDEX(Vendor_Register!$B$5:$B$205,MATCH(E314,Vendor_Register!$A$5:$A$205,0)),"(not in register)"))</f>
        <v/>
      </c>
      <c r="G314" s="33" t="str">
        <f>IF(E314="","",IFERROR(INDEX(Vendor_Register!$E$5:$E$205,MATCH(E314,Vendor_Register!$A$5:$A$205,0)),"(not in register)"))</f>
        <v/>
      </c>
      <c r="H314" s="30"/>
      <c r="I314" s="30"/>
      <c r="J314" s="30"/>
      <c r="K314" s="30"/>
      <c r="L314" s="30"/>
      <c r="M314" s="34"/>
      <c r="N314" s="30"/>
      <c r="O314" s="35" t="str">
        <f>IF(NOT(ISNUMBER(M314)),"",IFERROR(IF(L314="EUR",M314,IF(L314="IRR",M314/INDEX('Assumptions &amp; FX Reference'!$C$5:$C$25,MATCH(H314,'Assumptions &amp; FX Reference'!$A$5:$A$25,0)),IF(L314="USD",M314*INDEX('Assumptions &amp; FX Reference'!$B$5:$B$25,MATCH(H314,'Assumptions &amp; FX Reference'!$A$5:$A$25,0))/INDEX('Assumptions &amp; FX Reference'!$C$5:$C$25,MATCH(H314,'Assumptions &amp; FX Reference'!$A$5:$A$25,0)),""))),"(FX missing)"))</f>
        <v/>
      </c>
      <c r="P314" s="30"/>
      <c r="Q314" s="30"/>
      <c r="R314" s="30"/>
      <c r="S314" s="30"/>
      <c r="T314" s="30"/>
      <c r="U314" s="30"/>
      <c r="V314" s="30"/>
    </row>
    <row r="315" spans="1:22">
      <c r="A315" s="30"/>
      <c r="B315" s="30"/>
      <c r="C315" s="33" t="str">
        <f>IF(B315="","",IFERROR(INDEX('Master Database'!$D$5:$D$600,MATCH(B315,'Master Database'!$A$5:$A$600,0)),"(row not found)"))</f>
        <v/>
      </c>
      <c r="D315" s="33" t="str">
        <f>IF(B315="","",IFERROR(INDEX('Master Database'!$B$5:$B$600,MATCH(B315,'Master Database'!$A$5:$A$600,0)),"(row not found)"))</f>
        <v/>
      </c>
      <c r="E315" s="30"/>
      <c r="F315" s="33" t="str">
        <f>IF(E315="","",IFERROR(INDEX(Vendor_Register!$B$5:$B$205,MATCH(E315,Vendor_Register!$A$5:$A$205,0)),"(not in register)"))</f>
        <v/>
      </c>
      <c r="G315" s="33" t="str">
        <f>IF(E315="","",IFERROR(INDEX(Vendor_Register!$E$5:$E$205,MATCH(E315,Vendor_Register!$A$5:$A$205,0)),"(not in register)"))</f>
        <v/>
      </c>
      <c r="H315" s="30"/>
      <c r="I315" s="30"/>
      <c r="J315" s="30"/>
      <c r="K315" s="30"/>
      <c r="L315" s="30"/>
      <c r="M315" s="34"/>
      <c r="N315" s="30"/>
      <c r="O315" s="35" t="str">
        <f>IF(NOT(ISNUMBER(M315)),"",IFERROR(IF(L315="EUR",M315,IF(L315="IRR",M315/INDEX('Assumptions &amp; FX Reference'!$C$5:$C$25,MATCH(H315,'Assumptions &amp; FX Reference'!$A$5:$A$25,0)),IF(L315="USD",M315*INDEX('Assumptions &amp; FX Reference'!$B$5:$B$25,MATCH(H315,'Assumptions &amp; FX Reference'!$A$5:$A$25,0))/INDEX('Assumptions &amp; FX Reference'!$C$5:$C$25,MATCH(H315,'Assumptions &amp; FX Reference'!$A$5:$A$25,0)),""))),"(FX missing)"))</f>
        <v/>
      </c>
      <c r="P315" s="30"/>
      <c r="Q315" s="30"/>
      <c r="R315" s="30"/>
      <c r="S315" s="30"/>
      <c r="T315" s="30"/>
      <c r="U315" s="30"/>
      <c r="V315" s="30"/>
    </row>
    <row r="316" spans="1:22">
      <c r="A316" s="30"/>
      <c r="B316" s="30"/>
      <c r="C316" s="33" t="str">
        <f>IF(B316="","",IFERROR(INDEX('Master Database'!$D$5:$D$600,MATCH(B316,'Master Database'!$A$5:$A$600,0)),"(row not found)"))</f>
        <v/>
      </c>
      <c r="D316" s="33" t="str">
        <f>IF(B316="","",IFERROR(INDEX('Master Database'!$B$5:$B$600,MATCH(B316,'Master Database'!$A$5:$A$600,0)),"(row not found)"))</f>
        <v/>
      </c>
      <c r="E316" s="30"/>
      <c r="F316" s="33" t="str">
        <f>IF(E316="","",IFERROR(INDEX(Vendor_Register!$B$5:$B$205,MATCH(E316,Vendor_Register!$A$5:$A$205,0)),"(not in register)"))</f>
        <v/>
      </c>
      <c r="G316" s="33" t="str">
        <f>IF(E316="","",IFERROR(INDEX(Vendor_Register!$E$5:$E$205,MATCH(E316,Vendor_Register!$A$5:$A$205,0)),"(not in register)"))</f>
        <v/>
      </c>
      <c r="H316" s="30"/>
      <c r="I316" s="30"/>
      <c r="J316" s="30"/>
      <c r="K316" s="30"/>
      <c r="L316" s="30"/>
      <c r="M316" s="34"/>
      <c r="N316" s="30"/>
      <c r="O316" s="35" t="str">
        <f>IF(NOT(ISNUMBER(M316)),"",IFERROR(IF(L316="EUR",M316,IF(L316="IRR",M316/INDEX('Assumptions &amp; FX Reference'!$C$5:$C$25,MATCH(H316,'Assumptions &amp; FX Reference'!$A$5:$A$25,0)),IF(L316="USD",M316*INDEX('Assumptions &amp; FX Reference'!$B$5:$B$25,MATCH(H316,'Assumptions &amp; FX Reference'!$A$5:$A$25,0))/INDEX('Assumptions &amp; FX Reference'!$C$5:$C$25,MATCH(H316,'Assumptions &amp; FX Reference'!$A$5:$A$25,0)),""))),"(FX missing)"))</f>
        <v/>
      </c>
      <c r="P316" s="30"/>
      <c r="Q316" s="30"/>
      <c r="R316" s="30"/>
      <c r="S316" s="30"/>
      <c r="T316" s="30"/>
      <c r="U316" s="30"/>
      <c r="V316" s="30"/>
    </row>
    <row r="317" spans="1:22">
      <c r="A317" s="30"/>
      <c r="B317" s="30"/>
      <c r="C317" s="33" t="str">
        <f>IF(B317="","",IFERROR(INDEX('Master Database'!$D$5:$D$600,MATCH(B317,'Master Database'!$A$5:$A$600,0)),"(row not found)"))</f>
        <v/>
      </c>
      <c r="D317" s="33" t="str">
        <f>IF(B317="","",IFERROR(INDEX('Master Database'!$B$5:$B$600,MATCH(B317,'Master Database'!$A$5:$A$600,0)),"(row not found)"))</f>
        <v/>
      </c>
      <c r="E317" s="30"/>
      <c r="F317" s="33" t="str">
        <f>IF(E317="","",IFERROR(INDEX(Vendor_Register!$B$5:$B$205,MATCH(E317,Vendor_Register!$A$5:$A$205,0)),"(not in register)"))</f>
        <v/>
      </c>
      <c r="G317" s="33" t="str">
        <f>IF(E317="","",IFERROR(INDEX(Vendor_Register!$E$5:$E$205,MATCH(E317,Vendor_Register!$A$5:$A$205,0)),"(not in register)"))</f>
        <v/>
      </c>
      <c r="H317" s="30"/>
      <c r="I317" s="30"/>
      <c r="J317" s="30"/>
      <c r="K317" s="30"/>
      <c r="L317" s="30"/>
      <c r="M317" s="34"/>
      <c r="N317" s="30"/>
      <c r="O317" s="35" t="str">
        <f>IF(NOT(ISNUMBER(M317)),"",IFERROR(IF(L317="EUR",M317,IF(L317="IRR",M317/INDEX('Assumptions &amp; FX Reference'!$C$5:$C$25,MATCH(H317,'Assumptions &amp; FX Reference'!$A$5:$A$25,0)),IF(L317="USD",M317*INDEX('Assumptions &amp; FX Reference'!$B$5:$B$25,MATCH(H317,'Assumptions &amp; FX Reference'!$A$5:$A$25,0))/INDEX('Assumptions &amp; FX Reference'!$C$5:$C$25,MATCH(H317,'Assumptions &amp; FX Reference'!$A$5:$A$25,0)),""))),"(FX missing)"))</f>
        <v/>
      </c>
      <c r="P317" s="30"/>
      <c r="Q317" s="30"/>
      <c r="R317" s="30"/>
      <c r="S317" s="30"/>
      <c r="T317" s="30"/>
      <c r="U317" s="30"/>
      <c r="V317" s="30"/>
    </row>
    <row r="318" spans="1:22">
      <c r="A318" s="30"/>
      <c r="B318" s="30"/>
      <c r="C318" s="33" t="str">
        <f>IF(B318="","",IFERROR(INDEX('Master Database'!$D$5:$D$600,MATCH(B318,'Master Database'!$A$5:$A$600,0)),"(row not found)"))</f>
        <v/>
      </c>
      <c r="D318" s="33" t="str">
        <f>IF(B318="","",IFERROR(INDEX('Master Database'!$B$5:$B$600,MATCH(B318,'Master Database'!$A$5:$A$600,0)),"(row not found)"))</f>
        <v/>
      </c>
      <c r="E318" s="30"/>
      <c r="F318" s="33" t="str">
        <f>IF(E318="","",IFERROR(INDEX(Vendor_Register!$B$5:$B$205,MATCH(E318,Vendor_Register!$A$5:$A$205,0)),"(not in register)"))</f>
        <v/>
      </c>
      <c r="G318" s="33" t="str">
        <f>IF(E318="","",IFERROR(INDEX(Vendor_Register!$E$5:$E$205,MATCH(E318,Vendor_Register!$A$5:$A$205,0)),"(not in register)"))</f>
        <v/>
      </c>
      <c r="H318" s="30"/>
      <c r="I318" s="30"/>
      <c r="J318" s="30"/>
      <c r="K318" s="30"/>
      <c r="L318" s="30"/>
      <c r="M318" s="34"/>
      <c r="N318" s="30"/>
      <c r="O318" s="35" t="str">
        <f>IF(NOT(ISNUMBER(M318)),"",IFERROR(IF(L318="EUR",M318,IF(L318="IRR",M318/INDEX('Assumptions &amp; FX Reference'!$C$5:$C$25,MATCH(H318,'Assumptions &amp; FX Reference'!$A$5:$A$25,0)),IF(L318="USD",M318*INDEX('Assumptions &amp; FX Reference'!$B$5:$B$25,MATCH(H318,'Assumptions &amp; FX Reference'!$A$5:$A$25,0))/INDEX('Assumptions &amp; FX Reference'!$C$5:$C$25,MATCH(H318,'Assumptions &amp; FX Reference'!$A$5:$A$25,0)),""))),"(FX missing)"))</f>
        <v/>
      </c>
      <c r="P318" s="30"/>
      <c r="Q318" s="30"/>
      <c r="R318" s="30"/>
      <c r="S318" s="30"/>
      <c r="T318" s="30"/>
      <c r="U318" s="30"/>
      <c r="V318" s="30"/>
    </row>
    <row r="319" spans="1:22">
      <c r="A319" s="30"/>
      <c r="B319" s="30"/>
      <c r="C319" s="33" t="str">
        <f>IF(B319="","",IFERROR(INDEX('Master Database'!$D$5:$D$600,MATCH(B319,'Master Database'!$A$5:$A$600,0)),"(row not found)"))</f>
        <v/>
      </c>
      <c r="D319" s="33" t="str">
        <f>IF(B319="","",IFERROR(INDEX('Master Database'!$B$5:$B$600,MATCH(B319,'Master Database'!$A$5:$A$600,0)),"(row not found)"))</f>
        <v/>
      </c>
      <c r="E319" s="30"/>
      <c r="F319" s="33" t="str">
        <f>IF(E319="","",IFERROR(INDEX(Vendor_Register!$B$5:$B$205,MATCH(E319,Vendor_Register!$A$5:$A$205,0)),"(not in register)"))</f>
        <v/>
      </c>
      <c r="G319" s="33" t="str">
        <f>IF(E319="","",IFERROR(INDEX(Vendor_Register!$E$5:$E$205,MATCH(E319,Vendor_Register!$A$5:$A$205,0)),"(not in register)"))</f>
        <v/>
      </c>
      <c r="H319" s="30"/>
      <c r="I319" s="30"/>
      <c r="J319" s="30"/>
      <c r="K319" s="30"/>
      <c r="L319" s="30"/>
      <c r="M319" s="34"/>
      <c r="N319" s="30"/>
      <c r="O319" s="35" t="str">
        <f>IF(NOT(ISNUMBER(M319)),"",IFERROR(IF(L319="EUR",M319,IF(L319="IRR",M319/INDEX('Assumptions &amp; FX Reference'!$C$5:$C$25,MATCH(H319,'Assumptions &amp; FX Reference'!$A$5:$A$25,0)),IF(L319="USD",M319*INDEX('Assumptions &amp; FX Reference'!$B$5:$B$25,MATCH(H319,'Assumptions &amp; FX Reference'!$A$5:$A$25,0))/INDEX('Assumptions &amp; FX Reference'!$C$5:$C$25,MATCH(H319,'Assumptions &amp; FX Reference'!$A$5:$A$25,0)),""))),"(FX missing)"))</f>
        <v/>
      </c>
      <c r="P319" s="30"/>
      <c r="Q319" s="30"/>
      <c r="R319" s="30"/>
      <c r="S319" s="30"/>
      <c r="T319" s="30"/>
      <c r="U319" s="30"/>
      <c r="V319" s="30"/>
    </row>
    <row r="320" spans="1:22">
      <c r="A320" s="30"/>
      <c r="B320" s="30"/>
      <c r="C320" s="33" t="str">
        <f>IF(B320="","",IFERROR(INDEX('Master Database'!$D$5:$D$600,MATCH(B320,'Master Database'!$A$5:$A$600,0)),"(row not found)"))</f>
        <v/>
      </c>
      <c r="D320" s="33" t="str">
        <f>IF(B320="","",IFERROR(INDEX('Master Database'!$B$5:$B$600,MATCH(B320,'Master Database'!$A$5:$A$600,0)),"(row not found)"))</f>
        <v/>
      </c>
      <c r="E320" s="30"/>
      <c r="F320" s="33" t="str">
        <f>IF(E320="","",IFERROR(INDEX(Vendor_Register!$B$5:$B$205,MATCH(E320,Vendor_Register!$A$5:$A$205,0)),"(not in register)"))</f>
        <v/>
      </c>
      <c r="G320" s="33" t="str">
        <f>IF(E320="","",IFERROR(INDEX(Vendor_Register!$E$5:$E$205,MATCH(E320,Vendor_Register!$A$5:$A$205,0)),"(not in register)"))</f>
        <v/>
      </c>
      <c r="H320" s="30"/>
      <c r="I320" s="30"/>
      <c r="J320" s="30"/>
      <c r="K320" s="30"/>
      <c r="L320" s="30"/>
      <c r="M320" s="34"/>
      <c r="N320" s="30"/>
      <c r="O320" s="35" t="str">
        <f>IF(NOT(ISNUMBER(M320)),"",IFERROR(IF(L320="EUR",M320,IF(L320="IRR",M320/INDEX('Assumptions &amp; FX Reference'!$C$5:$C$25,MATCH(H320,'Assumptions &amp; FX Reference'!$A$5:$A$25,0)),IF(L320="USD",M320*INDEX('Assumptions &amp; FX Reference'!$B$5:$B$25,MATCH(H320,'Assumptions &amp; FX Reference'!$A$5:$A$25,0))/INDEX('Assumptions &amp; FX Reference'!$C$5:$C$25,MATCH(H320,'Assumptions &amp; FX Reference'!$A$5:$A$25,0)),""))),"(FX missing)"))</f>
        <v/>
      </c>
      <c r="P320" s="30"/>
      <c r="Q320" s="30"/>
      <c r="R320" s="30"/>
      <c r="S320" s="30"/>
      <c r="T320" s="30"/>
      <c r="U320" s="30"/>
      <c r="V320" s="30"/>
    </row>
    <row r="321" spans="1:22">
      <c r="A321" s="30"/>
      <c r="B321" s="30"/>
      <c r="C321" s="33" t="str">
        <f>IF(B321="","",IFERROR(INDEX('Master Database'!$D$5:$D$600,MATCH(B321,'Master Database'!$A$5:$A$600,0)),"(row not found)"))</f>
        <v/>
      </c>
      <c r="D321" s="33" t="str">
        <f>IF(B321="","",IFERROR(INDEX('Master Database'!$B$5:$B$600,MATCH(B321,'Master Database'!$A$5:$A$600,0)),"(row not found)"))</f>
        <v/>
      </c>
      <c r="E321" s="30"/>
      <c r="F321" s="33" t="str">
        <f>IF(E321="","",IFERROR(INDEX(Vendor_Register!$B$5:$B$205,MATCH(E321,Vendor_Register!$A$5:$A$205,0)),"(not in register)"))</f>
        <v/>
      </c>
      <c r="G321" s="33" t="str">
        <f>IF(E321="","",IFERROR(INDEX(Vendor_Register!$E$5:$E$205,MATCH(E321,Vendor_Register!$A$5:$A$205,0)),"(not in register)"))</f>
        <v/>
      </c>
      <c r="H321" s="30"/>
      <c r="I321" s="30"/>
      <c r="J321" s="30"/>
      <c r="K321" s="30"/>
      <c r="L321" s="30"/>
      <c r="M321" s="34"/>
      <c r="N321" s="30"/>
      <c r="O321" s="35" t="str">
        <f>IF(NOT(ISNUMBER(M321)),"",IFERROR(IF(L321="EUR",M321,IF(L321="IRR",M321/INDEX('Assumptions &amp; FX Reference'!$C$5:$C$25,MATCH(H321,'Assumptions &amp; FX Reference'!$A$5:$A$25,0)),IF(L321="USD",M321*INDEX('Assumptions &amp; FX Reference'!$B$5:$B$25,MATCH(H321,'Assumptions &amp; FX Reference'!$A$5:$A$25,0))/INDEX('Assumptions &amp; FX Reference'!$C$5:$C$25,MATCH(H321,'Assumptions &amp; FX Reference'!$A$5:$A$25,0)),""))),"(FX missing)"))</f>
        <v/>
      </c>
      <c r="P321" s="30"/>
      <c r="Q321" s="30"/>
      <c r="R321" s="30"/>
      <c r="S321" s="30"/>
      <c r="T321" s="30"/>
      <c r="U321" s="30"/>
      <c r="V321" s="30"/>
    </row>
    <row r="322" spans="1:22">
      <c r="A322" s="30"/>
      <c r="B322" s="30"/>
      <c r="C322" s="33" t="str">
        <f>IF(B322="","",IFERROR(INDEX('Master Database'!$D$5:$D$600,MATCH(B322,'Master Database'!$A$5:$A$600,0)),"(row not found)"))</f>
        <v/>
      </c>
      <c r="D322" s="33" t="str">
        <f>IF(B322="","",IFERROR(INDEX('Master Database'!$B$5:$B$600,MATCH(B322,'Master Database'!$A$5:$A$600,0)),"(row not found)"))</f>
        <v/>
      </c>
      <c r="E322" s="30"/>
      <c r="F322" s="33" t="str">
        <f>IF(E322="","",IFERROR(INDEX(Vendor_Register!$B$5:$B$205,MATCH(E322,Vendor_Register!$A$5:$A$205,0)),"(not in register)"))</f>
        <v/>
      </c>
      <c r="G322" s="33" t="str">
        <f>IF(E322="","",IFERROR(INDEX(Vendor_Register!$E$5:$E$205,MATCH(E322,Vendor_Register!$A$5:$A$205,0)),"(not in register)"))</f>
        <v/>
      </c>
      <c r="H322" s="30"/>
      <c r="I322" s="30"/>
      <c r="J322" s="30"/>
      <c r="K322" s="30"/>
      <c r="L322" s="30"/>
      <c r="M322" s="34"/>
      <c r="N322" s="30"/>
      <c r="O322" s="35" t="str">
        <f>IF(NOT(ISNUMBER(M322)),"",IFERROR(IF(L322="EUR",M322,IF(L322="IRR",M322/INDEX('Assumptions &amp; FX Reference'!$C$5:$C$25,MATCH(H322,'Assumptions &amp; FX Reference'!$A$5:$A$25,0)),IF(L322="USD",M322*INDEX('Assumptions &amp; FX Reference'!$B$5:$B$25,MATCH(H322,'Assumptions &amp; FX Reference'!$A$5:$A$25,0))/INDEX('Assumptions &amp; FX Reference'!$C$5:$C$25,MATCH(H322,'Assumptions &amp; FX Reference'!$A$5:$A$25,0)),""))),"(FX missing)"))</f>
        <v/>
      </c>
      <c r="P322" s="30"/>
      <c r="Q322" s="30"/>
      <c r="R322" s="30"/>
      <c r="S322" s="30"/>
      <c r="T322" s="30"/>
      <c r="U322" s="30"/>
      <c r="V322" s="30"/>
    </row>
    <row r="323" spans="1:22">
      <c r="A323" s="30"/>
      <c r="B323" s="30"/>
      <c r="C323" s="33" t="str">
        <f>IF(B323="","",IFERROR(INDEX('Master Database'!$D$5:$D$600,MATCH(B323,'Master Database'!$A$5:$A$600,0)),"(row not found)"))</f>
        <v/>
      </c>
      <c r="D323" s="33" t="str">
        <f>IF(B323="","",IFERROR(INDEX('Master Database'!$B$5:$B$600,MATCH(B323,'Master Database'!$A$5:$A$600,0)),"(row not found)"))</f>
        <v/>
      </c>
      <c r="E323" s="30"/>
      <c r="F323" s="33" t="str">
        <f>IF(E323="","",IFERROR(INDEX(Vendor_Register!$B$5:$B$205,MATCH(E323,Vendor_Register!$A$5:$A$205,0)),"(not in register)"))</f>
        <v/>
      </c>
      <c r="G323" s="33" t="str">
        <f>IF(E323="","",IFERROR(INDEX(Vendor_Register!$E$5:$E$205,MATCH(E323,Vendor_Register!$A$5:$A$205,0)),"(not in register)"))</f>
        <v/>
      </c>
      <c r="H323" s="30"/>
      <c r="I323" s="30"/>
      <c r="J323" s="30"/>
      <c r="K323" s="30"/>
      <c r="L323" s="30"/>
      <c r="M323" s="34"/>
      <c r="N323" s="30"/>
      <c r="O323" s="35" t="str">
        <f>IF(NOT(ISNUMBER(M323)),"",IFERROR(IF(L323="EUR",M323,IF(L323="IRR",M323/INDEX('Assumptions &amp; FX Reference'!$C$5:$C$25,MATCH(H323,'Assumptions &amp; FX Reference'!$A$5:$A$25,0)),IF(L323="USD",M323*INDEX('Assumptions &amp; FX Reference'!$B$5:$B$25,MATCH(H323,'Assumptions &amp; FX Reference'!$A$5:$A$25,0))/INDEX('Assumptions &amp; FX Reference'!$C$5:$C$25,MATCH(H323,'Assumptions &amp; FX Reference'!$A$5:$A$25,0)),""))),"(FX missing)"))</f>
        <v/>
      </c>
      <c r="P323" s="30"/>
      <c r="Q323" s="30"/>
      <c r="R323" s="30"/>
      <c r="S323" s="30"/>
      <c r="T323" s="30"/>
      <c r="U323" s="30"/>
      <c r="V323" s="30"/>
    </row>
    <row r="324" spans="1:22">
      <c r="A324" s="30"/>
      <c r="B324" s="30"/>
      <c r="C324" s="33" t="str">
        <f>IF(B324="","",IFERROR(INDEX('Master Database'!$D$5:$D$600,MATCH(B324,'Master Database'!$A$5:$A$600,0)),"(row not found)"))</f>
        <v/>
      </c>
      <c r="D324" s="33" t="str">
        <f>IF(B324="","",IFERROR(INDEX('Master Database'!$B$5:$B$600,MATCH(B324,'Master Database'!$A$5:$A$600,0)),"(row not found)"))</f>
        <v/>
      </c>
      <c r="E324" s="30"/>
      <c r="F324" s="33" t="str">
        <f>IF(E324="","",IFERROR(INDEX(Vendor_Register!$B$5:$B$205,MATCH(E324,Vendor_Register!$A$5:$A$205,0)),"(not in register)"))</f>
        <v/>
      </c>
      <c r="G324" s="33" t="str">
        <f>IF(E324="","",IFERROR(INDEX(Vendor_Register!$E$5:$E$205,MATCH(E324,Vendor_Register!$A$5:$A$205,0)),"(not in register)"))</f>
        <v/>
      </c>
      <c r="H324" s="30"/>
      <c r="I324" s="30"/>
      <c r="J324" s="30"/>
      <c r="K324" s="30"/>
      <c r="L324" s="30"/>
      <c r="M324" s="34"/>
      <c r="N324" s="30"/>
      <c r="O324" s="35" t="str">
        <f>IF(NOT(ISNUMBER(M324)),"",IFERROR(IF(L324="EUR",M324,IF(L324="IRR",M324/INDEX('Assumptions &amp; FX Reference'!$C$5:$C$25,MATCH(H324,'Assumptions &amp; FX Reference'!$A$5:$A$25,0)),IF(L324="USD",M324*INDEX('Assumptions &amp; FX Reference'!$B$5:$B$25,MATCH(H324,'Assumptions &amp; FX Reference'!$A$5:$A$25,0))/INDEX('Assumptions &amp; FX Reference'!$C$5:$C$25,MATCH(H324,'Assumptions &amp; FX Reference'!$A$5:$A$25,0)),""))),"(FX missing)"))</f>
        <v/>
      </c>
      <c r="P324" s="30"/>
      <c r="Q324" s="30"/>
      <c r="R324" s="30"/>
      <c r="S324" s="30"/>
      <c r="T324" s="30"/>
      <c r="U324" s="30"/>
      <c r="V324" s="30"/>
    </row>
    <row r="325" spans="1:22">
      <c r="A325" s="30"/>
      <c r="B325" s="30"/>
      <c r="C325" s="33" t="str">
        <f>IF(B325="","",IFERROR(INDEX('Master Database'!$D$5:$D$600,MATCH(B325,'Master Database'!$A$5:$A$600,0)),"(row not found)"))</f>
        <v/>
      </c>
      <c r="D325" s="33" t="str">
        <f>IF(B325="","",IFERROR(INDEX('Master Database'!$B$5:$B$600,MATCH(B325,'Master Database'!$A$5:$A$600,0)),"(row not found)"))</f>
        <v/>
      </c>
      <c r="E325" s="30"/>
      <c r="F325" s="33" t="str">
        <f>IF(E325="","",IFERROR(INDEX(Vendor_Register!$B$5:$B$205,MATCH(E325,Vendor_Register!$A$5:$A$205,0)),"(not in register)"))</f>
        <v/>
      </c>
      <c r="G325" s="33" t="str">
        <f>IF(E325="","",IFERROR(INDEX(Vendor_Register!$E$5:$E$205,MATCH(E325,Vendor_Register!$A$5:$A$205,0)),"(not in register)"))</f>
        <v/>
      </c>
      <c r="H325" s="30"/>
      <c r="I325" s="30"/>
      <c r="J325" s="30"/>
      <c r="K325" s="30"/>
      <c r="L325" s="30"/>
      <c r="M325" s="34"/>
      <c r="N325" s="30"/>
      <c r="O325" s="35" t="str">
        <f>IF(NOT(ISNUMBER(M325)),"",IFERROR(IF(L325="EUR",M325,IF(L325="IRR",M325/INDEX('Assumptions &amp; FX Reference'!$C$5:$C$25,MATCH(H325,'Assumptions &amp; FX Reference'!$A$5:$A$25,0)),IF(L325="USD",M325*INDEX('Assumptions &amp; FX Reference'!$B$5:$B$25,MATCH(H325,'Assumptions &amp; FX Reference'!$A$5:$A$25,0))/INDEX('Assumptions &amp; FX Reference'!$C$5:$C$25,MATCH(H325,'Assumptions &amp; FX Reference'!$A$5:$A$25,0)),""))),"(FX missing)"))</f>
        <v/>
      </c>
      <c r="P325" s="30"/>
      <c r="Q325" s="30"/>
      <c r="R325" s="30"/>
      <c r="S325" s="30"/>
      <c r="T325" s="30"/>
      <c r="U325" s="30"/>
      <c r="V325" s="30"/>
    </row>
    <row r="326" spans="1:22">
      <c r="A326" s="30"/>
      <c r="B326" s="30"/>
      <c r="C326" s="33" t="str">
        <f>IF(B326="","",IFERROR(INDEX('Master Database'!$D$5:$D$600,MATCH(B326,'Master Database'!$A$5:$A$600,0)),"(row not found)"))</f>
        <v/>
      </c>
      <c r="D326" s="33" t="str">
        <f>IF(B326="","",IFERROR(INDEX('Master Database'!$B$5:$B$600,MATCH(B326,'Master Database'!$A$5:$A$600,0)),"(row not found)"))</f>
        <v/>
      </c>
      <c r="E326" s="30"/>
      <c r="F326" s="33" t="str">
        <f>IF(E326="","",IFERROR(INDEX(Vendor_Register!$B$5:$B$205,MATCH(E326,Vendor_Register!$A$5:$A$205,0)),"(not in register)"))</f>
        <v/>
      </c>
      <c r="G326" s="33" t="str">
        <f>IF(E326="","",IFERROR(INDEX(Vendor_Register!$E$5:$E$205,MATCH(E326,Vendor_Register!$A$5:$A$205,0)),"(not in register)"))</f>
        <v/>
      </c>
      <c r="H326" s="30"/>
      <c r="I326" s="30"/>
      <c r="J326" s="30"/>
      <c r="K326" s="30"/>
      <c r="L326" s="30"/>
      <c r="M326" s="34"/>
      <c r="N326" s="30"/>
      <c r="O326" s="35" t="str">
        <f>IF(NOT(ISNUMBER(M326)),"",IFERROR(IF(L326="EUR",M326,IF(L326="IRR",M326/INDEX('Assumptions &amp; FX Reference'!$C$5:$C$25,MATCH(H326,'Assumptions &amp; FX Reference'!$A$5:$A$25,0)),IF(L326="USD",M326*INDEX('Assumptions &amp; FX Reference'!$B$5:$B$25,MATCH(H326,'Assumptions &amp; FX Reference'!$A$5:$A$25,0))/INDEX('Assumptions &amp; FX Reference'!$C$5:$C$25,MATCH(H326,'Assumptions &amp; FX Reference'!$A$5:$A$25,0)),""))),"(FX missing)"))</f>
        <v/>
      </c>
      <c r="P326" s="30"/>
      <c r="Q326" s="30"/>
      <c r="R326" s="30"/>
      <c r="S326" s="30"/>
      <c r="T326" s="30"/>
      <c r="U326" s="30"/>
      <c r="V326" s="30"/>
    </row>
    <row r="327" spans="1:22">
      <c r="A327" s="30"/>
      <c r="B327" s="30"/>
      <c r="C327" s="33" t="str">
        <f>IF(B327="","",IFERROR(INDEX('Master Database'!$D$5:$D$600,MATCH(B327,'Master Database'!$A$5:$A$600,0)),"(row not found)"))</f>
        <v/>
      </c>
      <c r="D327" s="33" t="str">
        <f>IF(B327="","",IFERROR(INDEX('Master Database'!$B$5:$B$600,MATCH(B327,'Master Database'!$A$5:$A$600,0)),"(row not found)"))</f>
        <v/>
      </c>
      <c r="E327" s="30"/>
      <c r="F327" s="33" t="str">
        <f>IF(E327="","",IFERROR(INDEX(Vendor_Register!$B$5:$B$205,MATCH(E327,Vendor_Register!$A$5:$A$205,0)),"(not in register)"))</f>
        <v/>
      </c>
      <c r="G327" s="33" t="str">
        <f>IF(E327="","",IFERROR(INDEX(Vendor_Register!$E$5:$E$205,MATCH(E327,Vendor_Register!$A$5:$A$205,0)),"(not in register)"))</f>
        <v/>
      </c>
      <c r="H327" s="30"/>
      <c r="I327" s="30"/>
      <c r="J327" s="30"/>
      <c r="K327" s="30"/>
      <c r="L327" s="30"/>
      <c r="M327" s="34"/>
      <c r="N327" s="30"/>
      <c r="O327" s="35" t="str">
        <f>IF(NOT(ISNUMBER(M327)),"",IFERROR(IF(L327="EUR",M327,IF(L327="IRR",M327/INDEX('Assumptions &amp; FX Reference'!$C$5:$C$25,MATCH(H327,'Assumptions &amp; FX Reference'!$A$5:$A$25,0)),IF(L327="USD",M327*INDEX('Assumptions &amp; FX Reference'!$B$5:$B$25,MATCH(H327,'Assumptions &amp; FX Reference'!$A$5:$A$25,0))/INDEX('Assumptions &amp; FX Reference'!$C$5:$C$25,MATCH(H327,'Assumptions &amp; FX Reference'!$A$5:$A$25,0)),""))),"(FX missing)"))</f>
        <v/>
      </c>
      <c r="P327" s="30"/>
      <c r="Q327" s="30"/>
      <c r="R327" s="30"/>
      <c r="S327" s="30"/>
      <c r="T327" s="30"/>
      <c r="U327" s="30"/>
      <c r="V327" s="30"/>
    </row>
    <row r="328" spans="1:22">
      <c r="A328" s="30"/>
      <c r="B328" s="30"/>
      <c r="C328" s="33" t="str">
        <f>IF(B328="","",IFERROR(INDEX('Master Database'!$D$5:$D$600,MATCH(B328,'Master Database'!$A$5:$A$600,0)),"(row not found)"))</f>
        <v/>
      </c>
      <c r="D328" s="33" t="str">
        <f>IF(B328="","",IFERROR(INDEX('Master Database'!$B$5:$B$600,MATCH(B328,'Master Database'!$A$5:$A$600,0)),"(row not found)"))</f>
        <v/>
      </c>
      <c r="E328" s="30"/>
      <c r="F328" s="33" t="str">
        <f>IF(E328="","",IFERROR(INDEX(Vendor_Register!$B$5:$B$205,MATCH(E328,Vendor_Register!$A$5:$A$205,0)),"(not in register)"))</f>
        <v/>
      </c>
      <c r="G328" s="33" t="str">
        <f>IF(E328="","",IFERROR(INDEX(Vendor_Register!$E$5:$E$205,MATCH(E328,Vendor_Register!$A$5:$A$205,0)),"(not in register)"))</f>
        <v/>
      </c>
      <c r="H328" s="30"/>
      <c r="I328" s="30"/>
      <c r="J328" s="30"/>
      <c r="K328" s="30"/>
      <c r="L328" s="30"/>
      <c r="M328" s="34"/>
      <c r="N328" s="30"/>
      <c r="O328" s="35" t="str">
        <f>IF(NOT(ISNUMBER(M328)),"",IFERROR(IF(L328="EUR",M328,IF(L328="IRR",M328/INDEX('Assumptions &amp; FX Reference'!$C$5:$C$25,MATCH(H328,'Assumptions &amp; FX Reference'!$A$5:$A$25,0)),IF(L328="USD",M328*INDEX('Assumptions &amp; FX Reference'!$B$5:$B$25,MATCH(H328,'Assumptions &amp; FX Reference'!$A$5:$A$25,0))/INDEX('Assumptions &amp; FX Reference'!$C$5:$C$25,MATCH(H328,'Assumptions &amp; FX Reference'!$A$5:$A$25,0)),""))),"(FX missing)"))</f>
        <v/>
      </c>
      <c r="P328" s="30"/>
      <c r="Q328" s="30"/>
      <c r="R328" s="30"/>
      <c r="S328" s="30"/>
      <c r="T328" s="30"/>
      <c r="U328" s="30"/>
      <c r="V328" s="30"/>
    </row>
    <row r="329" spans="1:22">
      <c r="A329" s="30"/>
      <c r="B329" s="30"/>
      <c r="C329" s="33" t="str">
        <f>IF(B329="","",IFERROR(INDEX('Master Database'!$D$5:$D$600,MATCH(B329,'Master Database'!$A$5:$A$600,0)),"(row not found)"))</f>
        <v/>
      </c>
      <c r="D329" s="33" t="str">
        <f>IF(B329="","",IFERROR(INDEX('Master Database'!$B$5:$B$600,MATCH(B329,'Master Database'!$A$5:$A$600,0)),"(row not found)"))</f>
        <v/>
      </c>
      <c r="E329" s="30"/>
      <c r="F329" s="33" t="str">
        <f>IF(E329="","",IFERROR(INDEX(Vendor_Register!$B$5:$B$205,MATCH(E329,Vendor_Register!$A$5:$A$205,0)),"(not in register)"))</f>
        <v/>
      </c>
      <c r="G329" s="33" t="str">
        <f>IF(E329="","",IFERROR(INDEX(Vendor_Register!$E$5:$E$205,MATCH(E329,Vendor_Register!$A$5:$A$205,0)),"(not in register)"))</f>
        <v/>
      </c>
      <c r="H329" s="30"/>
      <c r="I329" s="30"/>
      <c r="J329" s="30"/>
      <c r="K329" s="30"/>
      <c r="L329" s="30"/>
      <c r="M329" s="34"/>
      <c r="N329" s="30"/>
      <c r="O329" s="35" t="str">
        <f>IF(NOT(ISNUMBER(M329)),"",IFERROR(IF(L329="EUR",M329,IF(L329="IRR",M329/INDEX('Assumptions &amp; FX Reference'!$C$5:$C$25,MATCH(H329,'Assumptions &amp; FX Reference'!$A$5:$A$25,0)),IF(L329="USD",M329*INDEX('Assumptions &amp; FX Reference'!$B$5:$B$25,MATCH(H329,'Assumptions &amp; FX Reference'!$A$5:$A$25,0))/INDEX('Assumptions &amp; FX Reference'!$C$5:$C$25,MATCH(H329,'Assumptions &amp; FX Reference'!$A$5:$A$25,0)),""))),"(FX missing)"))</f>
        <v/>
      </c>
      <c r="P329" s="30"/>
      <c r="Q329" s="30"/>
      <c r="R329" s="30"/>
      <c r="S329" s="30"/>
      <c r="T329" s="30"/>
      <c r="U329" s="30"/>
      <c r="V329" s="30"/>
    </row>
    <row r="330" spans="1:22">
      <c r="A330" s="30"/>
      <c r="B330" s="30"/>
      <c r="C330" s="33" t="str">
        <f>IF(B330="","",IFERROR(INDEX('Master Database'!$D$5:$D$600,MATCH(B330,'Master Database'!$A$5:$A$600,0)),"(row not found)"))</f>
        <v/>
      </c>
      <c r="D330" s="33" t="str">
        <f>IF(B330="","",IFERROR(INDEX('Master Database'!$B$5:$B$600,MATCH(B330,'Master Database'!$A$5:$A$600,0)),"(row not found)"))</f>
        <v/>
      </c>
      <c r="E330" s="30"/>
      <c r="F330" s="33" t="str">
        <f>IF(E330="","",IFERROR(INDEX(Vendor_Register!$B$5:$B$205,MATCH(E330,Vendor_Register!$A$5:$A$205,0)),"(not in register)"))</f>
        <v/>
      </c>
      <c r="G330" s="33" t="str">
        <f>IF(E330="","",IFERROR(INDEX(Vendor_Register!$E$5:$E$205,MATCH(E330,Vendor_Register!$A$5:$A$205,0)),"(not in register)"))</f>
        <v/>
      </c>
      <c r="H330" s="30"/>
      <c r="I330" s="30"/>
      <c r="J330" s="30"/>
      <c r="K330" s="30"/>
      <c r="L330" s="30"/>
      <c r="M330" s="34"/>
      <c r="N330" s="30"/>
      <c r="O330" s="35" t="str">
        <f>IF(NOT(ISNUMBER(M330)),"",IFERROR(IF(L330="EUR",M330,IF(L330="IRR",M330/INDEX('Assumptions &amp; FX Reference'!$C$5:$C$25,MATCH(H330,'Assumptions &amp; FX Reference'!$A$5:$A$25,0)),IF(L330="USD",M330*INDEX('Assumptions &amp; FX Reference'!$B$5:$B$25,MATCH(H330,'Assumptions &amp; FX Reference'!$A$5:$A$25,0))/INDEX('Assumptions &amp; FX Reference'!$C$5:$C$25,MATCH(H330,'Assumptions &amp; FX Reference'!$A$5:$A$25,0)),""))),"(FX missing)"))</f>
        <v/>
      </c>
      <c r="P330" s="30"/>
      <c r="Q330" s="30"/>
      <c r="R330" s="30"/>
      <c r="S330" s="30"/>
      <c r="T330" s="30"/>
      <c r="U330" s="30"/>
      <c r="V330" s="30"/>
    </row>
    <row r="331" spans="1:22">
      <c r="A331" s="30"/>
      <c r="B331" s="30"/>
      <c r="C331" s="33" t="str">
        <f>IF(B331="","",IFERROR(INDEX('Master Database'!$D$5:$D$600,MATCH(B331,'Master Database'!$A$5:$A$600,0)),"(row not found)"))</f>
        <v/>
      </c>
      <c r="D331" s="33" t="str">
        <f>IF(B331="","",IFERROR(INDEX('Master Database'!$B$5:$B$600,MATCH(B331,'Master Database'!$A$5:$A$600,0)),"(row not found)"))</f>
        <v/>
      </c>
      <c r="E331" s="30"/>
      <c r="F331" s="33" t="str">
        <f>IF(E331="","",IFERROR(INDEX(Vendor_Register!$B$5:$B$205,MATCH(E331,Vendor_Register!$A$5:$A$205,0)),"(not in register)"))</f>
        <v/>
      </c>
      <c r="G331" s="33" t="str">
        <f>IF(E331="","",IFERROR(INDEX(Vendor_Register!$E$5:$E$205,MATCH(E331,Vendor_Register!$A$5:$A$205,0)),"(not in register)"))</f>
        <v/>
      </c>
      <c r="H331" s="30"/>
      <c r="I331" s="30"/>
      <c r="J331" s="30"/>
      <c r="K331" s="30"/>
      <c r="L331" s="30"/>
      <c r="M331" s="34"/>
      <c r="N331" s="30"/>
      <c r="O331" s="35" t="str">
        <f>IF(NOT(ISNUMBER(M331)),"",IFERROR(IF(L331="EUR",M331,IF(L331="IRR",M331/INDEX('Assumptions &amp; FX Reference'!$C$5:$C$25,MATCH(H331,'Assumptions &amp; FX Reference'!$A$5:$A$25,0)),IF(L331="USD",M331*INDEX('Assumptions &amp; FX Reference'!$B$5:$B$25,MATCH(H331,'Assumptions &amp; FX Reference'!$A$5:$A$25,0))/INDEX('Assumptions &amp; FX Reference'!$C$5:$C$25,MATCH(H331,'Assumptions &amp; FX Reference'!$A$5:$A$25,0)),""))),"(FX missing)"))</f>
        <v/>
      </c>
      <c r="P331" s="30"/>
      <c r="Q331" s="30"/>
      <c r="R331" s="30"/>
      <c r="S331" s="30"/>
      <c r="T331" s="30"/>
      <c r="U331" s="30"/>
      <c r="V331" s="30"/>
    </row>
    <row r="332" spans="1:22">
      <c r="A332" s="30"/>
      <c r="B332" s="30"/>
      <c r="C332" s="33" t="str">
        <f>IF(B332="","",IFERROR(INDEX('Master Database'!$D$5:$D$600,MATCH(B332,'Master Database'!$A$5:$A$600,0)),"(row not found)"))</f>
        <v/>
      </c>
      <c r="D332" s="33" t="str">
        <f>IF(B332="","",IFERROR(INDEX('Master Database'!$B$5:$B$600,MATCH(B332,'Master Database'!$A$5:$A$600,0)),"(row not found)"))</f>
        <v/>
      </c>
      <c r="E332" s="30"/>
      <c r="F332" s="33" t="str">
        <f>IF(E332="","",IFERROR(INDEX(Vendor_Register!$B$5:$B$205,MATCH(E332,Vendor_Register!$A$5:$A$205,0)),"(not in register)"))</f>
        <v/>
      </c>
      <c r="G332" s="33" t="str">
        <f>IF(E332="","",IFERROR(INDEX(Vendor_Register!$E$5:$E$205,MATCH(E332,Vendor_Register!$A$5:$A$205,0)),"(not in register)"))</f>
        <v/>
      </c>
      <c r="H332" s="30"/>
      <c r="I332" s="30"/>
      <c r="J332" s="30"/>
      <c r="K332" s="30"/>
      <c r="L332" s="30"/>
      <c r="M332" s="34"/>
      <c r="N332" s="30"/>
      <c r="O332" s="35" t="str">
        <f>IF(NOT(ISNUMBER(M332)),"",IFERROR(IF(L332="EUR",M332,IF(L332="IRR",M332/INDEX('Assumptions &amp; FX Reference'!$C$5:$C$25,MATCH(H332,'Assumptions &amp; FX Reference'!$A$5:$A$25,0)),IF(L332="USD",M332*INDEX('Assumptions &amp; FX Reference'!$B$5:$B$25,MATCH(H332,'Assumptions &amp; FX Reference'!$A$5:$A$25,0))/INDEX('Assumptions &amp; FX Reference'!$C$5:$C$25,MATCH(H332,'Assumptions &amp; FX Reference'!$A$5:$A$25,0)),""))),"(FX missing)"))</f>
        <v/>
      </c>
      <c r="P332" s="30"/>
      <c r="Q332" s="30"/>
      <c r="R332" s="30"/>
      <c r="S332" s="30"/>
      <c r="T332" s="30"/>
      <c r="U332" s="30"/>
      <c r="V332" s="30"/>
    </row>
    <row r="333" spans="1:22">
      <c r="A333" s="30"/>
      <c r="B333" s="30"/>
      <c r="C333" s="33" t="str">
        <f>IF(B333="","",IFERROR(INDEX('Master Database'!$D$5:$D$600,MATCH(B333,'Master Database'!$A$5:$A$600,0)),"(row not found)"))</f>
        <v/>
      </c>
      <c r="D333" s="33" t="str">
        <f>IF(B333="","",IFERROR(INDEX('Master Database'!$B$5:$B$600,MATCH(B333,'Master Database'!$A$5:$A$600,0)),"(row not found)"))</f>
        <v/>
      </c>
      <c r="E333" s="30"/>
      <c r="F333" s="33" t="str">
        <f>IF(E333="","",IFERROR(INDEX(Vendor_Register!$B$5:$B$205,MATCH(E333,Vendor_Register!$A$5:$A$205,0)),"(not in register)"))</f>
        <v/>
      </c>
      <c r="G333" s="33" t="str">
        <f>IF(E333="","",IFERROR(INDEX(Vendor_Register!$E$5:$E$205,MATCH(E333,Vendor_Register!$A$5:$A$205,0)),"(not in register)"))</f>
        <v/>
      </c>
      <c r="H333" s="30"/>
      <c r="I333" s="30"/>
      <c r="J333" s="30"/>
      <c r="K333" s="30"/>
      <c r="L333" s="30"/>
      <c r="M333" s="34"/>
      <c r="N333" s="30"/>
      <c r="O333" s="35" t="str">
        <f>IF(NOT(ISNUMBER(M333)),"",IFERROR(IF(L333="EUR",M333,IF(L333="IRR",M333/INDEX('Assumptions &amp; FX Reference'!$C$5:$C$25,MATCH(H333,'Assumptions &amp; FX Reference'!$A$5:$A$25,0)),IF(L333="USD",M333*INDEX('Assumptions &amp; FX Reference'!$B$5:$B$25,MATCH(H333,'Assumptions &amp; FX Reference'!$A$5:$A$25,0))/INDEX('Assumptions &amp; FX Reference'!$C$5:$C$25,MATCH(H333,'Assumptions &amp; FX Reference'!$A$5:$A$25,0)),""))),"(FX missing)"))</f>
        <v/>
      </c>
      <c r="P333" s="30"/>
      <c r="Q333" s="30"/>
      <c r="R333" s="30"/>
      <c r="S333" s="30"/>
      <c r="T333" s="30"/>
      <c r="U333" s="30"/>
      <c r="V333" s="30"/>
    </row>
    <row r="334" spans="1:22">
      <c r="A334" s="30"/>
      <c r="B334" s="30"/>
      <c r="C334" s="33" t="str">
        <f>IF(B334="","",IFERROR(INDEX('Master Database'!$D$5:$D$600,MATCH(B334,'Master Database'!$A$5:$A$600,0)),"(row not found)"))</f>
        <v/>
      </c>
      <c r="D334" s="33" t="str">
        <f>IF(B334="","",IFERROR(INDEX('Master Database'!$B$5:$B$600,MATCH(B334,'Master Database'!$A$5:$A$600,0)),"(row not found)"))</f>
        <v/>
      </c>
      <c r="E334" s="30"/>
      <c r="F334" s="33" t="str">
        <f>IF(E334="","",IFERROR(INDEX(Vendor_Register!$B$5:$B$205,MATCH(E334,Vendor_Register!$A$5:$A$205,0)),"(not in register)"))</f>
        <v/>
      </c>
      <c r="G334" s="33" t="str">
        <f>IF(E334="","",IFERROR(INDEX(Vendor_Register!$E$5:$E$205,MATCH(E334,Vendor_Register!$A$5:$A$205,0)),"(not in register)"))</f>
        <v/>
      </c>
      <c r="H334" s="30"/>
      <c r="I334" s="30"/>
      <c r="J334" s="30"/>
      <c r="K334" s="30"/>
      <c r="L334" s="30"/>
      <c r="M334" s="34"/>
      <c r="N334" s="30"/>
      <c r="O334" s="35" t="str">
        <f>IF(NOT(ISNUMBER(M334)),"",IFERROR(IF(L334="EUR",M334,IF(L334="IRR",M334/INDEX('Assumptions &amp; FX Reference'!$C$5:$C$25,MATCH(H334,'Assumptions &amp; FX Reference'!$A$5:$A$25,0)),IF(L334="USD",M334*INDEX('Assumptions &amp; FX Reference'!$B$5:$B$25,MATCH(H334,'Assumptions &amp; FX Reference'!$A$5:$A$25,0))/INDEX('Assumptions &amp; FX Reference'!$C$5:$C$25,MATCH(H334,'Assumptions &amp; FX Reference'!$A$5:$A$25,0)),""))),"(FX missing)"))</f>
        <v/>
      </c>
      <c r="P334" s="30"/>
      <c r="Q334" s="30"/>
      <c r="R334" s="30"/>
      <c r="S334" s="30"/>
      <c r="T334" s="30"/>
      <c r="U334" s="30"/>
      <c r="V334" s="30"/>
    </row>
    <row r="335" spans="1:22">
      <c r="A335" s="30"/>
      <c r="B335" s="30"/>
      <c r="C335" s="33" t="str">
        <f>IF(B335="","",IFERROR(INDEX('Master Database'!$D$5:$D$600,MATCH(B335,'Master Database'!$A$5:$A$600,0)),"(row not found)"))</f>
        <v/>
      </c>
      <c r="D335" s="33" t="str">
        <f>IF(B335="","",IFERROR(INDEX('Master Database'!$B$5:$B$600,MATCH(B335,'Master Database'!$A$5:$A$600,0)),"(row not found)"))</f>
        <v/>
      </c>
      <c r="E335" s="30"/>
      <c r="F335" s="33" t="str">
        <f>IF(E335="","",IFERROR(INDEX(Vendor_Register!$B$5:$B$205,MATCH(E335,Vendor_Register!$A$5:$A$205,0)),"(not in register)"))</f>
        <v/>
      </c>
      <c r="G335" s="33" t="str">
        <f>IF(E335="","",IFERROR(INDEX(Vendor_Register!$E$5:$E$205,MATCH(E335,Vendor_Register!$A$5:$A$205,0)),"(not in register)"))</f>
        <v/>
      </c>
      <c r="H335" s="30"/>
      <c r="I335" s="30"/>
      <c r="J335" s="30"/>
      <c r="K335" s="30"/>
      <c r="L335" s="30"/>
      <c r="M335" s="34"/>
      <c r="N335" s="30"/>
      <c r="O335" s="35" t="str">
        <f>IF(NOT(ISNUMBER(M335)),"",IFERROR(IF(L335="EUR",M335,IF(L335="IRR",M335/INDEX('Assumptions &amp; FX Reference'!$C$5:$C$25,MATCH(H335,'Assumptions &amp; FX Reference'!$A$5:$A$25,0)),IF(L335="USD",M335*INDEX('Assumptions &amp; FX Reference'!$B$5:$B$25,MATCH(H335,'Assumptions &amp; FX Reference'!$A$5:$A$25,0))/INDEX('Assumptions &amp; FX Reference'!$C$5:$C$25,MATCH(H335,'Assumptions &amp; FX Reference'!$A$5:$A$25,0)),""))),"(FX missing)"))</f>
        <v/>
      </c>
      <c r="P335" s="30"/>
      <c r="Q335" s="30"/>
      <c r="R335" s="30"/>
      <c r="S335" s="30"/>
      <c r="T335" s="30"/>
      <c r="U335" s="30"/>
      <c r="V335" s="30"/>
    </row>
    <row r="336" spans="1:22">
      <c r="A336" s="30"/>
      <c r="B336" s="30"/>
      <c r="C336" s="33" t="str">
        <f>IF(B336="","",IFERROR(INDEX('Master Database'!$D$5:$D$600,MATCH(B336,'Master Database'!$A$5:$A$600,0)),"(row not found)"))</f>
        <v/>
      </c>
      <c r="D336" s="33" t="str">
        <f>IF(B336="","",IFERROR(INDEX('Master Database'!$B$5:$B$600,MATCH(B336,'Master Database'!$A$5:$A$600,0)),"(row not found)"))</f>
        <v/>
      </c>
      <c r="E336" s="30"/>
      <c r="F336" s="33" t="str">
        <f>IF(E336="","",IFERROR(INDEX(Vendor_Register!$B$5:$B$205,MATCH(E336,Vendor_Register!$A$5:$A$205,0)),"(not in register)"))</f>
        <v/>
      </c>
      <c r="G336" s="33" t="str">
        <f>IF(E336="","",IFERROR(INDEX(Vendor_Register!$E$5:$E$205,MATCH(E336,Vendor_Register!$A$5:$A$205,0)),"(not in register)"))</f>
        <v/>
      </c>
      <c r="H336" s="30"/>
      <c r="I336" s="30"/>
      <c r="J336" s="30"/>
      <c r="K336" s="30"/>
      <c r="L336" s="30"/>
      <c r="M336" s="34"/>
      <c r="N336" s="30"/>
      <c r="O336" s="35" t="str">
        <f>IF(NOT(ISNUMBER(M336)),"",IFERROR(IF(L336="EUR",M336,IF(L336="IRR",M336/INDEX('Assumptions &amp; FX Reference'!$C$5:$C$25,MATCH(H336,'Assumptions &amp; FX Reference'!$A$5:$A$25,0)),IF(L336="USD",M336*INDEX('Assumptions &amp; FX Reference'!$B$5:$B$25,MATCH(H336,'Assumptions &amp; FX Reference'!$A$5:$A$25,0))/INDEX('Assumptions &amp; FX Reference'!$C$5:$C$25,MATCH(H336,'Assumptions &amp; FX Reference'!$A$5:$A$25,0)),""))),"(FX missing)"))</f>
        <v/>
      </c>
      <c r="P336" s="30"/>
      <c r="Q336" s="30"/>
      <c r="R336" s="30"/>
      <c r="S336" s="30"/>
      <c r="T336" s="30"/>
      <c r="U336" s="30"/>
      <c r="V336" s="30"/>
    </row>
    <row r="337" spans="1:22">
      <c r="A337" s="30"/>
      <c r="B337" s="30"/>
      <c r="C337" s="33" t="str">
        <f>IF(B337="","",IFERROR(INDEX('Master Database'!$D$5:$D$600,MATCH(B337,'Master Database'!$A$5:$A$600,0)),"(row not found)"))</f>
        <v/>
      </c>
      <c r="D337" s="33" t="str">
        <f>IF(B337="","",IFERROR(INDEX('Master Database'!$B$5:$B$600,MATCH(B337,'Master Database'!$A$5:$A$600,0)),"(row not found)"))</f>
        <v/>
      </c>
      <c r="E337" s="30"/>
      <c r="F337" s="33" t="str">
        <f>IF(E337="","",IFERROR(INDEX(Vendor_Register!$B$5:$B$205,MATCH(E337,Vendor_Register!$A$5:$A$205,0)),"(not in register)"))</f>
        <v/>
      </c>
      <c r="G337" s="33" t="str">
        <f>IF(E337="","",IFERROR(INDEX(Vendor_Register!$E$5:$E$205,MATCH(E337,Vendor_Register!$A$5:$A$205,0)),"(not in register)"))</f>
        <v/>
      </c>
      <c r="H337" s="30"/>
      <c r="I337" s="30"/>
      <c r="J337" s="30"/>
      <c r="K337" s="30"/>
      <c r="L337" s="30"/>
      <c r="M337" s="34"/>
      <c r="N337" s="30"/>
      <c r="O337" s="35" t="str">
        <f>IF(NOT(ISNUMBER(M337)),"",IFERROR(IF(L337="EUR",M337,IF(L337="IRR",M337/INDEX('Assumptions &amp; FX Reference'!$C$5:$C$25,MATCH(H337,'Assumptions &amp; FX Reference'!$A$5:$A$25,0)),IF(L337="USD",M337*INDEX('Assumptions &amp; FX Reference'!$B$5:$B$25,MATCH(H337,'Assumptions &amp; FX Reference'!$A$5:$A$25,0))/INDEX('Assumptions &amp; FX Reference'!$C$5:$C$25,MATCH(H337,'Assumptions &amp; FX Reference'!$A$5:$A$25,0)),""))),"(FX missing)"))</f>
        <v/>
      </c>
      <c r="P337" s="30"/>
      <c r="Q337" s="30"/>
      <c r="R337" s="30"/>
      <c r="S337" s="30"/>
      <c r="T337" s="30"/>
      <c r="U337" s="30"/>
      <c r="V337" s="30"/>
    </row>
    <row r="338" spans="1:22">
      <c r="A338" s="30"/>
      <c r="B338" s="30"/>
      <c r="C338" s="33" t="str">
        <f>IF(B338="","",IFERROR(INDEX('Master Database'!$D$5:$D$600,MATCH(B338,'Master Database'!$A$5:$A$600,0)),"(row not found)"))</f>
        <v/>
      </c>
      <c r="D338" s="33" t="str">
        <f>IF(B338="","",IFERROR(INDEX('Master Database'!$B$5:$B$600,MATCH(B338,'Master Database'!$A$5:$A$600,0)),"(row not found)"))</f>
        <v/>
      </c>
      <c r="E338" s="30"/>
      <c r="F338" s="33" t="str">
        <f>IF(E338="","",IFERROR(INDEX(Vendor_Register!$B$5:$B$205,MATCH(E338,Vendor_Register!$A$5:$A$205,0)),"(not in register)"))</f>
        <v/>
      </c>
      <c r="G338" s="33" t="str">
        <f>IF(E338="","",IFERROR(INDEX(Vendor_Register!$E$5:$E$205,MATCH(E338,Vendor_Register!$A$5:$A$205,0)),"(not in register)"))</f>
        <v/>
      </c>
      <c r="H338" s="30"/>
      <c r="I338" s="30"/>
      <c r="J338" s="30"/>
      <c r="K338" s="30"/>
      <c r="L338" s="30"/>
      <c r="M338" s="34"/>
      <c r="N338" s="30"/>
      <c r="O338" s="35" t="str">
        <f>IF(NOT(ISNUMBER(M338)),"",IFERROR(IF(L338="EUR",M338,IF(L338="IRR",M338/INDEX('Assumptions &amp; FX Reference'!$C$5:$C$25,MATCH(H338,'Assumptions &amp; FX Reference'!$A$5:$A$25,0)),IF(L338="USD",M338*INDEX('Assumptions &amp; FX Reference'!$B$5:$B$25,MATCH(H338,'Assumptions &amp; FX Reference'!$A$5:$A$25,0))/INDEX('Assumptions &amp; FX Reference'!$C$5:$C$25,MATCH(H338,'Assumptions &amp; FX Reference'!$A$5:$A$25,0)),""))),"(FX missing)"))</f>
        <v/>
      </c>
      <c r="P338" s="30"/>
      <c r="Q338" s="30"/>
      <c r="R338" s="30"/>
      <c r="S338" s="30"/>
      <c r="T338" s="30"/>
      <c r="U338" s="30"/>
      <c r="V338" s="30"/>
    </row>
    <row r="339" spans="1:22">
      <c r="A339" s="30"/>
      <c r="B339" s="30"/>
      <c r="C339" s="33" t="str">
        <f>IF(B339="","",IFERROR(INDEX('Master Database'!$D$5:$D$600,MATCH(B339,'Master Database'!$A$5:$A$600,0)),"(row not found)"))</f>
        <v/>
      </c>
      <c r="D339" s="33" t="str">
        <f>IF(B339="","",IFERROR(INDEX('Master Database'!$B$5:$B$600,MATCH(B339,'Master Database'!$A$5:$A$600,0)),"(row not found)"))</f>
        <v/>
      </c>
      <c r="E339" s="30"/>
      <c r="F339" s="33" t="str">
        <f>IF(E339="","",IFERROR(INDEX(Vendor_Register!$B$5:$B$205,MATCH(E339,Vendor_Register!$A$5:$A$205,0)),"(not in register)"))</f>
        <v/>
      </c>
      <c r="G339" s="33" t="str">
        <f>IF(E339="","",IFERROR(INDEX(Vendor_Register!$E$5:$E$205,MATCH(E339,Vendor_Register!$A$5:$A$205,0)),"(not in register)"))</f>
        <v/>
      </c>
      <c r="H339" s="30"/>
      <c r="I339" s="30"/>
      <c r="J339" s="30"/>
      <c r="K339" s="30"/>
      <c r="L339" s="30"/>
      <c r="M339" s="34"/>
      <c r="N339" s="30"/>
      <c r="O339" s="35" t="str">
        <f>IF(NOT(ISNUMBER(M339)),"",IFERROR(IF(L339="EUR",M339,IF(L339="IRR",M339/INDEX('Assumptions &amp; FX Reference'!$C$5:$C$25,MATCH(H339,'Assumptions &amp; FX Reference'!$A$5:$A$25,0)),IF(L339="USD",M339*INDEX('Assumptions &amp; FX Reference'!$B$5:$B$25,MATCH(H339,'Assumptions &amp; FX Reference'!$A$5:$A$25,0))/INDEX('Assumptions &amp; FX Reference'!$C$5:$C$25,MATCH(H339,'Assumptions &amp; FX Reference'!$A$5:$A$25,0)),""))),"(FX missing)"))</f>
        <v/>
      </c>
      <c r="P339" s="30"/>
      <c r="Q339" s="30"/>
      <c r="R339" s="30"/>
      <c r="S339" s="30"/>
      <c r="T339" s="30"/>
      <c r="U339" s="30"/>
      <c r="V339" s="30"/>
    </row>
    <row r="340" spans="1:22">
      <c r="A340" s="30"/>
      <c r="B340" s="30"/>
      <c r="C340" s="33" t="str">
        <f>IF(B340="","",IFERROR(INDEX('Master Database'!$D$5:$D$600,MATCH(B340,'Master Database'!$A$5:$A$600,0)),"(row not found)"))</f>
        <v/>
      </c>
      <c r="D340" s="33" t="str">
        <f>IF(B340="","",IFERROR(INDEX('Master Database'!$B$5:$B$600,MATCH(B340,'Master Database'!$A$5:$A$600,0)),"(row not found)"))</f>
        <v/>
      </c>
      <c r="E340" s="30"/>
      <c r="F340" s="33" t="str">
        <f>IF(E340="","",IFERROR(INDEX(Vendor_Register!$B$5:$B$205,MATCH(E340,Vendor_Register!$A$5:$A$205,0)),"(not in register)"))</f>
        <v/>
      </c>
      <c r="G340" s="33" t="str">
        <f>IF(E340="","",IFERROR(INDEX(Vendor_Register!$E$5:$E$205,MATCH(E340,Vendor_Register!$A$5:$A$205,0)),"(not in register)"))</f>
        <v/>
      </c>
      <c r="H340" s="30"/>
      <c r="I340" s="30"/>
      <c r="J340" s="30"/>
      <c r="K340" s="30"/>
      <c r="L340" s="30"/>
      <c r="M340" s="34"/>
      <c r="N340" s="30"/>
      <c r="O340" s="35" t="str">
        <f>IF(NOT(ISNUMBER(M340)),"",IFERROR(IF(L340="EUR",M340,IF(L340="IRR",M340/INDEX('Assumptions &amp; FX Reference'!$C$5:$C$25,MATCH(H340,'Assumptions &amp; FX Reference'!$A$5:$A$25,0)),IF(L340="USD",M340*INDEX('Assumptions &amp; FX Reference'!$B$5:$B$25,MATCH(H340,'Assumptions &amp; FX Reference'!$A$5:$A$25,0))/INDEX('Assumptions &amp; FX Reference'!$C$5:$C$25,MATCH(H340,'Assumptions &amp; FX Reference'!$A$5:$A$25,0)),""))),"(FX missing)"))</f>
        <v/>
      </c>
      <c r="P340" s="30"/>
      <c r="Q340" s="30"/>
      <c r="R340" s="30"/>
      <c r="S340" s="30"/>
      <c r="T340" s="30"/>
      <c r="U340" s="30"/>
      <c r="V340" s="30"/>
    </row>
    <row r="341" spans="1:22">
      <c r="A341" s="30"/>
      <c r="B341" s="30"/>
      <c r="C341" s="33" t="str">
        <f>IF(B341="","",IFERROR(INDEX('Master Database'!$D$5:$D$600,MATCH(B341,'Master Database'!$A$5:$A$600,0)),"(row not found)"))</f>
        <v/>
      </c>
      <c r="D341" s="33" t="str">
        <f>IF(B341="","",IFERROR(INDEX('Master Database'!$B$5:$B$600,MATCH(B341,'Master Database'!$A$5:$A$600,0)),"(row not found)"))</f>
        <v/>
      </c>
      <c r="E341" s="30"/>
      <c r="F341" s="33" t="str">
        <f>IF(E341="","",IFERROR(INDEX(Vendor_Register!$B$5:$B$205,MATCH(E341,Vendor_Register!$A$5:$A$205,0)),"(not in register)"))</f>
        <v/>
      </c>
      <c r="G341" s="33" t="str">
        <f>IF(E341="","",IFERROR(INDEX(Vendor_Register!$E$5:$E$205,MATCH(E341,Vendor_Register!$A$5:$A$205,0)),"(not in register)"))</f>
        <v/>
      </c>
      <c r="H341" s="30"/>
      <c r="I341" s="30"/>
      <c r="J341" s="30"/>
      <c r="K341" s="30"/>
      <c r="L341" s="30"/>
      <c r="M341" s="34"/>
      <c r="N341" s="30"/>
      <c r="O341" s="35" t="str">
        <f>IF(NOT(ISNUMBER(M341)),"",IFERROR(IF(L341="EUR",M341,IF(L341="IRR",M341/INDEX('Assumptions &amp; FX Reference'!$C$5:$C$25,MATCH(H341,'Assumptions &amp; FX Reference'!$A$5:$A$25,0)),IF(L341="USD",M341*INDEX('Assumptions &amp; FX Reference'!$B$5:$B$25,MATCH(H341,'Assumptions &amp; FX Reference'!$A$5:$A$25,0))/INDEX('Assumptions &amp; FX Reference'!$C$5:$C$25,MATCH(H341,'Assumptions &amp; FX Reference'!$A$5:$A$25,0)),""))),"(FX missing)"))</f>
        <v/>
      </c>
      <c r="P341" s="30"/>
      <c r="Q341" s="30"/>
      <c r="R341" s="30"/>
      <c r="S341" s="30"/>
      <c r="T341" s="30"/>
      <c r="U341" s="30"/>
      <c r="V341" s="30"/>
    </row>
    <row r="342" spans="1:22">
      <c r="A342" s="30"/>
      <c r="B342" s="30"/>
      <c r="C342" s="33" t="str">
        <f>IF(B342="","",IFERROR(INDEX('Master Database'!$D$5:$D$600,MATCH(B342,'Master Database'!$A$5:$A$600,0)),"(row not found)"))</f>
        <v/>
      </c>
      <c r="D342" s="33" t="str">
        <f>IF(B342="","",IFERROR(INDEX('Master Database'!$B$5:$B$600,MATCH(B342,'Master Database'!$A$5:$A$600,0)),"(row not found)"))</f>
        <v/>
      </c>
      <c r="E342" s="30"/>
      <c r="F342" s="33" t="str">
        <f>IF(E342="","",IFERROR(INDEX(Vendor_Register!$B$5:$B$205,MATCH(E342,Vendor_Register!$A$5:$A$205,0)),"(not in register)"))</f>
        <v/>
      </c>
      <c r="G342" s="33" t="str">
        <f>IF(E342="","",IFERROR(INDEX(Vendor_Register!$E$5:$E$205,MATCH(E342,Vendor_Register!$A$5:$A$205,0)),"(not in register)"))</f>
        <v/>
      </c>
      <c r="H342" s="30"/>
      <c r="I342" s="30"/>
      <c r="J342" s="30"/>
      <c r="K342" s="30"/>
      <c r="L342" s="30"/>
      <c r="M342" s="34"/>
      <c r="N342" s="30"/>
      <c r="O342" s="35" t="str">
        <f>IF(NOT(ISNUMBER(M342)),"",IFERROR(IF(L342="EUR",M342,IF(L342="IRR",M342/INDEX('Assumptions &amp; FX Reference'!$C$5:$C$25,MATCH(H342,'Assumptions &amp; FX Reference'!$A$5:$A$25,0)),IF(L342="USD",M342*INDEX('Assumptions &amp; FX Reference'!$B$5:$B$25,MATCH(H342,'Assumptions &amp; FX Reference'!$A$5:$A$25,0))/INDEX('Assumptions &amp; FX Reference'!$C$5:$C$25,MATCH(H342,'Assumptions &amp; FX Reference'!$A$5:$A$25,0)),""))),"(FX missing)"))</f>
        <v/>
      </c>
      <c r="P342" s="30"/>
      <c r="Q342" s="30"/>
      <c r="R342" s="30"/>
      <c r="S342" s="30"/>
      <c r="T342" s="30"/>
      <c r="U342" s="30"/>
      <c r="V342" s="30"/>
    </row>
    <row r="343" spans="1:22">
      <c r="A343" s="30"/>
      <c r="B343" s="30"/>
      <c r="C343" s="33" t="str">
        <f>IF(B343="","",IFERROR(INDEX('Master Database'!$D$5:$D$600,MATCH(B343,'Master Database'!$A$5:$A$600,0)),"(row not found)"))</f>
        <v/>
      </c>
      <c r="D343" s="33" t="str">
        <f>IF(B343="","",IFERROR(INDEX('Master Database'!$B$5:$B$600,MATCH(B343,'Master Database'!$A$5:$A$600,0)),"(row not found)"))</f>
        <v/>
      </c>
      <c r="E343" s="30"/>
      <c r="F343" s="33" t="str">
        <f>IF(E343="","",IFERROR(INDEX(Vendor_Register!$B$5:$B$205,MATCH(E343,Vendor_Register!$A$5:$A$205,0)),"(not in register)"))</f>
        <v/>
      </c>
      <c r="G343" s="33" t="str">
        <f>IF(E343="","",IFERROR(INDEX(Vendor_Register!$E$5:$E$205,MATCH(E343,Vendor_Register!$A$5:$A$205,0)),"(not in register)"))</f>
        <v/>
      </c>
      <c r="H343" s="30"/>
      <c r="I343" s="30"/>
      <c r="J343" s="30"/>
      <c r="K343" s="30"/>
      <c r="L343" s="30"/>
      <c r="M343" s="34"/>
      <c r="N343" s="30"/>
      <c r="O343" s="35" t="str">
        <f>IF(NOT(ISNUMBER(M343)),"",IFERROR(IF(L343="EUR",M343,IF(L343="IRR",M343/INDEX('Assumptions &amp; FX Reference'!$C$5:$C$25,MATCH(H343,'Assumptions &amp; FX Reference'!$A$5:$A$25,0)),IF(L343="USD",M343*INDEX('Assumptions &amp; FX Reference'!$B$5:$B$25,MATCH(H343,'Assumptions &amp; FX Reference'!$A$5:$A$25,0))/INDEX('Assumptions &amp; FX Reference'!$C$5:$C$25,MATCH(H343,'Assumptions &amp; FX Reference'!$A$5:$A$25,0)),""))),"(FX missing)"))</f>
        <v/>
      </c>
      <c r="P343" s="30"/>
      <c r="Q343" s="30"/>
      <c r="R343" s="30"/>
      <c r="S343" s="30"/>
      <c r="T343" s="30"/>
      <c r="U343" s="30"/>
      <c r="V343" s="30"/>
    </row>
    <row r="344" spans="1:22">
      <c r="A344" s="30"/>
      <c r="B344" s="30"/>
      <c r="C344" s="33" t="str">
        <f>IF(B344="","",IFERROR(INDEX('Master Database'!$D$5:$D$600,MATCH(B344,'Master Database'!$A$5:$A$600,0)),"(row not found)"))</f>
        <v/>
      </c>
      <c r="D344" s="33" t="str">
        <f>IF(B344="","",IFERROR(INDEX('Master Database'!$B$5:$B$600,MATCH(B344,'Master Database'!$A$5:$A$600,0)),"(row not found)"))</f>
        <v/>
      </c>
      <c r="E344" s="30"/>
      <c r="F344" s="33" t="str">
        <f>IF(E344="","",IFERROR(INDEX(Vendor_Register!$B$5:$B$205,MATCH(E344,Vendor_Register!$A$5:$A$205,0)),"(not in register)"))</f>
        <v/>
      </c>
      <c r="G344" s="33" t="str">
        <f>IF(E344="","",IFERROR(INDEX(Vendor_Register!$E$5:$E$205,MATCH(E344,Vendor_Register!$A$5:$A$205,0)),"(not in register)"))</f>
        <v/>
      </c>
      <c r="H344" s="30"/>
      <c r="I344" s="30"/>
      <c r="J344" s="30"/>
      <c r="K344" s="30"/>
      <c r="L344" s="30"/>
      <c r="M344" s="34"/>
      <c r="N344" s="30"/>
      <c r="O344" s="35" t="str">
        <f>IF(NOT(ISNUMBER(M344)),"",IFERROR(IF(L344="EUR",M344,IF(L344="IRR",M344/INDEX('Assumptions &amp; FX Reference'!$C$5:$C$25,MATCH(H344,'Assumptions &amp; FX Reference'!$A$5:$A$25,0)),IF(L344="USD",M344*INDEX('Assumptions &amp; FX Reference'!$B$5:$B$25,MATCH(H344,'Assumptions &amp; FX Reference'!$A$5:$A$25,0))/INDEX('Assumptions &amp; FX Reference'!$C$5:$C$25,MATCH(H344,'Assumptions &amp; FX Reference'!$A$5:$A$25,0)),""))),"(FX missing)"))</f>
        <v/>
      </c>
      <c r="P344" s="30"/>
      <c r="Q344" s="30"/>
      <c r="R344" s="30"/>
      <c r="S344" s="30"/>
      <c r="T344" s="30"/>
      <c r="U344" s="30"/>
      <c r="V344" s="30"/>
    </row>
    <row r="345" spans="1:22">
      <c r="A345" s="30"/>
      <c r="B345" s="30"/>
      <c r="C345" s="33" t="str">
        <f>IF(B345="","",IFERROR(INDEX('Master Database'!$D$5:$D$600,MATCH(B345,'Master Database'!$A$5:$A$600,0)),"(row not found)"))</f>
        <v/>
      </c>
      <c r="D345" s="33" t="str">
        <f>IF(B345="","",IFERROR(INDEX('Master Database'!$B$5:$B$600,MATCH(B345,'Master Database'!$A$5:$A$600,0)),"(row not found)"))</f>
        <v/>
      </c>
      <c r="E345" s="30"/>
      <c r="F345" s="33" t="str">
        <f>IF(E345="","",IFERROR(INDEX(Vendor_Register!$B$5:$B$205,MATCH(E345,Vendor_Register!$A$5:$A$205,0)),"(not in register)"))</f>
        <v/>
      </c>
      <c r="G345" s="33" t="str">
        <f>IF(E345="","",IFERROR(INDEX(Vendor_Register!$E$5:$E$205,MATCH(E345,Vendor_Register!$A$5:$A$205,0)),"(not in register)"))</f>
        <v/>
      </c>
      <c r="H345" s="30"/>
      <c r="I345" s="30"/>
      <c r="J345" s="30"/>
      <c r="K345" s="30"/>
      <c r="L345" s="30"/>
      <c r="M345" s="34"/>
      <c r="N345" s="30"/>
      <c r="O345" s="35" t="str">
        <f>IF(NOT(ISNUMBER(M345)),"",IFERROR(IF(L345="EUR",M345,IF(L345="IRR",M345/INDEX('Assumptions &amp; FX Reference'!$C$5:$C$25,MATCH(H345,'Assumptions &amp; FX Reference'!$A$5:$A$25,0)),IF(L345="USD",M345*INDEX('Assumptions &amp; FX Reference'!$B$5:$B$25,MATCH(H345,'Assumptions &amp; FX Reference'!$A$5:$A$25,0))/INDEX('Assumptions &amp; FX Reference'!$C$5:$C$25,MATCH(H345,'Assumptions &amp; FX Reference'!$A$5:$A$25,0)),""))),"(FX missing)"))</f>
        <v/>
      </c>
      <c r="P345" s="30"/>
      <c r="Q345" s="30"/>
      <c r="R345" s="30"/>
      <c r="S345" s="30"/>
      <c r="T345" s="30"/>
      <c r="U345" s="30"/>
      <c r="V345" s="30"/>
    </row>
    <row r="346" spans="1:22">
      <c r="A346" s="30"/>
      <c r="B346" s="30"/>
      <c r="C346" s="33" t="str">
        <f>IF(B346="","",IFERROR(INDEX('Master Database'!$D$5:$D$600,MATCH(B346,'Master Database'!$A$5:$A$600,0)),"(row not found)"))</f>
        <v/>
      </c>
      <c r="D346" s="33" t="str">
        <f>IF(B346="","",IFERROR(INDEX('Master Database'!$B$5:$B$600,MATCH(B346,'Master Database'!$A$5:$A$600,0)),"(row not found)"))</f>
        <v/>
      </c>
      <c r="E346" s="30"/>
      <c r="F346" s="33" t="str">
        <f>IF(E346="","",IFERROR(INDEX(Vendor_Register!$B$5:$B$205,MATCH(E346,Vendor_Register!$A$5:$A$205,0)),"(not in register)"))</f>
        <v/>
      </c>
      <c r="G346" s="33" t="str">
        <f>IF(E346="","",IFERROR(INDEX(Vendor_Register!$E$5:$E$205,MATCH(E346,Vendor_Register!$A$5:$A$205,0)),"(not in register)"))</f>
        <v/>
      </c>
      <c r="H346" s="30"/>
      <c r="I346" s="30"/>
      <c r="J346" s="30"/>
      <c r="K346" s="30"/>
      <c r="L346" s="30"/>
      <c r="M346" s="34"/>
      <c r="N346" s="30"/>
      <c r="O346" s="35" t="str">
        <f>IF(NOT(ISNUMBER(M346)),"",IFERROR(IF(L346="EUR",M346,IF(L346="IRR",M346/INDEX('Assumptions &amp; FX Reference'!$C$5:$C$25,MATCH(H346,'Assumptions &amp; FX Reference'!$A$5:$A$25,0)),IF(L346="USD",M346*INDEX('Assumptions &amp; FX Reference'!$B$5:$B$25,MATCH(H346,'Assumptions &amp; FX Reference'!$A$5:$A$25,0))/INDEX('Assumptions &amp; FX Reference'!$C$5:$C$25,MATCH(H346,'Assumptions &amp; FX Reference'!$A$5:$A$25,0)),""))),"(FX missing)"))</f>
        <v/>
      </c>
      <c r="P346" s="30"/>
      <c r="Q346" s="30"/>
      <c r="R346" s="30"/>
      <c r="S346" s="30"/>
      <c r="T346" s="30"/>
      <c r="U346" s="30"/>
      <c r="V346" s="30"/>
    </row>
    <row r="347" spans="1:22">
      <c r="A347" s="30"/>
      <c r="B347" s="30"/>
      <c r="C347" s="33" t="str">
        <f>IF(B347="","",IFERROR(INDEX('Master Database'!$D$5:$D$600,MATCH(B347,'Master Database'!$A$5:$A$600,0)),"(row not found)"))</f>
        <v/>
      </c>
      <c r="D347" s="33" t="str">
        <f>IF(B347="","",IFERROR(INDEX('Master Database'!$B$5:$B$600,MATCH(B347,'Master Database'!$A$5:$A$600,0)),"(row not found)"))</f>
        <v/>
      </c>
      <c r="E347" s="30"/>
      <c r="F347" s="33" t="str">
        <f>IF(E347="","",IFERROR(INDEX(Vendor_Register!$B$5:$B$205,MATCH(E347,Vendor_Register!$A$5:$A$205,0)),"(not in register)"))</f>
        <v/>
      </c>
      <c r="G347" s="33" t="str">
        <f>IF(E347="","",IFERROR(INDEX(Vendor_Register!$E$5:$E$205,MATCH(E347,Vendor_Register!$A$5:$A$205,0)),"(not in register)"))</f>
        <v/>
      </c>
      <c r="H347" s="30"/>
      <c r="I347" s="30"/>
      <c r="J347" s="30"/>
      <c r="K347" s="30"/>
      <c r="L347" s="30"/>
      <c r="M347" s="34"/>
      <c r="N347" s="30"/>
      <c r="O347" s="35" t="str">
        <f>IF(NOT(ISNUMBER(M347)),"",IFERROR(IF(L347="EUR",M347,IF(L347="IRR",M347/INDEX('Assumptions &amp; FX Reference'!$C$5:$C$25,MATCH(H347,'Assumptions &amp; FX Reference'!$A$5:$A$25,0)),IF(L347="USD",M347*INDEX('Assumptions &amp; FX Reference'!$B$5:$B$25,MATCH(H347,'Assumptions &amp; FX Reference'!$A$5:$A$25,0))/INDEX('Assumptions &amp; FX Reference'!$C$5:$C$25,MATCH(H347,'Assumptions &amp; FX Reference'!$A$5:$A$25,0)),""))),"(FX missing)"))</f>
        <v/>
      </c>
      <c r="P347" s="30"/>
      <c r="Q347" s="30"/>
      <c r="R347" s="30"/>
      <c r="S347" s="30"/>
      <c r="T347" s="30"/>
      <c r="U347" s="30"/>
      <c r="V347" s="30"/>
    </row>
    <row r="348" spans="1:22">
      <c r="A348" s="30"/>
      <c r="B348" s="30"/>
      <c r="C348" s="33" t="str">
        <f>IF(B348="","",IFERROR(INDEX('Master Database'!$D$5:$D$600,MATCH(B348,'Master Database'!$A$5:$A$600,0)),"(row not found)"))</f>
        <v/>
      </c>
      <c r="D348" s="33" t="str">
        <f>IF(B348="","",IFERROR(INDEX('Master Database'!$B$5:$B$600,MATCH(B348,'Master Database'!$A$5:$A$600,0)),"(row not found)"))</f>
        <v/>
      </c>
      <c r="E348" s="30"/>
      <c r="F348" s="33" t="str">
        <f>IF(E348="","",IFERROR(INDEX(Vendor_Register!$B$5:$B$205,MATCH(E348,Vendor_Register!$A$5:$A$205,0)),"(not in register)"))</f>
        <v/>
      </c>
      <c r="G348" s="33" t="str">
        <f>IF(E348="","",IFERROR(INDEX(Vendor_Register!$E$5:$E$205,MATCH(E348,Vendor_Register!$A$5:$A$205,0)),"(not in register)"))</f>
        <v/>
      </c>
      <c r="H348" s="30"/>
      <c r="I348" s="30"/>
      <c r="J348" s="30"/>
      <c r="K348" s="30"/>
      <c r="L348" s="30"/>
      <c r="M348" s="34"/>
      <c r="N348" s="30"/>
      <c r="O348" s="35" t="str">
        <f>IF(NOT(ISNUMBER(M348)),"",IFERROR(IF(L348="EUR",M348,IF(L348="IRR",M348/INDEX('Assumptions &amp; FX Reference'!$C$5:$C$25,MATCH(H348,'Assumptions &amp; FX Reference'!$A$5:$A$25,0)),IF(L348="USD",M348*INDEX('Assumptions &amp; FX Reference'!$B$5:$B$25,MATCH(H348,'Assumptions &amp; FX Reference'!$A$5:$A$25,0))/INDEX('Assumptions &amp; FX Reference'!$C$5:$C$25,MATCH(H348,'Assumptions &amp; FX Reference'!$A$5:$A$25,0)),""))),"(FX missing)"))</f>
        <v/>
      </c>
      <c r="P348" s="30"/>
      <c r="Q348" s="30"/>
      <c r="R348" s="30"/>
      <c r="S348" s="30"/>
      <c r="T348" s="30"/>
      <c r="U348" s="30"/>
      <c r="V348" s="30"/>
    </row>
    <row r="349" spans="1:22">
      <c r="A349" s="30"/>
      <c r="B349" s="30"/>
      <c r="C349" s="33" t="str">
        <f>IF(B349="","",IFERROR(INDEX('Master Database'!$D$5:$D$600,MATCH(B349,'Master Database'!$A$5:$A$600,0)),"(row not found)"))</f>
        <v/>
      </c>
      <c r="D349" s="33" t="str">
        <f>IF(B349="","",IFERROR(INDEX('Master Database'!$B$5:$B$600,MATCH(B349,'Master Database'!$A$5:$A$600,0)),"(row not found)"))</f>
        <v/>
      </c>
      <c r="E349" s="30"/>
      <c r="F349" s="33" t="str">
        <f>IF(E349="","",IFERROR(INDEX(Vendor_Register!$B$5:$B$205,MATCH(E349,Vendor_Register!$A$5:$A$205,0)),"(not in register)"))</f>
        <v/>
      </c>
      <c r="G349" s="33" t="str">
        <f>IF(E349="","",IFERROR(INDEX(Vendor_Register!$E$5:$E$205,MATCH(E349,Vendor_Register!$A$5:$A$205,0)),"(not in register)"))</f>
        <v/>
      </c>
      <c r="H349" s="30"/>
      <c r="I349" s="30"/>
      <c r="J349" s="30"/>
      <c r="K349" s="30"/>
      <c r="L349" s="30"/>
      <c r="M349" s="34"/>
      <c r="N349" s="30"/>
      <c r="O349" s="35" t="str">
        <f>IF(NOT(ISNUMBER(M349)),"",IFERROR(IF(L349="EUR",M349,IF(L349="IRR",M349/INDEX('Assumptions &amp; FX Reference'!$C$5:$C$25,MATCH(H349,'Assumptions &amp; FX Reference'!$A$5:$A$25,0)),IF(L349="USD",M349*INDEX('Assumptions &amp; FX Reference'!$B$5:$B$25,MATCH(H349,'Assumptions &amp; FX Reference'!$A$5:$A$25,0))/INDEX('Assumptions &amp; FX Reference'!$C$5:$C$25,MATCH(H349,'Assumptions &amp; FX Reference'!$A$5:$A$25,0)),""))),"(FX missing)"))</f>
        <v/>
      </c>
      <c r="P349" s="30"/>
      <c r="Q349" s="30"/>
      <c r="R349" s="30"/>
      <c r="S349" s="30"/>
      <c r="T349" s="30"/>
      <c r="U349" s="30"/>
      <c r="V349" s="30"/>
    </row>
    <row r="350" spans="1:22">
      <c r="A350" s="30"/>
      <c r="B350" s="30"/>
      <c r="C350" s="33" t="str">
        <f>IF(B350="","",IFERROR(INDEX('Master Database'!$D$5:$D$600,MATCH(B350,'Master Database'!$A$5:$A$600,0)),"(row not found)"))</f>
        <v/>
      </c>
      <c r="D350" s="33" t="str">
        <f>IF(B350="","",IFERROR(INDEX('Master Database'!$B$5:$B$600,MATCH(B350,'Master Database'!$A$5:$A$600,0)),"(row not found)"))</f>
        <v/>
      </c>
      <c r="E350" s="30"/>
      <c r="F350" s="33" t="str">
        <f>IF(E350="","",IFERROR(INDEX(Vendor_Register!$B$5:$B$205,MATCH(E350,Vendor_Register!$A$5:$A$205,0)),"(not in register)"))</f>
        <v/>
      </c>
      <c r="G350" s="33" t="str">
        <f>IF(E350="","",IFERROR(INDEX(Vendor_Register!$E$5:$E$205,MATCH(E350,Vendor_Register!$A$5:$A$205,0)),"(not in register)"))</f>
        <v/>
      </c>
      <c r="H350" s="30"/>
      <c r="I350" s="30"/>
      <c r="J350" s="30"/>
      <c r="K350" s="30"/>
      <c r="L350" s="30"/>
      <c r="M350" s="34"/>
      <c r="N350" s="30"/>
      <c r="O350" s="35" t="str">
        <f>IF(NOT(ISNUMBER(M350)),"",IFERROR(IF(L350="EUR",M350,IF(L350="IRR",M350/INDEX('Assumptions &amp; FX Reference'!$C$5:$C$25,MATCH(H350,'Assumptions &amp; FX Reference'!$A$5:$A$25,0)),IF(L350="USD",M350*INDEX('Assumptions &amp; FX Reference'!$B$5:$B$25,MATCH(H350,'Assumptions &amp; FX Reference'!$A$5:$A$25,0))/INDEX('Assumptions &amp; FX Reference'!$C$5:$C$25,MATCH(H350,'Assumptions &amp; FX Reference'!$A$5:$A$25,0)),""))),"(FX missing)"))</f>
        <v/>
      </c>
      <c r="P350" s="30"/>
      <c r="Q350" s="30"/>
      <c r="R350" s="30"/>
      <c r="S350" s="30"/>
      <c r="T350" s="30"/>
      <c r="U350" s="30"/>
      <c r="V350" s="30"/>
    </row>
    <row r="351" spans="1:22">
      <c r="A351" s="30"/>
      <c r="B351" s="30"/>
      <c r="C351" s="33" t="str">
        <f>IF(B351="","",IFERROR(INDEX('Master Database'!$D$5:$D$600,MATCH(B351,'Master Database'!$A$5:$A$600,0)),"(row not found)"))</f>
        <v/>
      </c>
      <c r="D351" s="33" t="str">
        <f>IF(B351="","",IFERROR(INDEX('Master Database'!$B$5:$B$600,MATCH(B351,'Master Database'!$A$5:$A$600,0)),"(row not found)"))</f>
        <v/>
      </c>
      <c r="E351" s="30"/>
      <c r="F351" s="33" t="str">
        <f>IF(E351="","",IFERROR(INDEX(Vendor_Register!$B$5:$B$205,MATCH(E351,Vendor_Register!$A$5:$A$205,0)),"(not in register)"))</f>
        <v/>
      </c>
      <c r="G351" s="33" t="str">
        <f>IF(E351="","",IFERROR(INDEX(Vendor_Register!$E$5:$E$205,MATCH(E351,Vendor_Register!$A$5:$A$205,0)),"(not in register)"))</f>
        <v/>
      </c>
      <c r="H351" s="30"/>
      <c r="I351" s="30"/>
      <c r="J351" s="30"/>
      <c r="K351" s="30"/>
      <c r="L351" s="30"/>
      <c r="M351" s="34"/>
      <c r="N351" s="30"/>
      <c r="O351" s="35" t="str">
        <f>IF(NOT(ISNUMBER(M351)),"",IFERROR(IF(L351="EUR",M351,IF(L351="IRR",M351/INDEX('Assumptions &amp; FX Reference'!$C$5:$C$25,MATCH(H351,'Assumptions &amp; FX Reference'!$A$5:$A$25,0)),IF(L351="USD",M351*INDEX('Assumptions &amp; FX Reference'!$B$5:$B$25,MATCH(H351,'Assumptions &amp; FX Reference'!$A$5:$A$25,0))/INDEX('Assumptions &amp; FX Reference'!$C$5:$C$25,MATCH(H351,'Assumptions &amp; FX Reference'!$A$5:$A$25,0)),""))),"(FX missing)"))</f>
        <v/>
      </c>
      <c r="P351" s="30"/>
      <c r="Q351" s="30"/>
      <c r="R351" s="30"/>
      <c r="S351" s="30"/>
      <c r="T351" s="30"/>
      <c r="U351" s="30"/>
      <c r="V351" s="30"/>
    </row>
    <row r="352" spans="1:22">
      <c r="A352" s="30"/>
      <c r="B352" s="30"/>
      <c r="C352" s="33" t="str">
        <f>IF(B352="","",IFERROR(INDEX('Master Database'!$D$5:$D$600,MATCH(B352,'Master Database'!$A$5:$A$600,0)),"(row not found)"))</f>
        <v/>
      </c>
      <c r="D352" s="33" t="str">
        <f>IF(B352="","",IFERROR(INDEX('Master Database'!$B$5:$B$600,MATCH(B352,'Master Database'!$A$5:$A$600,0)),"(row not found)"))</f>
        <v/>
      </c>
      <c r="E352" s="30"/>
      <c r="F352" s="33" t="str">
        <f>IF(E352="","",IFERROR(INDEX(Vendor_Register!$B$5:$B$205,MATCH(E352,Vendor_Register!$A$5:$A$205,0)),"(not in register)"))</f>
        <v/>
      </c>
      <c r="G352" s="33" t="str">
        <f>IF(E352="","",IFERROR(INDEX(Vendor_Register!$E$5:$E$205,MATCH(E352,Vendor_Register!$A$5:$A$205,0)),"(not in register)"))</f>
        <v/>
      </c>
      <c r="H352" s="30"/>
      <c r="I352" s="30"/>
      <c r="J352" s="30"/>
      <c r="K352" s="30"/>
      <c r="L352" s="30"/>
      <c r="M352" s="34"/>
      <c r="N352" s="30"/>
      <c r="O352" s="35" t="str">
        <f>IF(NOT(ISNUMBER(M352)),"",IFERROR(IF(L352="EUR",M352,IF(L352="IRR",M352/INDEX('Assumptions &amp; FX Reference'!$C$5:$C$25,MATCH(H352,'Assumptions &amp; FX Reference'!$A$5:$A$25,0)),IF(L352="USD",M352*INDEX('Assumptions &amp; FX Reference'!$B$5:$B$25,MATCH(H352,'Assumptions &amp; FX Reference'!$A$5:$A$25,0))/INDEX('Assumptions &amp; FX Reference'!$C$5:$C$25,MATCH(H352,'Assumptions &amp; FX Reference'!$A$5:$A$25,0)),""))),"(FX missing)"))</f>
        <v/>
      </c>
      <c r="P352" s="30"/>
      <c r="Q352" s="30"/>
      <c r="R352" s="30"/>
      <c r="S352" s="30"/>
      <c r="T352" s="30"/>
      <c r="U352" s="30"/>
      <c r="V352" s="30"/>
    </row>
    <row r="353" spans="1:22">
      <c r="A353" s="30"/>
      <c r="B353" s="30"/>
      <c r="C353" s="33" t="str">
        <f>IF(B353="","",IFERROR(INDEX('Master Database'!$D$5:$D$600,MATCH(B353,'Master Database'!$A$5:$A$600,0)),"(row not found)"))</f>
        <v/>
      </c>
      <c r="D353" s="33" t="str">
        <f>IF(B353="","",IFERROR(INDEX('Master Database'!$B$5:$B$600,MATCH(B353,'Master Database'!$A$5:$A$600,0)),"(row not found)"))</f>
        <v/>
      </c>
      <c r="E353" s="30"/>
      <c r="F353" s="33" t="str">
        <f>IF(E353="","",IFERROR(INDEX(Vendor_Register!$B$5:$B$205,MATCH(E353,Vendor_Register!$A$5:$A$205,0)),"(not in register)"))</f>
        <v/>
      </c>
      <c r="G353" s="33" t="str">
        <f>IF(E353="","",IFERROR(INDEX(Vendor_Register!$E$5:$E$205,MATCH(E353,Vendor_Register!$A$5:$A$205,0)),"(not in register)"))</f>
        <v/>
      </c>
      <c r="H353" s="30"/>
      <c r="I353" s="30"/>
      <c r="J353" s="30"/>
      <c r="K353" s="30"/>
      <c r="L353" s="30"/>
      <c r="M353" s="34"/>
      <c r="N353" s="30"/>
      <c r="O353" s="35" t="str">
        <f>IF(NOT(ISNUMBER(M353)),"",IFERROR(IF(L353="EUR",M353,IF(L353="IRR",M353/INDEX('Assumptions &amp; FX Reference'!$C$5:$C$25,MATCH(H353,'Assumptions &amp; FX Reference'!$A$5:$A$25,0)),IF(L353="USD",M353*INDEX('Assumptions &amp; FX Reference'!$B$5:$B$25,MATCH(H353,'Assumptions &amp; FX Reference'!$A$5:$A$25,0))/INDEX('Assumptions &amp; FX Reference'!$C$5:$C$25,MATCH(H353,'Assumptions &amp; FX Reference'!$A$5:$A$25,0)),""))),"(FX missing)"))</f>
        <v/>
      </c>
      <c r="P353" s="30"/>
      <c r="Q353" s="30"/>
      <c r="R353" s="30"/>
      <c r="S353" s="30"/>
      <c r="T353" s="30"/>
      <c r="U353" s="30"/>
      <c r="V353" s="30"/>
    </row>
    <row r="354" spans="1:22">
      <c r="A354" s="30"/>
      <c r="B354" s="30"/>
      <c r="C354" s="33" t="str">
        <f>IF(B354="","",IFERROR(INDEX('Master Database'!$D$5:$D$600,MATCH(B354,'Master Database'!$A$5:$A$600,0)),"(row not found)"))</f>
        <v/>
      </c>
      <c r="D354" s="33" t="str">
        <f>IF(B354="","",IFERROR(INDEX('Master Database'!$B$5:$B$600,MATCH(B354,'Master Database'!$A$5:$A$600,0)),"(row not found)"))</f>
        <v/>
      </c>
      <c r="E354" s="30"/>
      <c r="F354" s="33" t="str">
        <f>IF(E354="","",IFERROR(INDEX(Vendor_Register!$B$5:$B$205,MATCH(E354,Vendor_Register!$A$5:$A$205,0)),"(not in register)"))</f>
        <v/>
      </c>
      <c r="G354" s="33" t="str">
        <f>IF(E354="","",IFERROR(INDEX(Vendor_Register!$E$5:$E$205,MATCH(E354,Vendor_Register!$A$5:$A$205,0)),"(not in register)"))</f>
        <v/>
      </c>
      <c r="H354" s="30"/>
      <c r="I354" s="30"/>
      <c r="J354" s="30"/>
      <c r="K354" s="30"/>
      <c r="L354" s="30"/>
      <c r="M354" s="34"/>
      <c r="N354" s="30"/>
      <c r="O354" s="35" t="str">
        <f>IF(NOT(ISNUMBER(M354)),"",IFERROR(IF(L354="EUR",M354,IF(L354="IRR",M354/INDEX('Assumptions &amp; FX Reference'!$C$5:$C$25,MATCH(H354,'Assumptions &amp; FX Reference'!$A$5:$A$25,0)),IF(L354="USD",M354*INDEX('Assumptions &amp; FX Reference'!$B$5:$B$25,MATCH(H354,'Assumptions &amp; FX Reference'!$A$5:$A$25,0))/INDEX('Assumptions &amp; FX Reference'!$C$5:$C$25,MATCH(H354,'Assumptions &amp; FX Reference'!$A$5:$A$25,0)),""))),"(FX missing)"))</f>
        <v/>
      </c>
      <c r="P354" s="30"/>
      <c r="Q354" s="30"/>
      <c r="R354" s="30"/>
      <c r="S354" s="30"/>
      <c r="T354" s="30"/>
      <c r="U354" s="30"/>
      <c r="V354" s="30"/>
    </row>
    <row r="355" spans="1:22">
      <c r="A355" s="30"/>
      <c r="B355" s="30"/>
      <c r="C355" s="33" t="str">
        <f>IF(B355="","",IFERROR(INDEX('Master Database'!$D$5:$D$600,MATCH(B355,'Master Database'!$A$5:$A$600,0)),"(row not found)"))</f>
        <v/>
      </c>
      <c r="D355" s="33" t="str">
        <f>IF(B355="","",IFERROR(INDEX('Master Database'!$B$5:$B$600,MATCH(B355,'Master Database'!$A$5:$A$600,0)),"(row not found)"))</f>
        <v/>
      </c>
      <c r="E355" s="30"/>
      <c r="F355" s="33" t="str">
        <f>IF(E355="","",IFERROR(INDEX(Vendor_Register!$B$5:$B$205,MATCH(E355,Vendor_Register!$A$5:$A$205,0)),"(not in register)"))</f>
        <v/>
      </c>
      <c r="G355" s="33" t="str">
        <f>IF(E355="","",IFERROR(INDEX(Vendor_Register!$E$5:$E$205,MATCH(E355,Vendor_Register!$A$5:$A$205,0)),"(not in register)"))</f>
        <v/>
      </c>
      <c r="H355" s="30"/>
      <c r="I355" s="30"/>
      <c r="J355" s="30"/>
      <c r="K355" s="30"/>
      <c r="L355" s="30"/>
      <c r="M355" s="34"/>
      <c r="N355" s="30"/>
      <c r="O355" s="35" t="str">
        <f>IF(NOT(ISNUMBER(M355)),"",IFERROR(IF(L355="EUR",M355,IF(L355="IRR",M355/INDEX('Assumptions &amp; FX Reference'!$C$5:$C$25,MATCH(H355,'Assumptions &amp; FX Reference'!$A$5:$A$25,0)),IF(L355="USD",M355*INDEX('Assumptions &amp; FX Reference'!$B$5:$B$25,MATCH(H355,'Assumptions &amp; FX Reference'!$A$5:$A$25,0))/INDEX('Assumptions &amp; FX Reference'!$C$5:$C$25,MATCH(H355,'Assumptions &amp; FX Reference'!$A$5:$A$25,0)),""))),"(FX missing)"))</f>
        <v/>
      </c>
      <c r="P355" s="30"/>
      <c r="Q355" s="30"/>
      <c r="R355" s="30"/>
      <c r="S355" s="30"/>
      <c r="T355" s="30"/>
      <c r="U355" s="30"/>
      <c r="V355" s="30"/>
    </row>
    <row r="356" spans="1:22">
      <c r="A356" s="30"/>
      <c r="B356" s="30"/>
      <c r="C356" s="33" t="str">
        <f>IF(B356="","",IFERROR(INDEX('Master Database'!$D$5:$D$600,MATCH(B356,'Master Database'!$A$5:$A$600,0)),"(row not found)"))</f>
        <v/>
      </c>
      <c r="D356" s="33" t="str">
        <f>IF(B356="","",IFERROR(INDEX('Master Database'!$B$5:$B$600,MATCH(B356,'Master Database'!$A$5:$A$600,0)),"(row not found)"))</f>
        <v/>
      </c>
      <c r="E356" s="30"/>
      <c r="F356" s="33" t="str">
        <f>IF(E356="","",IFERROR(INDEX(Vendor_Register!$B$5:$B$205,MATCH(E356,Vendor_Register!$A$5:$A$205,0)),"(not in register)"))</f>
        <v/>
      </c>
      <c r="G356" s="33" t="str">
        <f>IF(E356="","",IFERROR(INDEX(Vendor_Register!$E$5:$E$205,MATCH(E356,Vendor_Register!$A$5:$A$205,0)),"(not in register)"))</f>
        <v/>
      </c>
      <c r="H356" s="30"/>
      <c r="I356" s="30"/>
      <c r="J356" s="30"/>
      <c r="K356" s="30"/>
      <c r="L356" s="30"/>
      <c r="M356" s="34"/>
      <c r="N356" s="30"/>
      <c r="O356" s="35" t="str">
        <f>IF(NOT(ISNUMBER(M356)),"",IFERROR(IF(L356="EUR",M356,IF(L356="IRR",M356/INDEX('Assumptions &amp; FX Reference'!$C$5:$C$25,MATCH(H356,'Assumptions &amp; FX Reference'!$A$5:$A$25,0)),IF(L356="USD",M356*INDEX('Assumptions &amp; FX Reference'!$B$5:$B$25,MATCH(H356,'Assumptions &amp; FX Reference'!$A$5:$A$25,0))/INDEX('Assumptions &amp; FX Reference'!$C$5:$C$25,MATCH(H356,'Assumptions &amp; FX Reference'!$A$5:$A$25,0)),""))),"(FX missing)"))</f>
        <v/>
      </c>
      <c r="P356" s="30"/>
      <c r="Q356" s="30"/>
      <c r="R356" s="30"/>
      <c r="S356" s="30"/>
      <c r="T356" s="30"/>
      <c r="U356" s="30"/>
      <c r="V356" s="30"/>
    </row>
    <row r="357" spans="1:22">
      <c r="A357" s="30"/>
      <c r="B357" s="30"/>
      <c r="C357" s="33" t="str">
        <f>IF(B357="","",IFERROR(INDEX('Master Database'!$D$5:$D$600,MATCH(B357,'Master Database'!$A$5:$A$600,0)),"(row not found)"))</f>
        <v/>
      </c>
      <c r="D357" s="33" t="str">
        <f>IF(B357="","",IFERROR(INDEX('Master Database'!$B$5:$B$600,MATCH(B357,'Master Database'!$A$5:$A$600,0)),"(row not found)"))</f>
        <v/>
      </c>
      <c r="E357" s="30"/>
      <c r="F357" s="33" t="str">
        <f>IF(E357="","",IFERROR(INDEX(Vendor_Register!$B$5:$B$205,MATCH(E357,Vendor_Register!$A$5:$A$205,0)),"(not in register)"))</f>
        <v/>
      </c>
      <c r="G357" s="33" t="str">
        <f>IF(E357="","",IFERROR(INDEX(Vendor_Register!$E$5:$E$205,MATCH(E357,Vendor_Register!$A$5:$A$205,0)),"(not in register)"))</f>
        <v/>
      </c>
      <c r="H357" s="30"/>
      <c r="I357" s="30"/>
      <c r="J357" s="30"/>
      <c r="K357" s="30"/>
      <c r="L357" s="30"/>
      <c r="M357" s="34"/>
      <c r="N357" s="30"/>
      <c r="O357" s="35" t="str">
        <f>IF(NOT(ISNUMBER(M357)),"",IFERROR(IF(L357="EUR",M357,IF(L357="IRR",M357/INDEX('Assumptions &amp; FX Reference'!$C$5:$C$25,MATCH(H357,'Assumptions &amp; FX Reference'!$A$5:$A$25,0)),IF(L357="USD",M357*INDEX('Assumptions &amp; FX Reference'!$B$5:$B$25,MATCH(H357,'Assumptions &amp; FX Reference'!$A$5:$A$25,0))/INDEX('Assumptions &amp; FX Reference'!$C$5:$C$25,MATCH(H357,'Assumptions &amp; FX Reference'!$A$5:$A$25,0)),""))),"(FX missing)"))</f>
        <v/>
      </c>
      <c r="P357" s="30"/>
      <c r="Q357" s="30"/>
      <c r="R357" s="30"/>
      <c r="S357" s="30"/>
      <c r="T357" s="30"/>
      <c r="U357" s="30"/>
      <c r="V357" s="30"/>
    </row>
    <row r="358" spans="1:22">
      <c r="A358" s="30"/>
      <c r="B358" s="30"/>
      <c r="C358" s="33" t="str">
        <f>IF(B358="","",IFERROR(INDEX('Master Database'!$D$5:$D$600,MATCH(B358,'Master Database'!$A$5:$A$600,0)),"(row not found)"))</f>
        <v/>
      </c>
      <c r="D358" s="33" t="str">
        <f>IF(B358="","",IFERROR(INDEX('Master Database'!$B$5:$B$600,MATCH(B358,'Master Database'!$A$5:$A$600,0)),"(row not found)"))</f>
        <v/>
      </c>
      <c r="E358" s="30"/>
      <c r="F358" s="33" t="str">
        <f>IF(E358="","",IFERROR(INDEX(Vendor_Register!$B$5:$B$205,MATCH(E358,Vendor_Register!$A$5:$A$205,0)),"(not in register)"))</f>
        <v/>
      </c>
      <c r="G358" s="33" t="str">
        <f>IF(E358="","",IFERROR(INDEX(Vendor_Register!$E$5:$E$205,MATCH(E358,Vendor_Register!$A$5:$A$205,0)),"(not in register)"))</f>
        <v/>
      </c>
      <c r="H358" s="30"/>
      <c r="I358" s="30"/>
      <c r="J358" s="30"/>
      <c r="K358" s="30"/>
      <c r="L358" s="30"/>
      <c r="M358" s="34"/>
      <c r="N358" s="30"/>
      <c r="O358" s="35" t="str">
        <f>IF(NOT(ISNUMBER(M358)),"",IFERROR(IF(L358="EUR",M358,IF(L358="IRR",M358/INDEX('Assumptions &amp; FX Reference'!$C$5:$C$25,MATCH(H358,'Assumptions &amp; FX Reference'!$A$5:$A$25,0)),IF(L358="USD",M358*INDEX('Assumptions &amp; FX Reference'!$B$5:$B$25,MATCH(H358,'Assumptions &amp; FX Reference'!$A$5:$A$25,0))/INDEX('Assumptions &amp; FX Reference'!$C$5:$C$25,MATCH(H358,'Assumptions &amp; FX Reference'!$A$5:$A$25,0)),""))),"(FX missing)"))</f>
        <v/>
      </c>
      <c r="P358" s="30"/>
      <c r="Q358" s="30"/>
      <c r="R358" s="30"/>
      <c r="S358" s="30"/>
      <c r="T358" s="30"/>
      <c r="U358" s="30"/>
      <c r="V358" s="30"/>
    </row>
    <row r="359" spans="1:22">
      <c r="A359" s="30"/>
      <c r="B359" s="30"/>
      <c r="C359" s="33" t="str">
        <f>IF(B359="","",IFERROR(INDEX('Master Database'!$D$5:$D$600,MATCH(B359,'Master Database'!$A$5:$A$600,0)),"(row not found)"))</f>
        <v/>
      </c>
      <c r="D359" s="33" t="str">
        <f>IF(B359="","",IFERROR(INDEX('Master Database'!$B$5:$B$600,MATCH(B359,'Master Database'!$A$5:$A$600,0)),"(row not found)"))</f>
        <v/>
      </c>
      <c r="E359" s="30"/>
      <c r="F359" s="33" t="str">
        <f>IF(E359="","",IFERROR(INDEX(Vendor_Register!$B$5:$B$205,MATCH(E359,Vendor_Register!$A$5:$A$205,0)),"(not in register)"))</f>
        <v/>
      </c>
      <c r="G359" s="33" t="str">
        <f>IF(E359="","",IFERROR(INDEX(Vendor_Register!$E$5:$E$205,MATCH(E359,Vendor_Register!$A$5:$A$205,0)),"(not in register)"))</f>
        <v/>
      </c>
      <c r="H359" s="30"/>
      <c r="I359" s="30"/>
      <c r="J359" s="30"/>
      <c r="K359" s="30"/>
      <c r="L359" s="30"/>
      <c r="M359" s="34"/>
      <c r="N359" s="30"/>
      <c r="O359" s="35" t="str">
        <f>IF(NOT(ISNUMBER(M359)),"",IFERROR(IF(L359="EUR",M359,IF(L359="IRR",M359/INDEX('Assumptions &amp; FX Reference'!$C$5:$C$25,MATCH(H359,'Assumptions &amp; FX Reference'!$A$5:$A$25,0)),IF(L359="USD",M359*INDEX('Assumptions &amp; FX Reference'!$B$5:$B$25,MATCH(H359,'Assumptions &amp; FX Reference'!$A$5:$A$25,0))/INDEX('Assumptions &amp; FX Reference'!$C$5:$C$25,MATCH(H359,'Assumptions &amp; FX Reference'!$A$5:$A$25,0)),""))),"(FX missing)"))</f>
        <v/>
      </c>
      <c r="P359" s="30"/>
      <c r="Q359" s="30"/>
      <c r="R359" s="30"/>
      <c r="S359" s="30"/>
      <c r="T359" s="30"/>
      <c r="U359" s="30"/>
      <c r="V359" s="30"/>
    </row>
    <row r="360" spans="1:22">
      <c r="A360" s="30"/>
      <c r="B360" s="30"/>
      <c r="C360" s="33" t="str">
        <f>IF(B360="","",IFERROR(INDEX('Master Database'!$D$5:$D$600,MATCH(B360,'Master Database'!$A$5:$A$600,0)),"(row not found)"))</f>
        <v/>
      </c>
      <c r="D360" s="33" t="str">
        <f>IF(B360="","",IFERROR(INDEX('Master Database'!$B$5:$B$600,MATCH(B360,'Master Database'!$A$5:$A$600,0)),"(row not found)"))</f>
        <v/>
      </c>
      <c r="E360" s="30"/>
      <c r="F360" s="33" t="str">
        <f>IF(E360="","",IFERROR(INDEX(Vendor_Register!$B$5:$B$205,MATCH(E360,Vendor_Register!$A$5:$A$205,0)),"(not in register)"))</f>
        <v/>
      </c>
      <c r="G360" s="33" t="str">
        <f>IF(E360="","",IFERROR(INDEX(Vendor_Register!$E$5:$E$205,MATCH(E360,Vendor_Register!$A$5:$A$205,0)),"(not in register)"))</f>
        <v/>
      </c>
      <c r="H360" s="30"/>
      <c r="I360" s="30"/>
      <c r="J360" s="30"/>
      <c r="K360" s="30"/>
      <c r="L360" s="30"/>
      <c r="M360" s="34"/>
      <c r="N360" s="30"/>
      <c r="O360" s="35" t="str">
        <f>IF(NOT(ISNUMBER(M360)),"",IFERROR(IF(L360="EUR",M360,IF(L360="IRR",M360/INDEX('Assumptions &amp; FX Reference'!$C$5:$C$25,MATCH(H360,'Assumptions &amp; FX Reference'!$A$5:$A$25,0)),IF(L360="USD",M360*INDEX('Assumptions &amp; FX Reference'!$B$5:$B$25,MATCH(H360,'Assumptions &amp; FX Reference'!$A$5:$A$25,0))/INDEX('Assumptions &amp; FX Reference'!$C$5:$C$25,MATCH(H360,'Assumptions &amp; FX Reference'!$A$5:$A$25,0)),""))),"(FX missing)"))</f>
        <v/>
      </c>
      <c r="P360" s="30"/>
      <c r="Q360" s="30"/>
      <c r="R360" s="30"/>
      <c r="S360" s="30"/>
      <c r="T360" s="30"/>
      <c r="U360" s="30"/>
      <c r="V360" s="30"/>
    </row>
    <row r="361" spans="1:22">
      <c r="A361" s="30"/>
      <c r="B361" s="30"/>
      <c r="C361" s="33" t="str">
        <f>IF(B361="","",IFERROR(INDEX('Master Database'!$D$5:$D$600,MATCH(B361,'Master Database'!$A$5:$A$600,0)),"(row not found)"))</f>
        <v/>
      </c>
      <c r="D361" s="33" t="str">
        <f>IF(B361="","",IFERROR(INDEX('Master Database'!$B$5:$B$600,MATCH(B361,'Master Database'!$A$5:$A$600,0)),"(row not found)"))</f>
        <v/>
      </c>
      <c r="E361" s="30"/>
      <c r="F361" s="33" t="str">
        <f>IF(E361="","",IFERROR(INDEX(Vendor_Register!$B$5:$B$205,MATCH(E361,Vendor_Register!$A$5:$A$205,0)),"(not in register)"))</f>
        <v/>
      </c>
      <c r="G361" s="33" t="str">
        <f>IF(E361="","",IFERROR(INDEX(Vendor_Register!$E$5:$E$205,MATCH(E361,Vendor_Register!$A$5:$A$205,0)),"(not in register)"))</f>
        <v/>
      </c>
      <c r="H361" s="30"/>
      <c r="I361" s="30"/>
      <c r="J361" s="30"/>
      <c r="K361" s="30"/>
      <c r="L361" s="30"/>
      <c r="M361" s="34"/>
      <c r="N361" s="30"/>
      <c r="O361" s="35" t="str">
        <f>IF(NOT(ISNUMBER(M361)),"",IFERROR(IF(L361="EUR",M361,IF(L361="IRR",M361/INDEX('Assumptions &amp; FX Reference'!$C$5:$C$25,MATCH(H361,'Assumptions &amp; FX Reference'!$A$5:$A$25,0)),IF(L361="USD",M361*INDEX('Assumptions &amp; FX Reference'!$B$5:$B$25,MATCH(H361,'Assumptions &amp; FX Reference'!$A$5:$A$25,0))/INDEX('Assumptions &amp; FX Reference'!$C$5:$C$25,MATCH(H361,'Assumptions &amp; FX Reference'!$A$5:$A$25,0)),""))),"(FX missing)"))</f>
        <v/>
      </c>
      <c r="P361" s="30"/>
      <c r="Q361" s="30"/>
      <c r="R361" s="30"/>
      <c r="S361" s="30"/>
      <c r="T361" s="30"/>
      <c r="U361" s="30"/>
      <c r="V361" s="30"/>
    </row>
    <row r="362" spans="1:22">
      <c r="A362" s="30"/>
      <c r="B362" s="30"/>
      <c r="C362" s="33" t="str">
        <f>IF(B362="","",IFERROR(INDEX('Master Database'!$D$5:$D$600,MATCH(B362,'Master Database'!$A$5:$A$600,0)),"(row not found)"))</f>
        <v/>
      </c>
      <c r="D362" s="33" t="str">
        <f>IF(B362="","",IFERROR(INDEX('Master Database'!$B$5:$B$600,MATCH(B362,'Master Database'!$A$5:$A$600,0)),"(row not found)"))</f>
        <v/>
      </c>
      <c r="E362" s="30"/>
      <c r="F362" s="33" t="str">
        <f>IF(E362="","",IFERROR(INDEX(Vendor_Register!$B$5:$B$205,MATCH(E362,Vendor_Register!$A$5:$A$205,0)),"(not in register)"))</f>
        <v/>
      </c>
      <c r="G362" s="33" t="str">
        <f>IF(E362="","",IFERROR(INDEX(Vendor_Register!$E$5:$E$205,MATCH(E362,Vendor_Register!$A$5:$A$205,0)),"(not in register)"))</f>
        <v/>
      </c>
      <c r="H362" s="30"/>
      <c r="I362" s="30"/>
      <c r="J362" s="30"/>
      <c r="K362" s="30"/>
      <c r="L362" s="30"/>
      <c r="M362" s="34"/>
      <c r="N362" s="30"/>
      <c r="O362" s="35" t="str">
        <f>IF(NOT(ISNUMBER(M362)),"",IFERROR(IF(L362="EUR",M362,IF(L362="IRR",M362/INDEX('Assumptions &amp; FX Reference'!$C$5:$C$25,MATCH(H362,'Assumptions &amp; FX Reference'!$A$5:$A$25,0)),IF(L362="USD",M362*INDEX('Assumptions &amp; FX Reference'!$B$5:$B$25,MATCH(H362,'Assumptions &amp; FX Reference'!$A$5:$A$25,0))/INDEX('Assumptions &amp; FX Reference'!$C$5:$C$25,MATCH(H362,'Assumptions &amp; FX Reference'!$A$5:$A$25,0)),""))),"(FX missing)"))</f>
        <v/>
      </c>
      <c r="P362" s="30"/>
      <c r="Q362" s="30"/>
      <c r="R362" s="30"/>
      <c r="S362" s="30"/>
      <c r="T362" s="30"/>
      <c r="U362" s="30"/>
      <c r="V362" s="30"/>
    </row>
    <row r="363" spans="1:22">
      <c r="A363" s="30"/>
      <c r="B363" s="30"/>
      <c r="C363" s="33" t="str">
        <f>IF(B363="","",IFERROR(INDEX('Master Database'!$D$5:$D$600,MATCH(B363,'Master Database'!$A$5:$A$600,0)),"(row not found)"))</f>
        <v/>
      </c>
      <c r="D363" s="33" t="str">
        <f>IF(B363="","",IFERROR(INDEX('Master Database'!$B$5:$B$600,MATCH(B363,'Master Database'!$A$5:$A$600,0)),"(row not found)"))</f>
        <v/>
      </c>
      <c r="E363" s="30"/>
      <c r="F363" s="33" t="str">
        <f>IF(E363="","",IFERROR(INDEX(Vendor_Register!$B$5:$B$205,MATCH(E363,Vendor_Register!$A$5:$A$205,0)),"(not in register)"))</f>
        <v/>
      </c>
      <c r="G363" s="33" t="str">
        <f>IF(E363="","",IFERROR(INDEX(Vendor_Register!$E$5:$E$205,MATCH(E363,Vendor_Register!$A$5:$A$205,0)),"(not in register)"))</f>
        <v/>
      </c>
      <c r="H363" s="30"/>
      <c r="I363" s="30"/>
      <c r="J363" s="30"/>
      <c r="K363" s="30"/>
      <c r="L363" s="30"/>
      <c r="M363" s="34"/>
      <c r="N363" s="30"/>
      <c r="O363" s="35" t="str">
        <f>IF(NOT(ISNUMBER(M363)),"",IFERROR(IF(L363="EUR",M363,IF(L363="IRR",M363/INDEX('Assumptions &amp; FX Reference'!$C$5:$C$25,MATCH(H363,'Assumptions &amp; FX Reference'!$A$5:$A$25,0)),IF(L363="USD",M363*INDEX('Assumptions &amp; FX Reference'!$B$5:$B$25,MATCH(H363,'Assumptions &amp; FX Reference'!$A$5:$A$25,0))/INDEX('Assumptions &amp; FX Reference'!$C$5:$C$25,MATCH(H363,'Assumptions &amp; FX Reference'!$A$5:$A$25,0)),""))),"(FX missing)"))</f>
        <v/>
      </c>
      <c r="P363" s="30"/>
      <c r="Q363" s="30"/>
      <c r="R363" s="30"/>
      <c r="S363" s="30"/>
      <c r="T363" s="30"/>
      <c r="U363" s="30"/>
      <c r="V363" s="30"/>
    </row>
    <row r="364" spans="1:22">
      <c r="A364" s="30"/>
      <c r="B364" s="30"/>
      <c r="C364" s="33" t="str">
        <f>IF(B364="","",IFERROR(INDEX('Master Database'!$D$5:$D$600,MATCH(B364,'Master Database'!$A$5:$A$600,0)),"(row not found)"))</f>
        <v/>
      </c>
      <c r="D364" s="33" t="str">
        <f>IF(B364="","",IFERROR(INDEX('Master Database'!$B$5:$B$600,MATCH(B364,'Master Database'!$A$5:$A$600,0)),"(row not found)"))</f>
        <v/>
      </c>
      <c r="E364" s="30"/>
      <c r="F364" s="33" t="str">
        <f>IF(E364="","",IFERROR(INDEX(Vendor_Register!$B$5:$B$205,MATCH(E364,Vendor_Register!$A$5:$A$205,0)),"(not in register)"))</f>
        <v/>
      </c>
      <c r="G364" s="33" t="str">
        <f>IF(E364="","",IFERROR(INDEX(Vendor_Register!$E$5:$E$205,MATCH(E364,Vendor_Register!$A$5:$A$205,0)),"(not in register)"))</f>
        <v/>
      </c>
      <c r="H364" s="30"/>
      <c r="I364" s="30"/>
      <c r="J364" s="30"/>
      <c r="K364" s="30"/>
      <c r="L364" s="30"/>
      <c r="M364" s="34"/>
      <c r="N364" s="30"/>
      <c r="O364" s="35" t="str">
        <f>IF(NOT(ISNUMBER(M364)),"",IFERROR(IF(L364="EUR",M364,IF(L364="IRR",M364/INDEX('Assumptions &amp; FX Reference'!$C$5:$C$25,MATCH(H364,'Assumptions &amp; FX Reference'!$A$5:$A$25,0)),IF(L364="USD",M364*INDEX('Assumptions &amp; FX Reference'!$B$5:$B$25,MATCH(H364,'Assumptions &amp; FX Reference'!$A$5:$A$25,0))/INDEX('Assumptions &amp; FX Reference'!$C$5:$C$25,MATCH(H364,'Assumptions &amp; FX Reference'!$A$5:$A$25,0)),""))),"(FX missing)"))</f>
        <v/>
      </c>
      <c r="P364" s="30"/>
      <c r="Q364" s="30"/>
      <c r="R364" s="30"/>
      <c r="S364" s="30"/>
      <c r="T364" s="30"/>
      <c r="U364" s="30"/>
      <c r="V364" s="30"/>
    </row>
    <row r="365" spans="1:22">
      <c r="A365" s="30"/>
      <c r="B365" s="30"/>
      <c r="C365" s="33" t="str">
        <f>IF(B365="","",IFERROR(INDEX('Master Database'!$D$5:$D$600,MATCH(B365,'Master Database'!$A$5:$A$600,0)),"(row not found)"))</f>
        <v/>
      </c>
      <c r="D365" s="33" t="str">
        <f>IF(B365="","",IFERROR(INDEX('Master Database'!$B$5:$B$600,MATCH(B365,'Master Database'!$A$5:$A$600,0)),"(row not found)"))</f>
        <v/>
      </c>
      <c r="E365" s="30"/>
      <c r="F365" s="33" t="str">
        <f>IF(E365="","",IFERROR(INDEX(Vendor_Register!$B$5:$B$205,MATCH(E365,Vendor_Register!$A$5:$A$205,0)),"(not in register)"))</f>
        <v/>
      </c>
      <c r="G365" s="33" t="str">
        <f>IF(E365="","",IFERROR(INDEX(Vendor_Register!$E$5:$E$205,MATCH(E365,Vendor_Register!$A$5:$A$205,0)),"(not in register)"))</f>
        <v/>
      </c>
      <c r="H365" s="30"/>
      <c r="I365" s="30"/>
      <c r="J365" s="30"/>
      <c r="K365" s="30"/>
      <c r="L365" s="30"/>
      <c r="M365" s="34"/>
      <c r="N365" s="30"/>
      <c r="O365" s="35" t="str">
        <f>IF(NOT(ISNUMBER(M365)),"",IFERROR(IF(L365="EUR",M365,IF(L365="IRR",M365/INDEX('Assumptions &amp; FX Reference'!$C$5:$C$25,MATCH(H365,'Assumptions &amp; FX Reference'!$A$5:$A$25,0)),IF(L365="USD",M365*INDEX('Assumptions &amp; FX Reference'!$B$5:$B$25,MATCH(H365,'Assumptions &amp; FX Reference'!$A$5:$A$25,0))/INDEX('Assumptions &amp; FX Reference'!$C$5:$C$25,MATCH(H365,'Assumptions &amp; FX Reference'!$A$5:$A$25,0)),""))),"(FX missing)"))</f>
        <v/>
      </c>
      <c r="P365" s="30"/>
      <c r="Q365" s="30"/>
      <c r="R365" s="30"/>
      <c r="S365" s="30"/>
      <c r="T365" s="30"/>
      <c r="U365" s="30"/>
      <c r="V365" s="30"/>
    </row>
    <row r="366" spans="1:22">
      <c r="A366" s="30"/>
      <c r="B366" s="30"/>
      <c r="C366" s="33" t="str">
        <f>IF(B366="","",IFERROR(INDEX('Master Database'!$D$5:$D$600,MATCH(B366,'Master Database'!$A$5:$A$600,0)),"(row not found)"))</f>
        <v/>
      </c>
      <c r="D366" s="33" t="str">
        <f>IF(B366="","",IFERROR(INDEX('Master Database'!$B$5:$B$600,MATCH(B366,'Master Database'!$A$5:$A$600,0)),"(row not found)"))</f>
        <v/>
      </c>
      <c r="E366" s="30"/>
      <c r="F366" s="33" t="str">
        <f>IF(E366="","",IFERROR(INDEX(Vendor_Register!$B$5:$B$205,MATCH(E366,Vendor_Register!$A$5:$A$205,0)),"(not in register)"))</f>
        <v/>
      </c>
      <c r="G366" s="33" t="str">
        <f>IF(E366="","",IFERROR(INDEX(Vendor_Register!$E$5:$E$205,MATCH(E366,Vendor_Register!$A$5:$A$205,0)),"(not in register)"))</f>
        <v/>
      </c>
      <c r="H366" s="30"/>
      <c r="I366" s="30"/>
      <c r="J366" s="30"/>
      <c r="K366" s="30"/>
      <c r="L366" s="30"/>
      <c r="M366" s="34"/>
      <c r="N366" s="30"/>
      <c r="O366" s="35" t="str">
        <f>IF(NOT(ISNUMBER(M366)),"",IFERROR(IF(L366="EUR",M366,IF(L366="IRR",M366/INDEX('Assumptions &amp; FX Reference'!$C$5:$C$25,MATCH(H366,'Assumptions &amp; FX Reference'!$A$5:$A$25,0)),IF(L366="USD",M366*INDEX('Assumptions &amp; FX Reference'!$B$5:$B$25,MATCH(H366,'Assumptions &amp; FX Reference'!$A$5:$A$25,0))/INDEX('Assumptions &amp; FX Reference'!$C$5:$C$25,MATCH(H366,'Assumptions &amp; FX Reference'!$A$5:$A$25,0)),""))),"(FX missing)"))</f>
        <v/>
      </c>
      <c r="P366" s="30"/>
      <c r="Q366" s="30"/>
      <c r="R366" s="30"/>
      <c r="S366" s="30"/>
      <c r="T366" s="30"/>
      <c r="U366" s="30"/>
      <c r="V366" s="30"/>
    </row>
    <row r="367" spans="1:22">
      <c r="A367" s="30"/>
      <c r="B367" s="30"/>
      <c r="C367" s="33" t="str">
        <f>IF(B367="","",IFERROR(INDEX('Master Database'!$D$5:$D$600,MATCH(B367,'Master Database'!$A$5:$A$600,0)),"(row not found)"))</f>
        <v/>
      </c>
      <c r="D367" s="33" t="str">
        <f>IF(B367="","",IFERROR(INDEX('Master Database'!$B$5:$B$600,MATCH(B367,'Master Database'!$A$5:$A$600,0)),"(row not found)"))</f>
        <v/>
      </c>
      <c r="E367" s="30"/>
      <c r="F367" s="33" t="str">
        <f>IF(E367="","",IFERROR(INDEX(Vendor_Register!$B$5:$B$205,MATCH(E367,Vendor_Register!$A$5:$A$205,0)),"(not in register)"))</f>
        <v/>
      </c>
      <c r="G367" s="33" t="str">
        <f>IF(E367="","",IFERROR(INDEX(Vendor_Register!$E$5:$E$205,MATCH(E367,Vendor_Register!$A$5:$A$205,0)),"(not in register)"))</f>
        <v/>
      </c>
      <c r="H367" s="30"/>
      <c r="I367" s="30"/>
      <c r="J367" s="30"/>
      <c r="K367" s="30"/>
      <c r="L367" s="30"/>
      <c r="M367" s="34"/>
      <c r="N367" s="30"/>
      <c r="O367" s="35" t="str">
        <f>IF(NOT(ISNUMBER(M367)),"",IFERROR(IF(L367="EUR",M367,IF(L367="IRR",M367/INDEX('Assumptions &amp; FX Reference'!$C$5:$C$25,MATCH(H367,'Assumptions &amp; FX Reference'!$A$5:$A$25,0)),IF(L367="USD",M367*INDEX('Assumptions &amp; FX Reference'!$B$5:$B$25,MATCH(H367,'Assumptions &amp; FX Reference'!$A$5:$A$25,0))/INDEX('Assumptions &amp; FX Reference'!$C$5:$C$25,MATCH(H367,'Assumptions &amp; FX Reference'!$A$5:$A$25,0)),""))),"(FX missing)"))</f>
        <v/>
      </c>
      <c r="P367" s="30"/>
      <c r="Q367" s="30"/>
      <c r="R367" s="30"/>
      <c r="S367" s="30"/>
      <c r="T367" s="30"/>
      <c r="U367" s="30"/>
      <c r="V367" s="30"/>
    </row>
    <row r="368" spans="1:22">
      <c r="A368" s="30"/>
      <c r="B368" s="30"/>
      <c r="C368" s="33" t="str">
        <f>IF(B368="","",IFERROR(INDEX('Master Database'!$D$5:$D$600,MATCH(B368,'Master Database'!$A$5:$A$600,0)),"(row not found)"))</f>
        <v/>
      </c>
      <c r="D368" s="33" t="str">
        <f>IF(B368="","",IFERROR(INDEX('Master Database'!$B$5:$B$600,MATCH(B368,'Master Database'!$A$5:$A$600,0)),"(row not found)"))</f>
        <v/>
      </c>
      <c r="E368" s="30"/>
      <c r="F368" s="33" t="str">
        <f>IF(E368="","",IFERROR(INDEX(Vendor_Register!$B$5:$B$205,MATCH(E368,Vendor_Register!$A$5:$A$205,0)),"(not in register)"))</f>
        <v/>
      </c>
      <c r="G368" s="33" t="str">
        <f>IF(E368="","",IFERROR(INDEX(Vendor_Register!$E$5:$E$205,MATCH(E368,Vendor_Register!$A$5:$A$205,0)),"(not in register)"))</f>
        <v/>
      </c>
      <c r="H368" s="30"/>
      <c r="I368" s="30"/>
      <c r="J368" s="30"/>
      <c r="K368" s="30"/>
      <c r="L368" s="30"/>
      <c r="M368" s="34"/>
      <c r="N368" s="30"/>
      <c r="O368" s="35" t="str">
        <f>IF(NOT(ISNUMBER(M368)),"",IFERROR(IF(L368="EUR",M368,IF(L368="IRR",M368/INDEX('Assumptions &amp; FX Reference'!$C$5:$C$25,MATCH(H368,'Assumptions &amp; FX Reference'!$A$5:$A$25,0)),IF(L368="USD",M368*INDEX('Assumptions &amp; FX Reference'!$B$5:$B$25,MATCH(H368,'Assumptions &amp; FX Reference'!$A$5:$A$25,0))/INDEX('Assumptions &amp; FX Reference'!$C$5:$C$25,MATCH(H368,'Assumptions &amp; FX Reference'!$A$5:$A$25,0)),""))),"(FX missing)"))</f>
        <v/>
      </c>
      <c r="P368" s="30"/>
      <c r="Q368" s="30"/>
      <c r="R368" s="30"/>
      <c r="S368" s="30"/>
      <c r="T368" s="30"/>
      <c r="U368" s="30"/>
      <c r="V368" s="30"/>
    </row>
    <row r="369" spans="1:22">
      <c r="A369" s="30"/>
      <c r="B369" s="30"/>
      <c r="C369" s="33" t="str">
        <f>IF(B369="","",IFERROR(INDEX('Master Database'!$D$5:$D$600,MATCH(B369,'Master Database'!$A$5:$A$600,0)),"(row not found)"))</f>
        <v/>
      </c>
      <c r="D369" s="33" t="str">
        <f>IF(B369="","",IFERROR(INDEX('Master Database'!$B$5:$B$600,MATCH(B369,'Master Database'!$A$5:$A$600,0)),"(row not found)"))</f>
        <v/>
      </c>
      <c r="E369" s="30"/>
      <c r="F369" s="33" t="str">
        <f>IF(E369="","",IFERROR(INDEX(Vendor_Register!$B$5:$B$205,MATCH(E369,Vendor_Register!$A$5:$A$205,0)),"(not in register)"))</f>
        <v/>
      </c>
      <c r="G369" s="33" t="str">
        <f>IF(E369="","",IFERROR(INDEX(Vendor_Register!$E$5:$E$205,MATCH(E369,Vendor_Register!$A$5:$A$205,0)),"(not in register)"))</f>
        <v/>
      </c>
      <c r="H369" s="30"/>
      <c r="I369" s="30"/>
      <c r="J369" s="30"/>
      <c r="K369" s="30"/>
      <c r="L369" s="30"/>
      <c r="M369" s="34"/>
      <c r="N369" s="30"/>
      <c r="O369" s="35" t="str">
        <f>IF(NOT(ISNUMBER(M369)),"",IFERROR(IF(L369="EUR",M369,IF(L369="IRR",M369/INDEX('Assumptions &amp; FX Reference'!$C$5:$C$25,MATCH(H369,'Assumptions &amp; FX Reference'!$A$5:$A$25,0)),IF(L369="USD",M369*INDEX('Assumptions &amp; FX Reference'!$B$5:$B$25,MATCH(H369,'Assumptions &amp; FX Reference'!$A$5:$A$25,0))/INDEX('Assumptions &amp; FX Reference'!$C$5:$C$25,MATCH(H369,'Assumptions &amp; FX Reference'!$A$5:$A$25,0)),""))),"(FX missing)"))</f>
        <v/>
      </c>
      <c r="P369" s="30"/>
      <c r="Q369" s="30"/>
      <c r="R369" s="30"/>
      <c r="S369" s="30"/>
      <c r="T369" s="30"/>
      <c r="U369" s="30"/>
      <c r="V369" s="30"/>
    </row>
    <row r="370" spans="1:22">
      <c r="A370" s="30"/>
      <c r="B370" s="30"/>
      <c r="C370" s="33" t="str">
        <f>IF(B370="","",IFERROR(INDEX('Master Database'!$D$5:$D$600,MATCH(B370,'Master Database'!$A$5:$A$600,0)),"(row not found)"))</f>
        <v/>
      </c>
      <c r="D370" s="33" t="str">
        <f>IF(B370="","",IFERROR(INDEX('Master Database'!$B$5:$B$600,MATCH(B370,'Master Database'!$A$5:$A$600,0)),"(row not found)"))</f>
        <v/>
      </c>
      <c r="E370" s="30"/>
      <c r="F370" s="33" t="str">
        <f>IF(E370="","",IFERROR(INDEX(Vendor_Register!$B$5:$B$205,MATCH(E370,Vendor_Register!$A$5:$A$205,0)),"(not in register)"))</f>
        <v/>
      </c>
      <c r="G370" s="33" t="str">
        <f>IF(E370="","",IFERROR(INDEX(Vendor_Register!$E$5:$E$205,MATCH(E370,Vendor_Register!$A$5:$A$205,0)),"(not in register)"))</f>
        <v/>
      </c>
      <c r="H370" s="30"/>
      <c r="I370" s="30"/>
      <c r="J370" s="30"/>
      <c r="K370" s="30"/>
      <c r="L370" s="30"/>
      <c r="M370" s="34"/>
      <c r="N370" s="30"/>
      <c r="O370" s="35" t="str">
        <f>IF(NOT(ISNUMBER(M370)),"",IFERROR(IF(L370="EUR",M370,IF(L370="IRR",M370/INDEX('Assumptions &amp; FX Reference'!$C$5:$C$25,MATCH(H370,'Assumptions &amp; FX Reference'!$A$5:$A$25,0)),IF(L370="USD",M370*INDEX('Assumptions &amp; FX Reference'!$B$5:$B$25,MATCH(H370,'Assumptions &amp; FX Reference'!$A$5:$A$25,0))/INDEX('Assumptions &amp; FX Reference'!$C$5:$C$25,MATCH(H370,'Assumptions &amp; FX Reference'!$A$5:$A$25,0)),""))),"(FX missing)"))</f>
        <v/>
      </c>
      <c r="P370" s="30"/>
      <c r="Q370" s="30"/>
      <c r="R370" s="30"/>
      <c r="S370" s="30"/>
      <c r="T370" s="30"/>
      <c r="U370" s="30"/>
      <c r="V370" s="30"/>
    </row>
    <row r="371" spans="1:22">
      <c r="A371" s="30"/>
      <c r="B371" s="30"/>
      <c r="C371" s="33" t="str">
        <f>IF(B371="","",IFERROR(INDEX('Master Database'!$D$5:$D$600,MATCH(B371,'Master Database'!$A$5:$A$600,0)),"(row not found)"))</f>
        <v/>
      </c>
      <c r="D371" s="33" t="str">
        <f>IF(B371="","",IFERROR(INDEX('Master Database'!$B$5:$B$600,MATCH(B371,'Master Database'!$A$5:$A$600,0)),"(row not found)"))</f>
        <v/>
      </c>
      <c r="E371" s="30"/>
      <c r="F371" s="33" t="str">
        <f>IF(E371="","",IFERROR(INDEX(Vendor_Register!$B$5:$B$205,MATCH(E371,Vendor_Register!$A$5:$A$205,0)),"(not in register)"))</f>
        <v/>
      </c>
      <c r="G371" s="33" t="str">
        <f>IF(E371="","",IFERROR(INDEX(Vendor_Register!$E$5:$E$205,MATCH(E371,Vendor_Register!$A$5:$A$205,0)),"(not in register)"))</f>
        <v/>
      </c>
      <c r="H371" s="30"/>
      <c r="I371" s="30"/>
      <c r="J371" s="30"/>
      <c r="K371" s="30"/>
      <c r="L371" s="30"/>
      <c r="M371" s="34"/>
      <c r="N371" s="30"/>
      <c r="O371" s="35" t="str">
        <f>IF(NOT(ISNUMBER(M371)),"",IFERROR(IF(L371="EUR",M371,IF(L371="IRR",M371/INDEX('Assumptions &amp; FX Reference'!$C$5:$C$25,MATCH(H371,'Assumptions &amp; FX Reference'!$A$5:$A$25,0)),IF(L371="USD",M371*INDEX('Assumptions &amp; FX Reference'!$B$5:$B$25,MATCH(H371,'Assumptions &amp; FX Reference'!$A$5:$A$25,0))/INDEX('Assumptions &amp; FX Reference'!$C$5:$C$25,MATCH(H371,'Assumptions &amp; FX Reference'!$A$5:$A$25,0)),""))),"(FX missing)"))</f>
        <v/>
      </c>
      <c r="P371" s="30"/>
      <c r="Q371" s="30"/>
      <c r="R371" s="30"/>
      <c r="S371" s="30"/>
      <c r="T371" s="30"/>
      <c r="U371" s="30"/>
      <c r="V371" s="30"/>
    </row>
    <row r="372" spans="1:22">
      <c r="A372" s="30"/>
      <c r="B372" s="30"/>
      <c r="C372" s="33" t="str">
        <f>IF(B372="","",IFERROR(INDEX('Master Database'!$D$5:$D$600,MATCH(B372,'Master Database'!$A$5:$A$600,0)),"(row not found)"))</f>
        <v/>
      </c>
      <c r="D372" s="33" t="str">
        <f>IF(B372="","",IFERROR(INDEX('Master Database'!$B$5:$B$600,MATCH(B372,'Master Database'!$A$5:$A$600,0)),"(row not found)"))</f>
        <v/>
      </c>
      <c r="E372" s="30"/>
      <c r="F372" s="33" t="str">
        <f>IF(E372="","",IFERROR(INDEX(Vendor_Register!$B$5:$B$205,MATCH(E372,Vendor_Register!$A$5:$A$205,0)),"(not in register)"))</f>
        <v/>
      </c>
      <c r="G372" s="33" t="str">
        <f>IF(E372="","",IFERROR(INDEX(Vendor_Register!$E$5:$E$205,MATCH(E372,Vendor_Register!$A$5:$A$205,0)),"(not in register)"))</f>
        <v/>
      </c>
      <c r="H372" s="30"/>
      <c r="I372" s="30"/>
      <c r="J372" s="30"/>
      <c r="K372" s="30"/>
      <c r="L372" s="30"/>
      <c r="M372" s="34"/>
      <c r="N372" s="30"/>
      <c r="O372" s="35" t="str">
        <f>IF(NOT(ISNUMBER(M372)),"",IFERROR(IF(L372="EUR",M372,IF(L372="IRR",M372/INDEX('Assumptions &amp; FX Reference'!$C$5:$C$25,MATCH(H372,'Assumptions &amp; FX Reference'!$A$5:$A$25,0)),IF(L372="USD",M372*INDEX('Assumptions &amp; FX Reference'!$B$5:$B$25,MATCH(H372,'Assumptions &amp; FX Reference'!$A$5:$A$25,0))/INDEX('Assumptions &amp; FX Reference'!$C$5:$C$25,MATCH(H372,'Assumptions &amp; FX Reference'!$A$5:$A$25,0)),""))),"(FX missing)"))</f>
        <v/>
      </c>
      <c r="P372" s="30"/>
      <c r="Q372" s="30"/>
      <c r="R372" s="30"/>
      <c r="S372" s="30"/>
      <c r="T372" s="30"/>
      <c r="U372" s="30"/>
      <c r="V372" s="30"/>
    </row>
    <row r="373" spans="1:22">
      <c r="A373" s="30"/>
      <c r="B373" s="30"/>
      <c r="C373" s="33" t="str">
        <f>IF(B373="","",IFERROR(INDEX('Master Database'!$D$5:$D$600,MATCH(B373,'Master Database'!$A$5:$A$600,0)),"(row not found)"))</f>
        <v/>
      </c>
      <c r="D373" s="33" t="str">
        <f>IF(B373="","",IFERROR(INDEX('Master Database'!$B$5:$B$600,MATCH(B373,'Master Database'!$A$5:$A$600,0)),"(row not found)"))</f>
        <v/>
      </c>
      <c r="E373" s="30"/>
      <c r="F373" s="33" t="str">
        <f>IF(E373="","",IFERROR(INDEX(Vendor_Register!$B$5:$B$205,MATCH(E373,Vendor_Register!$A$5:$A$205,0)),"(not in register)"))</f>
        <v/>
      </c>
      <c r="G373" s="33" t="str">
        <f>IF(E373="","",IFERROR(INDEX(Vendor_Register!$E$5:$E$205,MATCH(E373,Vendor_Register!$A$5:$A$205,0)),"(not in register)"))</f>
        <v/>
      </c>
      <c r="H373" s="30"/>
      <c r="I373" s="30"/>
      <c r="J373" s="30"/>
      <c r="K373" s="30"/>
      <c r="L373" s="30"/>
      <c r="M373" s="34"/>
      <c r="N373" s="30"/>
      <c r="O373" s="35" t="str">
        <f>IF(NOT(ISNUMBER(M373)),"",IFERROR(IF(L373="EUR",M373,IF(L373="IRR",M373/INDEX('Assumptions &amp; FX Reference'!$C$5:$C$25,MATCH(H373,'Assumptions &amp; FX Reference'!$A$5:$A$25,0)),IF(L373="USD",M373*INDEX('Assumptions &amp; FX Reference'!$B$5:$B$25,MATCH(H373,'Assumptions &amp; FX Reference'!$A$5:$A$25,0))/INDEX('Assumptions &amp; FX Reference'!$C$5:$C$25,MATCH(H373,'Assumptions &amp; FX Reference'!$A$5:$A$25,0)),""))),"(FX missing)"))</f>
        <v/>
      </c>
      <c r="P373" s="30"/>
      <c r="Q373" s="30"/>
      <c r="R373" s="30"/>
      <c r="S373" s="30"/>
      <c r="T373" s="30"/>
      <c r="U373" s="30"/>
      <c r="V373" s="30"/>
    </row>
    <row r="374" spans="1:22">
      <c r="A374" s="30"/>
      <c r="B374" s="30"/>
      <c r="C374" s="33" t="str">
        <f>IF(B374="","",IFERROR(INDEX('Master Database'!$D$5:$D$600,MATCH(B374,'Master Database'!$A$5:$A$600,0)),"(row not found)"))</f>
        <v/>
      </c>
      <c r="D374" s="33" t="str">
        <f>IF(B374="","",IFERROR(INDEX('Master Database'!$B$5:$B$600,MATCH(B374,'Master Database'!$A$5:$A$600,0)),"(row not found)"))</f>
        <v/>
      </c>
      <c r="E374" s="30"/>
      <c r="F374" s="33" t="str">
        <f>IF(E374="","",IFERROR(INDEX(Vendor_Register!$B$5:$B$205,MATCH(E374,Vendor_Register!$A$5:$A$205,0)),"(not in register)"))</f>
        <v/>
      </c>
      <c r="G374" s="33" t="str">
        <f>IF(E374="","",IFERROR(INDEX(Vendor_Register!$E$5:$E$205,MATCH(E374,Vendor_Register!$A$5:$A$205,0)),"(not in register)"))</f>
        <v/>
      </c>
      <c r="H374" s="30"/>
      <c r="I374" s="30"/>
      <c r="J374" s="30"/>
      <c r="K374" s="30"/>
      <c r="L374" s="30"/>
      <c r="M374" s="34"/>
      <c r="N374" s="30"/>
      <c r="O374" s="35" t="str">
        <f>IF(NOT(ISNUMBER(M374)),"",IFERROR(IF(L374="EUR",M374,IF(L374="IRR",M374/INDEX('Assumptions &amp; FX Reference'!$C$5:$C$25,MATCH(H374,'Assumptions &amp; FX Reference'!$A$5:$A$25,0)),IF(L374="USD",M374*INDEX('Assumptions &amp; FX Reference'!$B$5:$B$25,MATCH(H374,'Assumptions &amp; FX Reference'!$A$5:$A$25,0))/INDEX('Assumptions &amp; FX Reference'!$C$5:$C$25,MATCH(H374,'Assumptions &amp; FX Reference'!$A$5:$A$25,0)),""))),"(FX missing)"))</f>
        <v/>
      </c>
      <c r="P374" s="30"/>
      <c r="Q374" s="30"/>
      <c r="R374" s="30"/>
      <c r="S374" s="30"/>
      <c r="T374" s="30"/>
      <c r="U374" s="30"/>
      <c r="V374" s="30"/>
    </row>
    <row r="375" spans="1:22">
      <c r="A375" s="30"/>
      <c r="B375" s="30"/>
      <c r="C375" s="33" t="str">
        <f>IF(B375="","",IFERROR(INDEX('Master Database'!$D$5:$D$600,MATCH(B375,'Master Database'!$A$5:$A$600,0)),"(row not found)"))</f>
        <v/>
      </c>
      <c r="D375" s="33" t="str">
        <f>IF(B375="","",IFERROR(INDEX('Master Database'!$B$5:$B$600,MATCH(B375,'Master Database'!$A$5:$A$600,0)),"(row not found)"))</f>
        <v/>
      </c>
      <c r="E375" s="30"/>
      <c r="F375" s="33" t="str">
        <f>IF(E375="","",IFERROR(INDEX(Vendor_Register!$B$5:$B$205,MATCH(E375,Vendor_Register!$A$5:$A$205,0)),"(not in register)"))</f>
        <v/>
      </c>
      <c r="G375" s="33" t="str">
        <f>IF(E375="","",IFERROR(INDEX(Vendor_Register!$E$5:$E$205,MATCH(E375,Vendor_Register!$A$5:$A$205,0)),"(not in register)"))</f>
        <v/>
      </c>
      <c r="H375" s="30"/>
      <c r="I375" s="30"/>
      <c r="J375" s="30"/>
      <c r="K375" s="30"/>
      <c r="L375" s="30"/>
      <c r="M375" s="34"/>
      <c r="N375" s="30"/>
      <c r="O375" s="35" t="str">
        <f>IF(NOT(ISNUMBER(M375)),"",IFERROR(IF(L375="EUR",M375,IF(L375="IRR",M375/INDEX('Assumptions &amp; FX Reference'!$C$5:$C$25,MATCH(H375,'Assumptions &amp; FX Reference'!$A$5:$A$25,0)),IF(L375="USD",M375*INDEX('Assumptions &amp; FX Reference'!$B$5:$B$25,MATCH(H375,'Assumptions &amp; FX Reference'!$A$5:$A$25,0))/INDEX('Assumptions &amp; FX Reference'!$C$5:$C$25,MATCH(H375,'Assumptions &amp; FX Reference'!$A$5:$A$25,0)),""))),"(FX missing)"))</f>
        <v/>
      </c>
      <c r="P375" s="30"/>
      <c r="Q375" s="30"/>
      <c r="R375" s="30"/>
      <c r="S375" s="30"/>
      <c r="T375" s="30"/>
      <c r="U375" s="30"/>
      <c r="V375" s="30"/>
    </row>
    <row r="376" spans="1:22">
      <c r="A376" s="30"/>
      <c r="B376" s="30"/>
      <c r="C376" s="33" t="str">
        <f>IF(B376="","",IFERROR(INDEX('Master Database'!$D$5:$D$600,MATCH(B376,'Master Database'!$A$5:$A$600,0)),"(row not found)"))</f>
        <v/>
      </c>
      <c r="D376" s="33" t="str">
        <f>IF(B376="","",IFERROR(INDEX('Master Database'!$B$5:$B$600,MATCH(B376,'Master Database'!$A$5:$A$600,0)),"(row not found)"))</f>
        <v/>
      </c>
      <c r="E376" s="30"/>
      <c r="F376" s="33" t="str">
        <f>IF(E376="","",IFERROR(INDEX(Vendor_Register!$B$5:$B$205,MATCH(E376,Vendor_Register!$A$5:$A$205,0)),"(not in register)"))</f>
        <v/>
      </c>
      <c r="G376" s="33" t="str">
        <f>IF(E376="","",IFERROR(INDEX(Vendor_Register!$E$5:$E$205,MATCH(E376,Vendor_Register!$A$5:$A$205,0)),"(not in register)"))</f>
        <v/>
      </c>
      <c r="H376" s="30"/>
      <c r="I376" s="30"/>
      <c r="J376" s="30"/>
      <c r="K376" s="30"/>
      <c r="L376" s="30"/>
      <c r="M376" s="34"/>
      <c r="N376" s="30"/>
      <c r="O376" s="35" t="str">
        <f>IF(NOT(ISNUMBER(M376)),"",IFERROR(IF(L376="EUR",M376,IF(L376="IRR",M376/INDEX('Assumptions &amp; FX Reference'!$C$5:$C$25,MATCH(H376,'Assumptions &amp; FX Reference'!$A$5:$A$25,0)),IF(L376="USD",M376*INDEX('Assumptions &amp; FX Reference'!$B$5:$B$25,MATCH(H376,'Assumptions &amp; FX Reference'!$A$5:$A$25,0))/INDEX('Assumptions &amp; FX Reference'!$C$5:$C$25,MATCH(H376,'Assumptions &amp; FX Reference'!$A$5:$A$25,0)),""))),"(FX missing)"))</f>
        <v/>
      </c>
      <c r="P376" s="30"/>
      <c r="Q376" s="30"/>
      <c r="R376" s="30"/>
      <c r="S376" s="30"/>
      <c r="T376" s="30"/>
      <c r="U376" s="30"/>
      <c r="V376" s="30"/>
    </row>
    <row r="377" spans="1:22">
      <c r="A377" s="30"/>
      <c r="B377" s="30"/>
      <c r="C377" s="33" t="str">
        <f>IF(B377="","",IFERROR(INDEX('Master Database'!$D$5:$D$600,MATCH(B377,'Master Database'!$A$5:$A$600,0)),"(row not found)"))</f>
        <v/>
      </c>
      <c r="D377" s="33" t="str">
        <f>IF(B377="","",IFERROR(INDEX('Master Database'!$B$5:$B$600,MATCH(B377,'Master Database'!$A$5:$A$600,0)),"(row not found)"))</f>
        <v/>
      </c>
      <c r="E377" s="30"/>
      <c r="F377" s="33" t="str">
        <f>IF(E377="","",IFERROR(INDEX(Vendor_Register!$B$5:$B$205,MATCH(E377,Vendor_Register!$A$5:$A$205,0)),"(not in register)"))</f>
        <v/>
      </c>
      <c r="G377" s="33" t="str">
        <f>IF(E377="","",IFERROR(INDEX(Vendor_Register!$E$5:$E$205,MATCH(E377,Vendor_Register!$A$5:$A$205,0)),"(not in register)"))</f>
        <v/>
      </c>
      <c r="H377" s="30"/>
      <c r="I377" s="30"/>
      <c r="J377" s="30"/>
      <c r="K377" s="30"/>
      <c r="L377" s="30"/>
      <c r="M377" s="34"/>
      <c r="N377" s="30"/>
      <c r="O377" s="35" t="str">
        <f>IF(NOT(ISNUMBER(M377)),"",IFERROR(IF(L377="EUR",M377,IF(L377="IRR",M377/INDEX('Assumptions &amp; FX Reference'!$C$5:$C$25,MATCH(H377,'Assumptions &amp; FX Reference'!$A$5:$A$25,0)),IF(L377="USD",M377*INDEX('Assumptions &amp; FX Reference'!$B$5:$B$25,MATCH(H377,'Assumptions &amp; FX Reference'!$A$5:$A$25,0))/INDEX('Assumptions &amp; FX Reference'!$C$5:$C$25,MATCH(H377,'Assumptions &amp; FX Reference'!$A$5:$A$25,0)),""))),"(FX missing)"))</f>
        <v/>
      </c>
      <c r="P377" s="30"/>
      <c r="Q377" s="30"/>
      <c r="R377" s="30"/>
      <c r="S377" s="30"/>
      <c r="T377" s="30"/>
      <c r="U377" s="30"/>
      <c r="V377" s="30"/>
    </row>
    <row r="378" spans="1:22">
      <c r="A378" s="30"/>
      <c r="B378" s="30"/>
      <c r="C378" s="33" t="str">
        <f>IF(B378="","",IFERROR(INDEX('Master Database'!$D$5:$D$600,MATCH(B378,'Master Database'!$A$5:$A$600,0)),"(row not found)"))</f>
        <v/>
      </c>
      <c r="D378" s="33" t="str">
        <f>IF(B378="","",IFERROR(INDEX('Master Database'!$B$5:$B$600,MATCH(B378,'Master Database'!$A$5:$A$600,0)),"(row not found)"))</f>
        <v/>
      </c>
      <c r="E378" s="30"/>
      <c r="F378" s="33" t="str">
        <f>IF(E378="","",IFERROR(INDEX(Vendor_Register!$B$5:$B$205,MATCH(E378,Vendor_Register!$A$5:$A$205,0)),"(not in register)"))</f>
        <v/>
      </c>
      <c r="G378" s="33" t="str">
        <f>IF(E378="","",IFERROR(INDEX(Vendor_Register!$E$5:$E$205,MATCH(E378,Vendor_Register!$A$5:$A$205,0)),"(not in register)"))</f>
        <v/>
      </c>
      <c r="H378" s="30"/>
      <c r="I378" s="30"/>
      <c r="J378" s="30"/>
      <c r="K378" s="30"/>
      <c r="L378" s="30"/>
      <c r="M378" s="34"/>
      <c r="N378" s="30"/>
      <c r="O378" s="35" t="str">
        <f>IF(NOT(ISNUMBER(M378)),"",IFERROR(IF(L378="EUR",M378,IF(L378="IRR",M378/INDEX('Assumptions &amp; FX Reference'!$C$5:$C$25,MATCH(H378,'Assumptions &amp; FX Reference'!$A$5:$A$25,0)),IF(L378="USD",M378*INDEX('Assumptions &amp; FX Reference'!$B$5:$B$25,MATCH(H378,'Assumptions &amp; FX Reference'!$A$5:$A$25,0))/INDEX('Assumptions &amp; FX Reference'!$C$5:$C$25,MATCH(H378,'Assumptions &amp; FX Reference'!$A$5:$A$25,0)),""))),"(FX missing)"))</f>
        <v/>
      </c>
      <c r="P378" s="30"/>
      <c r="Q378" s="30"/>
      <c r="R378" s="30"/>
      <c r="S378" s="30"/>
      <c r="T378" s="30"/>
      <c r="U378" s="30"/>
      <c r="V378" s="30"/>
    </row>
    <row r="379" spans="1:22">
      <c r="A379" s="30"/>
      <c r="B379" s="30"/>
      <c r="C379" s="33" t="str">
        <f>IF(B379="","",IFERROR(INDEX('Master Database'!$D$5:$D$600,MATCH(B379,'Master Database'!$A$5:$A$600,0)),"(row not found)"))</f>
        <v/>
      </c>
      <c r="D379" s="33" t="str">
        <f>IF(B379="","",IFERROR(INDEX('Master Database'!$B$5:$B$600,MATCH(B379,'Master Database'!$A$5:$A$600,0)),"(row not found)"))</f>
        <v/>
      </c>
      <c r="E379" s="30"/>
      <c r="F379" s="33" t="str">
        <f>IF(E379="","",IFERROR(INDEX(Vendor_Register!$B$5:$B$205,MATCH(E379,Vendor_Register!$A$5:$A$205,0)),"(not in register)"))</f>
        <v/>
      </c>
      <c r="G379" s="33" t="str">
        <f>IF(E379="","",IFERROR(INDEX(Vendor_Register!$E$5:$E$205,MATCH(E379,Vendor_Register!$A$5:$A$205,0)),"(not in register)"))</f>
        <v/>
      </c>
      <c r="H379" s="30"/>
      <c r="I379" s="30"/>
      <c r="J379" s="30"/>
      <c r="K379" s="30"/>
      <c r="L379" s="30"/>
      <c r="M379" s="34"/>
      <c r="N379" s="30"/>
      <c r="O379" s="35" t="str">
        <f>IF(NOT(ISNUMBER(M379)),"",IFERROR(IF(L379="EUR",M379,IF(L379="IRR",M379/INDEX('Assumptions &amp; FX Reference'!$C$5:$C$25,MATCH(H379,'Assumptions &amp; FX Reference'!$A$5:$A$25,0)),IF(L379="USD",M379*INDEX('Assumptions &amp; FX Reference'!$B$5:$B$25,MATCH(H379,'Assumptions &amp; FX Reference'!$A$5:$A$25,0))/INDEX('Assumptions &amp; FX Reference'!$C$5:$C$25,MATCH(H379,'Assumptions &amp; FX Reference'!$A$5:$A$25,0)),""))),"(FX missing)"))</f>
        <v/>
      </c>
      <c r="P379" s="30"/>
      <c r="Q379" s="30"/>
      <c r="R379" s="30"/>
      <c r="S379" s="30"/>
      <c r="T379" s="30"/>
      <c r="U379" s="30"/>
      <c r="V379" s="30"/>
    </row>
    <row r="380" spans="1:22">
      <c r="A380" s="30"/>
      <c r="B380" s="30"/>
      <c r="C380" s="33" t="str">
        <f>IF(B380="","",IFERROR(INDEX('Master Database'!$D$5:$D$600,MATCH(B380,'Master Database'!$A$5:$A$600,0)),"(row not found)"))</f>
        <v/>
      </c>
      <c r="D380" s="33" t="str">
        <f>IF(B380="","",IFERROR(INDEX('Master Database'!$B$5:$B$600,MATCH(B380,'Master Database'!$A$5:$A$600,0)),"(row not found)"))</f>
        <v/>
      </c>
      <c r="E380" s="30"/>
      <c r="F380" s="33" t="str">
        <f>IF(E380="","",IFERROR(INDEX(Vendor_Register!$B$5:$B$205,MATCH(E380,Vendor_Register!$A$5:$A$205,0)),"(not in register)"))</f>
        <v/>
      </c>
      <c r="G380" s="33" t="str">
        <f>IF(E380="","",IFERROR(INDEX(Vendor_Register!$E$5:$E$205,MATCH(E380,Vendor_Register!$A$5:$A$205,0)),"(not in register)"))</f>
        <v/>
      </c>
      <c r="H380" s="30"/>
      <c r="I380" s="30"/>
      <c r="J380" s="30"/>
      <c r="K380" s="30"/>
      <c r="L380" s="30"/>
      <c r="M380" s="34"/>
      <c r="N380" s="30"/>
      <c r="O380" s="35" t="str">
        <f>IF(NOT(ISNUMBER(M380)),"",IFERROR(IF(L380="EUR",M380,IF(L380="IRR",M380/INDEX('Assumptions &amp; FX Reference'!$C$5:$C$25,MATCH(H380,'Assumptions &amp; FX Reference'!$A$5:$A$25,0)),IF(L380="USD",M380*INDEX('Assumptions &amp; FX Reference'!$B$5:$B$25,MATCH(H380,'Assumptions &amp; FX Reference'!$A$5:$A$25,0))/INDEX('Assumptions &amp; FX Reference'!$C$5:$C$25,MATCH(H380,'Assumptions &amp; FX Reference'!$A$5:$A$25,0)),""))),"(FX missing)"))</f>
        <v/>
      </c>
      <c r="P380" s="30"/>
      <c r="Q380" s="30"/>
      <c r="R380" s="30"/>
      <c r="S380" s="30"/>
      <c r="T380" s="30"/>
      <c r="U380" s="30"/>
      <c r="V380" s="30"/>
    </row>
    <row r="381" spans="1:22">
      <c r="A381" s="30"/>
      <c r="B381" s="30"/>
      <c r="C381" s="33" t="str">
        <f>IF(B381="","",IFERROR(INDEX('Master Database'!$D$5:$D$600,MATCH(B381,'Master Database'!$A$5:$A$600,0)),"(row not found)"))</f>
        <v/>
      </c>
      <c r="D381" s="33" t="str">
        <f>IF(B381="","",IFERROR(INDEX('Master Database'!$B$5:$B$600,MATCH(B381,'Master Database'!$A$5:$A$600,0)),"(row not found)"))</f>
        <v/>
      </c>
      <c r="E381" s="30"/>
      <c r="F381" s="33" t="str">
        <f>IF(E381="","",IFERROR(INDEX(Vendor_Register!$B$5:$B$205,MATCH(E381,Vendor_Register!$A$5:$A$205,0)),"(not in register)"))</f>
        <v/>
      </c>
      <c r="G381" s="33" t="str">
        <f>IF(E381="","",IFERROR(INDEX(Vendor_Register!$E$5:$E$205,MATCH(E381,Vendor_Register!$A$5:$A$205,0)),"(not in register)"))</f>
        <v/>
      </c>
      <c r="H381" s="30"/>
      <c r="I381" s="30"/>
      <c r="J381" s="30"/>
      <c r="K381" s="30"/>
      <c r="L381" s="30"/>
      <c r="M381" s="34"/>
      <c r="N381" s="30"/>
      <c r="O381" s="35" t="str">
        <f>IF(NOT(ISNUMBER(M381)),"",IFERROR(IF(L381="EUR",M381,IF(L381="IRR",M381/INDEX('Assumptions &amp; FX Reference'!$C$5:$C$25,MATCH(H381,'Assumptions &amp; FX Reference'!$A$5:$A$25,0)),IF(L381="USD",M381*INDEX('Assumptions &amp; FX Reference'!$B$5:$B$25,MATCH(H381,'Assumptions &amp; FX Reference'!$A$5:$A$25,0))/INDEX('Assumptions &amp; FX Reference'!$C$5:$C$25,MATCH(H381,'Assumptions &amp; FX Reference'!$A$5:$A$25,0)),""))),"(FX missing)"))</f>
        <v/>
      </c>
      <c r="P381" s="30"/>
      <c r="Q381" s="30"/>
      <c r="R381" s="30"/>
      <c r="S381" s="30"/>
      <c r="T381" s="30"/>
      <c r="U381" s="30"/>
      <c r="V381" s="30"/>
    </row>
    <row r="382" spans="1:22">
      <c r="A382" s="30"/>
      <c r="B382" s="30"/>
      <c r="C382" s="33" t="str">
        <f>IF(B382="","",IFERROR(INDEX('Master Database'!$D$5:$D$600,MATCH(B382,'Master Database'!$A$5:$A$600,0)),"(row not found)"))</f>
        <v/>
      </c>
      <c r="D382" s="33" t="str">
        <f>IF(B382="","",IFERROR(INDEX('Master Database'!$B$5:$B$600,MATCH(B382,'Master Database'!$A$5:$A$600,0)),"(row not found)"))</f>
        <v/>
      </c>
      <c r="E382" s="30"/>
      <c r="F382" s="33" t="str">
        <f>IF(E382="","",IFERROR(INDEX(Vendor_Register!$B$5:$B$205,MATCH(E382,Vendor_Register!$A$5:$A$205,0)),"(not in register)"))</f>
        <v/>
      </c>
      <c r="G382" s="33" t="str">
        <f>IF(E382="","",IFERROR(INDEX(Vendor_Register!$E$5:$E$205,MATCH(E382,Vendor_Register!$A$5:$A$205,0)),"(not in register)"))</f>
        <v/>
      </c>
      <c r="H382" s="30"/>
      <c r="I382" s="30"/>
      <c r="J382" s="30"/>
      <c r="K382" s="30"/>
      <c r="L382" s="30"/>
      <c r="M382" s="34"/>
      <c r="N382" s="30"/>
      <c r="O382" s="35" t="str">
        <f>IF(NOT(ISNUMBER(M382)),"",IFERROR(IF(L382="EUR",M382,IF(L382="IRR",M382/INDEX('Assumptions &amp; FX Reference'!$C$5:$C$25,MATCH(H382,'Assumptions &amp; FX Reference'!$A$5:$A$25,0)),IF(L382="USD",M382*INDEX('Assumptions &amp; FX Reference'!$B$5:$B$25,MATCH(H382,'Assumptions &amp; FX Reference'!$A$5:$A$25,0))/INDEX('Assumptions &amp; FX Reference'!$C$5:$C$25,MATCH(H382,'Assumptions &amp; FX Reference'!$A$5:$A$25,0)),""))),"(FX missing)"))</f>
        <v/>
      </c>
      <c r="P382" s="30"/>
      <c r="Q382" s="30"/>
      <c r="R382" s="30"/>
      <c r="S382" s="30"/>
      <c r="T382" s="30"/>
      <c r="U382" s="30"/>
      <c r="V382" s="30"/>
    </row>
    <row r="383" spans="1:22">
      <c r="A383" s="30"/>
      <c r="B383" s="30"/>
      <c r="C383" s="33" t="str">
        <f>IF(B383="","",IFERROR(INDEX('Master Database'!$D$5:$D$600,MATCH(B383,'Master Database'!$A$5:$A$600,0)),"(row not found)"))</f>
        <v/>
      </c>
      <c r="D383" s="33" t="str">
        <f>IF(B383="","",IFERROR(INDEX('Master Database'!$B$5:$B$600,MATCH(B383,'Master Database'!$A$5:$A$600,0)),"(row not found)"))</f>
        <v/>
      </c>
      <c r="E383" s="30"/>
      <c r="F383" s="33" t="str">
        <f>IF(E383="","",IFERROR(INDEX(Vendor_Register!$B$5:$B$205,MATCH(E383,Vendor_Register!$A$5:$A$205,0)),"(not in register)"))</f>
        <v/>
      </c>
      <c r="G383" s="33" t="str">
        <f>IF(E383="","",IFERROR(INDEX(Vendor_Register!$E$5:$E$205,MATCH(E383,Vendor_Register!$A$5:$A$205,0)),"(not in register)"))</f>
        <v/>
      </c>
      <c r="H383" s="30"/>
      <c r="I383" s="30"/>
      <c r="J383" s="30"/>
      <c r="K383" s="30"/>
      <c r="L383" s="30"/>
      <c r="M383" s="34"/>
      <c r="N383" s="30"/>
      <c r="O383" s="35" t="str">
        <f>IF(NOT(ISNUMBER(M383)),"",IFERROR(IF(L383="EUR",M383,IF(L383="IRR",M383/INDEX('Assumptions &amp; FX Reference'!$C$5:$C$25,MATCH(H383,'Assumptions &amp; FX Reference'!$A$5:$A$25,0)),IF(L383="USD",M383*INDEX('Assumptions &amp; FX Reference'!$B$5:$B$25,MATCH(H383,'Assumptions &amp; FX Reference'!$A$5:$A$25,0))/INDEX('Assumptions &amp; FX Reference'!$C$5:$C$25,MATCH(H383,'Assumptions &amp; FX Reference'!$A$5:$A$25,0)),""))),"(FX missing)"))</f>
        <v/>
      </c>
      <c r="P383" s="30"/>
      <c r="Q383" s="30"/>
      <c r="R383" s="30"/>
      <c r="S383" s="30"/>
      <c r="T383" s="30"/>
      <c r="U383" s="30"/>
      <c r="V383" s="30"/>
    </row>
    <row r="384" spans="1:22">
      <c r="A384" s="30"/>
      <c r="B384" s="30"/>
      <c r="C384" s="33" t="str">
        <f>IF(B384="","",IFERROR(INDEX('Master Database'!$D$5:$D$600,MATCH(B384,'Master Database'!$A$5:$A$600,0)),"(row not found)"))</f>
        <v/>
      </c>
      <c r="D384" s="33" t="str">
        <f>IF(B384="","",IFERROR(INDEX('Master Database'!$B$5:$B$600,MATCH(B384,'Master Database'!$A$5:$A$600,0)),"(row not found)"))</f>
        <v/>
      </c>
      <c r="E384" s="30"/>
      <c r="F384" s="33" t="str">
        <f>IF(E384="","",IFERROR(INDEX(Vendor_Register!$B$5:$B$205,MATCH(E384,Vendor_Register!$A$5:$A$205,0)),"(not in register)"))</f>
        <v/>
      </c>
      <c r="G384" s="33" t="str">
        <f>IF(E384="","",IFERROR(INDEX(Vendor_Register!$E$5:$E$205,MATCH(E384,Vendor_Register!$A$5:$A$205,0)),"(not in register)"))</f>
        <v/>
      </c>
      <c r="H384" s="30"/>
      <c r="I384" s="30"/>
      <c r="J384" s="30"/>
      <c r="K384" s="30"/>
      <c r="L384" s="30"/>
      <c r="M384" s="34"/>
      <c r="N384" s="30"/>
      <c r="O384" s="35" t="str">
        <f>IF(NOT(ISNUMBER(M384)),"",IFERROR(IF(L384="EUR",M384,IF(L384="IRR",M384/INDEX('Assumptions &amp; FX Reference'!$C$5:$C$25,MATCH(H384,'Assumptions &amp; FX Reference'!$A$5:$A$25,0)),IF(L384="USD",M384*INDEX('Assumptions &amp; FX Reference'!$B$5:$B$25,MATCH(H384,'Assumptions &amp; FX Reference'!$A$5:$A$25,0))/INDEX('Assumptions &amp; FX Reference'!$C$5:$C$25,MATCH(H384,'Assumptions &amp; FX Reference'!$A$5:$A$25,0)),""))),"(FX missing)"))</f>
        <v/>
      </c>
      <c r="P384" s="30"/>
      <c r="Q384" s="30"/>
      <c r="R384" s="30"/>
      <c r="S384" s="30"/>
      <c r="T384" s="30"/>
      <c r="U384" s="30"/>
      <c r="V384" s="30"/>
    </row>
    <row r="385" spans="1:22">
      <c r="A385" s="30"/>
      <c r="B385" s="30"/>
      <c r="C385" s="33" t="str">
        <f>IF(B385="","",IFERROR(INDEX('Master Database'!$D$5:$D$600,MATCH(B385,'Master Database'!$A$5:$A$600,0)),"(row not found)"))</f>
        <v/>
      </c>
      <c r="D385" s="33" t="str">
        <f>IF(B385="","",IFERROR(INDEX('Master Database'!$B$5:$B$600,MATCH(B385,'Master Database'!$A$5:$A$600,0)),"(row not found)"))</f>
        <v/>
      </c>
      <c r="E385" s="30"/>
      <c r="F385" s="33" t="str">
        <f>IF(E385="","",IFERROR(INDEX(Vendor_Register!$B$5:$B$205,MATCH(E385,Vendor_Register!$A$5:$A$205,0)),"(not in register)"))</f>
        <v/>
      </c>
      <c r="G385" s="33" t="str">
        <f>IF(E385="","",IFERROR(INDEX(Vendor_Register!$E$5:$E$205,MATCH(E385,Vendor_Register!$A$5:$A$205,0)),"(not in register)"))</f>
        <v/>
      </c>
      <c r="H385" s="30"/>
      <c r="I385" s="30"/>
      <c r="J385" s="30"/>
      <c r="K385" s="30"/>
      <c r="L385" s="30"/>
      <c r="M385" s="34"/>
      <c r="N385" s="30"/>
      <c r="O385" s="35" t="str">
        <f>IF(NOT(ISNUMBER(M385)),"",IFERROR(IF(L385="EUR",M385,IF(L385="IRR",M385/INDEX('Assumptions &amp; FX Reference'!$C$5:$C$25,MATCH(H385,'Assumptions &amp; FX Reference'!$A$5:$A$25,0)),IF(L385="USD",M385*INDEX('Assumptions &amp; FX Reference'!$B$5:$B$25,MATCH(H385,'Assumptions &amp; FX Reference'!$A$5:$A$25,0))/INDEX('Assumptions &amp; FX Reference'!$C$5:$C$25,MATCH(H385,'Assumptions &amp; FX Reference'!$A$5:$A$25,0)),""))),"(FX missing)"))</f>
        <v/>
      </c>
      <c r="P385" s="30"/>
      <c r="Q385" s="30"/>
      <c r="R385" s="30"/>
      <c r="S385" s="30"/>
      <c r="T385" s="30"/>
      <c r="U385" s="30"/>
      <c r="V385" s="30"/>
    </row>
    <row r="386" spans="1:22">
      <c r="A386" s="30"/>
      <c r="B386" s="30"/>
      <c r="C386" s="33" t="str">
        <f>IF(B386="","",IFERROR(INDEX('Master Database'!$D$5:$D$600,MATCH(B386,'Master Database'!$A$5:$A$600,0)),"(row not found)"))</f>
        <v/>
      </c>
      <c r="D386" s="33" t="str">
        <f>IF(B386="","",IFERROR(INDEX('Master Database'!$B$5:$B$600,MATCH(B386,'Master Database'!$A$5:$A$600,0)),"(row not found)"))</f>
        <v/>
      </c>
      <c r="E386" s="30"/>
      <c r="F386" s="33" t="str">
        <f>IF(E386="","",IFERROR(INDEX(Vendor_Register!$B$5:$B$205,MATCH(E386,Vendor_Register!$A$5:$A$205,0)),"(not in register)"))</f>
        <v/>
      </c>
      <c r="G386" s="33" t="str">
        <f>IF(E386="","",IFERROR(INDEX(Vendor_Register!$E$5:$E$205,MATCH(E386,Vendor_Register!$A$5:$A$205,0)),"(not in register)"))</f>
        <v/>
      </c>
      <c r="H386" s="30"/>
      <c r="I386" s="30"/>
      <c r="J386" s="30"/>
      <c r="K386" s="30"/>
      <c r="L386" s="30"/>
      <c r="M386" s="34"/>
      <c r="N386" s="30"/>
      <c r="O386" s="35" t="str">
        <f>IF(NOT(ISNUMBER(M386)),"",IFERROR(IF(L386="EUR",M386,IF(L386="IRR",M386/INDEX('Assumptions &amp; FX Reference'!$C$5:$C$25,MATCH(H386,'Assumptions &amp; FX Reference'!$A$5:$A$25,0)),IF(L386="USD",M386*INDEX('Assumptions &amp; FX Reference'!$B$5:$B$25,MATCH(H386,'Assumptions &amp; FX Reference'!$A$5:$A$25,0))/INDEX('Assumptions &amp; FX Reference'!$C$5:$C$25,MATCH(H386,'Assumptions &amp; FX Reference'!$A$5:$A$25,0)),""))),"(FX missing)"))</f>
        <v/>
      </c>
      <c r="P386" s="30"/>
      <c r="Q386" s="30"/>
      <c r="R386" s="30"/>
      <c r="S386" s="30"/>
      <c r="T386" s="30"/>
      <c r="U386" s="30"/>
      <c r="V386" s="30"/>
    </row>
    <row r="387" spans="1:22">
      <c r="A387" s="30"/>
      <c r="B387" s="30"/>
      <c r="C387" s="33" t="str">
        <f>IF(B387="","",IFERROR(INDEX('Master Database'!$D$5:$D$600,MATCH(B387,'Master Database'!$A$5:$A$600,0)),"(row not found)"))</f>
        <v/>
      </c>
      <c r="D387" s="33" t="str">
        <f>IF(B387="","",IFERROR(INDEX('Master Database'!$B$5:$B$600,MATCH(B387,'Master Database'!$A$5:$A$600,0)),"(row not found)"))</f>
        <v/>
      </c>
      <c r="E387" s="30"/>
      <c r="F387" s="33" t="str">
        <f>IF(E387="","",IFERROR(INDEX(Vendor_Register!$B$5:$B$205,MATCH(E387,Vendor_Register!$A$5:$A$205,0)),"(not in register)"))</f>
        <v/>
      </c>
      <c r="G387" s="33" t="str">
        <f>IF(E387="","",IFERROR(INDEX(Vendor_Register!$E$5:$E$205,MATCH(E387,Vendor_Register!$A$5:$A$205,0)),"(not in register)"))</f>
        <v/>
      </c>
      <c r="H387" s="30"/>
      <c r="I387" s="30"/>
      <c r="J387" s="30"/>
      <c r="K387" s="30"/>
      <c r="L387" s="30"/>
      <c r="M387" s="34"/>
      <c r="N387" s="30"/>
      <c r="O387" s="35" t="str">
        <f>IF(NOT(ISNUMBER(M387)),"",IFERROR(IF(L387="EUR",M387,IF(L387="IRR",M387/INDEX('Assumptions &amp; FX Reference'!$C$5:$C$25,MATCH(H387,'Assumptions &amp; FX Reference'!$A$5:$A$25,0)),IF(L387="USD",M387*INDEX('Assumptions &amp; FX Reference'!$B$5:$B$25,MATCH(H387,'Assumptions &amp; FX Reference'!$A$5:$A$25,0))/INDEX('Assumptions &amp; FX Reference'!$C$5:$C$25,MATCH(H387,'Assumptions &amp; FX Reference'!$A$5:$A$25,0)),""))),"(FX missing)"))</f>
        <v/>
      </c>
      <c r="P387" s="30"/>
      <c r="Q387" s="30"/>
      <c r="R387" s="30"/>
      <c r="S387" s="30"/>
      <c r="T387" s="30"/>
      <c r="U387" s="30"/>
      <c r="V387" s="30"/>
    </row>
    <row r="388" spans="1:22">
      <c r="A388" s="30"/>
      <c r="B388" s="30"/>
      <c r="C388" s="33" t="str">
        <f>IF(B388="","",IFERROR(INDEX('Master Database'!$D$5:$D$600,MATCH(B388,'Master Database'!$A$5:$A$600,0)),"(row not found)"))</f>
        <v/>
      </c>
      <c r="D388" s="33" t="str">
        <f>IF(B388="","",IFERROR(INDEX('Master Database'!$B$5:$B$600,MATCH(B388,'Master Database'!$A$5:$A$600,0)),"(row not found)"))</f>
        <v/>
      </c>
      <c r="E388" s="30"/>
      <c r="F388" s="33" t="str">
        <f>IF(E388="","",IFERROR(INDEX(Vendor_Register!$B$5:$B$205,MATCH(E388,Vendor_Register!$A$5:$A$205,0)),"(not in register)"))</f>
        <v/>
      </c>
      <c r="G388" s="33" t="str">
        <f>IF(E388="","",IFERROR(INDEX(Vendor_Register!$E$5:$E$205,MATCH(E388,Vendor_Register!$A$5:$A$205,0)),"(not in register)"))</f>
        <v/>
      </c>
      <c r="H388" s="30"/>
      <c r="I388" s="30"/>
      <c r="J388" s="30"/>
      <c r="K388" s="30"/>
      <c r="L388" s="30"/>
      <c r="M388" s="34"/>
      <c r="N388" s="30"/>
      <c r="O388" s="35" t="str">
        <f>IF(NOT(ISNUMBER(M388)),"",IFERROR(IF(L388="EUR",M388,IF(L388="IRR",M388/INDEX('Assumptions &amp; FX Reference'!$C$5:$C$25,MATCH(H388,'Assumptions &amp; FX Reference'!$A$5:$A$25,0)),IF(L388="USD",M388*INDEX('Assumptions &amp; FX Reference'!$B$5:$B$25,MATCH(H388,'Assumptions &amp; FX Reference'!$A$5:$A$25,0))/INDEX('Assumptions &amp; FX Reference'!$C$5:$C$25,MATCH(H388,'Assumptions &amp; FX Reference'!$A$5:$A$25,0)),""))),"(FX missing)"))</f>
        <v/>
      </c>
      <c r="P388" s="30"/>
      <c r="Q388" s="30"/>
      <c r="R388" s="30"/>
      <c r="S388" s="30"/>
      <c r="T388" s="30"/>
      <c r="U388" s="30"/>
      <c r="V388" s="30"/>
    </row>
    <row r="389" spans="1:22">
      <c r="A389" s="30"/>
      <c r="B389" s="30"/>
      <c r="C389" s="33" t="str">
        <f>IF(B389="","",IFERROR(INDEX('Master Database'!$D$5:$D$600,MATCH(B389,'Master Database'!$A$5:$A$600,0)),"(row not found)"))</f>
        <v/>
      </c>
      <c r="D389" s="33" t="str">
        <f>IF(B389="","",IFERROR(INDEX('Master Database'!$B$5:$B$600,MATCH(B389,'Master Database'!$A$5:$A$600,0)),"(row not found)"))</f>
        <v/>
      </c>
      <c r="E389" s="30"/>
      <c r="F389" s="33" t="str">
        <f>IF(E389="","",IFERROR(INDEX(Vendor_Register!$B$5:$B$205,MATCH(E389,Vendor_Register!$A$5:$A$205,0)),"(not in register)"))</f>
        <v/>
      </c>
      <c r="G389" s="33" t="str">
        <f>IF(E389="","",IFERROR(INDEX(Vendor_Register!$E$5:$E$205,MATCH(E389,Vendor_Register!$A$5:$A$205,0)),"(not in register)"))</f>
        <v/>
      </c>
      <c r="H389" s="30"/>
      <c r="I389" s="30"/>
      <c r="J389" s="30"/>
      <c r="K389" s="30"/>
      <c r="L389" s="30"/>
      <c r="M389" s="34"/>
      <c r="N389" s="30"/>
      <c r="O389" s="35" t="str">
        <f>IF(NOT(ISNUMBER(M389)),"",IFERROR(IF(L389="EUR",M389,IF(L389="IRR",M389/INDEX('Assumptions &amp; FX Reference'!$C$5:$C$25,MATCH(H389,'Assumptions &amp; FX Reference'!$A$5:$A$25,0)),IF(L389="USD",M389*INDEX('Assumptions &amp; FX Reference'!$B$5:$B$25,MATCH(H389,'Assumptions &amp; FX Reference'!$A$5:$A$25,0))/INDEX('Assumptions &amp; FX Reference'!$C$5:$C$25,MATCH(H389,'Assumptions &amp; FX Reference'!$A$5:$A$25,0)),""))),"(FX missing)"))</f>
        <v/>
      </c>
      <c r="P389" s="30"/>
      <c r="Q389" s="30"/>
      <c r="R389" s="30"/>
      <c r="S389" s="30"/>
      <c r="T389" s="30"/>
      <c r="U389" s="30"/>
      <c r="V389" s="30"/>
    </row>
    <row r="390" spans="1:22">
      <c r="A390" s="30"/>
      <c r="B390" s="30"/>
      <c r="C390" s="33" t="str">
        <f>IF(B390="","",IFERROR(INDEX('Master Database'!$D$5:$D$600,MATCH(B390,'Master Database'!$A$5:$A$600,0)),"(row not found)"))</f>
        <v/>
      </c>
      <c r="D390" s="33" t="str">
        <f>IF(B390="","",IFERROR(INDEX('Master Database'!$B$5:$B$600,MATCH(B390,'Master Database'!$A$5:$A$600,0)),"(row not found)"))</f>
        <v/>
      </c>
      <c r="E390" s="30"/>
      <c r="F390" s="33" t="str">
        <f>IF(E390="","",IFERROR(INDEX(Vendor_Register!$B$5:$B$205,MATCH(E390,Vendor_Register!$A$5:$A$205,0)),"(not in register)"))</f>
        <v/>
      </c>
      <c r="G390" s="33" t="str">
        <f>IF(E390="","",IFERROR(INDEX(Vendor_Register!$E$5:$E$205,MATCH(E390,Vendor_Register!$A$5:$A$205,0)),"(not in register)"))</f>
        <v/>
      </c>
      <c r="H390" s="30"/>
      <c r="I390" s="30"/>
      <c r="J390" s="30"/>
      <c r="K390" s="30"/>
      <c r="L390" s="30"/>
      <c r="M390" s="34"/>
      <c r="N390" s="30"/>
      <c r="O390" s="35" t="str">
        <f>IF(NOT(ISNUMBER(M390)),"",IFERROR(IF(L390="EUR",M390,IF(L390="IRR",M390/INDEX('Assumptions &amp; FX Reference'!$C$5:$C$25,MATCH(H390,'Assumptions &amp; FX Reference'!$A$5:$A$25,0)),IF(L390="USD",M390*INDEX('Assumptions &amp; FX Reference'!$B$5:$B$25,MATCH(H390,'Assumptions &amp; FX Reference'!$A$5:$A$25,0))/INDEX('Assumptions &amp; FX Reference'!$C$5:$C$25,MATCH(H390,'Assumptions &amp; FX Reference'!$A$5:$A$25,0)),""))),"(FX missing)"))</f>
        <v/>
      </c>
      <c r="P390" s="30"/>
      <c r="Q390" s="30"/>
      <c r="R390" s="30"/>
      <c r="S390" s="30"/>
      <c r="T390" s="30"/>
      <c r="U390" s="30"/>
      <c r="V390" s="30"/>
    </row>
    <row r="391" spans="1:22">
      <c r="A391" s="30"/>
      <c r="B391" s="30"/>
      <c r="C391" s="33" t="str">
        <f>IF(B391="","",IFERROR(INDEX('Master Database'!$D$5:$D$600,MATCH(B391,'Master Database'!$A$5:$A$600,0)),"(row not found)"))</f>
        <v/>
      </c>
      <c r="D391" s="33" t="str">
        <f>IF(B391="","",IFERROR(INDEX('Master Database'!$B$5:$B$600,MATCH(B391,'Master Database'!$A$5:$A$600,0)),"(row not found)"))</f>
        <v/>
      </c>
      <c r="E391" s="30"/>
      <c r="F391" s="33" t="str">
        <f>IF(E391="","",IFERROR(INDEX(Vendor_Register!$B$5:$B$205,MATCH(E391,Vendor_Register!$A$5:$A$205,0)),"(not in register)"))</f>
        <v/>
      </c>
      <c r="G391" s="33" t="str">
        <f>IF(E391="","",IFERROR(INDEX(Vendor_Register!$E$5:$E$205,MATCH(E391,Vendor_Register!$A$5:$A$205,0)),"(not in register)"))</f>
        <v/>
      </c>
      <c r="H391" s="30"/>
      <c r="I391" s="30"/>
      <c r="J391" s="30"/>
      <c r="K391" s="30"/>
      <c r="L391" s="30"/>
      <c r="M391" s="34"/>
      <c r="N391" s="30"/>
      <c r="O391" s="35" t="str">
        <f>IF(NOT(ISNUMBER(M391)),"",IFERROR(IF(L391="EUR",M391,IF(L391="IRR",M391/INDEX('Assumptions &amp; FX Reference'!$C$5:$C$25,MATCH(H391,'Assumptions &amp; FX Reference'!$A$5:$A$25,0)),IF(L391="USD",M391*INDEX('Assumptions &amp; FX Reference'!$B$5:$B$25,MATCH(H391,'Assumptions &amp; FX Reference'!$A$5:$A$25,0))/INDEX('Assumptions &amp; FX Reference'!$C$5:$C$25,MATCH(H391,'Assumptions &amp; FX Reference'!$A$5:$A$25,0)),""))),"(FX missing)"))</f>
        <v/>
      </c>
      <c r="P391" s="30"/>
      <c r="Q391" s="30"/>
      <c r="R391" s="30"/>
      <c r="S391" s="30"/>
      <c r="T391" s="30"/>
      <c r="U391" s="30"/>
      <c r="V391" s="30"/>
    </row>
    <row r="392" spans="1:22">
      <c r="A392" s="30"/>
      <c r="B392" s="30"/>
      <c r="C392" s="33" t="str">
        <f>IF(B392="","",IFERROR(INDEX('Master Database'!$D$5:$D$600,MATCH(B392,'Master Database'!$A$5:$A$600,0)),"(row not found)"))</f>
        <v/>
      </c>
      <c r="D392" s="33" t="str">
        <f>IF(B392="","",IFERROR(INDEX('Master Database'!$B$5:$B$600,MATCH(B392,'Master Database'!$A$5:$A$600,0)),"(row not found)"))</f>
        <v/>
      </c>
      <c r="E392" s="30"/>
      <c r="F392" s="33" t="str">
        <f>IF(E392="","",IFERROR(INDEX(Vendor_Register!$B$5:$B$205,MATCH(E392,Vendor_Register!$A$5:$A$205,0)),"(not in register)"))</f>
        <v/>
      </c>
      <c r="G392" s="33" t="str">
        <f>IF(E392="","",IFERROR(INDEX(Vendor_Register!$E$5:$E$205,MATCH(E392,Vendor_Register!$A$5:$A$205,0)),"(not in register)"))</f>
        <v/>
      </c>
      <c r="H392" s="30"/>
      <c r="I392" s="30"/>
      <c r="J392" s="30"/>
      <c r="K392" s="30"/>
      <c r="L392" s="30"/>
      <c r="M392" s="34"/>
      <c r="N392" s="30"/>
      <c r="O392" s="35" t="str">
        <f>IF(NOT(ISNUMBER(M392)),"",IFERROR(IF(L392="EUR",M392,IF(L392="IRR",M392/INDEX('Assumptions &amp; FX Reference'!$C$5:$C$25,MATCH(H392,'Assumptions &amp; FX Reference'!$A$5:$A$25,0)),IF(L392="USD",M392*INDEX('Assumptions &amp; FX Reference'!$B$5:$B$25,MATCH(H392,'Assumptions &amp; FX Reference'!$A$5:$A$25,0))/INDEX('Assumptions &amp; FX Reference'!$C$5:$C$25,MATCH(H392,'Assumptions &amp; FX Reference'!$A$5:$A$25,0)),""))),"(FX missing)"))</f>
        <v/>
      </c>
      <c r="P392" s="30"/>
      <c r="Q392" s="30"/>
      <c r="R392" s="30"/>
      <c r="S392" s="30"/>
      <c r="T392" s="30"/>
      <c r="U392" s="30"/>
      <c r="V392" s="30"/>
    </row>
    <row r="393" spans="1:22">
      <c r="A393" s="30"/>
      <c r="B393" s="30"/>
      <c r="C393" s="33" t="str">
        <f>IF(B393="","",IFERROR(INDEX('Master Database'!$D$5:$D$600,MATCH(B393,'Master Database'!$A$5:$A$600,0)),"(row not found)"))</f>
        <v/>
      </c>
      <c r="D393" s="33" t="str">
        <f>IF(B393="","",IFERROR(INDEX('Master Database'!$B$5:$B$600,MATCH(B393,'Master Database'!$A$5:$A$600,0)),"(row not found)"))</f>
        <v/>
      </c>
      <c r="E393" s="30"/>
      <c r="F393" s="33" t="str">
        <f>IF(E393="","",IFERROR(INDEX(Vendor_Register!$B$5:$B$205,MATCH(E393,Vendor_Register!$A$5:$A$205,0)),"(not in register)"))</f>
        <v/>
      </c>
      <c r="G393" s="33" t="str">
        <f>IF(E393="","",IFERROR(INDEX(Vendor_Register!$E$5:$E$205,MATCH(E393,Vendor_Register!$A$5:$A$205,0)),"(not in register)"))</f>
        <v/>
      </c>
      <c r="H393" s="30"/>
      <c r="I393" s="30"/>
      <c r="J393" s="30"/>
      <c r="K393" s="30"/>
      <c r="L393" s="30"/>
      <c r="M393" s="34"/>
      <c r="N393" s="30"/>
      <c r="O393" s="35" t="str">
        <f>IF(NOT(ISNUMBER(M393)),"",IFERROR(IF(L393="EUR",M393,IF(L393="IRR",M393/INDEX('Assumptions &amp; FX Reference'!$C$5:$C$25,MATCH(H393,'Assumptions &amp; FX Reference'!$A$5:$A$25,0)),IF(L393="USD",M393*INDEX('Assumptions &amp; FX Reference'!$B$5:$B$25,MATCH(H393,'Assumptions &amp; FX Reference'!$A$5:$A$25,0))/INDEX('Assumptions &amp; FX Reference'!$C$5:$C$25,MATCH(H393,'Assumptions &amp; FX Reference'!$A$5:$A$25,0)),""))),"(FX missing)"))</f>
        <v/>
      </c>
      <c r="P393" s="30"/>
      <c r="Q393" s="30"/>
      <c r="R393" s="30"/>
      <c r="S393" s="30"/>
      <c r="T393" s="30"/>
      <c r="U393" s="30"/>
      <c r="V393" s="30"/>
    </row>
    <row r="394" spans="1:22">
      <c r="A394" s="30"/>
      <c r="B394" s="30"/>
      <c r="C394" s="33" t="str">
        <f>IF(B394="","",IFERROR(INDEX('Master Database'!$D$5:$D$600,MATCH(B394,'Master Database'!$A$5:$A$600,0)),"(row not found)"))</f>
        <v/>
      </c>
      <c r="D394" s="33" t="str">
        <f>IF(B394="","",IFERROR(INDEX('Master Database'!$B$5:$B$600,MATCH(B394,'Master Database'!$A$5:$A$600,0)),"(row not found)"))</f>
        <v/>
      </c>
      <c r="E394" s="30"/>
      <c r="F394" s="33" t="str">
        <f>IF(E394="","",IFERROR(INDEX(Vendor_Register!$B$5:$B$205,MATCH(E394,Vendor_Register!$A$5:$A$205,0)),"(not in register)"))</f>
        <v/>
      </c>
      <c r="G394" s="33" t="str">
        <f>IF(E394="","",IFERROR(INDEX(Vendor_Register!$E$5:$E$205,MATCH(E394,Vendor_Register!$A$5:$A$205,0)),"(not in register)"))</f>
        <v/>
      </c>
      <c r="H394" s="30"/>
      <c r="I394" s="30"/>
      <c r="J394" s="30"/>
      <c r="K394" s="30"/>
      <c r="L394" s="30"/>
      <c r="M394" s="34"/>
      <c r="N394" s="30"/>
      <c r="O394" s="35" t="str">
        <f>IF(NOT(ISNUMBER(M394)),"",IFERROR(IF(L394="EUR",M394,IF(L394="IRR",M394/INDEX('Assumptions &amp; FX Reference'!$C$5:$C$25,MATCH(H394,'Assumptions &amp; FX Reference'!$A$5:$A$25,0)),IF(L394="USD",M394*INDEX('Assumptions &amp; FX Reference'!$B$5:$B$25,MATCH(H394,'Assumptions &amp; FX Reference'!$A$5:$A$25,0))/INDEX('Assumptions &amp; FX Reference'!$C$5:$C$25,MATCH(H394,'Assumptions &amp; FX Reference'!$A$5:$A$25,0)),""))),"(FX missing)"))</f>
        <v/>
      </c>
      <c r="P394" s="30"/>
      <c r="Q394" s="30"/>
      <c r="R394" s="30"/>
      <c r="S394" s="30"/>
      <c r="T394" s="30"/>
      <c r="U394" s="30"/>
      <c r="V394" s="30"/>
    </row>
    <row r="395" spans="1:22">
      <c r="A395" s="30"/>
      <c r="B395" s="30"/>
      <c r="C395" s="33" t="str">
        <f>IF(B395="","",IFERROR(INDEX('Master Database'!$D$5:$D$600,MATCH(B395,'Master Database'!$A$5:$A$600,0)),"(row not found)"))</f>
        <v/>
      </c>
      <c r="D395" s="33" t="str">
        <f>IF(B395="","",IFERROR(INDEX('Master Database'!$B$5:$B$600,MATCH(B395,'Master Database'!$A$5:$A$600,0)),"(row not found)"))</f>
        <v/>
      </c>
      <c r="E395" s="30"/>
      <c r="F395" s="33" t="str">
        <f>IF(E395="","",IFERROR(INDEX(Vendor_Register!$B$5:$B$205,MATCH(E395,Vendor_Register!$A$5:$A$205,0)),"(not in register)"))</f>
        <v/>
      </c>
      <c r="G395" s="33" t="str">
        <f>IF(E395="","",IFERROR(INDEX(Vendor_Register!$E$5:$E$205,MATCH(E395,Vendor_Register!$A$5:$A$205,0)),"(not in register)"))</f>
        <v/>
      </c>
      <c r="H395" s="30"/>
      <c r="I395" s="30"/>
      <c r="J395" s="30"/>
      <c r="K395" s="30"/>
      <c r="L395" s="30"/>
      <c r="M395" s="34"/>
      <c r="N395" s="30"/>
      <c r="O395" s="35" t="str">
        <f>IF(NOT(ISNUMBER(M395)),"",IFERROR(IF(L395="EUR",M395,IF(L395="IRR",M395/INDEX('Assumptions &amp; FX Reference'!$C$5:$C$25,MATCH(H395,'Assumptions &amp; FX Reference'!$A$5:$A$25,0)),IF(L395="USD",M395*INDEX('Assumptions &amp; FX Reference'!$B$5:$B$25,MATCH(H395,'Assumptions &amp; FX Reference'!$A$5:$A$25,0))/INDEX('Assumptions &amp; FX Reference'!$C$5:$C$25,MATCH(H395,'Assumptions &amp; FX Reference'!$A$5:$A$25,0)),""))),"(FX missing)"))</f>
        <v/>
      </c>
      <c r="P395" s="30"/>
      <c r="Q395" s="30"/>
      <c r="R395" s="30"/>
      <c r="S395" s="30"/>
      <c r="T395" s="30"/>
      <c r="U395" s="30"/>
      <c r="V395" s="30"/>
    </row>
    <row r="396" spans="1:22">
      <c r="A396" s="30"/>
      <c r="B396" s="30"/>
      <c r="C396" s="33" t="str">
        <f>IF(B396="","",IFERROR(INDEX('Master Database'!$D$5:$D$600,MATCH(B396,'Master Database'!$A$5:$A$600,0)),"(row not found)"))</f>
        <v/>
      </c>
      <c r="D396" s="33" t="str">
        <f>IF(B396="","",IFERROR(INDEX('Master Database'!$B$5:$B$600,MATCH(B396,'Master Database'!$A$5:$A$600,0)),"(row not found)"))</f>
        <v/>
      </c>
      <c r="E396" s="30"/>
      <c r="F396" s="33" t="str">
        <f>IF(E396="","",IFERROR(INDEX(Vendor_Register!$B$5:$B$205,MATCH(E396,Vendor_Register!$A$5:$A$205,0)),"(not in register)"))</f>
        <v/>
      </c>
      <c r="G396" s="33" t="str">
        <f>IF(E396="","",IFERROR(INDEX(Vendor_Register!$E$5:$E$205,MATCH(E396,Vendor_Register!$A$5:$A$205,0)),"(not in register)"))</f>
        <v/>
      </c>
      <c r="H396" s="30"/>
      <c r="I396" s="30"/>
      <c r="J396" s="30"/>
      <c r="K396" s="30"/>
      <c r="L396" s="30"/>
      <c r="M396" s="34"/>
      <c r="N396" s="30"/>
      <c r="O396" s="35" t="str">
        <f>IF(NOT(ISNUMBER(M396)),"",IFERROR(IF(L396="EUR",M396,IF(L396="IRR",M396/INDEX('Assumptions &amp; FX Reference'!$C$5:$C$25,MATCH(H396,'Assumptions &amp; FX Reference'!$A$5:$A$25,0)),IF(L396="USD",M396*INDEX('Assumptions &amp; FX Reference'!$B$5:$B$25,MATCH(H396,'Assumptions &amp; FX Reference'!$A$5:$A$25,0))/INDEX('Assumptions &amp; FX Reference'!$C$5:$C$25,MATCH(H396,'Assumptions &amp; FX Reference'!$A$5:$A$25,0)),""))),"(FX missing)"))</f>
        <v/>
      </c>
      <c r="P396" s="30"/>
      <c r="Q396" s="30"/>
      <c r="R396" s="30"/>
      <c r="S396" s="30"/>
      <c r="T396" s="30"/>
      <c r="U396" s="30"/>
      <c r="V396" s="30"/>
    </row>
    <row r="397" spans="1:22">
      <c r="A397" s="30"/>
      <c r="B397" s="30"/>
      <c r="C397" s="33" t="str">
        <f>IF(B397="","",IFERROR(INDEX('Master Database'!$D$5:$D$600,MATCH(B397,'Master Database'!$A$5:$A$600,0)),"(row not found)"))</f>
        <v/>
      </c>
      <c r="D397" s="33" t="str">
        <f>IF(B397="","",IFERROR(INDEX('Master Database'!$B$5:$B$600,MATCH(B397,'Master Database'!$A$5:$A$600,0)),"(row not found)"))</f>
        <v/>
      </c>
      <c r="E397" s="30"/>
      <c r="F397" s="33" t="str">
        <f>IF(E397="","",IFERROR(INDEX(Vendor_Register!$B$5:$B$205,MATCH(E397,Vendor_Register!$A$5:$A$205,0)),"(not in register)"))</f>
        <v/>
      </c>
      <c r="G397" s="33" t="str">
        <f>IF(E397="","",IFERROR(INDEX(Vendor_Register!$E$5:$E$205,MATCH(E397,Vendor_Register!$A$5:$A$205,0)),"(not in register)"))</f>
        <v/>
      </c>
      <c r="H397" s="30"/>
      <c r="I397" s="30"/>
      <c r="J397" s="30"/>
      <c r="K397" s="30"/>
      <c r="L397" s="30"/>
      <c r="M397" s="34"/>
      <c r="N397" s="30"/>
      <c r="O397" s="35" t="str">
        <f>IF(NOT(ISNUMBER(M397)),"",IFERROR(IF(L397="EUR",M397,IF(L397="IRR",M397/INDEX('Assumptions &amp; FX Reference'!$C$5:$C$25,MATCH(H397,'Assumptions &amp; FX Reference'!$A$5:$A$25,0)),IF(L397="USD",M397*INDEX('Assumptions &amp; FX Reference'!$B$5:$B$25,MATCH(H397,'Assumptions &amp; FX Reference'!$A$5:$A$25,0))/INDEX('Assumptions &amp; FX Reference'!$C$5:$C$25,MATCH(H397,'Assumptions &amp; FX Reference'!$A$5:$A$25,0)),""))),"(FX missing)"))</f>
        <v/>
      </c>
      <c r="P397" s="30"/>
      <c r="Q397" s="30"/>
      <c r="R397" s="30"/>
      <c r="S397" s="30"/>
      <c r="T397" s="30"/>
      <c r="U397" s="30"/>
      <c r="V397" s="30"/>
    </row>
    <row r="398" spans="1:22">
      <c r="A398" s="30"/>
      <c r="B398" s="30"/>
      <c r="C398" s="33" t="str">
        <f>IF(B398="","",IFERROR(INDEX('Master Database'!$D$5:$D$600,MATCH(B398,'Master Database'!$A$5:$A$600,0)),"(row not found)"))</f>
        <v/>
      </c>
      <c r="D398" s="33" t="str">
        <f>IF(B398="","",IFERROR(INDEX('Master Database'!$B$5:$B$600,MATCH(B398,'Master Database'!$A$5:$A$600,0)),"(row not found)"))</f>
        <v/>
      </c>
      <c r="E398" s="30"/>
      <c r="F398" s="33" t="str">
        <f>IF(E398="","",IFERROR(INDEX(Vendor_Register!$B$5:$B$205,MATCH(E398,Vendor_Register!$A$5:$A$205,0)),"(not in register)"))</f>
        <v/>
      </c>
      <c r="G398" s="33" t="str">
        <f>IF(E398="","",IFERROR(INDEX(Vendor_Register!$E$5:$E$205,MATCH(E398,Vendor_Register!$A$5:$A$205,0)),"(not in register)"))</f>
        <v/>
      </c>
      <c r="H398" s="30"/>
      <c r="I398" s="30"/>
      <c r="J398" s="30"/>
      <c r="K398" s="30"/>
      <c r="L398" s="30"/>
      <c r="M398" s="34"/>
      <c r="N398" s="30"/>
      <c r="O398" s="35" t="str">
        <f>IF(NOT(ISNUMBER(M398)),"",IFERROR(IF(L398="EUR",M398,IF(L398="IRR",M398/INDEX('Assumptions &amp; FX Reference'!$C$5:$C$25,MATCH(H398,'Assumptions &amp; FX Reference'!$A$5:$A$25,0)),IF(L398="USD",M398*INDEX('Assumptions &amp; FX Reference'!$B$5:$B$25,MATCH(H398,'Assumptions &amp; FX Reference'!$A$5:$A$25,0))/INDEX('Assumptions &amp; FX Reference'!$C$5:$C$25,MATCH(H398,'Assumptions &amp; FX Reference'!$A$5:$A$25,0)),""))),"(FX missing)"))</f>
        <v/>
      </c>
      <c r="P398" s="30"/>
      <c r="Q398" s="30"/>
      <c r="R398" s="30"/>
      <c r="S398" s="30"/>
      <c r="T398" s="30"/>
      <c r="U398" s="30"/>
      <c r="V398" s="30"/>
    </row>
    <row r="399" spans="1:22">
      <c r="A399" s="30"/>
      <c r="B399" s="30"/>
      <c r="C399" s="33" t="str">
        <f>IF(B399="","",IFERROR(INDEX('Master Database'!$D$5:$D$600,MATCH(B399,'Master Database'!$A$5:$A$600,0)),"(row not found)"))</f>
        <v/>
      </c>
      <c r="D399" s="33" t="str">
        <f>IF(B399="","",IFERROR(INDEX('Master Database'!$B$5:$B$600,MATCH(B399,'Master Database'!$A$5:$A$600,0)),"(row not found)"))</f>
        <v/>
      </c>
      <c r="E399" s="30"/>
      <c r="F399" s="33" t="str">
        <f>IF(E399="","",IFERROR(INDEX(Vendor_Register!$B$5:$B$205,MATCH(E399,Vendor_Register!$A$5:$A$205,0)),"(not in register)"))</f>
        <v/>
      </c>
      <c r="G399" s="33" t="str">
        <f>IF(E399="","",IFERROR(INDEX(Vendor_Register!$E$5:$E$205,MATCH(E399,Vendor_Register!$A$5:$A$205,0)),"(not in register)"))</f>
        <v/>
      </c>
      <c r="H399" s="30"/>
      <c r="I399" s="30"/>
      <c r="J399" s="30"/>
      <c r="K399" s="30"/>
      <c r="L399" s="30"/>
      <c r="M399" s="34"/>
      <c r="N399" s="30"/>
      <c r="O399" s="35" t="str">
        <f>IF(NOT(ISNUMBER(M399)),"",IFERROR(IF(L399="EUR",M399,IF(L399="IRR",M399/INDEX('Assumptions &amp; FX Reference'!$C$5:$C$25,MATCH(H399,'Assumptions &amp; FX Reference'!$A$5:$A$25,0)),IF(L399="USD",M399*INDEX('Assumptions &amp; FX Reference'!$B$5:$B$25,MATCH(H399,'Assumptions &amp; FX Reference'!$A$5:$A$25,0))/INDEX('Assumptions &amp; FX Reference'!$C$5:$C$25,MATCH(H399,'Assumptions &amp; FX Reference'!$A$5:$A$25,0)),""))),"(FX missing)"))</f>
        <v/>
      </c>
      <c r="P399" s="30"/>
      <c r="Q399" s="30"/>
      <c r="R399" s="30"/>
      <c r="S399" s="30"/>
      <c r="T399" s="30"/>
      <c r="U399" s="30"/>
      <c r="V399" s="30"/>
    </row>
    <row r="400" spans="1:22">
      <c r="A400" s="30"/>
      <c r="B400" s="30"/>
      <c r="C400" s="33" t="str">
        <f>IF(B400="","",IFERROR(INDEX('Master Database'!$D$5:$D$600,MATCH(B400,'Master Database'!$A$5:$A$600,0)),"(row not found)"))</f>
        <v/>
      </c>
      <c r="D400" s="33" t="str">
        <f>IF(B400="","",IFERROR(INDEX('Master Database'!$B$5:$B$600,MATCH(B400,'Master Database'!$A$5:$A$600,0)),"(row not found)"))</f>
        <v/>
      </c>
      <c r="E400" s="30"/>
      <c r="F400" s="33" t="str">
        <f>IF(E400="","",IFERROR(INDEX(Vendor_Register!$B$5:$B$205,MATCH(E400,Vendor_Register!$A$5:$A$205,0)),"(not in register)"))</f>
        <v/>
      </c>
      <c r="G400" s="33" t="str">
        <f>IF(E400="","",IFERROR(INDEX(Vendor_Register!$E$5:$E$205,MATCH(E400,Vendor_Register!$A$5:$A$205,0)),"(not in register)"))</f>
        <v/>
      </c>
      <c r="H400" s="30"/>
      <c r="I400" s="30"/>
      <c r="J400" s="30"/>
      <c r="K400" s="30"/>
      <c r="L400" s="30"/>
      <c r="M400" s="34"/>
      <c r="N400" s="30"/>
      <c r="O400" s="35" t="str">
        <f>IF(NOT(ISNUMBER(M400)),"",IFERROR(IF(L400="EUR",M400,IF(L400="IRR",M400/INDEX('Assumptions &amp; FX Reference'!$C$5:$C$25,MATCH(H400,'Assumptions &amp; FX Reference'!$A$5:$A$25,0)),IF(L400="USD",M400*INDEX('Assumptions &amp; FX Reference'!$B$5:$B$25,MATCH(H400,'Assumptions &amp; FX Reference'!$A$5:$A$25,0))/INDEX('Assumptions &amp; FX Reference'!$C$5:$C$25,MATCH(H400,'Assumptions &amp; FX Reference'!$A$5:$A$25,0)),""))),"(FX missing)"))</f>
        <v/>
      </c>
      <c r="P400" s="30"/>
      <c r="Q400" s="30"/>
      <c r="R400" s="30"/>
      <c r="S400" s="30"/>
      <c r="T400" s="30"/>
      <c r="U400" s="30"/>
      <c r="V400" s="30"/>
    </row>
    <row r="401" spans="1:22">
      <c r="A401" s="30"/>
      <c r="B401" s="30"/>
      <c r="C401" s="33" t="str">
        <f>IF(B401="","",IFERROR(INDEX('Master Database'!$D$5:$D$600,MATCH(B401,'Master Database'!$A$5:$A$600,0)),"(row not found)"))</f>
        <v/>
      </c>
      <c r="D401" s="33" t="str">
        <f>IF(B401="","",IFERROR(INDEX('Master Database'!$B$5:$B$600,MATCH(B401,'Master Database'!$A$5:$A$600,0)),"(row not found)"))</f>
        <v/>
      </c>
      <c r="E401" s="30"/>
      <c r="F401" s="33" t="str">
        <f>IF(E401="","",IFERROR(INDEX(Vendor_Register!$B$5:$B$205,MATCH(E401,Vendor_Register!$A$5:$A$205,0)),"(not in register)"))</f>
        <v/>
      </c>
      <c r="G401" s="33" t="str">
        <f>IF(E401="","",IFERROR(INDEX(Vendor_Register!$E$5:$E$205,MATCH(E401,Vendor_Register!$A$5:$A$205,0)),"(not in register)"))</f>
        <v/>
      </c>
      <c r="H401" s="30"/>
      <c r="I401" s="30"/>
      <c r="J401" s="30"/>
      <c r="K401" s="30"/>
      <c r="L401" s="30"/>
      <c r="M401" s="34"/>
      <c r="N401" s="30"/>
      <c r="O401" s="35" t="str">
        <f>IF(NOT(ISNUMBER(M401)),"",IFERROR(IF(L401="EUR",M401,IF(L401="IRR",M401/INDEX('Assumptions &amp; FX Reference'!$C$5:$C$25,MATCH(H401,'Assumptions &amp; FX Reference'!$A$5:$A$25,0)),IF(L401="USD",M401*INDEX('Assumptions &amp; FX Reference'!$B$5:$B$25,MATCH(H401,'Assumptions &amp; FX Reference'!$A$5:$A$25,0))/INDEX('Assumptions &amp; FX Reference'!$C$5:$C$25,MATCH(H401,'Assumptions &amp; FX Reference'!$A$5:$A$25,0)),""))),"(FX missing)"))</f>
        <v/>
      </c>
      <c r="P401" s="30"/>
      <c r="Q401" s="30"/>
      <c r="R401" s="30"/>
      <c r="S401" s="30"/>
      <c r="T401" s="30"/>
      <c r="U401" s="30"/>
      <c r="V401" s="30"/>
    </row>
    <row r="402" spans="1:22">
      <c r="A402" s="30"/>
      <c r="B402" s="30"/>
      <c r="C402" s="33" t="str">
        <f>IF(B402="","",IFERROR(INDEX('Master Database'!$D$5:$D$600,MATCH(B402,'Master Database'!$A$5:$A$600,0)),"(row not found)"))</f>
        <v/>
      </c>
      <c r="D402" s="33" t="str">
        <f>IF(B402="","",IFERROR(INDEX('Master Database'!$B$5:$B$600,MATCH(B402,'Master Database'!$A$5:$A$600,0)),"(row not found)"))</f>
        <v/>
      </c>
      <c r="E402" s="30"/>
      <c r="F402" s="33" t="str">
        <f>IF(E402="","",IFERROR(INDEX(Vendor_Register!$B$5:$B$205,MATCH(E402,Vendor_Register!$A$5:$A$205,0)),"(not in register)"))</f>
        <v/>
      </c>
      <c r="G402" s="33" t="str">
        <f>IF(E402="","",IFERROR(INDEX(Vendor_Register!$E$5:$E$205,MATCH(E402,Vendor_Register!$A$5:$A$205,0)),"(not in register)"))</f>
        <v/>
      </c>
      <c r="H402" s="30"/>
      <c r="I402" s="30"/>
      <c r="J402" s="30"/>
      <c r="K402" s="30"/>
      <c r="L402" s="30"/>
      <c r="M402" s="34"/>
      <c r="N402" s="30"/>
      <c r="O402" s="35" t="str">
        <f>IF(NOT(ISNUMBER(M402)),"",IFERROR(IF(L402="EUR",M402,IF(L402="IRR",M402/INDEX('Assumptions &amp; FX Reference'!$C$5:$C$25,MATCH(H402,'Assumptions &amp; FX Reference'!$A$5:$A$25,0)),IF(L402="USD",M402*INDEX('Assumptions &amp; FX Reference'!$B$5:$B$25,MATCH(H402,'Assumptions &amp; FX Reference'!$A$5:$A$25,0))/INDEX('Assumptions &amp; FX Reference'!$C$5:$C$25,MATCH(H402,'Assumptions &amp; FX Reference'!$A$5:$A$25,0)),""))),"(FX missing)"))</f>
        <v/>
      </c>
      <c r="P402" s="30"/>
      <c r="Q402" s="30"/>
      <c r="R402" s="30"/>
      <c r="S402" s="30"/>
      <c r="T402" s="30"/>
      <c r="U402" s="30"/>
      <c r="V402" s="30"/>
    </row>
    <row r="403" spans="1:22">
      <c r="A403" s="30"/>
      <c r="B403" s="30"/>
      <c r="C403" s="33" t="str">
        <f>IF(B403="","",IFERROR(INDEX('Master Database'!$D$5:$D$600,MATCH(B403,'Master Database'!$A$5:$A$600,0)),"(row not found)"))</f>
        <v/>
      </c>
      <c r="D403" s="33" t="str">
        <f>IF(B403="","",IFERROR(INDEX('Master Database'!$B$5:$B$600,MATCH(B403,'Master Database'!$A$5:$A$600,0)),"(row not found)"))</f>
        <v/>
      </c>
      <c r="E403" s="30"/>
      <c r="F403" s="33" t="str">
        <f>IF(E403="","",IFERROR(INDEX(Vendor_Register!$B$5:$B$205,MATCH(E403,Vendor_Register!$A$5:$A$205,0)),"(not in register)"))</f>
        <v/>
      </c>
      <c r="G403" s="33" t="str">
        <f>IF(E403="","",IFERROR(INDEX(Vendor_Register!$E$5:$E$205,MATCH(E403,Vendor_Register!$A$5:$A$205,0)),"(not in register)"))</f>
        <v/>
      </c>
      <c r="H403" s="30"/>
      <c r="I403" s="30"/>
      <c r="J403" s="30"/>
      <c r="K403" s="30"/>
      <c r="L403" s="30"/>
      <c r="M403" s="34"/>
      <c r="N403" s="30"/>
      <c r="O403" s="35" t="str">
        <f>IF(NOT(ISNUMBER(M403)),"",IFERROR(IF(L403="EUR",M403,IF(L403="IRR",M403/INDEX('Assumptions &amp; FX Reference'!$C$5:$C$25,MATCH(H403,'Assumptions &amp; FX Reference'!$A$5:$A$25,0)),IF(L403="USD",M403*INDEX('Assumptions &amp; FX Reference'!$B$5:$B$25,MATCH(H403,'Assumptions &amp; FX Reference'!$A$5:$A$25,0))/INDEX('Assumptions &amp; FX Reference'!$C$5:$C$25,MATCH(H403,'Assumptions &amp; FX Reference'!$A$5:$A$25,0)),""))),"(FX missing)"))</f>
        <v/>
      </c>
      <c r="P403" s="30"/>
      <c r="Q403" s="30"/>
      <c r="R403" s="30"/>
      <c r="S403" s="30"/>
      <c r="T403" s="30"/>
      <c r="U403" s="30"/>
      <c r="V403" s="30"/>
    </row>
    <row r="404" spans="1:22">
      <c r="A404" s="30"/>
      <c r="B404" s="30"/>
      <c r="C404" s="33" t="str">
        <f>IF(B404="","",IFERROR(INDEX('Master Database'!$D$5:$D$600,MATCH(B404,'Master Database'!$A$5:$A$600,0)),"(row not found)"))</f>
        <v/>
      </c>
      <c r="D404" s="33" t="str">
        <f>IF(B404="","",IFERROR(INDEX('Master Database'!$B$5:$B$600,MATCH(B404,'Master Database'!$A$5:$A$600,0)),"(row not found)"))</f>
        <v/>
      </c>
      <c r="E404" s="30"/>
      <c r="F404" s="33" t="str">
        <f>IF(E404="","",IFERROR(INDEX(Vendor_Register!$B$5:$B$205,MATCH(E404,Vendor_Register!$A$5:$A$205,0)),"(not in register)"))</f>
        <v/>
      </c>
      <c r="G404" s="33" t="str">
        <f>IF(E404="","",IFERROR(INDEX(Vendor_Register!$E$5:$E$205,MATCH(E404,Vendor_Register!$A$5:$A$205,0)),"(not in register)"))</f>
        <v/>
      </c>
      <c r="H404" s="30"/>
      <c r="I404" s="30"/>
      <c r="J404" s="30"/>
      <c r="K404" s="30"/>
      <c r="L404" s="30"/>
      <c r="M404" s="34"/>
      <c r="N404" s="30"/>
      <c r="O404" s="35" t="str">
        <f>IF(NOT(ISNUMBER(M404)),"",IFERROR(IF(L404="EUR",M404,IF(L404="IRR",M404/INDEX('Assumptions &amp; FX Reference'!$C$5:$C$25,MATCH(H404,'Assumptions &amp; FX Reference'!$A$5:$A$25,0)),IF(L404="USD",M404*INDEX('Assumptions &amp; FX Reference'!$B$5:$B$25,MATCH(H404,'Assumptions &amp; FX Reference'!$A$5:$A$25,0))/INDEX('Assumptions &amp; FX Reference'!$C$5:$C$25,MATCH(H404,'Assumptions &amp; FX Reference'!$A$5:$A$25,0)),""))),"(FX missing)"))</f>
        <v/>
      </c>
      <c r="P404" s="30"/>
      <c r="Q404" s="30"/>
      <c r="R404" s="30"/>
      <c r="S404" s="30"/>
      <c r="T404" s="30"/>
      <c r="U404" s="30"/>
      <c r="V404" s="30"/>
    </row>
    <row r="405" spans="1:22">
      <c r="A405" s="30"/>
      <c r="B405" s="30"/>
      <c r="C405" s="33" t="str">
        <f>IF(B405="","",IFERROR(INDEX('Master Database'!$D$5:$D$600,MATCH(B405,'Master Database'!$A$5:$A$600,0)),"(row not found)"))</f>
        <v/>
      </c>
      <c r="D405" s="33" t="str">
        <f>IF(B405="","",IFERROR(INDEX('Master Database'!$B$5:$B$600,MATCH(B405,'Master Database'!$A$5:$A$600,0)),"(row not found)"))</f>
        <v/>
      </c>
      <c r="E405" s="30"/>
      <c r="F405" s="33" t="str">
        <f>IF(E405="","",IFERROR(INDEX(Vendor_Register!$B$5:$B$205,MATCH(E405,Vendor_Register!$A$5:$A$205,0)),"(not in register)"))</f>
        <v/>
      </c>
      <c r="G405" s="33" t="str">
        <f>IF(E405="","",IFERROR(INDEX(Vendor_Register!$E$5:$E$205,MATCH(E405,Vendor_Register!$A$5:$A$205,0)),"(not in register)"))</f>
        <v/>
      </c>
      <c r="H405" s="30"/>
      <c r="I405" s="30"/>
      <c r="J405" s="30"/>
      <c r="K405" s="30"/>
      <c r="L405" s="30"/>
      <c r="M405" s="34"/>
      <c r="N405" s="30"/>
      <c r="O405" s="35" t="str">
        <f>IF(NOT(ISNUMBER(M405)),"",IFERROR(IF(L405="EUR",M405,IF(L405="IRR",M405/INDEX('Assumptions &amp; FX Reference'!$C$5:$C$25,MATCH(H405,'Assumptions &amp; FX Reference'!$A$5:$A$25,0)),IF(L405="USD",M405*INDEX('Assumptions &amp; FX Reference'!$B$5:$B$25,MATCH(H405,'Assumptions &amp; FX Reference'!$A$5:$A$25,0))/INDEX('Assumptions &amp; FX Reference'!$C$5:$C$25,MATCH(H405,'Assumptions &amp; FX Reference'!$A$5:$A$25,0)),""))),"(FX missing)"))</f>
        <v/>
      </c>
      <c r="P405" s="30"/>
      <c r="Q405" s="30"/>
      <c r="R405" s="30"/>
      <c r="S405" s="30"/>
      <c r="T405" s="30"/>
      <c r="U405" s="30"/>
      <c r="V405" s="30"/>
    </row>
    <row r="406" spans="1:22">
      <c r="A406" s="30"/>
      <c r="B406" s="30"/>
      <c r="C406" s="33" t="str">
        <f>IF(B406="","",IFERROR(INDEX('Master Database'!$D$5:$D$600,MATCH(B406,'Master Database'!$A$5:$A$600,0)),"(row not found)"))</f>
        <v/>
      </c>
      <c r="D406" s="33" t="str">
        <f>IF(B406="","",IFERROR(INDEX('Master Database'!$B$5:$B$600,MATCH(B406,'Master Database'!$A$5:$A$600,0)),"(row not found)"))</f>
        <v/>
      </c>
      <c r="E406" s="30"/>
      <c r="F406" s="33" t="str">
        <f>IF(E406="","",IFERROR(INDEX(Vendor_Register!$B$5:$B$205,MATCH(E406,Vendor_Register!$A$5:$A$205,0)),"(not in register)"))</f>
        <v/>
      </c>
      <c r="G406" s="33" t="str">
        <f>IF(E406="","",IFERROR(INDEX(Vendor_Register!$E$5:$E$205,MATCH(E406,Vendor_Register!$A$5:$A$205,0)),"(not in register)"))</f>
        <v/>
      </c>
      <c r="H406" s="30"/>
      <c r="I406" s="30"/>
      <c r="J406" s="30"/>
      <c r="K406" s="30"/>
      <c r="L406" s="30"/>
      <c r="M406" s="34"/>
      <c r="N406" s="30"/>
      <c r="O406" s="35" t="str">
        <f>IF(NOT(ISNUMBER(M406)),"",IFERROR(IF(L406="EUR",M406,IF(L406="IRR",M406/INDEX('Assumptions &amp; FX Reference'!$C$5:$C$25,MATCH(H406,'Assumptions &amp; FX Reference'!$A$5:$A$25,0)),IF(L406="USD",M406*INDEX('Assumptions &amp; FX Reference'!$B$5:$B$25,MATCH(H406,'Assumptions &amp; FX Reference'!$A$5:$A$25,0))/INDEX('Assumptions &amp; FX Reference'!$C$5:$C$25,MATCH(H406,'Assumptions &amp; FX Reference'!$A$5:$A$25,0)),""))),"(FX missing)"))</f>
        <v/>
      </c>
      <c r="P406" s="30"/>
      <c r="Q406" s="30"/>
      <c r="R406" s="30"/>
      <c r="S406" s="30"/>
      <c r="T406" s="30"/>
      <c r="U406" s="30"/>
      <c r="V406" s="30"/>
    </row>
    <row r="407" spans="1:22">
      <c r="A407" s="30"/>
      <c r="B407" s="30"/>
      <c r="C407" s="33" t="str">
        <f>IF(B407="","",IFERROR(INDEX('Master Database'!$D$5:$D$600,MATCH(B407,'Master Database'!$A$5:$A$600,0)),"(row not found)"))</f>
        <v/>
      </c>
      <c r="D407" s="33" t="str">
        <f>IF(B407="","",IFERROR(INDEX('Master Database'!$B$5:$B$600,MATCH(B407,'Master Database'!$A$5:$A$600,0)),"(row not found)"))</f>
        <v/>
      </c>
      <c r="E407" s="30"/>
      <c r="F407" s="33" t="str">
        <f>IF(E407="","",IFERROR(INDEX(Vendor_Register!$B$5:$B$205,MATCH(E407,Vendor_Register!$A$5:$A$205,0)),"(not in register)"))</f>
        <v/>
      </c>
      <c r="G407" s="33" t="str">
        <f>IF(E407="","",IFERROR(INDEX(Vendor_Register!$E$5:$E$205,MATCH(E407,Vendor_Register!$A$5:$A$205,0)),"(not in register)"))</f>
        <v/>
      </c>
      <c r="H407" s="30"/>
      <c r="I407" s="30"/>
      <c r="J407" s="30"/>
      <c r="K407" s="30"/>
      <c r="L407" s="30"/>
      <c r="M407" s="34"/>
      <c r="N407" s="30"/>
      <c r="O407" s="35" t="str">
        <f>IF(NOT(ISNUMBER(M407)),"",IFERROR(IF(L407="EUR",M407,IF(L407="IRR",M407/INDEX('Assumptions &amp; FX Reference'!$C$5:$C$25,MATCH(H407,'Assumptions &amp; FX Reference'!$A$5:$A$25,0)),IF(L407="USD",M407*INDEX('Assumptions &amp; FX Reference'!$B$5:$B$25,MATCH(H407,'Assumptions &amp; FX Reference'!$A$5:$A$25,0))/INDEX('Assumptions &amp; FX Reference'!$C$5:$C$25,MATCH(H407,'Assumptions &amp; FX Reference'!$A$5:$A$25,0)),""))),"(FX missing)"))</f>
        <v/>
      </c>
      <c r="P407" s="30"/>
      <c r="Q407" s="30"/>
      <c r="R407" s="30"/>
      <c r="S407" s="30"/>
      <c r="T407" s="30"/>
      <c r="U407" s="30"/>
      <c r="V407" s="30"/>
    </row>
    <row r="408" spans="1:22">
      <c r="A408" s="30"/>
      <c r="B408" s="30"/>
      <c r="C408" s="33" t="str">
        <f>IF(B408="","",IFERROR(INDEX('Master Database'!$D$5:$D$600,MATCH(B408,'Master Database'!$A$5:$A$600,0)),"(row not found)"))</f>
        <v/>
      </c>
      <c r="D408" s="33" t="str">
        <f>IF(B408="","",IFERROR(INDEX('Master Database'!$B$5:$B$600,MATCH(B408,'Master Database'!$A$5:$A$600,0)),"(row not found)"))</f>
        <v/>
      </c>
      <c r="E408" s="30"/>
      <c r="F408" s="33" t="str">
        <f>IF(E408="","",IFERROR(INDEX(Vendor_Register!$B$5:$B$205,MATCH(E408,Vendor_Register!$A$5:$A$205,0)),"(not in register)"))</f>
        <v/>
      </c>
      <c r="G408" s="33" t="str">
        <f>IF(E408="","",IFERROR(INDEX(Vendor_Register!$E$5:$E$205,MATCH(E408,Vendor_Register!$A$5:$A$205,0)),"(not in register)"))</f>
        <v/>
      </c>
      <c r="H408" s="30"/>
      <c r="I408" s="30"/>
      <c r="J408" s="30"/>
      <c r="K408" s="30"/>
      <c r="L408" s="30"/>
      <c r="M408" s="34"/>
      <c r="N408" s="30"/>
      <c r="O408" s="35" t="str">
        <f>IF(NOT(ISNUMBER(M408)),"",IFERROR(IF(L408="EUR",M408,IF(L408="IRR",M408/INDEX('Assumptions &amp; FX Reference'!$C$5:$C$25,MATCH(H408,'Assumptions &amp; FX Reference'!$A$5:$A$25,0)),IF(L408="USD",M408*INDEX('Assumptions &amp; FX Reference'!$B$5:$B$25,MATCH(H408,'Assumptions &amp; FX Reference'!$A$5:$A$25,0))/INDEX('Assumptions &amp; FX Reference'!$C$5:$C$25,MATCH(H408,'Assumptions &amp; FX Reference'!$A$5:$A$25,0)),""))),"(FX missing)"))</f>
        <v/>
      </c>
      <c r="P408" s="30"/>
      <c r="Q408" s="30"/>
      <c r="R408" s="30"/>
      <c r="S408" s="30"/>
      <c r="T408" s="30"/>
      <c r="U408" s="30"/>
      <c r="V408" s="30"/>
    </row>
    <row r="409" spans="1:22">
      <c r="A409" s="30"/>
      <c r="B409" s="30"/>
      <c r="C409" s="33" t="str">
        <f>IF(B409="","",IFERROR(INDEX('Master Database'!$D$5:$D$600,MATCH(B409,'Master Database'!$A$5:$A$600,0)),"(row not found)"))</f>
        <v/>
      </c>
      <c r="D409" s="33" t="str">
        <f>IF(B409="","",IFERROR(INDEX('Master Database'!$B$5:$B$600,MATCH(B409,'Master Database'!$A$5:$A$600,0)),"(row not found)"))</f>
        <v/>
      </c>
      <c r="E409" s="30"/>
      <c r="F409" s="33" t="str">
        <f>IF(E409="","",IFERROR(INDEX(Vendor_Register!$B$5:$B$205,MATCH(E409,Vendor_Register!$A$5:$A$205,0)),"(not in register)"))</f>
        <v/>
      </c>
      <c r="G409" s="33" t="str">
        <f>IF(E409="","",IFERROR(INDEX(Vendor_Register!$E$5:$E$205,MATCH(E409,Vendor_Register!$A$5:$A$205,0)),"(not in register)"))</f>
        <v/>
      </c>
      <c r="H409" s="30"/>
      <c r="I409" s="30"/>
      <c r="J409" s="30"/>
      <c r="K409" s="30"/>
      <c r="L409" s="30"/>
      <c r="M409" s="34"/>
      <c r="N409" s="30"/>
      <c r="O409" s="35" t="str">
        <f>IF(NOT(ISNUMBER(M409)),"",IFERROR(IF(L409="EUR",M409,IF(L409="IRR",M409/INDEX('Assumptions &amp; FX Reference'!$C$5:$C$25,MATCH(H409,'Assumptions &amp; FX Reference'!$A$5:$A$25,0)),IF(L409="USD",M409*INDEX('Assumptions &amp; FX Reference'!$B$5:$B$25,MATCH(H409,'Assumptions &amp; FX Reference'!$A$5:$A$25,0))/INDEX('Assumptions &amp; FX Reference'!$C$5:$C$25,MATCH(H409,'Assumptions &amp; FX Reference'!$A$5:$A$25,0)),""))),"(FX missing)"))</f>
        <v/>
      </c>
      <c r="P409" s="30"/>
      <c r="Q409" s="30"/>
      <c r="R409" s="30"/>
      <c r="S409" s="30"/>
      <c r="T409" s="30"/>
      <c r="U409" s="30"/>
      <c r="V409" s="30"/>
    </row>
    <row r="410" spans="1:22">
      <c r="A410" s="30"/>
      <c r="B410" s="30"/>
      <c r="C410" s="33" t="str">
        <f>IF(B410="","",IFERROR(INDEX('Master Database'!$D$5:$D$600,MATCH(B410,'Master Database'!$A$5:$A$600,0)),"(row not found)"))</f>
        <v/>
      </c>
      <c r="D410" s="33" t="str">
        <f>IF(B410="","",IFERROR(INDEX('Master Database'!$B$5:$B$600,MATCH(B410,'Master Database'!$A$5:$A$600,0)),"(row not found)"))</f>
        <v/>
      </c>
      <c r="E410" s="30"/>
      <c r="F410" s="33" t="str">
        <f>IF(E410="","",IFERROR(INDEX(Vendor_Register!$B$5:$B$205,MATCH(E410,Vendor_Register!$A$5:$A$205,0)),"(not in register)"))</f>
        <v/>
      </c>
      <c r="G410" s="33" t="str">
        <f>IF(E410="","",IFERROR(INDEX(Vendor_Register!$E$5:$E$205,MATCH(E410,Vendor_Register!$A$5:$A$205,0)),"(not in register)"))</f>
        <v/>
      </c>
      <c r="H410" s="30"/>
      <c r="I410" s="30"/>
      <c r="J410" s="30"/>
      <c r="K410" s="30"/>
      <c r="L410" s="30"/>
      <c r="M410" s="34"/>
      <c r="N410" s="30"/>
      <c r="O410" s="35" t="str">
        <f>IF(NOT(ISNUMBER(M410)),"",IFERROR(IF(L410="EUR",M410,IF(L410="IRR",M410/INDEX('Assumptions &amp; FX Reference'!$C$5:$C$25,MATCH(H410,'Assumptions &amp; FX Reference'!$A$5:$A$25,0)),IF(L410="USD",M410*INDEX('Assumptions &amp; FX Reference'!$B$5:$B$25,MATCH(H410,'Assumptions &amp; FX Reference'!$A$5:$A$25,0))/INDEX('Assumptions &amp; FX Reference'!$C$5:$C$25,MATCH(H410,'Assumptions &amp; FX Reference'!$A$5:$A$25,0)),""))),"(FX missing)"))</f>
        <v/>
      </c>
      <c r="P410" s="30"/>
      <c r="Q410" s="30"/>
      <c r="R410" s="30"/>
      <c r="S410" s="30"/>
      <c r="T410" s="30"/>
      <c r="U410" s="30"/>
      <c r="V410" s="30"/>
    </row>
    <row r="411" spans="1:22">
      <c r="A411" s="30"/>
      <c r="B411" s="30"/>
      <c r="C411" s="33" t="str">
        <f>IF(B411="","",IFERROR(INDEX('Master Database'!$D$5:$D$600,MATCH(B411,'Master Database'!$A$5:$A$600,0)),"(row not found)"))</f>
        <v/>
      </c>
      <c r="D411" s="33" t="str">
        <f>IF(B411="","",IFERROR(INDEX('Master Database'!$B$5:$B$600,MATCH(B411,'Master Database'!$A$5:$A$600,0)),"(row not found)"))</f>
        <v/>
      </c>
      <c r="E411" s="30"/>
      <c r="F411" s="33" t="str">
        <f>IF(E411="","",IFERROR(INDEX(Vendor_Register!$B$5:$B$205,MATCH(E411,Vendor_Register!$A$5:$A$205,0)),"(not in register)"))</f>
        <v/>
      </c>
      <c r="G411" s="33" t="str">
        <f>IF(E411="","",IFERROR(INDEX(Vendor_Register!$E$5:$E$205,MATCH(E411,Vendor_Register!$A$5:$A$205,0)),"(not in register)"))</f>
        <v/>
      </c>
      <c r="H411" s="30"/>
      <c r="I411" s="30"/>
      <c r="J411" s="30"/>
      <c r="K411" s="30"/>
      <c r="L411" s="30"/>
      <c r="M411" s="34"/>
      <c r="N411" s="30"/>
      <c r="O411" s="35" t="str">
        <f>IF(NOT(ISNUMBER(M411)),"",IFERROR(IF(L411="EUR",M411,IF(L411="IRR",M411/INDEX('Assumptions &amp; FX Reference'!$C$5:$C$25,MATCH(H411,'Assumptions &amp; FX Reference'!$A$5:$A$25,0)),IF(L411="USD",M411*INDEX('Assumptions &amp; FX Reference'!$B$5:$B$25,MATCH(H411,'Assumptions &amp; FX Reference'!$A$5:$A$25,0))/INDEX('Assumptions &amp; FX Reference'!$C$5:$C$25,MATCH(H411,'Assumptions &amp; FX Reference'!$A$5:$A$25,0)),""))),"(FX missing)"))</f>
        <v/>
      </c>
      <c r="P411" s="30"/>
      <c r="Q411" s="30"/>
      <c r="R411" s="30"/>
      <c r="S411" s="30"/>
      <c r="T411" s="30"/>
      <c r="U411" s="30"/>
      <c r="V411" s="30"/>
    </row>
    <row r="412" spans="1:22">
      <c r="A412" s="30"/>
      <c r="B412" s="30"/>
      <c r="C412" s="33" t="str">
        <f>IF(B412="","",IFERROR(INDEX('Master Database'!$D$5:$D$600,MATCH(B412,'Master Database'!$A$5:$A$600,0)),"(row not found)"))</f>
        <v/>
      </c>
      <c r="D412" s="33" t="str">
        <f>IF(B412="","",IFERROR(INDEX('Master Database'!$B$5:$B$600,MATCH(B412,'Master Database'!$A$5:$A$600,0)),"(row not found)"))</f>
        <v/>
      </c>
      <c r="E412" s="30"/>
      <c r="F412" s="33" t="str">
        <f>IF(E412="","",IFERROR(INDEX(Vendor_Register!$B$5:$B$205,MATCH(E412,Vendor_Register!$A$5:$A$205,0)),"(not in register)"))</f>
        <v/>
      </c>
      <c r="G412" s="33" t="str">
        <f>IF(E412="","",IFERROR(INDEX(Vendor_Register!$E$5:$E$205,MATCH(E412,Vendor_Register!$A$5:$A$205,0)),"(not in register)"))</f>
        <v/>
      </c>
      <c r="H412" s="30"/>
      <c r="I412" s="30"/>
      <c r="J412" s="30"/>
      <c r="K412" s="30"/>
      <c r="L412" s="30"/>
      <c r="M412" s="34"/>
      <c r="N412" s="30"/>
      <c r="O412" s="35" t="str">
        <f>IF(NOT(ISNUMBER(M412)),"",IFERROR(IF(L412="EUR",M412,IF(L412="IRR",M412/INDEX('Assumptions &amp; FX Reference'!$C$5:$C$25,MATCH(H412,'Assumptions &amp; FX Reference'!$A$5:$A$25,0)),IF(L412="USD",M412*INDEX('Assumptions &amp; FX Reference'!$B$5:$B$25,MATCH(H412,'Assumptions &amp; FX Reference'!$A$5:$A$25,0))/INDEX('Assumptions &amp; FX Reference'!$C$5:$C$25,MATCH(H412,'Assumptions &amp; FX Reference'!$A$5:$A$25,0)),""))),"(FX missing)"))</f>
        <v/>
      </c>
      <c r="P412" s="30"/>
      <c r="Q412" s="30"/>
      <c r="R412" s="30"/>
      <c r="S412" s="30"/>
      <c r="T412" s="30"/>
      <c r="U412" s="30"/>
      <c r="V412" s="30"/>
    </row>
    <row r="413" spans="1:22">
      <c r="A413" s="30"/>
      <c r="B413" s="30"/>
      <c r="C413" s="33" t="str">
        <f>IF(B413="","",IFERROR(INDEX('Master Database'!$D$5:$D$600,MATCH(B413,'Master Database'!$A$5:$A$600,0)),"(row not found)"))</f>
        <v/>
      </c>
      <c r="D413" s="33" t="str">
        <f>IF(B413="","",IFERROR(INDEX('Master Database'!$B$5:$B$600,MATCH(B413,'Master Database'!$A$5:$A$600,0)),"(row not found)"))</f>
        <v/>
      </c>
      <c r="E413" s="30"/>
      <c r="F413" s="33" t="str">
        <f>IF(E413="","",IFERROR(INDEX(Vendor_Register!$B$5:$B$205,MATCH(E413,Vendor_Register!$A$5:$A$205,0)),"(not in register)"))</f>
        <v/>
      </c>
      <c r="G413" s="33" t="str">
        <f>IF(E413="","",IFERROR(INDEX(Vendor_Register!$E$5:$E$205,MATCH(E413,Vendor_Register!$A$5:$A$205,0)),"(not in register)"))</f>
        <v/>
      </c>
      <c r="H413" s="30"/>
      <c r="I413" s="30"/>
      <c r="J413" s="30"/>
      <c r="K413" s="30"/>
      <c r="L413" s="30"/>
      <c r="M413" s="34"/>
      <c r="N413" s="30"/>
      <c r="O413" s="35" t="str">
        <f>IF(NOT(ISNUMBER(M413)),"",IFERROR(IF(L413="EUR",M413,IF(L413="IRR",M413/INDEX('Assumptions &amp; FX Reference'!$C$5:$C$25,MATCH(H413,'Assumptions &amp; FX Reference'!$A$5:$A$25,0)),IF(L413="USD",M413*INDEX('Assumptions &amp; FX Reference'!$B$5:$B$25,MATCH(H413,'Assumptions &amp; FX Reference'!$A$5:$A$25,0))/INDEX('Assumptions &amp; FX Reference'!$C$5:$C$25,MATCH(H413,'Assumptions &amp; FX Reference'!$A$5:$A$25,0)),""))),"(FX missing)"))</f>
        <v/>
      </c>
      <c r="P413" s="30"/>
      <c r="Q413" s="30"/>
      <c r="R413" s="30"/>
      <c r="S413" s="30"/>
      <c r="T413" s="30"/>
      <c r="U413" s="30"/>
      <c r="V413" s="30"/>
    </row>
    <row r="414" spans="1:22">
      <c r="A414" s="30"/>
      <c r="B414" s="30"/>
      <c r="C414" s="33" t="str">
        <f>IF(B414="","",IFERROR(INDEX('Master Database'!$D$5:$D$600,MATCH(B414,'Master Database'!$A$5:$A$600,0)),"(row not found)"))</f>
        <v/>
      </c>
      <c r="D414" s="33" t="str">
        <f>IF(B414="","",IFERROR(INDEX('Master Database'!$B$5:$B$600,MATCH(B414,'Master Database'!$A$5:$A$600,0)),"(row not found)"))</f>
        <v/>
      </c>
      <c r="E414" s="30"/>
      <c r="F414" s="33" t="str">
        <f>IF(E414="","",IFERROR(INDEX(Vendor_Register!$B$5:$B$205,MATCH(E414,Vendor_Register!$A$5:$A$205,0)),"(not in register)"))</f>
        <v/>
      </c>
      <c r="G414" s="33" t="str">
        <f>IF(E414="","",IFERROR(INDEX(Vendor_Register!$E$5:$E$205,MATCH(E414,Vendor_Register!$A$5:$A$205,0)),"(not in register)"))</f>
        <v/>
      </c>
      <c r="H414" s="30"/>
      <c r="I414" s="30"/>
      <c r="J414" s="30"/>
      <c r="K414" s="30"/>
      <c r="L414" s="30"/>
      <c r="M414" s="34"/>
      <c r="N414" s="30"/>
      <c r="O414" s="35" t="str">
        <f>IF(NOT(ISNUMBER(M414)),"",IFERROR(IF(L414="EUR",M414,IF(L414="IRR",M414/INDEX('Assumptions &amp; FX Reference'!$C$5:$C$25,MATCH(H414,'Assumptions &amp; FX Reference'!$A$5:$A$25,0)),IF(L414="USD",M414*INDEX('Assumptions &amp; FX Reference'!$B$5:$B$25,MATCH(H414,'Assumptions &amp; FX Reference'!$A$5:$A$25,0))/INDEX('Assumptions &amp; FX Reference'!$C$5:$C$25,MATCH(H414,'Assumptions &amp; FX Reference'!$A$5:$A$25,0)),""))),"(FX missing)"))</f>
        <v/>
      </c>
      <c r="P414" s="30"/>
      <c r="Q414" s="30"/>
      <c r="R414" s="30"/>
      <c r="S414" s="30"/>
      <c r="T414" s="30"/>
      <c r="U414" s="30"/>
      <c r="V414" s="30"/>
    </row>
    <row r="415" spans="1:22">
      <c r="A415" s="30"/>
      <c r="B415" s="30"/>
      <c r="C415" s="33" t="str">
        <f>IF(B415="","",IFERROR(INDEX('Master Database'!$D$5:$D$600,MATCH(B415,'Master Database'!$A$5:$A$600,0)),"(row not found)"))</f>
        <v/>
      </c>
      <c r="D415" s="33" t="str">
        <f>IF(B415="","",IFERROR(INDEX('Master Database'!$B$5:$B$600,MATCH(B415,'Master Database'!$A$5:$A$600,0)),"(row not found)"))</f>
        <v/>
      </c>
      <c r="E415" s="30"/>
      <c r="F415" s="33" t="str">
        <f>IF(E415="","",IFERROR(INDEX(Vendor_Register!$B$5:$B$205,MATCH(E415,Vendor_Register!$A$5:$A$205,0)),"(not in register)"))</f>
        <v/>
      </c>
      <c r="G415" s="33" t="str">
        <f>IF(E415="","",IFERROR(INDEX(Vendor_Register!$E$5:$E$205,MATCH(E415,Vendor_Register!$A$5:$A$205,0)),"(not in register)"))</f>
        <v/>
      </c>
      <c r="H415" s="30"/>
      <c r="I415" s="30"/>
      <c r="J415" s="30"/>
      <c r="K415" s="30"/>
      <c r="L415" s="30"/>
      <c r="M415" s="34"/>
      <c r="N415" s="30"/>
      <c r="O415" s="35" t="str">
        <f>IF(NOT(ISNUMBER(M415)),"",IFERROR(IF(L415="EUR",M415,IF(L415="IRR",M415/INDEX('Assumptions &amp; FX Reference'!$C$5:$C$25,MATCH(H415,'Assumptions &amp; FX Reference'!$A$5:$A$25,0)),IF(L415="USD",M415*INDEX('Assumptions &amp; FX Reference'!$B$5:$B$25,MATCH(H415,'Assumptions &amp; FX Reference'!$A$5:$A$25,0))/INDEX('Assumptions &amp; FX Reference'!$C$5:$C$25,MATCH(H415,'Assumptions &amp; FX Reference'!$A$5:$A$25,0)),""))),"(FX missing)"))</f>
        <v/>
      </c>
      <c r="P415" s="30"/>
      <c r="Q415" s="30"/>
      <c r="R415" s="30"/>
      <c r="S415" s="30"/>
      <c r="T415" s="30"/>
      <c r="U415" s="30"/>
      <c r="V415" s="30"/>
    </row>
    <row r="416" spans="1:22">
      <c r="A416" s="30"/>
      <c r="B416" s="30"/>
      <c r="C416" s="33" t="str">
        <f>IF(B416="","",IFERROR(INDEX('Master Database'!$D$5:$D$600,MATCH(B416,'Master Database'!$A$5:$A$600,0)),"(row not found)"))</f>
        <v/>
      </c>
      <c r="D416" s="33" t="str">
        <f>IF(B416="","",IFERROR(INDEX('Master Database'!$B$5:$B$600,MATCH(B416,'Master Database'!$A$5:$A$600,0)),"(row not found)"))</f>
        <v/>
      </c>
      <c r="E416" s="30"/>
      <c r="F416" s="33" t="str">
        <f>IF(E416="","",IFERROR(INDEX(Vendor_Register!$B$5:$B$205,MATCH(E416,Vendor_Register!$A$5:$A$205,0)),"(not in register)"))</f>
        <v/>
      </c>
      <c r="G416" s="33" t="str">
        <f>IF(E416="","",IFERROR(INDEX(Vendor_Register!$E$5:$E$205,MATCH(E416,Vendor_Register!$A$5:$A$205,0)),"(not in register)"))</f>
        <v/>
      </c>
      <c r="H416" s="30"/>
      <c r="I416" s="30"/>
      <c r="J416" s="30"/>
      <c r="K416" s="30"/>
      <c r="L416" s="30"/>
      <c r="M416" s="34"/>
      <c r="N416" s="30"/>
      <c r="O416" s="35" t="str">
        <f>IF(NOT(ISNUMBER(M416)),"",IFERROR(IF(L416="EUR",M416,IF(L416="IRR",M416/INDEX('Assumptions &amp; FX Reference'!$C$5:$C$25,MATCH(H416,'Assumptions &amp; FX Reference'!$A$5:$A$25,0)),IF(L416="USD",M416*INDEX('Assumptions &amp; FX Reference'!$B$5:$B$25,MATCH(H416,'Assumptions &amp; FX Reference'!$A$5:$A$25,0))/INDEX('Assumptions &amp; FX Reference'!$C$5:$C$25,MATCH(H416,'Assumptions &amp; FX Reference'!$A$5:$A$25,0)),""))),"(FX missing)"))</f>
        <v/>
      </c>
      <c r="P416" s="30"/>
      <c r="Q416" s="30"/>
      <c r="R416" s="30"/>
      <c r="S416" s="30"/>
      <c r="T416" s="30"/>
      <c r="U416" s="30"/>
      <c r="V416" s="30"/>
    </row>
    <row r="417" spans="1:22">
      <c r="A417" s="30"/>
      <c r="B417" s="30"/>
      <c r="C417" s="33" t="str">
        <f>IF(B417="","",IFERROR(INDEX('Master Database'!$D$5:$D$600,MATCH(B417,'Master Database'!$A$5:$A$600,0)),"(row not found)"))</f>
        <v/>
      </c>
      <c r="D417" s="33" t="str">
        <f>IF(B417="","",IFERROR(INDEX('Master Database'!$B$5:$B$600,MATCH(B417,'Master Database'!$A$5:$A$600,0)),"(row not found)"))</f>
        <v/>
      </c>
      <c r="E417" s="30"/>
      <c r="F417" s="33" t="str">
        <f>IF(E417="","",IFERROR(INDEX(Vendor_Register!$B$5:$B$205,MATCH(E417,Vendor_Register!$A$5:$A$205,0)),"(not in register)"))</f>
        <v/>
      </c>
      <c r="G417" s="33" t="str">
        <f>IF(E417="","",IFERROR(INDEX(Vendor_Register!$E$5:$E$205,MATCH(E417,Vendor_Register!$A$5:$A$205,0)),"(not in register)"))</f>
        <v/>
      </c>
      <c r="H417" s="30"/>
      <c r="I417" s="30"/>
      <c r="J417" s="30"/>
      <c r="K417" s="30"/>
      <c r="L417" s="30"/>
      <c r="M417" s="34"/>
      <c r="N417" s="30"/>
      <c r="O417" s="35" t="str">
        <f>IF(NOT(ISNUMBER(M417)),"",IFERROR(IF(L417="EUR",M417,IF(L417="IRR",M417/INDEX('Assumptions &amp; FX Reference'!$C$5:$C$25,MATCH(H417,'Assumptions &amp; FX Reference'!$A$5:$A$25,0)),IF(L417="USD",M417*INDEX('Assumptions &amp; FX Reference'!$B$5:$B$25,MATCH(H417,'Assumptions &amp; FX Reference'!$A$5:$A$25,0))/INDEX('Assumptions &amp; FX Reference'!$C$5:$C$25,MATCH(H417,'Assumptions &amp; FX Reference'!$A$5:$A$25,0)),""))),"(FX missing)"))</f>
        <v/>
      </c>
      <c r="P417" s="30"/>
      <c r="Q417" s="30"/>
      <c r="R417" s="30"/>
      <c r="S417" s="30"/>
      <c r="T417" s="30"/>
      <c r="U417" s="30"/>
      <c r="V417" s="30"/>
    </row>
    <row r="418" spans="1:22">
      <c r="A418" s="30"/>
      <c r="B418" s="30"/>
      <c r="C418" s="33" t="str">
        <f>IF(B418="","",IFERROR(INDEX('Master Database'!$D$5:$D$600,MATCH(B418,'Master Database'!$A$5:$A$600,0)),"(row not found)"))</f>
        <v/>
      </c>
      <c r="D418" s="33" t="str">
        <f>IF(B418="","",IFERROR(INDEX('Master Database'!$B$5:$B$600,MATCH(B418,'Master Database'!$A$5:$A$600,0)),"(row not found)"))</f>
        <v/>
      </c>
      <c r="E418" s="30"/>
      <c r="F418" s="33" t="str">
        <f>IF(E418="","",IFERROR(INDEX(Vendor_Register!$B$5:$B$205,MATCH(E418,Vendor_Register!$A$5:$A$205,0)),"(not in register)"))</f>
        <v/>
      </c>
      <c r="G418" s="33" t="str">
        <f>IF(E418="","",IFERROR(INDEX(Vendor_Register!$E$5:$E$205,MATCH(E418,Vendor_Register!$A$5:$A$205,0)),"(not in register)"))</f>
        <v/>
      </c>
      <c r="H418" s="30"/>
      <c r="I418" s="30"/>
      <c r="J418" s="30"/>
      <c r="K418" s="30"/>
      <c r="L418" s="30"/>
      <c r="M418" s="34"/>
      <c r="N418" s="30"/>
      <c r="O418" s="35" t="str">
        <f>IF(NOT(ISNUMBER(M418)),"",IFERROR(IF(L418="EUR",M418,IF(L418="IRR",M418/INDEX('Assumptions &amp; FX Reference'!$C$5:$C$25,MATCH(H418,'Assumptions &amp; FX Reference'!$A$5:$A$25,0)),IF(L418="USD",M418*INDEX('Assumptions &amp; FX Reference'!$B$5:$B$25,MATCH(H418,'Assumptions &amp; FX Reference'!$A$5:$A$25,0))/INDEX('Assumptions &amp; FX Reference'!$C$5:$C$25,MATCH(H418,'Assumptions &amp; FX Reference'!$A$5:$A$25,0)),""))),"(FX missing)"))</f>
        <v/>
      </c>
      <c r="P418" s="30"/>
      <c r="Q418" s="30"/>
      <c r="R418" s="30"/>
      <c r="S418" s="30"/>
      <c r="T418" s="30"/>
      <c r="U418" s="30"/>
      <c r="V418" s="30"/>
    </row>
    <row r="419" spans="1:22">
      <c r="A419" s="30"/>
      <c r="B419" s="30"/>
      <c r="C419" s="33" t="str">
        <f>IF(B419="","",IFERROR(INDEX('Master Database'!$D$5:$D$600,MATCH(B419,'Master Database'!$A$5:$A$600,0)),"(row not found)"))</f>
        <v/>
      </c>
      <c r="D419" s="33" t="str">
        <f>IF(B419="","",IFERROR(INDEX('Master Database'!$B$5:$B$600,MATCH(B419,'Master Database'!$A$5:$A$600,0)),"(row not found)"))</f>
        <v/>
      </c>
      <c r="E419" s="30"/>
      <c r="F419" s="33" t="str">
        <f>IF(E419="","",IFERROR(INDEX(Vendor_Register!$B$5:$B$205,MATCH(E419,Vendor_Register!$A$5:$A$205,0)),"(not in register)"))</f>
        <v/>
      </c>
      <c r="G419" s="33" t="str">
        <f>IF(E419="","",IFERROR(INDEX(Vendor_Register!$E$5:$E$205,MATCH(E419,Vendor_Register!$A$5:$A$205,0)),"(not in register)"))</f>
        <v/>
      </c>
      <c r="H419" s="30"/>
      <c r="I419" s="30"/>
      <c r="J419" s="30"/>
      <c r="K419" s="30"/>
      <c r="L419" s="30"/>
      <c r="M419" s="34"/>
      <c r="N419" s="30"/>
      <c r="O419" s="35" t="str">
        <f>IF(NOT(ISNUMBER(M419)),"",IFERROR(IF(L419="EUR",M419,IF(L419="IRR",M419/INDEX('Assumptions &amp; FX Reference'!$C$5:$C$25,MATCH(H419,'Assumptions &amp; FX Reference'!$A$5:$A$25,0)),IF(L419="USD",M419*INDEX('Assumptions &amp; FX Reference'!$B$5:$B$25,MATCH(H419,'Assumptions &amp; FX Reference'!$A$5:$A$25,0))/INDEX('Assumptions &amp; FX Reference'!$C$5:$C$25,MATCH(H419,'Assumptions &amp; FX Reference'!$A$5:$A$25,0)),""))),"(FX missing)"))</f>
        <v/>
      </c>
      <c r="P419" s="30"/>
      <c r="Q419" s="30"/>
      <c r="R419" s="30"/>
      <c r="S419" s="30"/>
      <c r="T419" s="30"/>
      <c r="U419" s="30"/>
      <c r="V419" s="30"/>
    </row>
    <row r="420" spans="1:22">
      <c r="A420" s="30"/>
      <c r="B420" s="30"/>
      <c r="C420" s="33" t="str">
        <f>IF(B420="","",IFERROR(INDEX('Master Database'!$D$5:$D$600,MATCH(B420,'Master Database'!$A$5:$A$600,0)),"(row not found)"))</f>
        <v/>
      </c>
      <c r="D420" s="33" t="str">
        <f>IF(B420="","",IFERROR(INDEX('Master Database'!$B$5:$B$600,MATCH(B420,'Master Database'!$A$5:$A$600,0)),"(row not found)"))</f>
        <v/>
      </c>
      <c r="E420" s="30"/>
      <c r="F420" s="33" t="str">
        <f>IF(E420="","",IFERROR(INDEX(Vendor_Register!$B$5:$B$205,MATCH(E420,Vendor_Register!$A$5:$A$205,0)),"(not in register)"))</f>
        <v/>
      </c>
      <c r="G420" s="33" t="str">
        <f>IF(E420="","",IFERROR(INDEX(Vendor_Register!$E$5:$E$205,MATCH(E420,Vendor_Register!$A$5:$A$205,0)),"(not in register)"))</f>
        <v/>
      </c>
      <c r="H420" s="30"/>
      <c r="I420" s="30"/>
      <c r="J420" s="30"/>
      <c r="K420" s="30"/>
      <c r="L420" s="30"/>
      <c r="M420" s="34"/>
      <c r="N420" s="30"/>
      <c r="O420" s="35" t="str">
        <f>IF(NOT(ISNUMBER(M420)),"",IFERROR(IF(L420="EUR",M420,IF(L420="IRR",M420/INDEX('Assumptions &amp; FX Reference'!$C$5:$C$25,MATCH(H420,'Assumptions &amp; FX Reference'!$A$5:$A$25,0)),IF(L420="USD",M420*INDEX('Assumptions &amp; FX Reference'!$B$5:$B$25,MATCH(H420,'Assumptions &amp; FX Reference'!$A$5:$A$25,0))/INDEX('Assumptions &amp; FX Reference'!$C$5:$C$25,MATCH(H420,'Assumptions &amp; FX Reference'!$A$5:$A$25,0)),""))),"(FX missing)"))</f>
        <v/>
      </c>
      <c r="P420" s="30"/>
      <c r="Q420" s="30"/>
      <c r="R420" s="30"/>
      <c r="S420" s="30"/>
      <c r="T420" s="30"/>
      <c r="U420" s="30"/>
      <c r="V420" s="30"/>
    </row>
    <row r="421" spans="1:22">
      <c r="A421" s="30"/>
      <c r="B421" s="30"/>
      <c r="C421" s="33" t="str">
        <f>IF(B421="","",IFERROR(INDEX('Master Database'!$D$5:$D$600,MATCH(B421,'Master Database'!$A$5:$A$600,0)),"(row not found)"))</f>
        <v/>
      </c>
      <c r="D421" s="33" t="str">
        <f>IF(B421="","",IFERROR(INDEX('Master Database'!$B$5:$B$600,MATCH(B421,'Master Database'!$A$5:$A$600,0)),"(row not found)"))</f>
        <v/>
      </c>
      <c r="E421" s="30"/>
      <c r="F421" s="33" t="str">
        <f>IF(E421="","",IFERROR(INDEX(Vendor_Register!$B$5:$B$205,MATCH(E421,Vendor_Register!$A$5:$A$205,0)),"(not in register)"))</f>
        <v/>
      </c>
      <c r="G421" s="33" t="str">
        <f>IF(E421="","",IFERROR(INDEX(Vendor_Register!$E$5:$E$205,MATCH(E421,Vendor_Register!$A$5:$A$205,0)),"(not in register)"))</f>
        <v/>
      </c>
      <c r="H421" s="30"/>
      <c r="I421" s="30"/>
      <c r="J421" s="30"/>
      <c r="K421" s="30"/>
      <c r="L421" s="30"/>
      <c r="M421" s="34"/>
      <c r="N421" s="30"/>
      <c r="O421" s="35" t="str">
        <f>IF(NOT(ISNUMBER(M421)),"",IFERROR(IF(L421="EUR",M421,IF(L421="IRR",M421/INDEX('Assumptions &amp; FX Reference'!$C$5:$C$25,MATCH(H421,'Assumptions &amp; FX Reference'!$A$5:$A$25,0)),IF(L421="USD",M421*INDEX('Assumptions &amp; FX Reference'!$B$5:$B$25,MATCH(H421,'Assumptions &amp; FX Reference'!$A$5:$A$25,0))/INDEX('Assumptions &amp; FX Reference'!$C$5:$C$25,MATCH(H421,'Assumptions &amp; FX Reference'!$A$5:$A$25,0)),""))),"(FX missing)"))</f>
        <v/>
      </c>
      <c r="P421" s="30"/>
      <c r="Q421" s="30"/>
      <c r="R421" s="30"/>
      <c r="S421" s="30"/>
      <c r="T421" s="30"/>
      <c r="U421" s="30"/>
      <c r="V421" s="30"/>
    </row>
    <row r="422" spans="1:22">
      <c r="A422" s="30"/>
      <c r="B422" s="30"/>
      <c r="C422" s="33" t="str">
        <f>IF(B422="","",IFERROR(INDEX('Master Database'!$D$5:$D$600,MATCH(B422,'Master Database'!$A$5:$A$600,0)),"(row not found)"))</f>
        <v/>
      </c>
      <c r="D422" s="33" t="str">
        <f>IF(B422="","",IFERROR(INDEX('Master Database'!$B$5:$B$600,MATCH(B422,'Master Database'!$A$5:$A$600,0)),"(row not found)"))</f>
        <v/>
      </c>
      <c r="E422" s="30"/>
      <c r="F422" s="33" t="str">
        <f>IF(E422="","",IFERROR(INDEX(Vendor_Register!$B$5:$B$205,MATCH(E422,Vendor_Register!$A$5:$A$205,0)),"(not in register)"))</f>
        <v/>
      </c>
      <c r="G422" s="33" t="str">
        <f>IF(E422="","",IFERROR(INDEX(Vendor_Register!$E$5:$E$205,MATCH(E422,Vendor_Register!$A$5:$A$205,0)),"(not in register)"))</f>
        <v/>
      </c>
      <c r="H422" s="30"/>
      <c r="I422" s="30"/>
      <c r="J422" s="30"/>
      <c r="K422" s="30"/>
      <c r="L422" s="30"/>
      <c r="M422" s="34"/>
      <c r="N422" s="30"/>
      <c r="O422" s="35" t="str">
        <f>IF(NOT(ISNUMBER(M422)),"",IFERROR(IF(L422="EUR",M422,IF(L422="IRR",M422/INDEX('Assumptions &amp; FX Reference'!$C$5:$C$25,MATCH(H422,'Assumptions &amp; FX Reference'!$A$5:$A$25,0)),IF(L422="USD",M422*INDEX('Assumptions &amp; FX Reference'!$B$5:$B$25,MATCH(H422,'Assumptions &amp; FX Reference'!$A$5:$A$25,0))/INDEX('Assumptions &amp; FX Reference'!$C$5:$C$25,MATCH(H422,'Assumptions &amp; FX Reference'!$A$5:$A$25,0)),""))),"(FX missing)"))</f>
        <v/>
      </c>
      <c r="P422" s="30"/>
      <c r="Q422" s="30"/>
      <c r="R422" s="30"/>
      <c r="S422" s="30"/>
      <c r="T422" s="30"/>
      <c r="U422" s="30"/>
      <c r="V422" s="30"/>
    </row>
    <row r="423" spans="1:22">
      <c r="A423" s="30"/>
      <c r="B423" s="30"/>
      <c r="C423" s="33" t="str">
        <f>IF(B423="","",IFERROR(INDEX('Master Database'!$D$5:$D$600,MATCH(B423,'Master Database'!$A$5:$A$600,0)),"(row not found)"))</f>
        <v/>
      </c>
      <c r="D423" s="33" t="str">
        <f>IF(B423="","",IFERROR(INDEX('Master Database'!$B$5:$B$600,MATCH(B423,'Master Database'!$A$5:$A$600,0)),"(row not found)"))</f>
        <v/>
      </c>
      <c r="E423" s="30"/>
      <c r="F423" s="33" t="str">
        <f>IF(E423="","",IFERROR(INDEX(Vendor_Register!$B$5:$B$205,MATCH(E423,Vendor_Register!$A$5:$A$205,0)),"(not in register)"))</f>
        <v/>
      </c>
      <c r="G423" s="33" t="str">
        <f>IF(E423="","",IFERROR(INDEX(Vendor_Register!$E$5:$E$205,MATCH(E423,Vendor_Register!$A$5:$A$205,0)),"(not in register)"))</f>
        <v/>
      </c>
      <c r="H423" s="30"/>
      <c r="I423" s="30"/>
      <c r="J423" s="30"/>
      <c r="K423" s="30"/>
      <c r="L423" s="30"/>
      <c r="M423" s="34"/>
      <c r="N423" s="30"/>
      <c r="O423" s="35" t="str">
        <f>IF(NOT(ISNUMBER(M423)),"",IFERROR(IF(L423="EUR",M423,IF(L423="IRR",M423/INDEX('Assumptions &amp; FX Reference'!$C$5:$C$25,MATCH(H423,'Assumptions &amp; FX Reference'!$A$5:$A$25,0)),IF(L423="USD",M423*INDEX('Assumptions &amp; FX Reference'!$B$5:$B$25,MATCH(H423,'Assumptions &amp; FX Reference'!$A$5:$A$25,0))/INDEX('Assumptions &amp; FX Reference'!$C$5:$C$25,MATCH(H423,'Assumptions &amp; FX Reference'!$A$5:$A$25,0)),""))),"(FX missing)"))</f>
        <v/>
      </c>
      <c r="P423" s="30"/>
      <c r="Q423" s="30"/>
      <c r="R423" s="30"/>
      <c r="S423" s="30"/>
      <c r="T423" s="30"/>
      <c r="U423" s="30"/>
      <c r="V423" s="30"/>
    </row>
    <row r="424" spans="1:22">
      <c r="A424" s="30"/>
      <c r="B424" s="30"/>
      <c r="C424" s="33" t="str">
        <f>IF(B424="","",IFERROR(INDEX('Master Database'!$D$5:$D$600,MATCH(B424,'Master Database'!$A$5:$A$600,0)),"(row not found)"))</f>
        <v/>
      </c>
      <c r="D424" s="33" t="str">
        <f>IF(B424="","",IFERROR(INDEX('Master Database'!$B$5:$B$600,MATCH(B424,'Master Database'!$A$5:$A$600,0)),"(row not found)"))</f>
        <v/>
      </c>
      <c r="E424" s="30"/>
      <c r="F424" s="33" t="str">
        <f>IF(E424="","",IFERROR(INDEX(Vendor_Register!$B$5:$B$205,MATCH(E424,Vendor_Register!$A$5:$A$205,0)),"(not in register)"))</f>
        <v/>
      </c>
      <c r="G424" s="33" t="str">
        <f>IF(E424="","",IFERROR(INDEX(Vendor_Register!$E$5:$E$205,MATCH(E424,Vendor_Register!$A$5:$A$205,0)),"(not in register)"))</f>
        <v/>
      </c>
      <c r="H424" s="30"/>
      <c r="I424" s="30"/>
      <c r="J424" s="30"/>
      <c r="K424" s="30"/>
      <c r="L424" s="30"/>
      <c r="M424" s="34"/>
      <c r="N424" s="30"/>
      <c r="O424" s="35" t="str">
        <f>IF(NOT(ISNUMBER(M424)),"",IFERROR(IF(L424="EUR",M424,IF(L424="IRR",M424/INDEX('Assumptions &amp; FX Reference'!$C$5:$C$25,MATCH(H424,'Assumptions &amp; FX Reference'!$A$5:$A$25,0)),IF(L424="USD",M424*INDEX('Assumptions &amp; FX Reference'!$B$5:$B$25,MATCH(H424,'Assumptions &amp; FX Reference'!$A$5:$A$25,0))/INDEX('Assumptions &amp; FX Reference'!$C$5:$C$25,MATCH(H424,'Assumptions &amp; FX Reference'!$A$5:$A$25,0)),""))),"(FX missing)"))</f>
        <v/>
      </c>
      <c r="P424" s="30"/>
      <c r="Q424" s="30"/>
      <c r="R424" s="30"/>
      <c r="S424" s="30"/>
      <c r="T424" s="30"/>
      <c r="U424" s="30"/>
      <c r="V424" s="30"/>
    </row>
    <row r="425" spans="1:22">
      <c r="A425" s="30"/>
      <c r="B425" s="30"/>
      <c r="C425" s="33" t="str">
        <f>IF(B425="","",IFERROR(INDEX('Master Database'!$D$5:$D$600,MATCH(B425,'Master Database'!$A$5:$A$600,0)),"(row not found)"))</f>
        <v/>
      </c>
      <c r="D425" s="33" t="str">
        <f>IF(B425="","",IFERROR(INDEX('Master Database'!$B$5:$B$600,MATCH(B425,'Master Database'!$A$5:$A$600,0)),"(row not found)"))</f>
        <v/>
      </c>
      <c r="E425" s="30"/>
      <c r="F425" s="33" t="str">
        <f>IF(E425="","",IFERROR(INDEX(Vendor_Register!$B$5:$B$205,MATCH(E425,Vendor_Register!$A$5:$A$205,0)),"(not in register)"))</f>
        <v/>
      </c>
      <c r="G425" s="33" t="str">
        <f>IF(E425="","",IFERROR(INDEX(Vendor_Register!$E$5:$E$205,MATCH(E425,Vendor_Register!$A$5:$A$205,0)),"(not in register)"))</f>
        <v/>
      </c>
      <c r="H425" s="30"/>
      <c r="I425" s="30"/>
      <c r="J425" s="30"/>
      <c r="K425" s="30"/>
      <c r="L425" s="30"/>
      <c r="M425" s="34"/>
      <c r="N425" s="30"/>
      <c r="O425" s="35" t="str">
        <f>IF(NOT(ISNUMBER(M425)),"",IFERROR(IF(L425="EUR",M425,IF(L425="IRR",M425/INDEX('Assumptions &amp; FX Reference'!$C$5:$C$25,MATCH(H425,'Assumptions &amp; FX Reference'!$A$5:$A$25,0)),IF(L425="USD",M425*INDEX('Assumptions &amp; FX Reference'!$B$5:$B$25,MATCH(H425,'Assumptions &amp; FX Reference'!$A$5:$A$25,0))/INDEX('Assumptions &amp; FX Reference'!$C$5:$C$25,MATCH(H425,'Assumptions &amp; FX Reference'!$A$5:$A$25,0)),""))),"(FX missing)"))</f>
        <v/>
      </c>
      <c r="P425" s="30"/>
      <c r="Q425" s="30"/>
      <c r="R425" s="30"/>
      <c r="S425" s="30"/>
      <c r="T425" s="30"/>
      <c r="U425" s="30"/>
      <c r="V425" s="30"/>
    </row>
    <row r="426" spans="1:22">
      <c r="A426" s="30"/>
      <c r="B426" s="30"/>
      <c r="C426" s="33" t="str">
        <f>IF(B426="","",IFERROR(INDEX('Master Database'!$D$5:$D$600,MATCH(B426,'Master Database'!$A$5:$A$600,0)),"(row not found)"))</f>
        <v/>
      </c>
      <c r="D426" s="33" t="str">
        <f>IF(B426="","",IFERROR(INDEX('Master Database'!$B$5:$B$600,MATCH(B426,'Master Database'!$A$5:$A$600,0)),"(row not found)"))</f>
        <v/>
      </c>
      <c r="E426" s="30"/>
      <c r="F426" s="33" t="str">
        <f>IF(E426="","",IFERROR(INDEX(Vendor_Register!$B$5:$B$205,MATCH(E426,Vendor_Register!$A$5:$A$205,0)),"(not in register)"))</f>
        <v/>
      </c>
      <c r="G426" s="33" t="str">
        <f>IF(E426="","",IFERROR(INDEX(Vendor_Register!$E$5:$E$205,MATCH(E426,Vendor_Register!$A$5:$A$205,0)),"(not in register)"))</f>
        <v/>
      </c>
      <c r="H426" s="30"/>
      <c r="I426" s="30"/>
      <c r="J426" s="30"/>
      <c r="K426" s="30"/>
      <c r="L426" s="30"/>
      <c r="M426" s="34"/>
      <c r="N426" s="30"/>
      <c r="O426" s="35" t="str">
        <f>IF(NOT(ISNUMBER(M426)),"",IFERROR(IF(L426="EUR",M426,IF(L426="IRR",M426/INDEX('Assumptions &amp; FX Reference'!$C$5:$C$25,MATCH(H426,'Assumptions &amp; FX Reference'!$A$5:$A$25,0)),IF(L426="USD",M426*INDEX('Assumptions &amp; FX Reference'!$B$5:$B$25,MATCH(H426,'Assumptions &amp; FX Reference'!$A$5:$A$25,0))/INDEX('Assumptions &amp; FX Reference'!$C$5:$C$25,MATCH(H426,'Assumptions &amp; FX Reference'!$A$5:$A$25,0)),""))),"(FX missing)"))</f>
        <v/>
      </c>
      <c r="P426" s="30"/>
      <c r="Q426" s="30"/>
      <c r="R426" s="30"/>
      <c r="S426" s="30"/>
      <c r="T426" s="30"/>
      <c r="U426" s="30"/>
      <c r="V426" s="30"/>
    </row>
    <row r="427" spans="1:22">
      <c r="A427" s="30"/>
      <c r="B427" s="30"/>
      <c r="C427" s="33" t="str">
        <f>IF(B427="","",IFERROR(INDEX('Master Database'!$D$5:$D$600,MATCH(B427,'Master Database'!$A$5:$A$600,0)),"(row not found)"))</f>
        <v/>
      </c>
      <c r="D427" s="33" t="str">
        <f>IF(B427="","",IFERROR(INDEX('Master Database'!$B$5:$B$600,MATCH(B427,'Master Database'!$A$5:$A$600,0)),"(row not found)"))</f>
        <v/>
      </c>
      <c r="E427" s="30"/>
      <c r="F427" s="33" t="str">
        <f>IF(E427="","",IFERROR(INDEX(Vendor_Register!$B$5:$B$205,MATCH(E427,Vendor_Register!$A$5:$A$205,0)),"(not in register)"))</f>
        <v/>
      </c>
      <c r="G427" s="33" t="str">
        <f>IF(E427="","",IFERROR(INDEX(Vendor_Register!$E$5:$E$205,MATCH(E427,Vendor_Register!$A$5:$A$205,0)),"(not in register)"))</f>
        <v/>
      </c>
      <c r="H427" s="30"/>
      <c r="I427" s="30"/>
      <c r="J427" s="30"/>
      <c r="K427" s="30"/>
      <c r="L427" s="30"/>
      <c r="M427" s="34"/>
      <c r="N427" s="30"/>
      <c r="O427" s="35" t="str">
        <f>IF(NOT(ISNUMBER(M427)),"",IFERROR(IF(L427="EUR",M427,IF(L427="IRR",M427/INDEX('Assumptions &amp; FX Reference'!$C$5:$C$25,MATCH(H427,'Assumptions &amp; FX Reference'!$A$5:$A$25,0)),IF(L427="USD",M427*INDEX('Assumptions &amp; FX Reference'!$B$5:$B$25,MATCH(H427,'Assumptions &amp; FX Reference'!$A$5:$A$25,0))/INDEX('Assumptions &amp; FX Reference'!$C$5:$C$25,MATCH(H427,'Assumptions &amp; FX Reference'!$A$5:$A$25,0)),""))),"(FX missing)"))</f>
        <v/>
      </c>
      <c r="P427" s="30"/>
      <c r="Q427" s="30"/>
      <c r="R427" s="30"/>
      <c r="S427" s="30"/>
      <c r="T427" s="30"/>
      <c r="U427" s="30"/>
      <c r="V427" s="30"/>
    </row>
    <row r="428" spans="1:22">
      <c r="A428" s="30"/>
      <c r="B428" s="30"/>
      <c r="C428" s="33" t="str">
        <f>IF(B428="","",IFERROR(INDEX('Master Database'!$D$5:$D$600,MATCH(B428,'Master Database'!$A$5:$A$600,0)),"(row not found)"))</f>
        <v/>
      </c>
      <c r="D428" s="33" t="str">
        <f>IF(B428="","",IFERROR(INDEX('Master Database'!$B$5:$B$600,MATCH(B428,'Master Database'!$A$5:$A$600,0)),"(row not found)"))</f>
        <v/>
      </c>
      <c r="E428" s="30"/>
      <c r="F428" s="33" t="str">
        <f>IF(E428="","",IFERROR(INDEX(Vendor_Register!$B$5:$B$205,MATCH(E428,Vendor_Register!$A$5:$A$205,0)),"(not in register)"))</f>
        <v/>
      </c>
      <c r="G428" s="33" t="str">
        <f>IF(E428="","",IFERROR(INDEX(Vendor_Register!$E$5:$E$205,MATCH(E428,Vendor_Register!$A$5:$A$205,0)),"(not in register)"))</f>
        <v/>
      </c>
      <c r="H428" s="30"/>
      <c r="I428" s="30"/>
      <c r="J428" s="30"/>
      <c r="K428" s="30"/>
      <c r="L428" s="30"/>
      <c r="M428" s="34"/>
      <c r="N428" s="30"/>
      <c r="O428" s="35" t="str">
        <f>IF(NOT(ISNUMBER(M428)),"",IFERROR(IF(L428="EUR",M428,IF(L428="IRR",M428/INDEX('Assumptions &amp; FX Reference'!$C$5:$C$25,MATCH(H428,'Assumptions &amp; FX Reference'!$A$5:$A$25,0)),IF(L428="USD",M428*INDEX('Assumptions &amp; FX Reference'!$B$5:$B$25,MATCH(H428,'Assumptions &amp; FX Reference'!$A$5:$A$25,0))/INDEX('Assumptions &amp; FX Reference'!$C$5:$C$25,MATCH(H428,'Assumptions &amp; FX Reference'!$A$5:$A$25,0)),""))),"(FX missing)"))</f>
        <v/>
      </c>
      <c r="P428" s="30"/>
      <c r="Q428" s="30"/>
      <c r="R428" s="30"/>
      <c r="S428" s="30"/>
      <c r="T428" s="30"/>
      <c r="U428" s="30"/>
      <c r="V428" s="30"/>
    </row>
    <row r="429" spans="1:22">
      <c r="A429" s="30"/>
      <c r="B429" s="30"/>
      <c r="C429" s="33" t="str">
        <f>IF(B429="","",IFERROR(INDEX('Master Database'!$D$5:$D$600,MATCH(B429,'Master Database'!$A$5:$A$600,0)),"(row not found)"))</f>
        <v/>
      </c>
      <c r="D429" s="33" t="str">
        <f>IF(B429="","",IFERROR(INDEX('Master Database'!$B$5:$B$600,MATCH(B429,'Master Database'!$A$5:$A$600,0)),"(row not found)"))</f>
        <v/>
      </c>
      <c r="E429" s="30"/>
      <c r="F429" s="33" t="str">
        <f>IF(E429="","",IFERROR(INDEX(Vendor_Register!$B$5:$B$205,MATCH(E429,Vendor_Register!$A$5:$A$205,0)),"(not in register)"))</f>
        <v/>
      </c>
      <c r="G429" s="33" t="str">
        <f>IF(E429="","",IFERROR(INDEX(Vendor_Register!$E$5:$E$205,MATCH(E429,Vendor_Register!$A$5:$A$205,0)),"(not in register)"))</f>
        <v/>
      </c>
      <c r="H429" s="30"/>
      <c r="I429" s="30"/>
      <c r="J429" s="30"/>
      <c r="K429" s="30"/>
      <c r="L429" s="30"/>
      <c r="M429" s="34"/>
      <c r="N429" s="30"/>
      <c r="O429" s="35" t="str">
        <f>IF(NOT(ISNUMBER(M429)),"",IFERROR(IF(L429="EUR",M429,IF(L429="IRR",M429/INDEX('Assumptions &amp; FX Reference'!$C$5:$C$25,MATCH(H429,'Assumptions &amp; FX Reference'!$A$5:$A$25,0)),IF(L429="USD",M429*INDEX('Assumptions &amp; FX Reference'!$B$5:$B$25,MATCH(H429,'Assumptions &amp; FX Reference'!$A$5:$A$25,0))/INDEX('Assumptions &amp; FX Reference'!$C$5:$C$25,MATCH(H429,'Assumptions &amp; FX Reference'!$A$5:$A$25,0)),""))),"(FX missing)"))</f>
        <v/>
      </c>
      <c r="P429" s="30"/>
      <c r="Q429" s="30"/>
      <c r="R429" s="30"/>
      <c r="S429" s="30"/>
      <c r="T429" s="30"/>
      <c r="U429" s="30"/>
      <c r="V429" s="30"/>
    </row>
    <row r="430" spans="1:22">
      <c r="A430" s="30"/>
      <c r="B430" s="30"/>
      <c r="C430" s="33" t="str">
        <f>IF(B430="","",IFERROR(INDEX('Master Database'!$D$5:$D$600,MATCH(B430,'Master Database'!$A$5:$A$600,0)),"(row not found)"))</f>
        <v/>
      </c>
      <c r="D430" s="33" t="str">
        <f>IF(B430="","",IFERROR(INDEX('Master Database'!$B$5:$B$600,MATCH(B430,'Master Database'!$A$5:$A$600,0)),"(row not found)"))</f>
        <v/>
      </c>
      <c r="E430" s="30"/>
      <c r="F430" s="33" t="str">
        <f>IF(E430="","",IFERROR(INDEX(Vendor_Register!$B$5:$B$205,MATCH(E430,Vendor_Register!$A$5:$A$205,0)),"(not in register)"))</f>
        <v/>
      </c>
      <c r="G430" s="33" t="str">
        <f>IF(E430="","",IFERROR(INDEX(Vendor_Register!$E$5:$E$205,MATCH(E430,Vendor_Register!$A$5:$A$205,0)),"(not in register)"))</f>
        <v/>
      </c>
      <c r="H430" s="30"/>
      <c r="I430" s="30"/>
      <c r="J430" s="30"/>
      <c r="K430" s="30"/>
      <c r="L430" s="30"/>
      <c r="M430" s="34"/>
      <c r="N430" s="30"/>
      <c r="O430" s="35" t="str">
        <f>IF(NOT(ISNUMBER(M430)),"",IFERROR(IF(L430="EUR",M430,IF(L430="IRR",M430/INDEX('Assumptions &amp; FX Reference'!$C$5:$C$25,MATCH(H430,'Assumptions &amp; FX Reference'!$A$5:$A$25,0)),IF(L430="USD",M430*INDEX('Assumptions &amp; FX Reference'!$B$5:$B$25,MATCH(H430,'Assumptions &amp; FX Reference'!$A$5:$A$25,0))/INDEX('Assumptions &amp; FX Reference'!$C$5:$C$25,MATCH(H430,'Assumptions &amp; FX Reference'!$A$5:$A$25,0)),""))),"(FX missing)"))</f>
        <v/>
      </c>
      <c r="P430" s="30"/>
      <c r="Q430" s="30"/>
      <c r="R430" s="30"/>
      <c r="S430" s="30"/>
      <c r="T430" s="30"/>
      <c r="U430" s="30"/>
      <c r="V430" s="30"/>
    </row>
    <row r="431" spans="1:22">
      <c r="A431" s="30"/>
      <c r="B431" s="30"/>
      <c r="C431" s="33" t="str">
        <f>IF(B431="","",IFERROR(INDEX('Master Database'!$D$5:$D$600,MATCH(B431,'Master Database'!$A$5:$A$600,0)),"(row not found)"))</f>
        <v/>
      </c>
      <c r="D431" s="33" t="str">
        <f>IF(B431="","",IFERROR(INDEX('Master Database'!$B$5:$B$600,MATCH(B431,'Master Database'!$A$5:$A$600,0)),"(row not found)"))</f>
        <v/>
      </c>
      <c r="E431" s="30"/>
      <c r="F431" s="33" t="str">
        <f>IF(E431="","",IFERROR(INDEX(Vendor_Register!$B$5:$B$205,MATCH(E431,Vendor_Register!$A$5:$A$205,0)),"(not in register)"))</f>
        <v/>
      </c>
      <c r="G431" s="33" t="str">
        <f>IF(E431="","",IFERROR(INDEX(Vendor_Register!$E$5:$E$205,MATCH(E431,Vendor_Register!$A$5:$A$205,0)),"(not in register)"))</f>
        <v/>
      </c>
      <c r="H431" s="30"/>
      <c r="I431" s="30"/>
      <c r="J431" s="30"/>
      <c r="K431" s="30"/>
      <c r="L431" s="30"/>
      <c r="M431" s="34"/>
      <c r="N431" s="30"/>
      <c r="O431" s="35" t="str">
        <f>IF(NOT(ISNUMBER(M431)),"",IFERROR(IF(L431="EUR",M431,IF(L431="IRR",M431/INDEX('Assumptions &amp; FX Reference'!$C$5:$C$25,MATCH(H431,'Assumptions &amp; FX Reference'!$A$5:$A$25,0)),IF(L431="USD",M431*INDEX('Assumptions &amp; FX Reference'!$B$5:$B$25,MATCH(H431,'Assumptions &amp; FX Reference'!$A$5:$A$25,0))/INDEX('Assumptions &amp; FX Reference'!$C$5:$C$25,MATCH(H431,'Assumptions &amp; FX Reference'!$A$5:$A$25,0)),""))),"(FX missing)"))</f>
        <v/>
      </c>
      <c r="P431" s="30"/>
      <c r="Q431" s="30"/>
      <c r="R431" s="30"/>
      <c r="S431" s="30"/>
      <c r="T431" s="30"/>
      <c r="U431" s="30"/>
      <c r="V431" s="30"/>
    </row>
    <row r="432" spans="1:22">
      <c r="A432" s="30"/>
      <c r="B432" s="30"/>
      <c r="C432" s="33" t="str">
        <f>IF(B432="","",IFERROR(INDEX('Master Database'!$D$5:$D$600,MATCH(B432,'Master Database'!$A$5:$A$600,0)),"(row not found)"))</f>
        <v/>
      </c>
      <c r="D432" s="33" t="str">
        <f>IF(B432="","",IFERROR(INDEX('Master Database'!$B$5:$B$600,MATCH(B432,'Master Database'!$A$5:$A$600,0)),"(row not found)"))</f>
        <v/>
      </c>
      <c r="E432" s="30"/>
      <c r="F432" s="33" t="str">
        <f>IF(E432="","",IFERROR(INDEX(Vendor_Register!$B$5:$B$205,MATCH(E432,Vendor_Register!$A$5:$A$205,0)),"(not in register)"))</f>
        <v/>
      </c>
      <c r="G432" s="33" t="str">
        <f>IF(E432="","",IFERROR(INDEX(Vendor_Register!$E$5:$E$205,MATCH(E432,Vendor_Register!$A$5:$A$205,0)),"(not in register)"))</f>
        <v/>
      </c>
      <c r="H432" s="30"/>
      <c r="I432" s="30"/>
      <c r="J432" s="30"/>
      <c r="K432" s="30"/>
      <c r="L432" s="30"/>
      <c r="M432" s="34"/>
      <c r="N432" s="30"/>
      <c r="O432" s="35" t="str">
        <f>IF(NOT(ISNUMBER(M432)),"",IFERROR(IF(L432="EUR",M432,IF(L432="IRR",M432/INDEX('Assumptions &amp; FX Reference'!$C$5:$C$25,MATCH(H432,'Assumptions &amp; FX Reference'!$A$5:$A$25,0)),IF(L432="USD",M432*INDEX('Assumptions &amp; FX Reference'!$B$5:$B$25,MATCH(H432,'Assumptions &amp; FX Reference'!$A$5:$A$25,0))/INDEX('Assumptions &amp; FX Reference'!$C$5:$C$25,MATCH(H432,'Assumptions &amp; FX Reference'!$A$5:$A$25,0)),""))),"(FX missing)"))</f>
        <v/>
      </c>
      <c r="P432" s="30"/>
      <c r="Q432" s="30"/>
      <c r="R432" s="30"/>
      <c r="S432" s="30"/>
      <c r="T432" s="30"/>
      <c r="U432" s="30"/>
      <c r="V432" s="30"/>
    </row>
    <row r="433" spans="1:22">
      <c r="A433" s="30"/>
      <c r="B433" s="30"/>
      <c r="C433" s="33" t="str">
        <f>IF(B433="","",IFERROR(INDEX('Master Database'!$D$5:$D$600,MATCH(B433,'Master Database'!$A$5:$A$600,0)),"(row not found)"))</f>
        <v/>
      </c>
      <c r="D433" s="33" t="str">
        <f>IF(B433="","",IFERROR(INDEX('Master Database'!$B$5:$B$600,MATCH(B433,'Master Database'!$A$5:$A$600,0)),"(row not found)"))</f>
        <v/>
      </c>
      <c r="E433" s="30"/>
      <c r="F433" s="33" t="str">
        <f>IF(E433="","",IFERROR(INDEX(Vendor_Register!$B$5:$B$205,MATCH(E433,Vendor_Register!$A$5:$A$205,0)),"(not in register)"))</f>
        <v/>
      </c>
      <c r="G433" s="33" t="str">
        <f>IF(E433="","",IFERROR(INDEX(Vendor_Register!$E$5:$E$205,MATCH(E433,Vendor_Register!$A$5:$A$205,0)),"(not in register)"))</f>
        <v/>
      </c>
      <c r="H433" s="30"/>
      <c r="I433" s="30"/>
      <c r="J433" s="30"/>
      <c r="K433" s="30"/>
      <c r="L433" s="30"/>
      <c r="M433" s="34"/>
      <c r="N433" s="30"/>
      <c r="O433" s="35" t="str">
        <f>IF(NOT(ISNUMBER(M433)),"",IFERROR(IF(L433="EUR",M433,IF(L433="IRR",M433/INDEX('Assumptions &amp; FX Reference'!$C$5:$C$25,MATCH(H433,'Assumptions &amp; FX Reference'!$A$5:$A$25,0)),IF(L433="USD",M433*INDEX('Assumptions &amp; FX Reference'!$B$5:$B$25,MATCH(H433,'Assumptions &amp; FX Reference'!$A$5:$A$25,0))/INDEX('Assumptions &amp; FX Reference'!$C$5:$C$25,MATCH(H433,'Assumptions &amp; FX Reference'!$A$5:$A$25,0)),""))),"(FX missing)"))</f>
        <v/>
      </c>
      <c r="P433" s="30"/>
      <c r="Q433" s="30"/>
      <c r="R433" s="30"/>
      <c r="S433" s="30"/>
      <c r="T433" s="30"/>
      <c r="U433" s="30"/>
      <c r="V433" s="30"/>
    </row>
    <row r="434" spans="1:22">
      <c r="A434" s="30"/>
      <c r="B434" s="30"/>
      <c r="C434" s="33" t="str">
        <f>IF(B434="","",IFERROR(INDEX('Master Database'!$D$5:$D$600,MATCH(B434,'Master Database'!$A$5:$A$600,0)),"(row not found)"))</f>
        <v/>
      </c>
      <c r="D434" s="33" t="str">
        <f>IF(B434="","",IFERROR(INDEX('Master Database'!$B$5:$B$600,MATCH(B434,'Master Database'!$A$5:$A$600,0)),"(row not found)"))</f>
        <v/>
      </c>
      <c r="E434" s="30"/>
      <c r="F434" s="33" t="str">
        <f>IF(E434="","",IFERROR(INDEX(Vendor_Register!$B$5:$B$205,MATCH(E434,Vendor_Register!$A$5:$A$205,0)),"(not in register)"))</f>
        <v/>
      </c>
      <c r="G434" s="33" t="str">
        <f>IF(E434="","",IFERROR(INDEX(Vendor_Register!$E$5:$E$205,MATCH(E434,Vendor_Register!$A$5:$A$205,0)),"(not in register)"))</f>
        <v/>
      </c>
      <c r="H434" s="30"/>
      <c r="I434" s="30"/>
      <c r="J434" s="30"/>
      <c r="K434" s="30"/>
      <c r="L434" s="30"/>
      <c r="M434" s="34"/>
      <c r="N434" s="30"/>
      <c r="O434" s="35" t="str">
        <f>IF(NOT(ISNUMBER(M434)),"",IFERROR(IF(L434="EUR",M434,IF(L434="IRR",M434/INDEX('Assumptions &amp; FX Reference'!$C$5:$C$25,MATCH(H434,'Assumptions &amp; FX Reference'!$A$5:$A$25,0)),IF(L434="USD",M434*INDEX('Assumptions &amp; FX Reference'!$B$5:$B$25,MATCH(H434,'Assumptions &amp; FX Reference'!$A$5:$A$25,0))/INDEX('Assumptions &amp; FX Reference'!$C$5:$C$25,MATCH(H434,'Assumptions &amp; FX Reference'!$A$5:$A$25,0)),""))),"(FX missing)"))</f>
        <v/>
      </c>
      <c r="P434" s="30"/>
      <c r="Q434" s="30"/>
      <c r="R434" s="30"/>
      <c r="S434" s="30"/>
      <c r="T434" s="30"/>
      <c r="U434" s="30"/>
      <c r="V434" s="30"/>
    </row>
    <row r="435" spans="1:22">
      <c r="A435" s="30"/>
      <c r="B435" s="30"/>
      <c r="C435" s="33" t="str">
        <f>IF(B435="","",IFERROR(INDEX('Master Database'!$D$5:$D$600,MATCH(B435,'Master Database'!$A$5:$A$600,0)),"(row not found)"))</f>
        <v/>
      </c>
      <c r="D435" s="33" t="str">
        <f>IF(B435="","",IFERROR(INDEX('Master Database'!$B$5:$B$600,MATCH(B435,'Master Database'!$A$5:$A$600,0)),"(row not found)"))</f>
        <v/>
      </c>
      <c r="E435" s="30"/>
      <c r="F435" s="33" t="str">
        <f>IF(E435="","",IFERROR(INDEX(Vendor_Register!$B$5:$B$205,MATCH(E435,Vendor_Register!$A$5:$A$205,0)),"(not in register)"))</f>
        <v/>
      </c>
      <c r="G435" s="33" t="str">
        <f>IF(E435="","",IFERROR(INDEX(Vendor_Register!$E$5:$E$205,MATCH(E435,Vendor_Register!$A$5:$A$205,0)),"(not in register)"))</f>
        <v/>
      </c>
      <c r="H435" s="30"/>
      <c r="I435" s="30"/>
      <c r="J435" s="30"/>
      <c r="K435" s="30"/>
      <c r="L435" s="30"/>
      <c r="M435" s="34"/>
      <c r="N435" s="30"/>
      <c r="O435" s="35" t="str">
        <f>IF(NOT(ISNUMBER(M435)),"",IFERROR(IF(L435="EUR",M435,IF(L435="IRR",M435/INDEX('Assumptions &amp; FX Reference'!$C$5:$C$25,MATCH(H435,'Assumptions &amp; FX Reference'!$A$5:$A$25,0)),IF(L435="USD",M435*INDEX('Assumptions &amp; FX Reference'!$B$5:$B$25,MATCH(H435,'Assumptions &amp; FX Reference'!$A$5:$A$25,0))/INDEX('Assumptions &amp; FX Reference'!$C$5:$C$25,MATCH(H435,'Assumptions &amp; FX Reference'!$A$5:$A$25,0)),""))),"(FX missing)"))</f>
        <v/>
      </c>
      <c r="P435" s="30"/>
      <c r="Q435" s="30"/>
      <c r="R435" s="30"/>
      <c r="S435" s="30"/>
      <c r="T435" s="30"/>
      <c r="U435" s="30"/>
      <c r="V435" s="30"/>
    </row>
    <row r="436" spans="1:22">
      <c r="A436" s="30"/>
      <c r="B436" s="30"/>
      <c r="C436" s="33" t="str">
        <f>IF(B436="","",IFERROR(INDEX('Master Database'!$D$5:$D$600,MATCH(B436,'Master Database'!$A$5:$A$600,0)),"(row not found)"))</f>
        <v/>
      </c>
      <c r="D436" s="33" t="str">
        <f>IF(B436="","",IFERROR(INDEX('Master Database'!$B$5:$B$600,MATCH(B436,'Master Database'!$A$5:$A$600,0)),"(row not found)"))</f>
        <v/>
      </c>
      <c r="E436" s="30"/>
      <c r="F436" s="33" t="str">
        <f>IF(E436="","",IFERROR(INDEX(Vendor_Register!$B$5:$B$205,MATCH(E436,Vendor_Register!$A$5:$A$205,0)),"(not in register)"))</f>
        <v/>
      </c>
      <c r="G436" s="33" t="str">
        <f>IF(E436="","",IFERROR(INDEX(Vendor_Register!$E$5:$E$205,MATCH(E436,Vendor_Register!$A$5:$A$205,0)),"(not in register)"))</f>
        <v/>
      </c>
      <c r="H436" s="30"/>
      <c r="I436" s="30"/>
      <c r="J436" s="30"/>
      <c r="K436" s="30"/>
      <c r="L436" s="30"/>
      <c r="M436" s="34"/>
      <c r="N436" s="30"/>
      <c r="O436" s="35" t="str">
        <f>IF(NOT(ISNUMBER(M436)),"",IFERROR(IF(L436="EUR",M436,IF(L436="IRR",M436/INDEX('Assumptions &amp; FX Reference'!$C$5:$C$25,MATCH(H436,'Assumptions &amp; FX Reference'!$A$5:$A$25,0)),IF(L436="USD",M436*INDEX('Assumptions &amp; FX Reference'!$B$5:$B$25,MATCH(H436,'Assumptions &amp; FX Reference'!$A$5:$A$25,0))/INDEX('Assumptions &amp; FX Reference'!$C$5:$C$25,MATCH(H436,'Assumptions &amp; FX Reference'!$A$5:$A$25,0)),""))),"(FX missing)"))</f>
        <v/>
      </c>
      <c r="P436" s="30"/>
      <c r="Q436" s="30"/>
      <c r="R436" s="30"/>
      <c r="S436" s="30"/>
      <c r="T436" s="30"/>
      <c r="U436" s="30"/>
      <c r="V436" s="30"/>
    </row>
    <row r="437" spans="1:22">
      <c r="A437" s="30"/>
      <c r="B437" s="30"/>
      <c r="C437" s="33" t="str">
        <f>IF(B437="","",IFERROR(INDEX('Master Database'!$D$5:$D$600,MATCH(B437,'Master Database'!$A$5:$A$600,0)),"(row not found)"))</f>
        <v/>
      </c>
      <c r="D437" s="33" t="str">
        <f>IF(B437="","",IFERROR(INDEX('Master Database'!$B$5:$B$600,MATCH(B437,'Master Database'!$A$5:$A$600,0)),"(row not found)"))</f>
        <v/>
      </c>
      <c r="E437" s="30"/>
      <c r="F437" s="33" t="str">
        <f>IF(E437="","",IFERROR(INDEX(Vendor_Register!$B$5:$B$205,MATCH(E437,Vendor_Register!$A$5:$A$205,0)),"(not in register)"))</f>
        <v/>
      </c>
      <c r="G437" s="33" t="str">
        <f>IF(E437="","",IFERROR(INDEX(Vendor_Register!$E$5:$E$205,MATCH(E437,Vendor_Register!$A$5:$A$205,0)),"(not in register)"))</f>
        <v/>
      </c>
      <c r="H437" s="30"/>
      <c r="I437" s="30"/>
      <c r="J437" s="30"/>
      <c r="K437" s="30"/>
      <c r="L437" s="30"/>
      <c r="M437" s="34"/>
      <c r="N437" s="30"/>
      <c r="O437" s="35" t="str">
        <f>IF(NOT(ISNUMBER(M437)),"",IFERROR(IF(L437="EUR",M437,IF(L437="IRR",M437/INDEX('Assumptions &amp; FX Reference'!$C$5:$C$25,MATCH(H437,'Assumptions &amp; FX Reference'!$A$5:$A$25,0)),IF(L437="USD",M437*INDEX('Assumptions &amp; FX Reference'!$B$5:$B$25,MATCH(H437,'Assumptions &amp; FX Reference'!$A$5:$A$25,0))/INDEX('Assumptions &amp; FX Reference'!$C$5:$C$25,MATCH(H437,'Assumptions &amp; FX Reference'!$A$5:$A$25,0)),""))),"(FX missing)"))</f>
        <v/>
      </c>
      <c r="P437" s="30"/>
      <c r="Q437" s="30"/>
      <c r="R437" s="30"/>
      <c r="S437" s="30"/>
      <c r="T437" s="30"/>
      <c r="U437" s="30"/>
      <c r="V437" s="30"/>
    </row>
    <row r="438" spans="1:22">
      <c r="A438" s="30"/>
      <c r="B438" s="30"/>
      <c r="C438" s="33" t="str">
        <f>IF(B438="","",IFERROR(INDEX('Master Database'!$D$5:$D$600,MATCH(B438,'Master Database'!$A$5:$A$600,0)),"(row not found)"))</f>
        <v/>
      </c>
      <c r="D438" s="33" t="str">
        <f>IF(B438="","",IFERROR(INDEX('Master Database'!$B$5:$B$600,MATCH(B438,'Master Database'!$A$5:$A$600,0)),"(row not found)"))</f>
        <v/>
      </c>
      <c r="E438" s="30"/>
      <c r="F438" s="33" t="str">
        <f>IF(E438="","",IFERROR(INDEX(Vendor_Register!$B$5:$B$205,MATCH(E438,Vendor_Register!$A$5:$A$205,0)),"(not in register)"))</f>
        <v/>
      </c>
      <c r="G438" s="33" t="str">
        <f>IF(E438="","",IFERROR(INDEX(Vendor_Register!$E$5:$E$205,MATCH(E438,Vendor_Register!$A$5:$A$205,0)),"(not in register)"))</f>
        <v/>
      </c>
      <c r="H438" s="30"/>
      <c r="I438" s="30"/>
      <c r="J438" s="30"/>
      <c r="K438" s="30"/>
      <c r="L438" s="30"/>
      <c r="M438" s="34"/>
      <c r="N438" s="30"/>
      <c r="O438" s="35" t="str">
        <f>IF(NOT(ISNUMBER(M438)),"",IFERROR(IF(L438="EUR",M438,IF(L438="IRR",M438/INDEX('Assumptions &amp; FX Reference'!$C$5:$C$25,MATCH(H438,'Assumptions &amp; FX Reference'!$A$5:$A$25,0)),IF(L438="USD",M438*INDEX('Assumptions &amp; FX Reference'!$B$5:$B$25,MATCH(H438,'Assumptions &amp; FX Reference'!$A$5:$A$25,0))/INDEX('Assumptions &amp; FX Reference'!$C$5:$C$25,MATCH(H438,'Assumptions &amp; FX Reference'!$A$5:$A$25,0)),""))),"(FX missing)"))</f>
        <v/>
      </c>
      <c r="P438" s="30"/>
      <c r="Q438" s="30"/>
      <c r="R438" s="30"/>
      <c r="S438" s="30"/>
      <c r="T438" s="30"/>
      <c r="U438" s="30"/>
      <c r="V438" s="30"/>
    </row>
    <row r="439" spans="1:22">
      <c r="A439" s="30"/>
      <c r="B439" s="30"/>
      <c r="C439" s="33" t="str">
        <f>IF(B439="","",IFERROR(INDEX('Master Database'!$D$5:$D$600,MATCH(B439,'Master Database'!$A$5:$A$600,0)),"(row not found)"))</f>
        <v/>
      </c>
      <c r="D439" s="33" t="str">
        <f>IF(B439="","",IFERROR(INDEX('Master Database'!$B$5:$B$600,MATCH(B439,'Master Database'!$A$5:$A$600,0)),"(row not found)"))</f>
        <v/>
      </c>
      <c r="E439" s="30"/>
      <c r="F439" s="33" t="str">
        <f>IF(E439="","",IFERROR(INDEX(Vendor_Register!$B$5:$B$205,MATCH(E439,Vendor_Register!$A$5:$A$205,0)),"(not in register)"))</f>
        <v/>
      </c>
      <c r="G439" s="33" t="str">
        <f>IF(E439="","",IFERROR(INDEX(Vendor_Register!$E$5:$E$205,MATCH(E439,Vendor_Register!$A$5:$A$205,0)),"(not in register)"))</f>
        <v/>
      </c>
      <c r="H439" s="30"/>
      <c r="I439" s="30"/>
      <c r="J439" s="30"/>
      <c r="K439" s="30"/>
      <c r="L439" s="30"/>
      <c r="M439" s="34"/>
      <c r="N439" s="30"/>
      <c r="O439" s="35" t="str">
        <f>IF(NOT(ISNUMBER(M439)),"",IFERROR(IF(L439="EUR",M439,IF(L439="IRR",M439/INDEX('Assumptions &amp; FX Reference'!$C$5:$C$25,MATCH(H439,'Assumptions &amp; FX Reference'!$A$5:$A$25,0)),IF(L439="USD",M439*INDEX('Assumptions &amp; FX Reference'!$B$5:$B$25,MATCH(H439,'Assumptions &amp; FX Reference'!$A$5:$A$25,0))/INDEX('Assumptions &amp; FX Reference'!$C$5:$C$25,MATCH(H439,'Assumptions &amp; FX Reference'!$A$5:$A$25,0)),""))),"(FX missing)"))</f>
        <v/>
      </c>
      <c r="P439" s="30"/>
      <c r="Q439" s="30"/>
      <c r="R439" s="30"/>
      <c r="S439" s="30"/>
      <c r="T439" s="30"/>
      <c r="U439" s="30"/>
      <c r="V439" s="30"/>
    </row>
    <row r="440" spans="1:22">
      <c r="A440" s="30"/>
      <c r="B440" s="30"/>
      <c r="C440" s="33" t="str">
        <f>IF(B440="","",IFERROR(INDEX('Master Database'!$D$5:$D$600,MATCH(B440,'Master Database'!$A$5:$A$600,0)),"(row not found)"))</f>
        <v/>
      </c>
      <c r="D440" s="33" t="str">
        <f>IF(B440="","",IFERROR(INDEX('Master Database'!$B$5:$B$600,MATCH(B440,'Master Database'!$A$5:$A$600,0)),"(row not found)"))</f>
        <v/>
      </c>
      <c r="E440" s="30"/>
      <c r="F440" s="33" t="str">
        <f>IF(E440="","",IFERROR(INDEX(Vendor_Register!$B$5:$B$205,MATCH(E440,Vendor_Register!$A$5:$A$205,0)),"(not in register)"))</f>
        <v/>
      </c>
      <c r="G440" s="33" t="str">
        <f>IF(E440="","",IFERROR(INDEX(Vendor_Register!$E$5:$E$205,MATCH(E440,Vendor_Register!$A$5:$A$205,0)),"(not in register)"))</f>
        <v/>
      </c>
      <c r="H440" s="30"/>
      <c r="I440" s="30"/>
      <c r="J440" s="30"/>
      <c r="K440" s="30"/>
      <c r="L440" s="30"/>
      <c r="M440" s="34"/>
      <c r="N440" s="30"/>
      <c r="O440" s="35" t="str">
        <f>IF(NOT(ISNUMBER(M440)),"",IFERROR(IF(L440="EUR",M440,IF(L440="IRR",M440/INDEX('Assumptions &amp; FX Reference'!$C$5:$C$25,MATCH(H440,'Assumptions &amp; FX Reference'!$A$5:$A$25,0)),IF(L440="USD",M440*INDEX('Assumptions &amp; FX Reference'!$B$5:$B$25,MATCH(H440,'Assumptions &amp; FX Reference'!$A$5:$A$25,0))/INDEX('Assumptions &amp; FX Reference'!$C$5:$C$25,MATCH(H440,'Assumptions &amp; FX Reference'!$A$5:$A$25,0)),""))),"(FX missing)"))</f>
        <v/>
      </c>
      <c r="P440" s="30"/>
      <c r="Q440" s="30"/>
      <c r="R440" s="30"/>
      <c r="S440" s="30"/>
      <c r="T440" s="30"/>
      <c r="U440" s="30"/>
      <c r="V440" s="30"/>
    </row>
    <row r="441" spans="1:22">
      <c r="A441" s="30"/>
      <c r="B441" s="30"/>
      <c r="C441" s="33" t="str">
        <f>IF(B441="","",IFERROR(INDEX('Master Database'!$D$5:$D$600,MATCH(B441,'Master Database'!$A$5:$A$600,0)),"(row not found)"))</f>
        <v/>
      </c>
      <c r="D441" s="33" t="str">
        <f>IF(B441="","",IFERROR(INDEX('Master Database'!$B$5:$B$600,MATCH(B441,'Master Database'!$A$5:$A$600,0)),"(row not found)"))</f>
        <v/>
      </c>
      <c r="E441" s="30"/>
      <c r="F441" s="33" t="str">
        <f>IF(E441="","",IFERROR(INDEX(Vendor_Register!$B$5:$B$205,MATCH(E441,Vendor_Register!$A$5:$A$205,0)),"(not in register)"))</f>
        <v/>
      </c>
      <c r="G441" s="33" t="str">
        <f>IF(E441="","",IFERROR(INDEX(Vendor_Register!$E$5:$E$205,MATCH(E441,Vendor_Register!$A$5:$A$205,0)),"(not in register)"))</f>
        <v/>
      </c>
      <c r="H441" s="30"/>
      <c r="I441" s="30"/>
      <c r="J441" s="30"/>
      <c r="K441" s="30"/>
      <c r="L441" s="30"/>
      <c r="M441" s="34"/>
      <c r="N441" s="30"/>
      <c r="O441" s="35" t="str">
        <f>IF(NOT(ISNUMBER(M441)),"",IFERROR(IF(L441="EUR",M441,IF(L441="IRR",M441/INDEX('Assumptions &amp; FX Reference'!$C$5:$C$25,MATCH(H441,'Assumptions &amp; FX Reference'!$A$5:$A$25,0)),IF(L441="USD",M441*INDEX('Assumptions &amp; FX Reference'!$B$5:$B$25,MATCH(H441,'Assumptions &amp; FX Reference'!$A$5:$A$25,0))/INDEX('Assumptions &amp; FX Reference'!$C$5:$C$25,MATCH(H441,'Assumptions &amp; FX Reference'!$A$5:$A$25,0)),""))),"(FX missing)"))</f>
        <v/>
      </c>
      <c r="P441" s="30"/>
      <c r="Q441" s="30"/>
      <c r="R441" s="30"/>
      <c r="S441" s="30"/>
      <c r="T441" s="30"/>
      <c r="U441" s="30"/>
      <c r="V441" s="30"/>
    </row>
    <row r="442" spans="1:22">
      <c r="A442" s="30"/>
      <c r="B442" s="30"/>
      <c r="C442" s="33" t="str">
        <f>IF(B442="","",IFERROR(INDEX('Master Database'!$D$5:$D$600,MATCH(B442,'Master Database'!$A$5:$A$600,0)),"(row not found)"))</f>
        <v/>
      </c>
      <c r="D442" s="33" t="str">
        <f>IF(B442="","",IFERROR(INDEX('Master Database'!$B$5:$B$600,MATCH(B442,'Master Database'!$A$5:$A$600,0)),"(row not found)"))</f>
        <v/>
      </c>
      <c r="E442" s="30"/>
      <c r="F442" s="33" t="str">
        <f>IF(E442="","",IFERROR(INDEX(Vendor_Register!$B$5:$B$205,MATCH(E442,Vendor_Register!$A$5:$A$205,0)),"(not in register)"))</f>
        <v/>
      </c>
      <c r="G442" s="33" t="str">
        <f>IF(E442="","",IFERROR(INDEX(Vendor_Register!$E$5:$E$205,MATCH(E442,Vendor_Register!$A$5:$A$205,0)),"(not in register)"))</f>
        <v/>
      </c>
      <c r="H442" s="30"/>
      <c r="I442" s="30"/>
      <c r="J442" s="30"/>
      <c r="K442" s="30"/>
      <c r="L442" s="30"/>
      <c r="M442" s="34"/>
      <c r="N442" s="30"/>
      <c r="O442" s="35" t="str">
        <f>IF(NOT(ISNUMBER(M442)),"",IFERROR(IF(L442="EUR",M442,IF(L442="IRR",M442/INDEX('Assumptions &amp; FX Reference'!$C$5:$C$25,MATCH(H442,'Assumptions &amp; FX Reference'!$A$5:$A$25,0)),IF(L442="USD",M442*INDEX('Assumptions &amp; FX Reference'!$B$5:$B$25,MATCH(H442,'Assumptions &amp; FX Reference'!$A$5:$A$25,0))/INDEX('Assumptions &amp; FX Reference'!$C$5:$C$25,MATCH(H442,'Assumptions &amp; FX Reference'!$A$5:$A$25,0)),""))),"(FX missing)"))</f>
        <v/>
      </c>
      <c r="P442" s="30"/>
      <c r="Q442" s="30"/>
      <c r="R442" s="30"/>
      <c r="S442" s="30"/>
      <c r="T442" s="30"/>
      <c r="U442" s="30"/>
      <c r="V442" s="30"/>
    </row>
    <row r="443" spans="1:22">
      <c r="A443" s="30"/>
      <c r="B443" s="30"/>
      <c r="C443" s="33" t="str">
        <f>IF(B443="","",IFERROR(INDEX('Master Database'!$D$5:$D$600,MATCH(B443,'Master Database'!$A$5:$A$600,0)),"(row not found)"))</f>
        <v/>
      </c>
      <c r="D443" s="33" t="str">
        <f>IF(B443="","",IFERROR(INDEX('Master Database'!$B$5:$B$600,MATCH(B443,'Master Database'!$A$5:$A$600,0)),"(row not found)"))</f>
        <v/>
      </c>
      <c r="E443" s="30"/>
      <c r="F443" s="33" t="str">
        <f>IF(E443="","",IFERROR(INDEX(Vendor_Register!$B$5:$B$205,MATCH(E443,Vendor_Register!$A$5:$A$205,0)),"(not in register)"))</f>
        <v/>
      </c>
      <c r="G443" s="33" t="str">
        <f>IF(E443="","",IFERROR(INDEX(Vendor_Register!$E$5:$E$205,MATCH(E443,Vendor_Register!$A$5:$A$205,0)),"(not in register)"))</f>
        <v/>
      </c>
      <c r="H443" s="30"/>
      <c r="I443" s="30"/>
      <c r="J443" s="30"/>
      <c r="K443" s="30"/>
      <c r="L443" s="30"/>
      <c r="M443" s="34"/>
      <c r="N443" s="30"/>
      <c r="O443" s="35" t="str">
        <f>IF(NOT(ISNUMBER(M443)),"",IFERROR(IF(L443="EUR",M443,IF(L443="IRR",M443/INDEX('Assumptions &amp; FX Reference'!$C$5:$C$25,MATCH(H443,'Assumptions &amp; FX Reference'!$A$5:$A$25,0)),IF(L443="USD",M443*INDEX('Assumptions &amp; FX Reference'!$B$5:$B$25,MATCH(H443,'Assumptions &amp; FX Reference'!$A$5:$A$25,0))/INDEX('Assumptions &amp; FX Reference'!$C$5:$C$25,MATCH(H443,'Assumptions &amp; FX Reference'!$A$5:$A$25,0)),""))),"(FX missing)"))</f>
        <v/>
      </c>
      <c r="P443" s="30"/>
      <c r="Q443" s="30"/>
      <c r="R443" s="30"/>
      <c r="S443" s="30"/>
      <c r="T443" s="30"/>
      <c r="U443" s="30"/>
      <c r="V443" s="30"/>
    </row>
    <row r="444" spans="1:22">
      <c r="A444" s="30"/>
      <c r="B444" s="30"/>
      <c r="C444" s="33" t="str">
        <f>IF(B444="","",IFERROR(INDEX('Master Database'!$D$5:$D$600,MATCH(B444,'Master Database'!$A$5:$A$600,0)),"(row not found)"))</f>
        <v/>
      </c>
      <c r="D444" s="33" t="str">
        <f>IF(B444="","",IFERROR(INDEX('Master Database'!$B$5:$B$600,MATCH(B444,'Master Database'!$A$5:$A$600,0)),"(row not found)"))</f>
        <v/>
      </c>
      <c r="E444" s="30"/>
      <c r="F444" s="33" t="str">
        <f>IF(E444="","",IFERROR(INDEX(Vendor_Register!$B$5:$B$205,MATCH(E444,Vendor_Register!$A$5:$A$205,0)),"(not in register)"))</f>
        <v/>
      </c>
      <c r="G444" s="33" t="str">
        <f>IF(E444="","",IFERROR(INDEX(Vendor_Register!$E$5:$E$205,MATCH(E444,Vendor_Register!$A$5:$A$205,0)),"(not in register)"))</f>
        <v/>
      </c>
      <c r="H444" s="30"/>
      <c r="I444" s="30"/>
      <c r="J444" s="30"/>
      <c r="K444" s="30"/>
      <c r="L444" s="30"/>
      <c r="M444" s="34"/>
      <c r="N444" s="30"/>
      <c r="O444" s="35" t="str">
        <f>IF(NOT(ISNUMBER(M444)),"",IFERROR(IF(L444="EUR",M444,IF(L444="IRR",M444/INDEX('Assumptions &amp; FX Reference'!$C$5:$C$25,MATCH(H444,'Assumptions &amp; FX Reference'!$A$5:$A$25,0)),IF(L444="USD",M444*INDEX('Assumptions &amp; FX Reference'!$B$5:$B$25,MATCH(H444,'Assumptions &amp; FX Reference'!$A$5:$A$25,0))/INDEX('Assumptions &amp; FX Reference'!$C$5:$C$25,MATCH(H444,'Assumptions &amp; FX Reference'!$A$5:$A$25,0)),""))),"(FX missing)"))</f>
        <v/>
      </c>
      <c r="P444" s="30"/>
      <c r="Q444" s="30"/>
      <c r="R444" s="30"/>
      <c r="S444" s="30"/>
      <c r="T444" s="30"/>
      <c r="U444" s="30"/>
      <c r="V444" s="30"/>
    </row>
    <row r="445" spans="1:22">
      <c r="A445" s="30"/>
      <c r="B445" s="30"/>
      <c r="C445" s="33" t="str">
        <f>IF(B445="","",IFERROR(INDEX('Master Database'!$D$5:$D$600,MATCH(B445,'Master Database'!$A$5:$A$600,0)),"(row not found)"))</f>
        <v/>
      </c>
      <c r="D445" s="33" t="str">
        <f>IF(B445="","",IFERROR(INDEX('Master Database'!$B$5:$B$600,MATCH(B445,'Master Database'!$A$5:$A$600,0)),"(row not found)"))</f>
        <v/>
      </c>
      <c r="E445" s="30"/>
      <c r="F445" s="33" t="str">
        <f>IF(E445="","",IFERROR(INDEX(Vendor_Register!$B$5:$B$205,MATCH(E445,Vendor_Register!$A$5:$A$205,0)),"(not in register)"))</f>
        <v/>
      </c>
      <c r="G445" s="33" t="str">
        <f>IF(E445="","",IFERROR(INDEX(Vendor_Register!$E$5:$E$205,MATCH(E445,Vendor_Register!$A$5:$A$205,0)),"(not in register)"))</f>
        <v/>
      </c>
      <c r="H445" s="30"/>
      <c r="I445" s="30"/>
      <c r="J445" s="30"/>
      <c r="K445" s="30"/>
      <c r="L445" s="30"/>
      <c r="M445" s="34"/>
      <c r="N445" s="30"/>
      <c r="O445" s="35" t="str">
        <f>IF(NOT(ISNUMBER(M445)),"",IFERROR(IF(L445="EUR",M445,IF(L445="IRR",M445/INDEX('Assumptions &amp; FX Reference'!$C$5:$C$25,MATCH(H445,'Assumptions &amp; FX Reference'!$A$5:$A$25,0)),IF(L445="USD",M445*INDEX('Assumptions &amp; FX Reference'!$B$5:$B$25,MATCH(H445,'Assumptions &amp; FX Reference'!$A$5:$A$25,0))/INDEX('Assumptions &amp; FX Reference'!$C$5:$C$25,MATCH(H445,'Assumptions &amp; FX Reference'!$A$5:$A$25,0)),""))),"(FX missing)"))</f>
        <v/>
      </c>
      <c r="P445" s="30"/>
      <c r="Q445" s="30"/>
      <c r="R445" s="30"/>
      <c r="S445" s="30"/>
      <c r="T445" s="30"/>
      <c r="U445" s="30"/>
      <c r="V445" s="30"/>
    </row>
    <row r="446" spans="1:22">
      <c r="A446" s="30"/>
      <c r="B446" s="30"/>
      <c r="C446" s="33" t="str">
        <f>IF(B446="","",IFERROR(INDEX('Master Database'!$D$5:$D$600,MATCH(B446,'Master Database'!$A$5:$A$600,0)),"(row not found)"))</f>
        <v/>
      </c>
      <c r="D446" s="33" t="str">
        <f>IF(B446="","",IFERROR(INDEX('Master Database'!$B$5:$B$600,MATCH(B446,'Master Database'!$A$5:$A$600,0)),"(row not found)"))</f>
        <v/>
      </c>
      <c r="E446" s="30"/>
      <c r="F446" s="33" t="str">
        <f>IF(E446="","",IFERROR(INDEX(Vendor_Register!$B$5:$B$205,MATCH(E446,Vendor_Register!$A$5:$A$205,0)),"(not in register)"))</f>
        <v/>
      </c>
      <c r="G446" s="33" t="str">
        <f>IF(E446="","",IFERROR(INDEX(Vendor_Register!$E$5:$E$205,MATCH(E446,Vendor_Register!$A$5:$A$205,0)),"(not in register)"))</f>
        <v/>
      </c>
      <c r="H446" s="30"/>
      <c r="I446" s="30"/>
      <c r="J446" s="30"/>
      <c r="K446" s="30"/>
      <c r="L446" s="30"/>
      <c r="M446" s="34"/>
      <c r="N446" s="30"/>
      <c r="O446" s="35" t="str">
        <f>IF(NOT(ISNUMBER(M446)),"",IFERROR(IF(L446="EUR",M446,IF(L446="IRR",M446/INDEX('Assumptions &amp; FX Reference'!$C$5:$C$25,MATCH(H446,'Assumptions &amp; FX Reference'!$A$5:$A$25,0)),IF(L446="USD",M446*INDEX('Assumptions &amp; FX Reference'!$B$5:$B$25,MATCH(H446,'Assumptions &amp; FX Reference'!$A$5:$A$25,0))/INDEX('Assumptions &amp; FX Reference'!$C$5:$C$25,MATCH(H446,'Assumptions &amp; FX Reference'!$A$5:$A$25,0)),""))),"(FX missing)"))</f>
        <v/>
      </c>
      <c r="P446" s="30"/>
      <c r="Q446" s="30"/>
      <c r="R446" s="30"/>
      <c r="S446" s="30"/>
      <c r="T446" s="30"/>
      <c r="U446" s="30"/>
      <c r="V446" s="30"/>
    </row>
    <row r="447" spans="1:22">
      <c r="A447" s="30"/>
      <c r="B447" s="30"/>
      <c r="C447" s="33" t="str">
        <f>IF(B447="","",IFERROR(INDEX('Master Database'!$D$5:$D$600,MATCH(B447,'Master Database'!$A$5:$A$600,0)),"(row not found)"))</f>
        <v/>
      </c>
      <c r="D447" s="33" t="str">
        <f>IF(B447="","",IFERROR(INDEX('Master Database'!$B$5:$B$600,MATCH(B447,'Master Database'!$A$5:$A$600,0)),"(row not found)"))</f>
        <v/>
      </c>
      <c r="E447" s="30"/>
      <c r="F447" s="33" t="str">
        <f>IF(E447="","",IFERROR(INDEX(Vendor_Register!$B$5:$B$205,MATCH(E447,Vendor_Register!$A$5:$A$205,0)),"(not in register)"))</f>
        <v/>
      </c>
      <c r="G447" s="33" t="str">
        <f>IF(E447="","",IFERROR(INDEX(Vendor_Register!$E$5:$E$205,MATCH(E447,Vendor_Register!$A$5:$A$205,0)),"(not in register)"))</f>
        <v/>
      </c>
      <c r="H447" s="30"/>
      <c r="I447" s="30"/>
      <c r="J447" s="30"/>
      <c r="K447" s="30"/>
      <c r="L447" s="30"/>
      <c r="M447" s="34"/>
      <c r="N447" s="30"/>
      <c r="O447" s="35" t="str">
        <f>IF(NOT(ISNUMBER(M447)),"",IFERROR(IF(L447="EUR",M447,IF(L447="IRR",M447/INDEX('Assumptions &amp; FX Reference'!$C$5:$C$25,MATCH(H447,'Assumptions &amp; FX Reference'!$A$5:$A$25,0)),IF(L447="USD",M447*INDEX('Assumptions &amp; FX Reference'!$B$5:$B$25,MATCH(H447,'Assumptions &amp; FX Reference'!$A$5:$A$25,0))/INDEX('Assumptions &amp; FX Reference'!$C$5:$C$25,MATCH(H447,'Assumptions &amp; FX Reference'!$A$5:$A$25,0)),""))),"(FX missing)"))</f>
        <v/>
      </c>
      <c r="P447" s="30"/>
      <c r="Q447" s="30"/>
      <c r="R447" s="30"/>
      <c r="S447" s="30"/>
      <c r="T447" s="30"/>
      <c r="U447" s="30"/>
      <c r="V447" s="30"/>
    </row>
    <row r="448" spans="1:22">
      <c r="A448" s="30"/>
      <c r="B448" s="30"/>
      <c r="C448" s="33" t="str">
        <f>IF(B448="","",IFERROR(INDEX('Master Database'!$D$5:$D$600,MATCH(B448,'Master Database'!$A$5:$A$600,0)),"(row not found)"))</f>
        <v/>
      </c>
      <c r="D448" s="33" t="str">
        <f>IF(B448="","",IFERROR(INDEX('Master Database'!$B$5:$B$600,MATCH(B448,'Master Database'!$A$5:$A$600,0)),"(row not found)"))</f>
        <v/>
      </c>
      <c r="E448" s="30"/>
      <c r="F448" s="33" t="str">
        <f>IF(E448="","",IFERROR(INDEX(Vendor_Register!$B$5:$B$205,MATCH(E448,Vendor_Register!$A$5:$A$205,0)),"(not in register)"))</f>
        <v/>
      </c>
      <c r="G448" s="33" t="str">
        <f>IF(E448="","",IFERROR(INDEX(Vendor_Register!$E$5:$E$205,MATCH(E448,Vendor_Register!$A$5:$A$205,0)),"(not in register)"))</f>
        <v/>
      </c>
      <c r="H448" s="30"/>
      <c r="I448" s="30"/>
      <c r="J448" s="30"/>
      <c r="K448" s="30"/>
      <c r="L448" s="30"/>
      <c r="M448" s="34"/>
      <c r="N448" s="30"/>
      <c r="O448" s="35" t="str">
        <f>IF(NOT(ISNUMBER(M448)),"",IFERROR(IF(L448="EUR",M448,IF(L448="IRR",M448/INDEX('Assumptions &amp; FX Reference'!$C$5:$C$25,MATCH(H448,'Assumptions &amp; FX Reference'!$A$5:$A$25,0)),IF(L448="USD",M448*INDEX('Assumptions &amp; FX Reference'!$B$5:$B$25,MATCH(H448,'Assumptions &amp; FX Reference'!$A$5:$A$25,0))/INDEX('Assumptions &amp; FX Reference'!$C$5:$C$25,MATCH(H448,'Assumptions &amp; FX Reference'!$A$5:$A$25,0)),""))),"(FX missing)"))</f>
        <v/>
      </c>
      <c r="P448" s="30"/>
      <c r="Q448" s="30"/>
      <c r="R448" s="30"/>
      <c r="S448" s="30"/>
      <c r="T448" s="30"/>
      <c r="U448" s="30"/>
      <c r="V448" s="30"/>
    </row>
    <row r="449" spans="1:22">
      <c r="A449" s="30"/>
      <c r="B449" s="30"/>
      <c r="C449" s="33" t="str">
        <f>IF(B449="","",IFERROR(INDEX('Master Database'!$D$5:$D$600,MATCH(B449,'Master Database'!$A$5:$A$600,0)),"(row not found)"))</f>
        <v/>
      </c>
      <c r="D449" s="33" t="str">
        <f>IF(B449="","",IFERROR(INDEX('Master Database'!$B$5:$B$600,MATCH(B449,'Master Database'!$A$5:$A$600,0)),"(row not found)"))</f>
        <v/>
      </c>
      <c r="E449" s="30"/>
      <c r="F449" s="33" t="str">
        <f>IF(E449="","",IFERROR(INDEX(Vendor_Register!$B$5:$B$205,MATCH(E449,Vendor_Register!$A$5:$A$205,0)),"(not in register)"))</f>
        <v/>
      </c>
      <c r="G449" s="33" t="str">
        <f>IF(E449="","",IFERROR(INDEX(Vendor_Register!$E$5:$E$205,MATCH(E449,Vendor_Register!$A$5:$A$205,0)),"(not in register)"))</f>
        <v/>
      </c>
      <c r="H449" s="30"/>
      <c r="I449" s="30"/>
      <c r="J449" s="30"/>
      <c r="K449" s="30"/>
      <c r="L449" s="30"/>
      <c r="M449" s="34"/>
      <c r="N449" s="30"/>
      <c r="O449" s="35" t="str">
        <f>IF(NOT(ISNUMBER(M449)),"",IFERROR(IF(L449="EUR",M449,IF(L449="IRR",M449/INDEX('Assumptions &amp; FX Reference'!$C$5:$C$25,MATCH(H449,'Assumptions &amp; FX Reference'!$A$5:$A$25,0)),IF(L449="USD",M449*INDEX('Assumptions &amp; FX Reference'!$B$5:$B$25,MATCH(H449,'Assumptions &amp; FX Reference'!$A$5:$A$25,0))/INDEX('Assumptions &amp; FX Reference'!$C$5:$C$25,MATCH(H449,'Assumptions &amp; FX Reference'!$A$5:$A$25,0)),""))),"(FX missing)"))</f>
        <v/>
      </c>
      <c r="P449" s="30"/>
      <c r="Q449" s="30"/>
      <c r="R449" s="30"/>
      <c r="S449" s="30"/>
      <c r="T449" s="30"/>
      <c r="U449" s="30"/>
      <c r="V449" s="30"/>
    </row>
    <row r="450" spans="1:22">
      <c r="A450" s="30"/>
      <c r="B450" s="30"/>
      <c r="C450" s="33" t="str">
        <f>IF(B450="","",IFERROR(INDEX('Master Database'!$D$5:$D$600,MATCH(B450,'Master Database'!$A$5:$A$600,0)),"(row not found)"))</f>
        <v/>
      </c>
      <c r="D450" s="33" t="str">
        <f>IF(B450="","",IFERROR(INDEX('Master Database'!$B$5:$B$600,MATCH(B450,'Master Database'!$A$5:$A$600,0)),"(row not found)"))</f>
        <v/>
      </c>
      <c r="E450" s="30"/>
      <c r="F450" s="33" t="str">
        <f>IF(E450="","",IFERROR(INDEX(Vendor_Register!$B$5:$B$205,MATCH(E450,Vendor_Register!$A$5:$A$205,0)),"(not in register)"))</f>
        <v/>
      </c>
      <c r="G450" s="33" t="str">
        <f>IF(E450="","",IFERROR(INDEX(Vendor_Register!$E$5:$E$205,MATCH(E450,Vendor_Register!$A$5:$A$205,0)),"(not in register)"))</f>
        <v/>
      </c>
      <c r="H450" s="30"/>
      <c r="I450" s="30"/>
      <c r="J450" s="30"/>
      <c r="K450" s="30"/>
      <c r="L450" s="30"/>
      <c r="M450" s="34"/>
      <c r="N450" s="30"/>
      <c r="O450" s="35" t="str">
        <f>IF(NOT(ISNUMBER(M450)),"",IFERROR(IF(L450="EUR",M450,IF(L450="IRR",M450/INDEX('Assumptions &amp; FX Reference'!$C$5:$C$25,MATCH(H450,'Assumptions &amp; FX Reference'!$A$5:$A$25,0)),IF(L450="USD",M450*INDEX('Assumptions &amp; FX Reference'!$B$5:$B$25,MATCH(H450,'Assumptions &amp; FX Reference'!$A$5:$A$25,0))/INDEX('Assumptions &amp; FX Reference'!$C$5:$C$25,MATCH(H450,'Assumptions &amp; FX Reference'!$A$5:$A$25,0)),""))),"(FX missing)"))</f>
        <v/>
      </c>
      <c r="P450" s="30"/>
      <c r="Q450" s="30"/>
      <c r="R450" s="30"/>
      <c r="S450" s="30"/>
      <c r="T450" s="30"/>
      <c r="U450" s="30"/>
      <c r="V450" s="30"/>
    </row>
    <row r="451" spans="1:22">
      <c r="A451" s="30"/>
      <c r="B451" s="30"/>
      <c r="C451" s="33" t="str">
        <f>IF(B451="","",IFERROR(INDEX('Master Database'!$D$5:$D$600,MATCH(B451,'Master Database'!$A$5:$A$600,0)),"(row not found)"))</f>
        <v/>
      </c>
      <c r="D451" s="33" t="str">
        <f>IF(B451="","",IFERROR(INDEX('Master Database'!$B$5:$B$600,MATCH(B451,'Master Database'!$A$5:$A$600,0)),"(row not found)"))</f>
        <v/>
      </c>
      <c r="E451" s="30"/>
      <c r="F451" s="33" t="str">
        <f>IF(E451="","",IFERROR(INDEX(Vendor_Register!$B$5:$B$205,MATCH(E451,Vendor_Register!$A$5:$A$205,0)),"(not in register)"))</f>
        <v/>
      </c>
      <c r="G451" s="33" t="str">
        <f>IF(E451="","",IFERROR(INDEX(Vendor_Register!$E$5:$E$205,MATCH(E451,Vendor_Register!$A$5:$A$205,0)),"(not in register)"))</f>
        <v/>
      </c>
      <c r="H451" s="30"/>
      <c r="I451" s="30"/>
      <c r="J451" s="30"/>
      <c r="K451" s="30"/>
      <c r="L451" s="30"/>
      <c r="M451" s="34"/>
      <c r="N451" s="30"/>
      <c r="O451" s="35" t="str">
        <f>IF(NOT(ISNUMBER(M451)),"",IFERROR(IF(L451="EUR",M451,IF(L451="IRR",M451/INDEX('Assumptions &amp; FX Reference'!$C$5:$C$25,MATCH(H451,'Assumptions &amp; FX Reference'!$A$5:$A$25,0)),IF(L451="USD",M451*INDEX('Assumptions &amp; FX Reference'!$B$5:$B$25,MATCH(H451,'Assumptions &amp; FX Reference'!$A$5:$A$25,0))/INDEX('Assumptions &amp; FX Reference'!$C$5:$C$25,MATCH(H451,'Assumptions &amp; FX Reference'!$A$5:$A$25,0)),""))),"(FX missing)"))</f>
        <v/>
      </c>
      <c r="P451" s="30"/>
      <c r="Q451" s="30"/>
      <c r="R451" s="30"/>
      <c r="S451" s="30"/>
      <c r="T451" s="30"/>
      <c r="U451" s="30"/>
      <c r="V451" s="30"/>
    </row>
    <row r="452" spans="1:22">
      <c r="A452" s="30"/>
      <c r="B452" s="30"/>
      <c r="C452" s="33" t="str">
        <f>IF(B452="","",IFERROR(INDEX('Master Database'!$D$5:$D$600,MATCH(B452,'Master Database'!$A$5:$A$600,0)),"(row not found)"))</f>
        <v/>
      </c>
      <c r="D452" s="33" t="str">
        <f>IF(B452="","",IFERROR(INDEX('Master Database'!$B$5:$B$600,MATCH(B452,'Master Database'!$A$5:$A$600,0)),"(row not found)"))</f>
        <v/>
      </c>
      <c r="E452" s="30"/>
      <c r="F452" s="33" t="str">
        <f>IF(E452="","",IFERROR(INDEX(Vendor_Register!$B$5:$B$205,MATCH(E452,Vendor_Register!$A$5:$A$205,0)),"(not in register)"))</f>
        <v/>
      </c>
      <c r="G452" s="33" t="str">
        <f>IF(E452="","",IFERROR(INDEX(Vendor_Register!$E$5:$E$205,MATCH(E452,Vendor_Register!$A$5:$A$205,0)),"(not in register)"))</f>
        <v/>
      </c>
      <c r="H452" s="30"/>
      <c r="I452" s="30"/>
      <c r="J452" s="30"/>
      <c r="K452" s="30"/>
      <c r="L452" s="30"/>
      <c r="M452" s="34"/>
      <c r="N452" s="30"/>
      <c r="O452" s="35" t="str">
        <f>IF(NOT(ISNUMBER(M452)),"",IFERROR(IF(L452="EUR",M452,IF(L452="IRR",M452/INDEX('Assumptions &amp; FX Reference'!$C$5:$C$25,MATCH(H452,'Assumptions &amp; FX Reference'!$A$5:$A$25,0)),IF(L452="USD",M452*INDEX('Assumptions &amp; FX Reference'!$B$5:$B$25,MATCH(H452,'Assumptions &amp; FX Reference'!$A$5:$A$25,0))/INDEX('Assumptions &amp; FX Reference'!$C$5:$C$25,MATCH(H452,'Assumptions &amp; FX Reference'!$A$5:$A$25,0)),""))),"(FX missing)"))</f>
        <v/>
      </c>
      <c r="P452" s="30"/>
      <c r="Q452" s="30"/>
      <c r="R452" s="30"/>
      <c r="S452" s="30"/>
      <c r="T452" s="30"/>
      <c r="U452" s="30"/>
      <c r="V452" s="30"/>
    </row>
    <row r="453" spans="1:22">
      <c r="A453" s="30"/>
      <c r="B453" s="30"/>
      <c r="C453" s="33" t="str">
        <f>IF(B453="","",IFERROR(INDEX('Master Database'!$D$5:$D$600,MATCH(B453,'Master Database'!$A$5:$A$600,0)),"(row not found)"))</f>
        <v/>
      </c>
      <c r="D453" s="33" t="str">
        <f>IF(B453="","",IFERROR(INDEX('Master Database'!$B$5:$B$600,MATCH(B453,'Master Database'!$A$5:$A$600,0)),"(row not found)"))</f>
        <v/>
      </c>
      <c r="E453" s="30"/>
      <c r="F453" s="33" t="str">
        <f>IF(E453="","",IFERROR(INDEX(Vendor_Register!$B$5:$B$205,MATCH(E453,Vendor_Register!$A$5:$A$205,0)),"(not in register)"))</f>
        <v/>
      </c>
      <c r="G453" s="33" t="str">
        <f>IF(E453="","",IFERROR(INDEX(Vendor_Register!$E$5:$E$205,MATCH(E453,Vendor_Register!$A$5:$A$205,0)),"(not in register)"))</f>
        <v/>
      </c>
      <c r="H453" s="30"/>
      <c r="I453" s="30"/>
      <c r="J453" s="30"/>
      <c r="K453" s="30"/>
      <c r="L453" s="30"/>
      <c r="M453" s="34"/>
      <c r="N453" s="30"/>
      <c r="O453" s="35" t="str">
        <f>IF(NOT(ISNUMBER(M453)),"",IFERROR(IF(L453="EUR",M453,IF(L453="IRR",M453/INDEX('Assumptions &amp; FX Reference'!$C$5:$C$25,MATCH(H453,'Assumptions &amp; FX Reference'!$A$5:$A$25,0)),IF(L453="USD",M453*INDEX('Assumptions &amp; FX Reference'!$B$5:$B$25,MATCH(H453,'Assumptions &amp; FX Reference'!$A$5:$A$25,0))/INDEX('Assumptions &amp; FX Reference'!$C$5:$C$25,MATCH(H453,'Assumptions &amp; FX Reference'!$A$5:$A$25,0)),""))),"(FX missing)"))</f>
        <v/>
      </c>
      <c r="P453" s="30"/>
      <c r="Q453" s="30"/>
      <c r="R453" s="30"/>
      <c r="S453" s="30"/>
      <c r="T453" s="30"/>
      <c r="U453" s="30"/>
      <c r="V453" s="30"/>
    </row>
    <row r="454" spans="1:22">
      <c r="A454" s="30"/>
      <c r="B454" s="30"/>
      <c r="C454" s="33" t="str">
        <f>IF(B454="","",IFERROR(INDEX('Master Database'!$D$5:$D$600,MATCH(B454,'Master Database'!$A$5:$A$600,0)),"(row not found)"))</f>
        <v/>
      </c>
      <c r="D454" s="33" t="str">
        <f>IF(B454="","",IFERROR(INDEX('Master Database'!$B$5:$B$600,MATCH(B454,'Master Database'!$A$5:$A$600,0)),"(row not found)"))</f>
        <v/>
      </c>
      <c r="E454" s="30"/>
      <c r="F454" s="33" t="str">
        <f>IF(E454="","",IFERROR(INDEX(Vendor_Register!$B$5:$B$205,MATCH(E454,Vendor_Register!$A$5:$A$205,0)),"(not in register)"))</f>
        <v/>
      </c>
      <c r="G454" s="33" t="str">
        <f>IF(E454="","",IFERROR(INDEX(Vendor_Register!$E$5:$E$205,MATCH(E454,Vendor_Register!$A$5:$A$205,0)),"(not in register)"))</f>
        <v/>
      </c>
      <c r="H454" s="30"/>
      <c r="I454" s="30"/>
      <c r="J454" s="30"/>
      <c r="K454" s="30"/>
      <c r="L454" s="30"/>
      <c r="M454" s="34"/>
      <c r="N454" s="30"/>
      <c r="O454" s="35" t="str">
        <f>IF(NOT(ISNUMBER(M454)),"",IFERROR(IF(L454="EUR",M454,IF(L454="IRR",M454/INDEX('Assumptions &amp; FX Reference'!$C$5:$C$25,MATCH(H454,'Assumptions &amp; FX Reference'!$A$5:$A$25,0)),IF(L454="USD",M454*INDEX('Assumptions &amp; FX Reference'!$B$5:$B$25,MATCH(H454,'Assumptions &amp; FX Reference'!$A$5:$A$25,0))/INDEX('Assumptions &amp; FX Reference'!$C$5:$C$25,MATCH(H454,'Assumptions &amp; FX Reference'!$A$5:$A$25,0)),""))),"(FX missing)"))</f>
        <v/>
      </c>
      <c r="P454" s="30"/>
      <c r="Q454" s="30"/>
      <c r="R454" s="30"/>
      <c r="S454" s="30"/>
      <c r="T454" s="30"/>
      <c r="U454" s="30"/>
      <c r="V454" s="30"/>
    </row>
    <row r="455" spans="1:22">
      <c r="A455" s="30"/>
      <c r="B455" s="30"/>
      <c r="C455" s="33" t="str">
        <f>IF(B455="","",IFERROR(INDEX('Master Database'!$D$5:$D$600,MATCH(B455,'Master Database'!$A$5:$A$600,0)),"(row not found)"))</f>
        <v/>
      </c>
      <c r="D455" s="33" t="str">
        <f>IF(B455="","",IFERROR(INDEX('Master Database'!$B$5:$B$600,MATCH(B455,'Master Database'!$A$5:$A$600,0)),"(row not found)"))</f>
        <v/>
      </c>
      <c r="E455" s="30"/>
      <c r="F455" s="33" t="str">
        <f>IF(E455="","",IFERROR(INDEX(Vendor_Register!$B$5:$B$205,MATCH(E455,Vendor_Register!$A$5:$A$205,0)),"(not in register)"))</f>
        <v/>
      </c>
      <c r="G455" s="33" t="str">
        <f>IF(E455="","",IFERROR(INDEX(Vendor_Register!$E$5:$E$205,MATCH(E455,Vendor_Register!$A$5:$A$205,0)),"(not in register)"))</f>
        <v/>
      </c>
      <c r="H455" s="30"/>
      <c r="I455" s="30"/>
      <c r="J455" s="30"/>
      <c r="K455" s="30"/>
      <c r="L455" s="30"/>
      <c r="M455" s="34"/>
      <c r="N455" s="30"/>
      <c r="O455" s="35" t="str">
        <f>IF(NOT(ISNUMBER(M455)),"",IFERROR(IF(L455="EUR",M455,IF(L455="IRR",M455/INDEX('Assumptions &amp; FX Reference'!$C$5:$C$25,MATCH(H455,'Assumptions &amp; FX Reference'!$A$5:$A$25,0)),IF(L455="USD",M455*INDEX('Assumptions &amp; FX Reference'!$B$5:$B$25,MATCH(H455,'Assumptions &amp; FX Reference'!$A$5:$A$25,0))/INDEX('Assumptions &amp; FX Reference'!$C$5:$C$25,MATCH(H455,'Assumptions &amp; FX Reference'!$A$5:$A$25,0)),""))),"(FX missing)"))</f>
        <v/>
      </c>
      <c r="P455" s="30"/>
      <c r="Q455" s="30"/>
      <c r="R455" s="30"/>
      <c r="S455" s="30"/>
      <c r="T455" s="30"/>
      <c r="U455" s="30"/>
      <c r="V455" s="30"/>
    </row>
    <row r="456" spans="1:22">
      <c r="A456" s="30"/>
      <c r="B456" s="30"/>
      <c r="C456" s="33" t="str">
        <f>IF(B456="","",IFERROR(INDEX('Master Database'!$D$5:$D$600,MATCH(B456,'Master Database'!$A$5:$A$600,0)),"(row not found)"))</f>
        <v/>
      </c>
      <c r="D456" s="33" t="str">
        <f>IF(B456="","",IFERROR(INDEX('Master Database'!$B$5:$B$600,MATCH(B456,'Master Database'!$A$5:$A$600,0)),"(row not found)"))</f>
        <v/>
      </c>
      <c r="E456" s="30"/>
      <c r="F456" s="33" t="str">
        <f>IF(E456="","",IFERROR(INDEX(Vendor_Register!$B$5:$B$205,MATCH(E456,Vendor_Register!$A$5:$A$205,0)),"(not in register)"))</f>
        <v/>
      </c>
      <c r="G456" s="33" t="str">
        <f>IF(E456="","",IFERROR(INDEX(Vendor_Register!$E$5:$E$205,MATCH(E456,Vendor_Register!$A$5:$A$205,0)),"(not in register)"))</f>
        <v/>
      </c>
      <c r="H456" s="30"/>
      <c r="I456" s="30"/>
      <c r="J456" s="30"/>
      <c r="K456" s="30"/>
      <c r="L456" s="30"/>
      <c r="M456" s="34"/>
      <c r="N456" s="30"/>
      <c r="O456" s="35" t="str">
        <f>IF(NOT(ISNUMBER(M456)),"",IFERROR(IF(L456="EUR",M456,IF(L456="IRR",M456/INDEX('Assumptions &amp; FX Reference'!$C$5:$C$25,MATCH(H456,'Assumptions &amp; FX Reference'!$A$5:$A$25,0)),IF(L456="USD",M456*INDEX('Assumptions &amp; FX Reference'!$B$5:$B$25,MATCH(H456,'Assumptions &amp; FX Reference'!$A$5:$A$25,0))/INDEX('Assumptions &amp; FX Reference'!$C$5:$C$25,MATCH(H456,'Assumptions &amp; FX Reference'!$A$5:$A$25,0)),""))),"(FX missing)"))</f>
        <v/>
      </c>
      <c r="P456" s="30"/>
      <c r="Q456" s="30"/>
      <c r="R456" s="30"/>
      <c r="S456" s="30"/>
      <c r="T456" s="30"/>
      <c r="U456" s="30"/>
      <c r="V456" s="30"/>
    </row>
    <row r="457" spans="1:22">
      <c r="A457" s="30"/>
      <c r="B457" s="30"/>
      <c r="C457" s="33" t="str">
        <f>IF(B457="","",IFERROR(INDEX('Master Database'!$D$5:$D$600,MATCH(B457,'Master Database'!$A$5:$A$600,0)),"(row not found)"))</f>
        <v/>
      </c>
      <c r="D457" s="33" t="str">
        <f>IF(B457="","",IFERROR(INDEX('Master Database'!$B$5:$B$600,MATCH(B457,'Master Database'!$A$5:$A$600,0)),"(row not found)"))</f>
        <v/>
      </c>
      <c r="E457" s="30"/>
      <c r="F457" s="33" t="str">
        <f>IF(E457="","",IFERROR(INDEX(Vendor_Register!$B$5:$B$205,MATCH(E457,Vendor_Register!$A$5:$A$205,0)),"(not in register)"))</f>
        <v/>
      </c>
      <c r="G457" s="33" t="str">
        <f>IF(E457="","",IFERROR(INDEX(Vendor_Register!$E$5:$E$205,MATCH(E457,Vendor_Register!$A$5:$A$205,0)),"(not in register)"))</f>
        <v/>
      </c>
      <c r="H457" s="30"/>
      <c r="I457" s="30"/>
      <c r="J457" s="30"/>
      <c r="K457" s="30"/>
      <c r="L457" s="30"/>
      <c r="M457" s="34"/>
      <c r="N457" s="30"/>
      <c r="O457" s="35" t="str">
        <f>IF(NOT(ISNUMBER(M457)),"",IFERROR(IF(L457="EUR",M457,IF(L457="IRR",M457/INDEX('Assumptions &amp; FX Reference'!$C$5:$C$25,MATCH(H457,'Assumptions &amp; FX Reference'!$A$5:$A$25,0)),IF(L457="USD",M457*INDEX('Assumptions &amp; FX Reference'!$B$5:$B$25,MATCH(H457,'Assumptions &amp; FX Reference'!$A$5:$A$25,0))/INDEX('Assumptions &amp; FX Reference'!$C$5:$C$25,MATCH(H457,'Assumptions &amp; FX Reference'!$A$5:$A$25,0)),""))),"(FX missing)"))</f>
        <v/>
      </c>
      <c r="P457" s="30"/>
      <c r="Q457" s="30"/>
      <c r="R457" s="30"/>
      <c r="S457" s="30"/>
      <c r="T457" s="30"/>
      <c r="U457" s="30"/>
      <c r="V457" s="30"/>
    </row>
    <row r="458" spans="1:22">
      <c r="A458" s="30"/>
      <c r="B458" s="30"/>
      <c r="C458" s="33" t="str">
        <f>IF(B458="","",IFERROR(INDEX('Master Database'!$D$5:$D$600,MATCH(B458,'Master Database'!$A$5:$A$600,0)),"(row not found)"))</f>
        <v/>
      </c>
      <c r="D458" s="33" t="str">
        <f>IF(B458="","",IFERROR(INDEX('Master Database'!$B$5:$B$600,MATCH(B458,'Master Database'!$A$5:$A$600,0)),"(row not found)"))</f>
        <v/>
      </c>
      <c r="E458" s="30"/>
      <c r="F458" s="33" t="str">
        <f>IF(E458="","",IFERROR(INDEX(Vendor_Register!$B$5:$B$205,MATCH(E458,Vendor_Register!$A$5:$A$205,0)),"(not in register)"))</f>
        <v/>
      </c>
      <c r="G458" s="33" t="str">
        <f>IF(E458="","",IFERROR(INDEX(Vendor_Register!$E$5:$E$205,MATCH(E458,Vendor_Register!$A$5:$A$205,0)),"(not in register)"))</f>
        <v/>
      </c>
      <c r="H458" s="30"/>
      <c r="I458" s="30"/>
      <c r="J458" s="30"/>
      <c r="K458" s="30"/>
      <c r="L458" s="30"/>
      <c r="M458" s="34"/>
      <c r="N458" s="30"/>
      <c r="O458" s="35" t="str">
        <f>IF(NOT(ISNUMBER(M458)),"",IFERROR(IF(L458="EUR",M458,IF(L458="IRR",M458/INDEX('Assumptions &amp; FX Reference'!$C$5:$C$25,MATCH(H458,'Assumptions &amp; FX Reference'!$A$5:$A$25,0)),IF(L458="USD",M458*INDEX('Assumptions &amp; FX Reference'!$B$5:$B$25,MATCH(H458,'Assumptions &amp; FX Reference'!$A$5:$A$25,0))/INDEX('Assumptions &amp; FX Reference'!$C$5:$C$25,MATCH(H458,'Assumptions &amp; FX Reference'!$A$5:$A$25,0)),""))),"(FX missing)"))</f>
        <v/>
      </c>
      <c r="P458" s="30"/>
      <c r="Q458" s="30"/>
      <c r="R458" s="30"/>
      <c r="S458" s="30"/>
      <c r="T458" s="30"/>
      <c r="U458" s="30"/>
      <c r="V458" s="30"/>
    </row>
    <row r="459" spans="1:22">
      <c r="A459" s="30"/>
      <c r="B459" s="30"/>
      <c r="C459" s="33" t="str">
        <f>IF(B459="","",IFERROR(INDEX('Master Database'!$D$5:$D$600,MATCH(B459,'Master Database'!$A$5:$A$600,0)),"(row not found)"))</f>
        <v/>
      </c>
      <c r="D459" s="33" t="str">
        <f>IF(B459="","",IFERROR(INDEX('Master Database'!$B$5:$B$600,MATCH(B459,'Master Database'!$A$5:$A$600,0)),"(row not found)"))</f>
        <v/>
      </c>
      <c r="E459" s="30"/>
      <c r="F459" s="33" t="str">
        <f>IF(E459="","",IFERROR(INDEX(Vendor_Register!$B$5:$B$205,MATCH(E459,Vendor_Register!$A$5:$A$205,0)),"(not in register)"))</f>
        <v/>
      </c>
      <c r="G459" s="33" t="str">
        <f>IF(E459="","",IFERROR(INDEX(Vendor_Register!$E$5:$E$205,MATCH(E459,Vendor_Register!$A$5:$A$205,0)),"(not in register)"))</f>
        <v/>
      </c>
      <c r="H459" s="30"/>
      <c r="I459" s="30"/>
      <c r="J459" s="30"/>
      <c r="K459" s="30"/>
      <c r="L459" s="30"/>
      <c r="M459" s="34"/>
      <c r="N459" s="30"/>
      <c r="O459" s="35" t="str">
        <f>IF(NOT(ISNUMBER(M459)),"",IFERROR(IF(L459="EUR",M459,IF(L459="IRR",M459/INDEX('Assumptions &amp; FX Reference'!$C$5:$C$25,MATCH(H459,'Assumptions &amp; FX Reference'!$A$5:$A$25,0)),IF(L459="USD",M459*INDEX('Assumptions &amp; FX Reference'!$B$5:$B$25,MATCH(H459,'Assumptions &amp; FX Reference'!$A$5:$A$25,0))/INDEX('Assumptions &amp; FX Reference'!$C$5:$C$25,MATCH(H459,'Assumptions &amp; FX Reference'!$A$5:$A$25,0)),""))),"(FX missing)"))</f>
        <v/>
      </c>
      <c r="P459" s="30"/>
      <c r="Q459" s="30"/>
      <c r="R459" s="30"/>
      <c r="S459" s="30"/>
      <c r="T459" s="30"/>
      <c r="U459" s="30"/>
      <c r="V459" s="30"/>
    </row>
    <row r="460" spans="1:22">
      <c r="A460" s="30"/>
      <c r="B460" s="30"/>
      <c r="C460" s="33" t="str">
        <f>IF(B460="","",IFERROR(INDEX('Master Database'!$D$5:$D$600,MATCH(B460,'Master Database'!$A$5:$A$600,0)),"(row not found)"))</f>
        <v/>
      </c>
      <c r="D460" s="33" t="str">
        <f>IF(B460="","",IFERROR(INDEX('Master Database'!$B$5:$B$600,MATCH(B460,'Master Database'!$A$5:$A$600,0)),"(row not found)"))</f>
        <v/>
      </c>
      <c r="E460" s="30"/>
      <c r="F460" s="33" t="str">
        <f>IF(E460="","",IFERROR(INDEX(Vendor_Register!$B$5:$B$205,MATCH(E460,Vendor_Register!$A$5:$A$205,0)),"(not in register)"))</f>
        <v/>
      </c>
      <c r="G460" s="33" t="str">
        <f>IF(E460="","",IFERROR(INDEX(Vendor_Register!$E$5:$E$205,MATCH(E460,Vendor_Register!$A$5:$A$205,0)),"(not in register)"))</f>
        <v/>
      </c>
      <c r="H460" s="30"/>
      <c r="I460" s="30"/>
      <c r="J460" s="30"/>
      <c r="K460" s="30"/>
      <c r="L460" s="30"/>
      <c r="M460" s="34"/>
      <c r="N460" s="30"/>
      <c r="O460" s="35" t="str">
        <f>IF(NOT(ISNUMBER(M460)),"",IFERROR(IF(L460="EUR",M460,IF(L460="IRR",M460/INDEX('Assumptions &amp; FX Reference'!$C$5:$C$25,MATCH(H460,'Assumptions &amp; FX Reference'!$A$5:$A$25,0)),IF(L460="USD",M460*INDEX('Assumptions &amp; FX Reference'!$B$5:$B$25,MATCH(H460,'Assumptions &amp; FX Reference'!$A$5:$A$25,0))/INDEX('Assumptions &amp; FX Reference'!$C$5:$C$25,MATCH(H460,'Assumptions &amp; FX Reference'!$A$5:$A$25,0)),""))),"(FX missing)"))</f>
        <v/>
      </c>
      <c r="P460" s="30"/>
      <c r="Q460" s="30"/>
      <c r="R460" s="30"/>
      <c r="S460" s="30"/>
      <c r="T460" s="30"/>
      <c r="U460" s="30"/>
      <c r="V460" s="30"/>
    </row>
    <row r="461" spans="1:22">
      <c r="A461" s="30"/>
      <c r="B461" s="30"/>
      <c r="C461" s="33" t="str">
        <f>IF(B461="","",IFERROR(INDEX('Master Database'!$D$5:$D$600,MATCH(B461,'Master Database'!$A$5:$A$600,0)),"(row not found)"))</f>
        <v/>
      </c>
      <c r="D461" s="33" t="str">
        <f>IF(B461="","",IFERROR(INDEX('Master Database'!$B$5:$B$600,MATCH(B461,'Master Database'!$A$5:$A$600,0)),"(row not found)"))</f>
        <v/>
      </c>
      <c r="E461" s="30"/>
      <c r="F461" s="33" t="str">
        <f>IF(E461="","",IFERROR(INDEX(Vendor_Register!$B$5:$B$205,MATCH(E461,Vendor_Register!$A$5:$A$205,0)),"(not in register)"))</f>
        <v/>
      </c>
      <c r="G461" s="33" t="str">
        <f>IF(E461="","",IFERROR(INDEX(Vendor_Register!$E$5:$E$205,MATCH(E461,Vendor_Register!$A$5:$A$205,0)),"(not in register)"))</f>
        <v/>
      </c>
      <c r="H461" s="30"/>
      <c r="I461" s="30"/>
      <c r="J461" s="30"/>
      <c r="K461" s="30"/>
      <c r="L461" s="30"/>
      <c r="M461" s="34"/>
      <c r="N461" s="30"/>
      <c r="O461" s="35" t="str">
        <f>IF(NOT(ISNUMBER(M461)),"",IFERROR(IF(L461="EUR",M461,IF(L461="IRR",M461/INDEX('Assumptions &amp; FX Reference'!$C$5:$C$25,MATCH(H461,'Assumptions &amp; FX Reference'!$A$5:$A$25,0)),IF(L461="USD",M461*INDEX('Assumptions &amp; FX Reference'!$B$5:$B$25,MATCH(H461,'Assumptions &amp; FX Reference'!$A$5:$A$25,0))/INDEX('Assumptions &amp; FX Reference'!$C$5:$C$25,MATCH(H461,'Assumptions &amp; FX Reference'!$A$5:$A$25,0)),""))),"(FX missing)"))</f>
        <v/>
      </c>
      <c r="P461" s="30"/>
      <c r="Q461" s="30"/>
      <c r="R461" s="30"/>
      <c r="S461" s="30"/>
      <c r="T461" s="30"/>
      <c r="U461" s="30"/>
      <c r="V461" s="30"/>
    </row>
    <row r="462" spans="1:22">
      <c r="A462" s="30"/>
      <c r="B462" s="30"/>
      <c r="C462" s="33" t="str">
        <f>IF(B462="","",IFERROR(INDEX('Master Database'!$D$5:$D$600,MATCH(B462,'Master Database'!$A$5:$A$600,0)),"(row not found)"))</f>
        <v/>
      </c>
      <c r="D462" s="33" t="str">
        <f>IF(B462="","",IFERROR(INDEX('Master Database'!$B$5:$B$600,MATCH(B462,'Master Database'!$A$5:$A$600,0)),"(row not found)"))</f>
        <v/>
      </c>
      <c r="E462" s="30"/>
      <c r="F462" s="33" t="str">
        <f>IF(E462="","",IFERROR(INDEX(Vendor_Register!$B$5:$B$205,MATCH(E462,Vendor_Register!$A$5:$A$205,0)),"(not in register)"))</f>
        <v/>
      </c>
      <c r="G462" s="33" t="str">
        <f>IF(E462="","",IFERROR(INDEX(Vendor_Register!$E$5:$E$205,MATCH(E462,Vendor_Register!$A$5:$A$205,0)),"(not in register)"))</f>
        <v/>
      </c>
      <c r="H462" s="30"/>
      <c r="I462" s="30"/>
      <c r="J462" s="30"/>
      <c r="K462" s="30"/>
      <c r="L462" s="30"/>
      <c r="M462" s="34"/>
      <c r="N462" s="30"/>
      <c r="O462" s="35" t="str">
        <f>IF(NOT(ISNUMBER(M462)),"",IFERROR(IF(L462="EUR",M462,IF(L462="IRR",M462/INDEX('Assumptions &amp; FX Reference'!$C$5:$C$25,MATCH(H462,'Assumptions &amp; FX Reference'!$A$5:$A$25,0)),IF(L462="USD",M462*INDEX('Assumptions &amp; FX Reference'!$B$5:$B$25,MATCH(H462,'Assumptions &amp; FX Reference'!$A$5:$A$25,0))/INDEX('Assumptions &amp; FX Reference'!$C$5:$C$25,MATCH(H462,'Assumptions &amp; FX Reference'!$A$5:$A$25,0)),""))),"(FX missing)"))</f>
        <v/>
      </c>
      <c r="P462" s="30"/>
      <c r="Q462" s="30"/>
      <c r="R462" s="30"/>
      <c r="S462" s="30"/>
      <c r="T462" s="30"/>
      <c r="U462" s="30"/>
      <c r="V462" s="30"/>
    </row>
    <row r="463" spans="1:22">
      <c r="A463" s="30"/>
      <c r="B463" s="30"/>
      <c r="C463" s="33" t="str">
        <f>IF(B463="","",IFERROR(INDEX('Master Database'!$D$5:$D$600,MATCH(B463,'Master Database'!$A$5:$A$600,0)),"(row not found)"))</f>
        <v/>
      </c>
      <c r="D463" s="33" t="str">
        <f>IF(B463="","",IFERROR(INDEX('Master Database'!$B$5:$B$600,MATCH(B463,'Master Database'!$A$5:$A$600,0)),"(row not found)"))</f>
        <v/>
      </c>
      <c r="E463" s="30"/>
      <c r="F463" s="33" t="str">
        <f>IF(E463="","",IFERROR(INDEX(Vendor_Register!$B$5:$B$205,MATCH(E463,Vendor_Register!$A$5:$A$205,0)),"(not in register)"))</f>
        <v/>
      </c>
      <c r="G463" s="33" t="str">
        <f>IF(E463="","",IFERROR(INDEX(Vendor_Register!$E$5:$E$205,MATCH(E463,Vendor_Register!$A$5:$A$205,0)),"(not in register)"))</f>
        <v/>
      </c>
      <c r="H463" s="30"/>
      <c r="I463" s="30"/>
      <c r="J463" s="30"/>
      <c r="K463" s="30"/>
      <c r="L463" s="30"/>
      <c r="M463" s="34"/>
      <c r="N463" s="30"/>
      <c r="O463" s="35" t="str">
        <f>IF(NOT(ISNUMBER(M463)),"",IFERROR(IF(L463="EUR",M463,IF(L463="IRR",M463/INDEX('Assumptions &amp; FX Reference'!$C$5:$C$25,MATCH(H463,'Assumptions &amp; FX Reference'!$A$5:$A$25,0)),IF(L463="USD",M463*INDEX('Assumptions &amp; FX Reference'!$B$5:$B$25,MATCH(H463,'Assumptions &amp; FX Reference'!$A$5:$A$25,0))/INDEX('Assumptions &amp; FX Reference'!$C$5:$C$25,MATCH(H463,'Assumptions &amp; FX Reference'!$A$5:$A$25,0)),""))),"(FX missing)"))</f>
        <v/>
      </c>
      <c r="P463" s="30"/>
      <c r="Q463" s="30"/>
      <c r="R463" s="30"/>
      <c r="S463" s="30"/>
      <c r="T463" s="30"/>
      <c r="U463" s="30"/>
      <c r="V463" s="30"/>
    </row>
    <row r="464" spans="1:22">
      <c r="A464" s="30"/>
      <c r="B464" s="30"/>
      <c r="C464" s="33" t="str">
        <f>IF(B464="","",IFERROR(INDEX('Master Database'!$D$5:$D$600,MATCH(B464,'Master Database'!$A$5:$A$600,0)),"(row not found)"))</f>
        <v/>
      </c>
      <c r="D464" s="33" t="str">
        <f>IF(B464="","",IFERROR(INDEX('Master Database'!$B$5:$B$600,MATCH(B464,'Master Database'!$A$5:$A$600,0)),"(row not found)"))</f>
        <v/>
      </c>
      <c r="E464" s="30"/>
      <c r="F464" s="33" t="str">
        <f>IF(E464="","",IFERROR(INDEX(Vendor_Register!$B$5:$B$205,MATCH(E464,Vendor_Register!$A$5:$A$205,0)),"(not in register)"))</f>
        <v/>
      </c>
      <c r="G464" s="33" t="str">
        <f>IF(E464="","",IFERROR(INDEX(Vendor_Register!$E$5:$E$205,MATCH(E464,Vendor_Register!$A$5:$A$205,0)),"(not in register)"))</f>
        <v/>
      </c>
      <c r="H464" s="30"/>
      <c r="I464" s="30"/>
      <c r="J464" s="30"/>
      <c r="K464" s="30"/>
      <c r="L464" s="30"/>
      <c r="M464" s="34"/>
      <c r="N464" s="30"/>
      <c r="O464" s="35" t="str">
        <f>IF(NOT(ISNUMBER(M464)),"",IFERROR(IF(L464="EUR",M464,IF(L464="IRR",M464/INDEX('Assumptions &amp; FX Reference'!$C$5:$C$25,MATCH(H464,'Assumptions &amp; FX Reference'!$A$5:$A$25,0)),IF(L464="USD",M464*INDEX('Assumptions &amp; FX Reference'!$B$5:$B$25,MATCH(H464,'Assumptions &amp; FX Reference'!$A$5:$A$25,0))/INDEX('Assumptions &amp; FX Reference'!$C$5:$C$25,MATCH(H464,'Assumptions &amp; FX Reference'!$A$5:$A$25,0)),""))),"(FX missing)"))</f>
        <v/>
      </c>
      <c r="P464" s="30"/>
      <c r="Q464" s="30"/>
      <c r="R464" s="30"/>
      <c r="S464" s="30"/>
      <c r="T464" s="30"/>
      <c r="U464" s="30"/>
      <c r="V464" s="30"/>
    </row>
    <row r="465" spans="1:22">
      <c r="A465" s="30"/>
      <c r="B465" s="30"/>
      <c r="C465" s="33" t="str">
        <f>IF(B465="","",IFERROR(INDEX('Master Database'!$D$5:$D$600,MATCH(B465,'Master Database'!$A$5:$A$600,0)),"(row not found)"))</f>
        <v/>
      </c>
      <c r="D465" s="33" t="str">
        <f>IF(B465="","",IFERROR(INDEX('Master Database'!$B$5:$B$600,MATCH(B465,'Master Database'!$A$5:$A$600,0)),"(row not found)"))</f>
        <v/>
      </c>
      <c r="E465" s="30"/>
      <c r="F465" s="33" t="str">
        <f>IF(E465="","",IFERROR(INDEX(Vendor_Register!$B$5:$B$205,MATCH(E465,Vendor_Register!$A$5:$A$205,0)),"(not in register)"))</f>
        <v/>
      </c>
      <c r="G465" s="33" t="str">
        <f>IF(E465="","",IFERROR(INDEX(Vendor_Register!$E$5:$E$205,MATCH(E465,Vendor_Register!$A$5:$A$205,0)),"(not in register)"))</f>
        <v/>
      </c>
      <c r="H465" s="30"/>
      <c r="I465" s="30"/>
      <c r="J465" s="30"/>
      <c r="K465" s="30"/>
      <c r="L465" s="30"/>
      <c r="M465" s="34"/>
      <c r="N465" s="30"/>
      <c r="O465" s="35" t="str">
        <f>IF(NOT(ISNUMBER(M465)),"",IFERROR(IF(L465="EUR",M465,IF(L465="IRR",M465/INDEX('Assumptions &amp; FX Reference'!$C$5:$C$25,MATCH(H465,'Assumptions &amp; FX Reference'!$A$5:$A$25,0)),IF(L465="USD",M465*INDEX('Assumptions &amp; FX Reference'!$B$5:$B$25,MATCH(H465,'Assumptions &amp; FX Reference'!$A$5:$A$25,0))/INDEX('Assumptions &amp; FX Reference'!$C$5:$C$25,MATCH(H465,'Assumptions &amp; FX Reference'!$A$5:$A$25,0)),""))),"(FX missing)"))</f>
        <v/>
      </c>
      <c r="P465" s="30"/>
      <c r="Q465" s="30"/>
      <c r="R465" s="30"/>
      <c r="S465" s="30"/>
      <c r="T465" s="30"/>
      <c r="U465" s="30"/>
      <c r="V465" s="30"/>
    </row>
    <row r="466" spans="1:22">
      <c r="A466" s="30"/>
      <c r="B466" s="30"/>
      <c r="C466" s="33" t="str">
        <f>IF(B466="","",IFERROR(INDEX('Master Database'!$D$5:$D$600,MATCH(B466,'Master Database'!$A$5:$A$600,0)),"(row not found)"))</f>
        <v/>
      </c>
      <c r="D466" s="33" t="str">
        <f>IF(B466="","",IFERROR(INDEX('Master Database'!$B$5:$B$600,MATCH(B466,'Master Database'!$A$5:$A$600,0)),"(row not found)"))</f>
        <v/>
      </c>
      <c r="E466" s="30"/>
      <c r="F466" s="33" t="str">
        <f>IF(E466="","",IFERROR(INDEX(Vendor_Register!$B$5:$B$205,MATCH(E466,Vendor_Register!$A$5:$A$205,0)),"(not in register)"))</f>
        <v/>
      </c>
      <c r="G466" s="33" t="str">
        <f>IF(E466="","",IFERROR(INDEX(Vendor_Register!$E$5:$E$205,MATCH(E466,Vendor_Register!$A$5:$A$205,0)),"(not in register)"))</f>
        <v/>
      </c>
      <c r="H466" s="30"/>
      <c r="I466" s="30"/>
      <c r="J466" s="30"/>
      <c r="K466" s="30"/>
      <c r="L466" s="30"/>
      <c r="M466" s="34"/>
      <c r="N466" s="30"/>
      <c r="O466" s="35" t="str">
        <f>IF(NOT(ISNUMBER(M466)),"",IFERROR(IF(L466="EUR",M466,IF(L466="IRR",M466/INDEX('Assumptions &amp; FX Reference'!$C$5:$C$25,MATCH(H466,'Assumptions &amp; FX Reference'!$A$5:$A$25,0)),IF(L466="USD",M466*INDEX('Assumptions &amp; FX Reference'!$B$5:$B$25,MATCH(H466,'Assumptions &amp; FX Reference'!$A$5:$A$25,0))/INDEX('Assumptions &amp; FX Reference'!$C$5:$C$25,MATCH(H466,'Assumptions &amp; FX Reference'!$A$5:$A$25,0)),""))),"(FX missing)"))</f>
        <v/>
      </c>
      <c r="P466" s="30"/>
      <c r="Q466" s="30"/>
      <c r="R466" s="30"/>
      <c r="S466" s="30"/>
      <c r="T466" s="30"/>
      <c r="U466" s="30"/>
      <c r="V466" s="30"/>
    </row>
    <row r="467" spans="1:22">
      <c r="A467" s="30"/>
      <c r="B467" s="30"/>
      <c r="C467" s="33" t="str">
        <f>IF(B467="","",IFERROR(INDEX('Master Database'!$D$5:$D$600,MATCH(B467,'Master Database'!$A$5:$A$600,0)),"(row not found)"))</f>
        <v/>
      </c>
      <c r="D467" s="33" t="str">
        <f>IF(B467="","",IFERROR(INDEX('Master Database'!$B$5:$B$600,MATCH(B467,'Master Database'!$A$5:$A$600,0)),"(row not found)"))</f>
        <v/>
      </c>
      <c r="E467" s="30"/>
      <c r="F467" s="33" t="str">
        <f>IF(E467="","",IFERROR(INDEX(Vendor_Register!$B$5:$B$205,MATCH(E467,Vendor_Register!$A$5:$A$205,0)),"(not in register)"))</f>
        <v/>
      </c>
      <c r="G467" s="33" t="str">
        <f>IF(E467="","",IFERROR(INDEX(Vendor_Register!$E$5:$E$205,MATCH(E467,Vendor_Register!$A$5:$A$205,0)),"(not in register)"))</f>
        <v/>
      </c>
      <c r="H467" s="30"/>
      <c r="I467" s="30"/>
      <c r="J467" s="30"/>
      <c r="K467" s="30"/>
      <c r="L467" s="30"/>
      <c r="M467" s="34"/>
      <c r="N467" s="30"/>
      <c r="O467" s="35" t="str">
        <f>IF(NOT(ISNUMBER(M467)),"",IFERROR(IF(L467="EUR",M467,IF(L467="IRR",M467/INDEX('Assumptions &amp; FX Reference'!$C$5:$C$25,MATCH(H467,'Assumptions &amp; FX Reference'!$A$5:$A$25,0)),IF(L467="USD",M467*INDEX('Assumptions &amp; FX Reference'!$B$5:$B$25,MATCH(H467,'Assumptions &amp; FX Reference'!$A$5:$A$25,0))/INDEX('Assumptions &amp; FX Reference'!$C$5:$C$25,MATCH(H467,'Assumptions &amp; FX Reference'!$A$5:$A$25,0)),""))),"(FX missing)"))</f>
        <v/>
      </c>
      <c r="P467" s="30"/>
      <c r="Q467" s="30"/>
      <c r="R467" s="30"/>
      <c r="S467" s="30"/>
      <c r="T467" s="30"/>
      <c r="U467" s="30"/>
      <c r="V467" s="30"/>
    </row>
    <row r="468" spans="1:22">
      <c r="A468" s="30"/>
      <c r="B468" s="30"/>
      <c r="C468" s="33" t="str">
        <f>IF(B468="","",IFERROR(INDEX('Master Database'!$D$5:$D$600,MATCH(B468,'Master Database'!$A$5:$A$600,0)),"(row not found)"))</f>
        <v/>
      </c>
      <c r="D468" s="33" t="str">
        <f>IF(B468="","",IFERROR(INDEX('Master Database'!$B$5:$B$600,MATCH(B468,'Master Database'!$A$5:$A$600,0)),"(row not found)"))</f>
        <v/>
      </c>
      <c r="E468" s="30"/>
      <c r="F468" s="33" t="str">
        <f>IF(E468="","",IFERROR(INDEX(Vendor_Register!$B$5:$B$205,MATCH(E468,Vendor_Register!$A$5:$A$205,0)),"(not in register)"))</f>
        <v/>
      </c>
      <c r="G468" s="33" t="str">
        <f>IF(E468="","",IFERROR(INDEX(Vendor_Register!$E$5:$E$205,MATCH(E468,Vendor_Register!$A$5:$A$205,0)),"(not in register)"))</f>
        <v/>
      </c>
      <c r="H468" s="30"/>
      <c r="I468" s="30"/>
      <c r="J468" s="30"/>
      <c r="K468" s="30"/>
      <c r="L468" s="30"/>
      <c r="M468" s="34"/>
      <c r="N468" s="30"/>
      <c r="O468" s="35" t="str">
        <f>IF(NOT(ISNUMBER(M468)),"",IFERROR(IF(L468="EUR",M468,IF(L468="IRR",M468/INDEX('Assumptions &amp; FX Reference'!$C$5:$C$25,MATCH(H468,'Assumptions &amp; FX Reference'!$A$5:$A$25,0)),IF(L468="USD",M468*INDEX('Assumptions &amp; FX Reference'!$B$5:$B$25,MATCH(H468,'Assumptions &amp; FX Reference'!$A$5:$A$25,0))/INDEX('Assumptions &amp; FX Reference'!$C$5:$C$25,MATCH(H468,'Assumptions &amp; FX Reference'!$A$5:$A$25,0)),""))),"(FX missing)"))</f>
        <v/>
      </c>
      <c r="P468" s="30"/>
      <c r="Q468" s="30"/>
      <c r="R468" s="30"/>
      <c r="S468" s="30"/>
      <c r="T468" s="30"/>
      <c r="U468" s="30"/>
      <c r="V468" s="30"/>
    </row>
    <row r="469" spans="1:22">
      <c r="A469" s="30"/>
      <c r="B469" s="30"/>
      <c r="C469" s="33" t="str">
        <f>IF(B469="","",IFERROR(INDEX('Master Database'!$D$5:$D$600,MATCH(B469,'Master Database'!$A$5:$A$600,0)),"(row not found)"))</f>
        <v/>
      </c>
      <c r="D469" s="33" t="str">
        <f>IF(B469="","",IFERROR(INDEX('Master Database'!$B$5:$B$600,MATCH(B469,'Master Database'!$A$5:$A$600,0)),"(row not found)"))</f>
        <v/>
      </c>
      <c r="E469" s="30"/>
      <c r="F469" s="33" t="str">
        <f>IF(E469="","",IFERROR(INDEX(Vendor_Register!$B$5:$B$205,MATCH(E469,Vendor_Register!$A$5:$A$205,0)),"(not in register)"))</f>
        <v/>
      </c>
      <c r="G469" s="33" t="str">
        <f>IF(E469="","",IFERROR(INDEX(Vendor_Register!$E$5:$E$205,MATCH(E469,Vendor_Register!$A$5:$A$205,0)),"(not in register)"))</f>
        <v/>
      </c>
      <c r="H469" s="30"/>
      <c r="I469" s="30"/>
      <c r="J469" s="30"/>
      <c r="K469" s="30"/>
      <c r="L469" s="30"/>
      <c r="M469" s="34"/>
      <c r="N469" s="30"/>
      <c r="O469" s="35" t="str">
        <f>IF(NOT(ISNUMBER(M469)),"",IFERROR(IF(L469="EUR",M469,IF(L469="IRR",M469/INDEX('Assumptions &amp; FX Reference'!$C$5:$C$25,MATCH(H469,'Assumptions &amp; FX Reference'!$A$5:$A$25,0)),IF(L469="USD",M469*INDEX('Assumptions &amp; FX Reference'!$B$5:$B$25,MATCH(H469,'Assumptions &amp; FX Reference'!$A$5:$A$25,0))/INDEX('Assumptions &amp; FX Reference'!$C$5:$C$25,MATCH(H469,'Assumptions &amp; FX Reference'!$A$5:$A$25,0)),""))),"(FX missing)"))</f>
        <v/>
      </c>
      <c r="P469" s="30"/>
      <c r="Q469" s="30"/>
      <c r="R469" s="30"/>
      <c r="S469" s="30"/>
      <c r="T469" s="30"/>
      <c r="U469" s="30"/>
      <c r="V469" s="30"/>
    </row>
    <row r="470" spans="1:22">
      <c r="A470" s="30"/>
      <c r="B470" s="30"/>
      <c r="C470" s="33" t="str">
        <f>IF(B470="","",IFERROR(INDEX('Master Database'!$D$5:$D$600,MATCH(B470,'Master Database'!$A$5:$A$600,0)),"(row not found)"))</f>
        <v/>
      </c>
      <c r="D470" s="33" t="str">
        <f>IF(B470="","",IFERROR(INDEX('Master Database'!$B$5:$B$600,MATCH(B470,'Master Database'!$A$5:$A$600,0)),"(row not found)"))</f>
        <v/>
      </c>
      <c r="E470" s="30"/>
      <c r="F470" s="33" t="str">
        <f>IF(E470="","",IFERROR(INDEX(Vendor_Register!$B$5:$B$205,MATCH(E470,Vendor_Register!$A$5:$A$205,0)),"(not in register)"))</f>
        <v/>
      </c>
      <c r="G470" s="33" t="str">
        <f>IF(E470="","",IFERROR(INDEX(Vendor_Register!$E$5:$E$205,MATCH(E470,Vendor_Register!$A$5:$A$205,0)),"(not in register)"))</f>
        <v/>
      </c>
      <c r="H470" s="30"/>
      <c r="I470" s="30"/>
      <c r="J470" s="30"/>
      <c r="K470" s="30"/>
      <c r="L470" s="30"/>
      <c r="M470" s="34"/>
      <c r="N470" s="30"/>
      <c r="O470" s="35" t="str">
        <f>IF(NOT(ISNUMBER(M470)),"",IFERROR(IF(L470="EUR",M470,IF(L470="IRR",M470/INDEX('Assumptions &amp; FX Reference'!$C$5:$C$25,MATCH(H470,'Assumptions &amp; FX Reference'!$A$5:$A$25,0)),IF(L470="USD",M470*INDEX('Assumptions &amp; FX Reference'!$B$5:$B$25,MATCH(H470,'Assumptions &amp; FX Reference'!$A$5:$A$25,0))/INDEX('Assumptions &amp; FX Reference'!$C$5:$C$25,MATCH(H470,'Assumptions &amp; FX Reference'!$A$5:$A$25,0)),""))),"(FX missing)"))</f>
        <v/>
      </c>
      <c r="P470" s="30"/>
      <c r="Q470" s="30"/>
      <c r="R470" s="30"/>
      <c r="S470" s="30"/>
      <c r="T470" s="30"/>
      <c r="U470" s="30"/>
      <c r="V470" s="30"/>
    </row>
    <row r="471" spans="1:22">
      <c r="A471" s="30"/>
      <c r="B471" s="30"/>
      <c r="C471" s="33" t="str">
        <f>IF(B471="","",IFERROR(INDEX('Master Database'!$D$5:$D$600,MATCH(B471,'Master Database'!$A$5:$A$600,0)),"(row not found)"))</f>
        <v/>
      </c>
      <c r="D471" s="33" t="str">
        <f>IF(B471="","",IFERROR(INDEX('Master Database'!$B$5:$B$600,MATCH(B471,'Master Database'!$A$5:$A$600,0)),"(row not found)"))</f>
        <v/>
      </c>
      <c r="E471" s="30"/>
      <c r="F471" s="33" t="str">
        <f>IF(E471="","",IFERROR(INDEX(Vendor_Register!$B$5:$B$205,MATCH(E471,Vendor_Register!$A$5:$A$205,0)),"(not in register)"))</f>
        <v/>
      </c>
      <c r="G471" s="33" t="str">
        <f>IF(E471="","",IFERROR(INDEX(Vendor_Register!$E$5:$E$205,MATCH(E471,Vendor_Register!$A$5:$A$205,0)),"(not in register)"))</f>
        <v/>
      </c>
      <c r="H471" s="30"/>
      <c r="I471" s="30"/>
      <c r="J471" s="30"/>
      <c r="K471" s="30"/>
      <c r="L471" s="30"/>
      <c r="M471" s="34"/>
      <c r="N471" s="30"/>
      <c r="O471" s="35" t="str">
        <f>IF(NOT(ISNUMBER(M471)),"",IFERROR(IF(L471="EUR",M471,IF(L471="IRR",M471/INDEX('Assumptions &amp; FX Reference'!$C$5:$C$25,MATCH(H471,'Assumptions &amp; FX Reference'!$A$5:$A$25,0)),IF(L471="USD",M471*INDEX('Assumptions &amp; FX Reference'!$B$5:$B$25,MATCH(H471,'Assumptions &amp; FX Reference'!$A$5:$A$25,0))/INDEX('Assumptions &amp; FX Reference'!$C$5:$C$25,MATCH(H471,'Assumptions &amp; FX Reference'!$A$5:$A$25,0)),""))),"(FX missing)"))</f>
        <v/>
      </c>
      <c r="P471" s="30"/>
      <c r="Q471" s="30"/>
      <c r="R471" s="30"/>
      <c r="S471" s="30"/>
      <c r="T471" s="30"/>
      <c r="U471" s="30"/>
      <c r="V471" s="30"/>
    </row>
    <row r="472" spans="1:22">
      <c r="A472" s="30"/>
      <c r="B472" s="30"/>
      <c r="C472" s="33" t="str">
        <f>IF(B472="","",IFERROR(INDEX('Master Database'!$D$5:$D$600,MATCH(B472,'Master Database'!$A$5:$A$600,0)),"(row not found)"))</f>
        <v/>
      </c>
      <c r="D472" s="33" t="str">
        <f>IF(B472="","",IFERROR(INDEX('Master Database'!$B$5:$B$600,MATCH(B472,'Master Database'!$A$5:$A$600,0)),"(row not found)"))</f>
        <v/>
      </c>
      <c r="E472" s="30"/>
      <c r="F472" s="33" t="str">
        <f>IF(E472="","",IFERROR(INDEX(Vendor_Register!$B$5:$B$205,MATCH(E472,Vendor_Register!$A$5:$A$205,0)),"(not in register)"))</f>
        <v/>
      </c>
      <c r="G472" s="33" t="str">
        <f>IF(E472="","",IFERROR(INDEX(Vendor_Register!$E$5:$E$205,MATCH(E472,Vendor_Register!$A$5:$A$205,0)),"(not in register)"))</f>
        <v/>
      </c>
      <c r="H472" s="30"/>
      <c r="I472" s="30"/>
      <c r="J472" s="30"/>
      <c r="K472" s="30"/>
      <c r="L472" s="30"/>
      <c r="M472" s="34"/>
      <c r="N472" s="30"/>
      <c r="O472" s="35" t="str">
        <f>IF(NOT(ISNUMBER(M472)),"",IFERROR(IF(L472="EUR",M472,IF(L472="IRR",M472/INDEX('Assumptions &amp; FX Reference'!$C$5:$C$25,MATCH(H472,'Assumptions &amp; FX Reference'!$A$5:$A$25,0)),IF(L472="USD",M472*INDEX('Assumptions &amp; FX Reference'!$B$5:$B$25,MATCH(H472,'Assumptions &amp; FX Reference'!$A$5:$A$25,0))/INDEX('Assumptions &amp; FX Reference'!$C$5:$C$25,MATCH(H472,'Assumptions &amp; FX Reference'!$A$5:$A$25,0)),""))),"(FX missing)"))</f>
        <v/>
      </c>
      <c r="P472" s="30"/>
      <c r="Q472" s="30"/>
      <c r="R472" s="30"/>
      <c r="S472" s="30"/>
      <c r="T472" s="30"/>
      <c r="U472" s="30"/>
      <c r="V472" s="30"/>
    </row>
    <row r="473" spans="1:22">
      <c r="A473" s="30"/>
      <c r="B473" s="30"/>
      <c r="C473" s="33" t="str">
        <f>IF(B473="","",IFERROR(INDEX('Master Database'!$D$5:$D$600,MATCH(B473,'Master Database'!$A$5:$A$600,0)),"(row not found)"))</f>
        <v/>
      </c>
      <c r="D473" s="33" t="str">
        <f>IF(B473="","",IFERROR(INDEX('Master Database'!$B$5:$B$600,MATCH(B473,'Master Database'!$A$5:$A$600,0)),"(row not found)"))</f>
        <v/>
      </c>
      <c r="E473" s="30"/>
      <c r="F473" s="33" t="str">
        <f>IF(E473="","",IFERROR(INDEX(Vendor_Register!$B$5:$B$205,MATCH(E473,Vendor_Register!$A$5:$A$205,0)),"(not in register)"))</f>
        <v/>
      </c>
      <c r="G473" s="33" t="str">
        <f>IF(E473="","",IFERROR(INDEX(Vendor_Register!$E$5:$E$205,MATCH(E473,Vendor_Register!$A$5:$A$205,0)),"(not in register)"))</f>
        <v/>
      </c>
      <c r="H473" s="30"/>
      <c r="I473" s="30"/>
      <c r="J473" s="30"/>
      <c r="K473" s="30"/>
      <c r="L473" s="30"/>
      <c r="M473" s="34"/>
      <c r="N473" s="30"/>
      <c r="O473" s="35" t="str">
        <f>IF(NOT(ISNUMBER(M473)),"",IFERROR(IF(L473="EUR",M473,IF(L473="IRR",M473/INDEX('Assumptions &amp; FX Reference'!$C$5:$C$25,MATCH(H473,'Assumptions &amp; FX Reference'!$A$5:$A$25,0)),IF(L473="USD",M473*INDEX('Assumptions &amp; FX Reference'!$B$5:$B$25,MATCH(H473,'Assumptions &amp; FX Reference'!$A$5:$A$25,0))/INDEX('Assumptions &amp; FX Reference'!$C$5:$C$25,MATCH(H473,'Assumptions &amp; FX Reference'!$A$5:$A$25,0)),""))),"(FX missing)"))</f>
        <v/>
      </c>
      <c r="P473" s="30"/>
      <c r="Q473" s="30"/>
      <c r="R473" s="30"/>
      <c r="S473" s="30"/>
      <c r="T473" s="30"/>
      <c r="U473" s="30"/>
      <c r="V473" s="30"/>
    </row>
    <row r="474" spans="1:22">
      <c r="A474" s="30"/>
      <c r="B474" s="30"/>
      <c r="C474" s="33" t="str">
        <f>IF(B474="","",IFERROR(INDEX('Master Database'!$D$5:$D$600,MATCH(B474,'Master Database'!$A$5:$A$600,0)),"(row not found)"))</f>
        <v/>
      </c>
      <c r="D474" s="33" t="str">
        <f>IF(B474="","",IFERROR(INDEX('Master Database'!$B$5:$B$600,MATCH(B474,'Master Database'!$A$5:$A$600,0)),"(row not found)"))</f>
        <v/>
      </c>
      <c r="E474" s="30"/>
      <c r="F474" s="33" t="str">
        <f>IF(E474="","",IFERROR(INDEX(Vendor_Register!$B$5:$B$205,MATCH(E474,Vendor_Register!$A$5:$A$205,0)),"(not in register)"))</f>
        <v/>
      </c>
      <c r="G474" s="33" t="str">
        <f>IF(E474="","",IFERROR(INDEX(Vendor_Register!$E$5:$E$205,MATCH(E474,Vendor_Register!$A$5:$A$205,0)),"(not in register)"))</f>
        <v/>
      </c>
      <c r="H474" s="30"/>
      <c r="I474" s="30"/>
      <c r="J474" s="30"/>
      <c r="K474" s="30"/>
      <c r="L474" s="30"/>
      <c r="M474" s="34"/>
      <c r="N474" s="30"/>
      <c r="O474" s="35" t="str">
        <f>IF(NOT(ISNUMBER(M474)),"",IFERROR(IF(L474="EUR",M474,IF(L474="IRR",M474/INDEX('Assumptions &amp; FX Reference'!$C$5:$C$25,MATCH(H474,'Assumptions &amp; FX Reference'!$A$5:$A$25,0)),IF(L474="USD",M474*INDEX('Assumptions &amp; FX Reference'!$B$5:$B$25,MATCH(H474,'Assumptions &amp; FX Reference'!$A$5:$A$25,0))/INDEX('Assumptions &amp; FX Reference'!$C$5:$C$25,MATCH(H474,'Assumptions &amp; FX Reference'!$A$5:$A$25,0)),""))),"(FX missing)"))</f>
        <v/>
      </c>
      <c r="P474" s="30"/>
      <c r="Q474" s="30"/>
      <c r="R474" s="30"/>
      <c r="S474" s="30"/>
      <c r="T474" s="30"/>
      <c r="U474" s="30"/>
      <c r="V474" s="30"/>
    </row>
    <row r="475" spans="1:22">
      <c r="A475" s="30"/>
      <c r="B475" s="30"/>
      <c r="C475" s="33" t="str">
        <f>IF(B475="","",IFERROR(INDEX('Master Database'!$D$5:$D$600,MATCH(B475,'Master Database'!$A$5:$A$600,0)),"(row not found)"))</f>
        <v/>
      </c>
      <c r="D475" s="33" t="str">
        <f>IF(B475="","",IFERROR(INDEX('Master Database'!$B$5:$B$600,MATCH(B475,'Master Database'!$A$5:$A$600,0)),"(row not found)"))</f>
        <v/>
      </c>
      <c r="E475" s="30"/>
      <c r="F475" s="33" t="str">
        <f>IF(E475="","",IFERROR(INDEX(Vendor_Register!$B$5:$B$205,MATCH(E475,Vendor_Register!$A$5:$A$205,0)),"(not in register)"))</f>
        <v/>
      </c>
      <c r="G475" s="33" t="str">
        <f>IF(E475="","",IFERROR(INDEX(Vendor_Register!$E$5:$E$205,MATCH(E475,Vendor_Register!$A$5:$A$205,0)),"(not in register)"))</f>
        <v/>
      </c>
      <c r="H475" s="30"/>
      <c r="I475" s="30"/>
      <c r="J475" s="30"/>
      <c r="K475" s="30"/>
      <c r="L475" s="30"/>
      <c r="M475" s="34"/>
      <c r="N475" s="30"/>
      <c r="O475" s="35" t="str">
        <f>IF(NOT(ISNUMBER(M475)),"",IFERROR(IF(L475="EUR",M475,IF(L475="IRR",M475/INDEX('Assumptions &amp; FX Reference'!$C$5:$C$25,MATCH(H475,'Assumptions &amp; FX Reference'!$A$5:$A$25,0)),IF(L475="USD",M475*INDEX('Assumptions &amp; FX Reference'!$B$5:$B$25,MATCH(H475,'Assumptions &amp; FX Reference'!$A$5:$A$25,0))/INDEX('Assumptions &amp; FX Reference'!$C$5:$C$25,MATCH(H475,'Assumptions &amp; FX Reference'!$A$5:$A$25,0)),""))),"(FX missing)"))</f>
        <v/>
      </c>
      <c r="P475" s="30"/>
      <c r="Q475" s="30"/>
      <c r="R475" s="30"/>
      <c r="S475" s="30"/>
      <c r="T475" s="30"/>
      <c r="U475" s="30"/>
      <c r="V475" s="30"/>
    </row>
    <row r="476" spans="1:22">
      <c r="A476" s="30"/>
      <c r="B476" s="30"/>
      <c r="C476" s="33" t="str">
        <f>IF(B476="","",IFERROR(INDEX('Master Database'!$D$5:$D$600,MATCH(B476,'Master Database'!$A$5:$A$600,0)),"(row not found)"))</f>
        <v/>
      </c>
      <c r="D476" s="33" t="str">
        <f>IF(B476="","",IFERROR(INDEX('Master Database'!$B$5:$B$600,MATCH(B476,'Master Database'!$A$5:$A$600,0)),"(row not found)"))</f>
        <v/>
      </c>
      <c r="E476" s="30"/>
      <c r="F476" s="33" t="str">
        <f>IF(E476="","",IFERROR(INDEX(Vendor_Register!$B$5:$B$205,MATCH(E476,Vendor_Register!$A$5:$A$205,0)),"(not in register)"))</f>
        <v/>
      </c>
      <c r="G476" s="33" t="str">
        <f>IF(E476="","",IFERROR(INDEX(Vendor_Register!$E$5:$E$205,MATCH(E476,Vendor_Register!$A$5:$A$205,0)),"(not in register)"))</f>
        <v/>
      </c>
      <c r="H476" s="30"/>
      <c r="I476" s="30"/>
      <c r="J476" s="30"/>
      <c r="K476" s="30"/>
      <c r="L476" s="30"/>
      <c r="M476" s="34"/>
      <c r="N476" s="30"/>
      <c r="O476" s="35" t="str">
        <f>IF(NOT(ISNUMBER(M476)),"",IFERROR(IF(L476="EUR",M476,IF(L476="IRR",M476/INDEX('Assumptions &amp; FX Reference'!$C$5:$C$25,MATCH(H476,'Assumptions &amp; FX Reference'!$A$5:$A$25,0)),IF(L476="USD",M476*INDEX('Assumptions &amp; FX Reference'!$B$5:$B$25,MATCH(H476,'Assumptions &amp; FX Reference'!$A$5:$A$25,0))/INDEX('Assumptions &amp; FX Reference'!$C$5:$C$25,MATCH(H476,'Assumptions &amp; FX Reference'!$A$5:$A$25,0)),""))),"(FX missing)"))</f>
        <v/>
      </c>
      <c r="P476" s="30"/>
      <c r="Q476" s="30"/>
      <c r="R476" s="30"/>
      <c r="S476" s="30"/>
      <c r="T476" s="30"/>
      <c r="U476" s="30"/>
      <c r="V476" s="30"/>
    </row>
    <row r="477" spans="1:22">
      <c r="A477" s="30"/>
      <c r="B477" s="30"/>
      <c r="C477" s="33" t="str">
        <f>IF(B477="","",IFERROR(INDEX('Master Database'!$D$5:$D$600,MATCH(B477,'Master Database'!$A$5:$A$600,0)),"(row not found)"))</f>
        <v/>
      </c>
      <c r="D477" s="33" t="str">
        <f>IF(B477="","",IFERROR(INDEX('Master Database'!$B$5:$B$600,MATCH(B477,'Master Database'!$A$5:$A$600,0)),"(row not found)"))</f>
        <v/>
      </c>
      <c r="E477" s="30"/>
      <c r="F477" s="33" t="str">
        <f>IF(E477="","",IFERROR(INDEX(Vendor_Register!$B$5:$B$205,MATCH(E477,Vendor_Register!$A$5:$A$205,0)),"(not in register)"))</f>
        <v/>
      </c>
      <c r="G477" s="33" t="str">
        <f>IF(E477="","",IFERROR(INDEX(Vendor_Register!$E$5:$E$205,MATCH(E477,Vendor_Register!$A$5:$A$205,0)),"(not in register)"))</f>
        <v/>
      </c>
      <c r="H477" s="30"/>
      <c r="I477" s="30"/>
      <c r="J477" s="30"/>
      <c r="K477" s="30"/>
      <c r="L477" s="30"/>
      <c r="M477" s="34"/>
      <c r="N477" s="30"/>
      <c r="O477" s="35" t="str">
        <f>IF(NOT(ISNUMBER(M477)),"",IFERROR(IF(L477="EUR",M477,IF(L477="IRR",M477/INDEX('Assumptions &amp; FX Reference'!$C$5:$C$25,MATCH(H477,'Assumptions &amp; FX Reference'!$A$5:$A$25,0)),IF(L477="USD",M477*INDEX('Assumptions &amp; FX Reference'!$B$5:$B$25,MATCH(H477,'Assumptions &amp; FX Reference'!$A$5:$A$25,0))/INDEX('Assumptions &amp; FX Reference'!$C$5:$C$25,MATCH(H477,'Assumptions &amp; FX Reference'!$A$5:$A$25,0)),""))),"(FX missing)"))</f>
        <v/>
      </c>
      <c r="P477" s="30"/>
      <c r="Q477" s="30"/>
      <c r="R477" s="30"/>
      <c r="S477" s="30"/>
      <c r="T477" s="30"/>
      <c r="U477" s="30"/>
      <c r="V477" s="30"/>
    </row>
    <row r="478" spans="1:22">
      <c r="A478" s="30"/>
      <c r="B478" s="30"/>
      <c r="C478" s="33" t="str">
        <f>IF(B478="","",IFERROR(INDEX('Master Database'!$D$5:$D$600,MATCH(B478,'Master Database'!$A$5:$A$600,0)),"(row not found)"))</f>
        <v/>
      </c>
      <c r="D478" s="33" t="str">
        <f>IF(B478="","",IFERROR(INDEX('Master Database'!$B$5:$B$600,MATCH(B478,'Master Database'!$A$5:$A$600,0)),"(row not found)"))</f>
        <v/>
      </c>
      <c r="E478" s="30"/>
      <c r="F478" s="33" t="str">
        <f>IF(E478="","",IFERROR(INDEX(Vendor_Register!$B$5:$B$205,MATCH(E478,Vendor_Register!$A$5:$A$205,0)),"(not in register)"))</f>
        <v/>
      </c>
      <c r="G478" s="33" t="str">
        <f>IF(E478="","",IFERROR(INDEX(Vendor_Register!$E$5:$E$205,MATCH(E478,Vendor_Register!$A$5:$A$205,0)),"(not in register)"))</f>
        <v/>
      </c>
      <c r="H478" s="30"/>
      <c r="I478" s="30"/>
      <c r="J478" s="30"/>
      <c r="K478" s="30"/>
      <c r="L478" s="30"/>
      <c r="M478" s="34"/>
      <c r="N478" s="30"/>
      <c r="O478" s="35" t="str">
        <f>IF(NOT(ISNUMBER(M478)),"",IFERROR(IF(L478="EUR",M478,IF(L478="IRR",M478/INDEX('Assumptions &amp; FX Reference'!$C$5:$C$25,MATCH(H478,'Assumptions &amp; FX Reference'!$A$5:$A$25,0)),IF(L478="USD",M478*INDEX('Assumptions &amp; FX Reference'!$B$5:$B$25,MATCH(H478,'Assumptions &amp; FX Reference'!$A$5:$A$25,0))/INDEX('Assumptions &amp; FX Reference'!$C$5:$C$25,MATCH(H478,'Assumptions &amp; FX Reference'!$A$5:$A$25,0)),""))),"(FX missing)"))</f>
        <v/>
      </c>
      <c r="P478" s="30"/>
      <c r="Q478" s="30"/>
      <c r="R478" s="30"/>
      <c r="S478" s="30"/>
      <c r="T478" s="30"/>
      <c r="U478" s="30"/>
      <c r="V478" s="30"/>
    </row>
    <row r="479" spans="1:22">
      <c r="A479" s="30"/>
      <c r="B479" s="30"/>
      <c r="C479" s="33" t="str">
        <f>IF(B479="","",IFERROR(INDEX('Master Database'!$D$5:$D$600,MATCH(B479,'Master Database'!$A$5:$A$600,0)),"(row not found)"))</f>
        <v/>
      </c>
      <c r="D479" s="33" t="str">
        <f>IF(B479="","",IFERROR(INDEX('Master Database'!$B$5:$B$600,MATCH(B479,'Master Database'!$A$5:$A$600,0)),"(row not found)"))</f>
        <v/>
      </c>
      <c r="E479" s="30"/>
      <c r="F479" s="33" t="str">
        <f>IF(E479="","",IFERROR(INDEX(Vendor_Register!$B$5:$B$205,MATCH(E479,Vendor_Register!$A$5:$A$205,0)),"(not in register)"))</f>
        <v/>
      </c>
      <c r="G479" s="33" t="str">
        <f>IF(E479="","",IFERROR(INDEX(Vendor_Register!$E$5:$E$205,MATCH(E479,Vendor_Register!$A$5:$A$205,0)),"(not in register)"))</f>
        <v/>
      </c>
      <c r="H479" s="30"/>
      <c r="I479" s="30"/>
      <c r="J479" s="30"/>
      <c r="K479" s="30"/>
      <c r="L479" s="30"/>
      <c r="M479" s="34"/>
      <c r="N479" s="30"/>
      <c r="O479" s="35" t="str">
        <f>IF(NOT(ISNUMBER(M479)),"",IFERROR(IF(L479="EUR",M479,IF(L479="IRR",M479/INDEX('Assumptions &amp; FX Reference'!$C$5:$C$25,MATCH(H479,'Assumptions &amp; FX Reference'!$A$5:$A$25,0)),IF(L479="USD",M479*INDEX('Assumptions &amp; FX Reference'!$B$5:$B$25,MATCH(H479,'Assumptions &amp; FX Reference'!$A$5:$A$25,0))/INDEX('Assumptions &amp; FX Reference'!$C$5:$C$25,MATCH(H479,'Assumptions &amp; FX Reference'!$A$5:$A$25,0)),""))),"(FX missing)"))</f>
        <v/>
      </c>
      <c r="P479" s="30"/>
      <c r="Q479" s="30"/>
      <c r="R479" s="30"/>
      <c r="S479" s="30"/>
      <c r="T479" s="30"/>
      <c r="U479" s="30"/>
      <c r="V479" s="30"/>
    </row>
    <row r="480" spans="1:22">
      <c r="A480" s="30"/>
      <c r="B480" s="30"/>
      <c r="C480" s="33" t="str">
        <f>IF(B480="","",IFERROR(INDEX('Master Database'!$D$5:$D$600,MATCH(B480,'Master Database'!$A$5:$A$600,0)),"(row not found)"))</f>
        <v/>
      </c>
      <c r="D480" s="33" t="str">
        <f>IF(B480="","",IFERROR(INDEX('Master Database'!$B$5:$B$600,MATCH(B480,'Master Database'!$A$5:$A$600,0)),"(row not found)"))</f>
        <v/>
      </c>
      <c r="E480" s="30"/>
      <c r="F480" s="33" t="str">
        <f>IF(E480="","",IFERROR(INDEX(Vendor_Register!$B$5:$B$205,MATCH(E480,Vendor_Register!$A$5:$A$205,0)),"(not in register)"))</f>
        <v/>
      </c>
      <c r="G480" s="33" t="str">
        <f>IF(E480="","",IFERROR(INDEX(Vendor_Register!$E$5:$E$205,MATCH(E480,Vendor_Register!$A$5:$A$205,0)),"(not in register)"))</f>
        <v/>
      </c>
      <c r="H480" s="30"/>
      <c r="I480" s="30"/>
      <c r="J480" s="30"/>
      <c r="K480" s="30"/>
      <c r="L480" s="30"/>
      <c r="M480" s="34"/>
      <c r="N480" s="30"/>
      <c r="O480" s="35" t="str">
        <f>IF(NOT(ISNUMBER(M480)),"",IFERROR(IF(L480="EUR",M480,IF(L480="IRR",M480/INDEX('Assumptions &amp; FX Reference'!$C$5:$C$25,MATCH(H480,'Assumptions &amp; FX Reference'!$A$5:$A$25,0)),IF(L480="USD",M480*INDEX('Assumptions &amp; FX Reference'!$B$5:$B$25,MATCH(H480,'Assumptions &amp; FX Reference'!$A$5:$A$25,0))/INDEX('Assumptions &amp; FX Reference'!$C$5:$C$25,MATCH(H480,'Assumptions &amp; FX Reference'!$A$5:$A$25,0)),""))),"(FX missing)"))</f>
        <v/>
      </c>
      <c r="P480" s="30"/>
      <c r="Q480" s="30"/>
      <c r="R480" s="30"/>
      <c r="S480" s="30"/>
      <c r="T480" s="30"/>
      <c r="U480" s="30"/>
      <c r="V480" s="30"/>
    </row>
    <row r="481" spans="1:22">
      <c r="A481" s="30"/>
      <c r="B481" s="30"/>
      <c r="C481" s="33" t="str">
        <f>IF(B481="","",IFERROR(INDEX('Master Database'!$D$5:$D$600,MATCH(B481,'Master Database'!$A$5:$A$600,0)),"(row not found)"))</f>
        <v/>
      </c>
      <c r="D481" s="33" t="str">
        <f>IF(B481="","",IFERROR(INDEX('Master Database'!$B$5:$B$600,MATCH(B481,'Master Database'!$A$5:$A$600,0)),"(row not found)"))</f>
        <v/>
      </c>
      <c r="E481" s="30"/>
      <c r="F481" s="33" t="str">
        <f>IF(E481="","",IFERROR(INDEX(Vendor_Register!$B$5:$B$205,MATCH(E481,Vendor_Register!$A$5:$A$205,0)),"(not in register)"))</f>
        <v/>
      </c>
      <c r="G481" s="33" t="str">
        <f>IF(E481="","",IFERROR(INDEX(Vendor_Register!$E$5:$E$205,MATCH(E481,Vendor_Register!$A$5:$A$205,0)),"(not in register)"))</f>
        <v/>
      </c>
      <c r="H481" s="30"/>
      <c r="I481" s="30"/>
      <c r="J481" s="30"/>
      <c r="K481" s="30"/>
      <c r="L481" s="30"/>
      <c r="M481" s="34"/>
      <c r="N481" s="30"/>
      <c r="O481" s="35" t="str">
        <f>IF(NOT(ISNUMBER(M481)),"",IFERROR(IF(L481="EUR",M481,IF(L481="IRR",M481/INDEX('Assumptions &amp; FX Reference'!$C$5:$C$25,MATCH(H481,'Assumptions &amp; FX Reference'!$A$5:$A$25,0)),IF(L481="USD",M481*INDEX('Assumptions &amp; FX Reference'!$B$5:$B$25,MATCH(H481,'Assumptions &amp; FX Reference'!$A$5:$A$25,0))/INDEX('Assumptions &amp; FX Reference'!$C$5:$C$25,MATCH(H481,'Assumptions &amp; FX Reference'!$A$5:$A$25,0)),""))),"(FX missing)"))</f>
        <v/>
      </c>
      <c r="P481" s="30"/>
      <c r="Q481" s="30"/>
      <c r="R481" s="30"/>
      <c r="S481" s="30"/>
      <c r="T481" s="30"/>
      <c r="U481" s="30"/>
      <c r="V481" s="30"/>
    </row>
    <row r="482" spans="1:22">
      <c r="A482" s="30"/>
      <c r="B482" s="30"/>
      <c r="C482" s="33" t="str">
        <f>IF(B482="","",IFERROR(INDEX('Master Database'!$D$5:$D$600,MATCH(B482,'Master Database'!$A$5:$A$600,0)),"(row not found)"))</f>
        <v/>
      </c>
      <c r="D482" s="33" t="str">
        <f>IF(B482="","",IFERROR(INDEX('Master Database'!$B$5:$B$600,MATCH(B482,'Master Database'!$A$5:$A$600,0)),"(row not found)"))</f>
        <v/>
      </c>
      <c r="E482" s="30"/>
      <c r="F482" s="33" t="str">
        <f>IF(E482="","",IFERROR(INDEX(Vendor_Register!$B$5:$B$205,MATCH(E482,Vendor_Register!$A$5:$A$205,0)),"(not in register)"))</f>
        <v/>
      </c>
      <c r="G482" s="33" t="str">
        <f>IF(E482="","",IFERROR(INDEX(Vendor_Register!$E$5:$E$205,MATCH(E482,Vendor_Register!$A$5:$A$205,0)),"(not in register)"))</f>
        <v/>
      </c>
      <c r="H482" s="30"/>
      <c r="I482" s="30"/>
      <c r="J482" s="30"/>
      <c r="K482" s="30"/>
      <c r="L482" s="30"/>
      <c r="M482" s="34"/>
      <c r="N482" s="30"/>
      <c r="O482" s="35" t="str">
        <f>IF(NOT(ISNUMBER(M482)),"",IFERROR(IF(L482="EUR",M482,IF(L482="IRR",M482/INDEX('Assumptions &amp; FX Reference'!$C$5:$C$25,MATCH(H482,'Assumptions &amp; FX Reference'!$A$5:$A$25,0)),IF(L482="USD",M482*INDEX('Assumptions &amp; FX Reference'!$B$5:$B$25,MATCH(H482,'Assumptions &amp; FX Reference'!$A$5:$A$25,0))/INDEX('Assumptions &amp; FX Reference'!$C$5:$C$25,MATCH(H482,'Assumptions &amp; FX Reference'!$A$5:$A$25,0)),""))),"(FX missing)"))</f>
        <v/>
      </c>
      <c r="P482" s="30"/>
      <c r="Q482" s="30"/>
      <c r="R482" s="30"/>
      <c r="S482" s="30"/>
      <c r="T482" s="30"/>
      <c r="U482" s="30"/>
      <c r="V482" s="30"/>
    </row>
    <row r="483" spans="1:22">
      <c r="A483" s="30"/>
      <c r="B483" s="30"/>
      <c r="C483" s="33" t="str">
        <f>IF(B483="","",IFERROR(INDEX('Master Database'!$D$5:$D$600,MATCH(B483,'Master Database'!$A$5:$A$600,0)),"(row not found)"))</f>
        <v/>
      </c>
      <c r="D483" s="33" t="str">
        <f>IF(B483="","",IFERROR(INDEX('Master Database'!$B$5:$B$600,MATCH(B483,'Master Database'!$A$5:$A$600,0)),"(row not found)"))</f>
        <v/>
      </c>
      <c r="E483" s="30"/>
      <c r="F483" s="33" t="str">
        <f>IF(E483="","",IFERROR(INDEX(Vendor_Register!$B$5:$B$205,MATCH(E483,Vendor_Register!$A$5:$A$205,0)),"(not in register)"))</f>
        <v/>
      </c>
      <c r="G483" s="33" t="str">
        <f>IF(E483="","",IFERROR(INDEX(Vendor_Register!$E$5:$E$205,MATCH(E483,Vendor_Register!$A$5:$A$205,0)),"(not in register)"))</f>
        <v/>
      </c>
      <c r="H483" s="30"/>
      <c r="I483" s="30"/>
      <c r="J483" s="30"/>
      <c r="K483" s="30"/>
      <c r="L483" s="30"/>
      <c r="M483" s="34"/>
      <c r="N483" s="30"/>
      <c r="O483" s="35" t="str">
        <f>IF(NOT(ISNUMBER(M483)),"",IFERROR(IF(L483="EUR",M483,IF(L483="IRR",M483/INDEX('Assumptions &amp; FX Reference'!$C$5:$C$25,MATCH(H483,'Assumptions &amp; FX Reference'!$A$5:$A$25,0)),IF(L483="USD",M483*INDEX('Assumptions &amp; FX Reference'!$B$5:$B$25,MATCH(H483,'Assumptions &amp; FX Reference'!$A$5:$A$25,0))/INDEX('Assumptions &amp; FX Reference'!$C$5:$C$25,MATCH(H483,'Assumptions &amp; FX Reference'!$A$5:$A$25,0)),""))),"(FX missing)"))</f>
        <v/>
      </c>
      <c r="P483" s="30"/>
      <c r="Q483" s="30"/>
      <c r="R483" s="30"/>
      <c r="S483" s="30"/>
      <c r="T483" s="30"/>
      <c r="U483" s="30"/>
      <c r="V483" s="30"/>
    </row>
    <row r="484" spans="1:22">
      <c r="A484" s="30"/>
      <c r="B484" s="30"/>
      <c r="C484" s="33" t="str">
        <f>IF(B484="","",IFERROR(INDEX('Master Database'!$D$5:$D$600,MATCH(B484,'Master Database'!$A$5:$A$600,0)),"(row not found)"))</f>
        <v/>
      </c>
      <c r="D484" s="33" t="str">
        <f>IF(B484="","",IFERROR(INDEX('Master Database'!$B$5:$B$600,MATCH(B484,'Master Database'!$A$5:$A$600,0)),"(row not found)"))</f>
        <v/>
      </c>
      <c r="E484" s="30"/>
      <c r="F484" s="33" t="str">
        <f>IF(E484="","",IFERROR(INDEX(Vendor_Register!$B$5:$B$205,MATCH(E484,Vendor_Register!$A$5:$A$205,0)),"(not in register)"))</f>
        <v/>
      </c>
      <c r="G484" s="33" t="str">
        <f>IF(E484="","",IFERROR(INDEX(Vendor_Register!$E$5:$E$205,MATCH(E484,Vendor_Register!$A$5:$A$205,0)),"(not in register)"))</f>
        <v/>
      </c>
      <c r="H484" s="30"/>
      <c r="I484" s="30"/>
      <c r="J484" s="30"/>
      <c r="K484" s="30"/>
      <c r="L484" s="30"/>
      <c r="M484" s="34"/>
      <c r="N484" s="30"/>
      <c r="O484" s="35" t="str">
        <f>IF(NOT(ISNUMBER(M484)),"",IFERROR(IF(L484="EUR",M484,IF(L484="IRR",M484/INDEX('Assumptions &amp; FX Reference'!$C$5:$C$25,MATCH(H484,'Assumptions &amp; FX Reference'!$A$5:$A$25,0)),IF(L484="USD",M484*INDEX('Assumptions &amp; FX Reference'!$B$5:$B$25,MATCH(H484,'Assumptions &amp; FX Reference'!$A$5:$A$25,0))/INDEX('Assumptions &amp; FX Reference'!$C$5:$C$25,MATCH(H484,'Assumptions &amp; FX Reference'!$A$5:$A$25,0)),""))),"(FX missing)"))</f>
        <v/>
      </c>
      <c r="P484" s="30"/>
      <c r="Q484" s="30"/>
      <c r="R484" s="30"/>
      <c r="S484" s="30"/>
      <c r="T484" s="30"/>
      <c r="U484" s="30"/>
      <c r="V484" s="30"/>
    </row>
    <row r="485" spans="1:22">
      <c r="A485" s="30"/>
      <c r="B485" s="30"/>
      <c r="C485" s="33" t="str">
        <f>IF(B485="","",IFERROR(INDEX('Master Database'!$D$5:$D$600,MATCH(B485,'Master Database'!$A$5:$A$600,0)),"(row not found)"))</f>
        <v/>
      </c>
      <c r="D485" s="33" t="str">
        <f>IF(B485="","",IFERROR(INDEX('Master Database'!$B$5:$B$600,MATCH(B485,'Master Database'!$A$5:$A$600,0)),"(row not found)"))</f>
        <v/>
      </c>
      <c r="E485" s="30"/>
      <c r="F485" s="33" t="str">
        <f>IF(E485="","",IFERROR(INDEX(Vendor_Register!$B$5:$B$205,MATCH(E485,Vendor_Register!$A$5:$A$205,0)),"(not in register)"))</f>
        <v/>
      </c>
      <c r="G485" s="33" t="str">
        <f>IF(E485="","",IFERROR(INDEX(Vendor_Register!$E$5:$E$205,MATCH(E485,Vendor_Register!$A$5:$A$205,0)),"(not in register)"))</f>
        <v/>
      </c>
      <c r="H485" s="30"/>
      <c r="I485" s="30"/>
      <c r="J485" s="30"/>
      <c r="K485" s="30"/>
      <c r="L485" s="30"/>
      <c r="M485" s="34"/>
      <c r="N485" s="30"/>
      <c r="O485" s="35" t="str">
        <f>IF(NOT(ISNUMBER(M485)),"",IFERROR(IF(L485="EUR",M485,IF(L485="IRR",M485/INDEX('Assumptions &amp; FX Reference'!$C$5:$C$25,MATCH(H485,'Assumptions &amp; FX Reference'!$A$5:$A$25,0)),IF(L485="USD",M485*INDEX('Assumptions &amp; FX Reference'!$B$5:$B$25,MATCH(H485,'Assumptions &amp; FX Reference'!$A$5:$A$25,0))/INDEX('Assumptions &amp; FX Reference'!$C$5:$C$25,MATCH(H485,'Assumptions &amp; FX Reference'!$A$5:$A$25,0)),""))),"(FX missing)"))</f>
        <v/>
      </c>
      <c r="P485" s="30"/>
      <c r="Q485" s="30"/>
      <c r="R485" s="30"/>
      <c r="S485" s="30"/>
      <c r="T485" s="30"/>
      <c r="U485" s="30"/>
      <c r="V485" s="30"/>
    </row>
    <row r="486" spans="1:22">
      <c r="A486" s="30"/>
      <c r="B486" s="30"/>
      <c r="C486" s="33" t="str">
        <f>IF(B486="","",IFERROR(INDEX('Master Database'!$D$5:$D$600,MATCH(B486,'Master Database'!$A$5:$A$600,0)),"(row not found)"))</f>
        <v/>
      </c>
      <c r="D486" s="33" t="str">
        <f>IF(B486="","",IFERROR(INDEX('Master Database'!$B$5:$B$600,MATCH(B486,'Master Database'!$A$5:$A$600,0)),"(row not found)"))</f>
        <v/>
      </c>
      <c r="E486" s="30"/>
      <c r="F486" s="33" t="str">
        <f>IF(E486="","",IFERROR(INDEX(Vendor_Register!$B$5:$B$205,MATCH(E486,Vendor_Register!$A$5:$A$205,0)),"(not in register)"))</f>
        <v/>
      </c>
      <c r="G486" s="33" t="str">
        <f>IF(E486="","",IFERROR(INDEX(Vendor_Register!$E$5:$E$205,MATCH(E486,Vendor_Register!$A$5:$A$205,0)),"(not in register)"))</f>
        <v/>
      </c>
      <c r="H486" s="30"/>
      <c r="I486" s="30"/>
      <c r="J486" s="30"/>
      <c r="K486" s="30"/>
      <c r="L486" s="30"/>
      <c r="M486" s="34"/>
      <c r="N486" s="30"/>
      <c r="O486" s="35" t="str">
        <f>IF(NOT(ISNUMBER(M486)),"",IFERROR(IF(L486="EUR",M486,IF(L486="IRR",M486/INDEX('Assumptions &amp; FX Reference'!$C$5:$C$25,MATCH(H486,'Assumptions &amp; FX Reference'!$A$5:$A$25,0)),IF(L486="USD",M486*INDEX('Assumptions &amp; FX Reference'!$B$5:$B$25,MATCH(H486,'Assumptions &amp; FX Reference'!$A$5:$A$25,0))/INDEX('Assumptions &amp; FX Reference'!$C$5:$C$25,MATCH(H486,'Assumptions &amp; FX Reference'!$A$5:$A$25,0)),""))),"(FX missing)"))</f>
        <v/>
      </c>
      <c r="P486" s="30"/>
      <c r="Q486" s="30"/>
      <c r="R486" s="30"/>
      <c r="S486" s="30"/>
      <c r="T486" s="30"/>
      <c r="U486" s="30"/>
      <c r="V486" s="30"/>
    </row>
    <row r="487" spans="1:22">
      <c r="A487" s="30"/>
      <c r="B487" s="30"/>
      <c r="C487" s="33" t="str">
        <f>IF(B487="","",IFERROR(INDEX('Master Database'!$D$5:$D$600,MATCH(B487,'Master Database'!$A$5:$A$600,0)),"(row not found)"))</f>
        <v/>
      </c>
      <c r="D487" s="33" t="str">
        <f>IF(B487="","",IFERROR(INDEX('Master Database'!$B$5:$B$600,MATCH(B487,'Master Database'!$A$5:$A$600,0)),"(row not found)"))</f>
        <v/>
      </c>
      <c r="E487" s="30"/>
      <c r="F487" s="33" t="str">
        <f>IF(E487="","",IFERROR(INDEX(Vendor_Register!$B$5:$B$205,MATCH(E487,Vendor_Register!$A$5:$A$205,0)),"(not in register)"))</f>
        <v/>
      </c>
      <c r="G487" s="33" t="str">
        <f>IF(E487="","",IFERROR(INDEX(Vendor_Register!$E$5:$E$205,MATCH(E487,Vendor_Register!$A$5:$A$205,0)),"(not in register)"))</f>
        <v/>
      </c>
      <c r="H487" s="30"/>
      <c r="I487" s="30"/>
      <c r="J487" s="30"/>
      <c r="K487" s="30"/>
      <c r="L487" s="30"/>
      <c r="M487" s="34"/>
      <c r="N487" s="30"/>
      <c r="O487" s="35" t="str">
        <f>IF(NOT(ISNUMBER(M487)),"",IFERROR(IF(L487="EUR",M487,IF(L487="IRR",M487/INDEX('Assumptions &amp; FX Reference'!$C$5:$C$25,MATCH(H487,'Assumptions &amp; FX Reference'!$A$5:$A$25,0)),IF(L487="USD",M487*INDEX('Assumptions &amp; FX Reference'!$B$5:$B$25,MATCH(H487,'Assumptions &amp; FX Reference'!$A$5:$A$25,0))/INDEX('Assumptions &amp; FX Reference'!$C$5:$C$25,MATCH(H487,'Assumptions &amp; FX Reference'!$A$5:$A$25,0)),""))),"(FX missing)"))</f>
        <v/>
      </c>
      <c r="P487" s="30"/>
      <c r="Q487" s="30"/>
      <c r="R487" s="30"/>
      <c r="S487" s="30"/>
      <c r="T487" s="30"/>
      <c r="U487" s="30"/>
      <c r="V487" s="30"/>
    </row>
    <row r="488" spans="1:22">
      <c r="A488" s="30"/>
      <c r="B488" s="30"/>
      <c r="C488" s="33" t="str">
        <f>IF(B488="","",IFERROR(INDEX('Master Database'!$D$5:$D$600,MATCH(B488,'Master Database'!$A$5:$A$600,0)),"(row not found)"))</f>
        <v/>
      </c>
      <c r="D488" s="33" t="str">
        <f>IF(B488="","",IFERROR(INDEX('Master Database'!$B$5:$B$600,MATCH(B488,'Master Database'!$A$5:$A$600,0)),"(row not found)"))</f>
        <v/>
      </c>
      <c r="E488" s="30"/>
      <c r="F488" s="33" t="str">
        <f>IF(E488="","",IFERROR(INDEX(Vendor_Register!$B$5:$B$205,MATCH(E488,Vendor_Register!$A$5:$A$205,0)),"(not in register)"))</f>
        <v/>
      </c>
      <c r="G488" s="33" t="str">
        <f>IF(E488="","",IFERROR(INDEX(Vendor_Register!$E$5:$E$205,MATCH(E488,Vendor_Register!$A$5:$A$205,0)),"(not in register)"))</f>
        <v/>
      </c>
      <c r="H488" s="30"/>
      <c r="I488" s="30"/>
      <c r="J488" s="30"/>
      <c r="K488" s="30"/>
      <c r="L488" s="30"/>
      <c r="M488" s="34"/>
      <c r="N488" s="30"/>
      <c r="O488" s="35" t="str">
        <f>IF(NOT(ISNUMBER(M488)),"",IFERROR(IF(L488="EUR",M488,IF(L488="IRR",M488/INDEX('Assumptions &amp; FX Reference'!$C$5:$C$25,MATCH(H488,'Assumptions &amp; FX Reference'!$A$5:$A$25,0)),IF(L488="USD",M488*INDEX('Assumptions &amp; FX Reference'!$B$5:$B$25,MATCH(H488,'Assumptions &amp; FX Reference'!$A$5:$A$25,0))/INDEX('Assumptions &amp; FX Reference'!$C$5:$C$25,MATCH(H488,'Assumptions &amp; FX Reference'!$A$5:$A$25,0)),""))),"(FX missing)"))</f>
        <v/>
      </c>
      <c r="P488" s="30"/>
      <c r="Q488" s="30"/>
      <c r="R488" s="30"/>
      <c r="S488" s="30"/>
      <c r="T488" s="30"/>
      <c r="U488" s="30"/>
      <c r="V488" s="30"/>
    </row>
    <row r="489" spans="1:22">
      <c r="A489" s="30"/>
      <c r="B489" s="30"/>
      <c r="C489" s="33" t="str">
        <f>IF(B489="","",IFERROR(INDEX('Master Database'!$D$5:$D$600,MATCH(B489,'Master Database'!$A$5:$A$600,0)),"(row not found)"))</f>
        <v/>
      </c>
      <c r="D489" s="33" t="str">
        <f>IF(B489="","",IFERROR(INDEX('Master Database'!$B$5:$B$600,MATCH(B489,'Master Database'!$A$5:$A$600,0)),"(row not found)"))</f>
        <v/>
      </c>
      <c r="E489" s="30"/>
      <c r="F489" s="33" t="str">
        <f>IF(E489="","",IFERROR(INDEX(Vendor_Register!$B$5:$B$205,MATCH(E489,Vendor_Register!$A$5:$A$205,0)),"(not in register)"))</f>
        <v/>
      </c>
      <c r="G489" s="33" t="str">
        <f>IF(E489="","",IFERROR(INDEX(Vendor_Register!$E$5:$E$205,MATCH(E489,Vendor_Register!$A$5:$A$205,0)),"(not in register)"))</f>
        <v/>
      </c>
      <c r="H489" s="30"/>
      <c r="I489" s="30"/>
      <c r="J489" s="30"/>
      <c r="K489" s="30"/>
      <c r="L489" s="30"/>
      <c r="M489" s="34"/>
      <c r="N489" s="30"/>
      <c r="O489" s="35" t="str">
        <f>IF(NOT(ISNUMBER(M489)),"",IFERROR(IF(L489="EUR",M489,IF(L489="IRR",M489/INDEX('Assumptions &amp; FX Reference'!$C$5:$C$25,MATCH(H489,'Assumptions &amp; FX Reference'!$A$5:$A$25,0)),IF(L489="USD",M489*INDEX('Assumptions &amp; FX Reference'!$B$5:$B$25,MATCH(H489,'Assumptions &amp; FX Reference'!$A$5:$A$25,0))/INDEX('Assumptions &amp; FX Reference'!$C$5:$C$25,MATCH(H489,'Assumptions &amp; FX Reference'!$A$5:$A$25,0)),""))),"(FX missing)"))</f>
        <v/>
      </c>
      <c r="P489" s="30"/>
      <c r="Q489" s="30"/>
      <c r="R489" s="30"/>
      <c r="S489" s="30"/>
      <c r="T489" s="30"/>
      <c r="U489" s="30"/>
      <c r="V489" s="30"/>
    </row>
    <row r="490" spans="1:22">
      <c r="A490" s="30"/>
      <c r="B490" s="30"/>
      <c r="C490" s="33" t="str">
        <f>IF(B490="","",IFERROR(INDEX('Master Database'!$D$5:$D$600,MATCH(B490,'Master Database'!$A$5:$A$600,0)),"(row not found)"))</f>
        <v/>
      </c>
      <c r="D490" s="33" t="str">
        <f>IF(B490="","",IFERROR(INDEX('Master Database'!$B$5:$B$600,MATCH(B490,'Master Database'!$A$5:$A$600,0)),"(row not found)"))</f>
        <v/>
      </c>
      <c r="E490" s="30"/>
      <c r="F490" s="33" t="str">
        <f>IF(E490="","",IFERROR(INDEX(Vendor_Register!$B$5:$B$205,MATCH(E490,Vendor_Register!$A$5:$A$205,0)),"(not in register)"))</f>
        <v/>
      </c>
      <c r="G490" s="33" t="str">
        <f>IF(E490="","",IFERROR(INDEX(Vendor_Register!$E$5:$E$205,MATCH(E490,Vendor_Register!$A$5:$A$205,0)),"(not in register)"))</f>
        <v/>
      </c>
      <c r="H490" s="30"/>
      <c r="I490" s="30"/>
      <c r="J490" s="30"/>
      <c r="K490" s="30"/>
      <c r="L490" s="30"/>
      <c r="M490" s="34"/>
      <c r="N490" s="30"/>
      <c r="O490" s="35" t="str">
        <f>IF(NOT(ISNUMBER(M490)),"",IFERROR(IF(L490="EUR",M490,IF(L490="IRR",M490/INDEX('Assumptions &amp; FX Reference'!$C$5:$C$25,MATCH(H490,'Assumptions &amp; FX Reference'!$A$5:$A$25,0)),IF(L490="USD",M490*INDEX('Assumptions &amp; FX Reference'!$B$5:$B$25,MATCH(H490,'Assumptions &amp; FX Reference'!$A$5:$A$25,0))/INDEX('Assumptions &amp; FX Reference'!$C$5:$C$25,MATCH(H490,'Assumptions &amp; FX Reference'!$A$5:$A$25,0)),""))),"(FX missing)"))</f>
        <v/>
      </c>
      <c r="P490" s="30"/>
      <c r="Q490" s="30"/>
      <c r="R490" s="30"/>
      <c r="S490" s="30"/>
      <c r="T490" s="30"/>
      <c r="U490" s="30"/>
      <c r="V490" s="30"/>
    </row>
    <row r="491" spans="1:22">
      <c r="A491" s="30"/>
      <c r="B491" s="30"/>
      <c r="C491" s="33" t="str">
        <f>IF(B491="","",IFERROR(INDEX('Master Database'!$D$5:$D$600,MATCH(B491,'Master Database'!$A$5:$A$600,0)),"(row not found)"))</f>
        <v/>
      </c>
      <c r="D491" s="33" t="str">
        <f>IF(B491="","",IFERROR(INDEX('Master Database'!$B$5:$B$600,MATCH(B491,'Master Database'!$A$5:$A$600,0)),"(row not found)"))</f>
        <v/>
      </c>
      <c r="E491" s="30"/>
      <c r="F491" s="33" t="str">
        <f>IF(E491="","",IFERROR(INDEX(Vendor_Register!$B$5:$B$205,MATCH(E491,Vendor_Register!$A$5:$A$205,0)),"(not in register)"))</f>
        <v/>
      </c>
      <c r="G491" s="33" t="str">
        <f>IF(E491="","",IFERROR(INDEX(Vendor_Register!$E$5:$E$205,MATCH(E491,Vendor_Register!$A$5:$A$205,0)),"(not in register)"))</f>
        <v/>
      </c>
      <c r="H491" s="30"/>
      <c r="I491" s="30"/>
      <c r="J491" s="30"/>
      <c r="K491" s="30"/>
      <c r="L491" s="30"/>
      <c r="M491" s="34"/>
      <c r="N491" s="30"/>
      <c r="O491" s="35" t="str">
        <f>IF(NOT(ISNUMBER(M491)),"",IFERROR(IF(L491="EUR",M491,IF(L491="IRR",M491/INDEX('Assumptions &amp; FX Reference'!$C$5:$C$25,MATCH(H491,'Assumptions &amp; FX Reference'!$A$5:$A$25,0)),IF(L491="USD",M491*INDEX('Assumptions &amp; FX Reference'!$B$5:$B$25,MATCH(H491,'Assumptions &amp; FX Reference'!$A$5:$A$25,0))/INDEX('Assumptions &amp; FX Reference'!$C$5:$C$25,MATCH(H491,'Assumptions &amp; FX Reference'!$A$5:$A$25,0)),""))),"(FX missing)"))</f>
        <v/>
      </c>
      <c r="P491" s="30"/>
      <c r="Q491" s="30"/>
      <c r="R491" s="30"/>
      <c r="S491" s="30"/>
      <c r="T491" s="30"/>
      <c r="U491" s="30"/>
      <c r="V491" s="30"/>
    </row>
    <row r="492" spans="1:22">
      <c r="A492" s="30"/>
      <c r="B492" s="30"/>
      <c r="C492" s="33" t="str">
        <f>IF(B492="","",IFERROR(INDEX('Master Database'!$D$5:$D$600,MATCH(B492,'Master Database'!$A$5:$A$600,0)),"(row not found)"))</f>
        <v/>
      </c>
      <c r="D492" s="33" t="str">
        <f>IF(B492="","",IFERROR(INDEX('Master Database'!$B$5:$B$600,MATCH(B492,'Master Database'!$A$5:$A$600,0)),"(row not found)"))</f>
        <v/>
      </c>
      <c r="E492" s="30"/>
      <c r="F492" s="33" t="str">
        <f>IF(E492="","",IFERROR(INDEX(Vendor_Register!$B$5:$B$205,MATCH(E492,Vendor_Register!$A$5:$A$205,0)),"(not in register)"))</f>
        <v/>
      </c>
      <c r="G492" s="33" t="str">
        <f>IF(E492="","",IFERROR(INDEX(Vendor_Register!$E$5:$E$205,MATCH(E492,Vendor_Register!$A$5:$A$205,0)),"(not in register)"))</f>
        <v/>
      </c>
      <c r="H492" s="30"/>
      <c r="I492" s="30"/>
      <c r="J492" s="30"/>
      <c r="K492" s="30"/>
      <c r="L492" s="30"/>
      <c r="M492" s="34"/>
      <c r="N492" s="30"/>
      <c r="O492" s="35" t="str">
        <f>IF(NOT(ISNUMBER(M492)),"",IFERROR(IF(L492="EUR",M492,IF(L492="IRR",M492/INDEX('Assumptions &amp; FX Reference'!$C$5:$C$25,MATCH(H492,'Assumptions &amp; FX Reference'!$A$5:$A$25,0)),IF(L492="USD",M492*INDEX('Assumptions &amp; FX Reference'!$B$5:$B$25,MATCH(H492,'Assumptions &amp; FX Reference'!$A$5:$A$25,0))/INDEX('Assumptions &amp; FX Reference'!$C$5:$C$25,MATCH(H492,'Assumptions &amp; FX Reference'!$A$5:$A$25,0)),""))),"(FX missing)"))</f>
        <v/>
      </c>
      <c r="P492" s="30"/>
      <c r="Q492" s="30"/>
      <c r="R492" s="30"/>
      <c r="S492" s="30"/>
      <c r="T492" s="30"/>
      <c r="U492" s="30"/>
      <c r="V492" s="30"/>
    </row>
    <row r="493" spans="1:22">
      <c r="A493" s="30"/>
      <c r="B493" s="30"/>
      <c r="C493" s="33" t="str">
        <f>IF(B493="","",IFERROR(INDEX('Master Database'!$D$5:$D$600,MATCH(B493,'Master Database'!$A$5:$A$600,0)),"(row not found)"))</f>
        <v/>
      </c>
      <c r="D493" s="33" t="str">
        <f>IF(B493="","",IFERROR(INDEX('Master Database'!$B$5:$B$600,MATCH(B493,'Master Database'!$A$5:$A$600,0)),"(row not found)"))</f>
        <v/>
      </c>
      <c r="E493" s="30"/>
      <c r="F493" s="33" t="str">
        <f>IF(E493="","",IFERROR(INDEX(Vendor_Register!$B$5:$B$205,MATCH(E493,Vendor_Register!$A$5:$A$205,0)),"(not in register)"))</f>
        <v/>
      </c>
      <c r="G493" s="33" t="str">
        <f>IF(E493="","",IFERROR(INDEX(Vendor_Register!$E$5:$E$205,MATCH(E493,Vendor_Register!$A$5:$A$205,0)),"(not in register)"))</f>
        <v/>
      </c>
      <c r="H493" s="30"/>
      <c r="I493" s="30"/>
      <c r="J493" s="30"/>
      <c r="K493" s="30"/>
      <c r="L493" s="30"/>
      <c r="M493" s="34"/>
      <c r="N493" s="30"/>
      <c r="O493" s="35" t="str">
        <f>IF(NOT(ISNUMBER(M493)),"",IFERROR(IF(L493="EUR",M493,IF(L493="IRR",M493/INDEX('Assumptions &amp; FX Reference'!$C$5:$C$25,MATCH(H493,'Assumptions &amp; FX Reference'!$A$5:$A$25,0)),IF(L493="USD",M493*INDEX('Assumptions &amp; FX Reference'!$B$5:$B$25,MATCH(H493,'Assumptions &amp; FX Reference'!$A$5:$A$25,0))/INDEX('Assumptions &amp; FX Reference'!$C$5:$C$25,MATCH(H493,'Assumptions &amp; FX Reference'!$A$5:$A$25,0)),""))),"(FX missing)"))</f>
        <v/>
      </c>
      <c r="P493" s="30"/>
      <c r="Q493" s="30"/>
      <c r="R493" s="30"/>
      <c r="S493" s="30"/>
      <c r="T493" s="30"/>
      <c r="U493" s="30"/>
      <c r="V493" s="30"/>
    </row>
    <row r="494" spans="1:22">
      <c r="A494" s="30"/>
      <c r="B494" s="30"/>
      <c r="C494" s="33" t="str">
        <f>IF(B494="","",IFERROR(INDEX('Master Database'!$D$5:$D$600,MATCH(B494,'Master Database'!$A$5:$A$600,0)),"(row not found)"))</f>
        <v/>
      </c>
      <c r="D494" s="33" t="str">
        <f>IF(B494="","",IFERROR(INDEX('Master Database'!$B$5:$B$600,MATCH(B494,'Master Database'!$A$5:$A$600,0)),"(row not found)"))</f>
        <v/>
      </c>
      <c r="E494" s="30"/>
      <c r="F494" s="33" t="str">
        <f>IF(E494="","",IFERROR(INDEX(Vendor_Register!$B$5:$B$205,MATCH(E494,Vendor_Register!$A$5:$A$205,0)),"(not in register)"))</f>
        <v/>
      </c>
      <c r="G494" s="33" t="str">
        <f>IF(E494="","",IFERROR(INDEX(Vendor_Register!$E$5:$E$205,MATCH(E494,Vendor_Register!$A$5:$A$205,0)),"(not in register)"))</f>
        <v/>
      </c>
      <c r="H494" s="30"/>
      <c r="I494" s="30"/>
      <c r="J494" s="30"/>
      <c r="K494" s="30"/>
      <c r="L494" s="30"/>
      <c r="M494" s="34"/>
      <c r="N494" s="30"/>
      <c r="O494" s="35" t="str">
        <f>IF(NOT(ISNUMBER(M494)),"",IFERROR(IF(L494="EUR",M494,IF(L494="IRR",M494/INDEX('Assumptions &amp; FX Reference'!$C$5:$C$25,MATCH(H494,'Assumptions &amp; FX Reference'!$A$5:$A$25,0)),IF(L494="USD",M494*INDEX('Assumptions &amp; FX Reference'!$B$5:$B$25,MATCH(H494,'Assumptions &amp; FX Reference'!$A$5:$A$25,0))/INDEX('Assumptions &amp; FX Reference'!$C$5:$C$25,MATCH(H494,'Assumptions &amp; FX Reference'!$A$5:$A$25,0)),""))),"(FX missing)"))</f>
        <v/>
      </c>
      <c r="P494" s="30"/>
      <c r="Q494" s="30"/>
      <c r="R494" s="30"/>
      <c r="S494" s="30"/>
      <c r="T494" s="30"/>
      <c r="U494" s="30"/>
      <c r="V494" s="30"/>
    </row>
    <row r="495" spans="1:22">
      <c r="A495" s="30"/>
      <c r="B495" s="30"/>
      <c r="C495" s="33" t="str">
        <f>IF(B495="","",IFERROR(INDEX('Master Database'!$D$5:$D$600,MATCH(B495,'Master Database'!$A$5:$A$600,0)),"(row not found)"))</f>
        <v/>
      </c>
      <c r="D495" s="33" t="str">
        <f>IF(B495="","",IFERROR(INDEX('Master Database'!$B$5:$B$600,MATCH(B495,'Master Database'!$A$5:$A$600,0)),"(row not found)"))</f>
        <v/>
      </c>
      <c r="E495" s="30"/>
      <c r="F495" s="33" t="str">
        <f>IF(E495="","",IFERROR(INDEX(Vendor_Register!$B$5:$B$205,MATCH(E495,Vendor_Register!$A$5:$A$205,0)),"(not in register)"))</f>
        <v/>
      </c>
      <c r="G495" s="33" t="str">
        <f>IF(E495="","",IFERROR(INDEX(Vendor_Register!$E$5:$E$205,MATCH(E495,Vendor_Register!$A$5:$A$205,0)),"(not in register)"))</f>
        <v/>
      </c>
      <c r="H495" s="30"/>
      <c r="I495" s="30"/>
      <c r="J495" s="30"/>
      <c r="K495" s="30"/>
      <c r="L495" s="30"/>
      <c r="M495" s="34"/>
      <c r="N495" s="30"/>
      <c r="O495" s="35" t="str">
        <f>IF(NOT(ISNUMBER(M495)),"",IFERROR(IF(L495="EUR",M495,IF(L495="IRR",M495/INDEX('Assumptions &amp; FX Reference'!$C$5:$C$25,MATCH(H495,'Assumptions &amp; FX Reference'!$A$5:$A$25,0)),IF(L495="USD",M495*INDEX('Assumptions &amp; FX Reference'!$B$5:$B$25,MATCH(H495,'Assumptions &amp; FX Reference'!$A$5:$A$25,0))/INDEX('Assumptions &amp; FX Reference'!$C$5:$C$25,MATCH(H495,'Assumptions &amp; FX Reference'!$A$5:$A$25,0)),""))),"(FX missing)"))</f>
        <v/>
      </c>
      <c r="P495" s="30"/>
      <c r="Q495" s="30"/>
      <c r="R495" s="30"/>
      <c r="S495" s="30"/>
      <c r="T495" s="30"/>
      <c r="U495" s="30"/>
      <c r="V495" s="30"/>
    </row>
    <row r="496" spans="1:22">
      <c r="A496" s="30"/>
      <c r="B496" s="30"/>
      <c r="C496" s="33" t="str">
        <f>IF(B496="","",IFERROR(INDEX('Master Database'!$D$5:$D$600,MATCH(B496,'Master Database'!$A$5:$A$600,0)),"(row not found)"))</f>
        <v/>
      </c>
      <c r="D496" s="33" t="str">
        <f>IF(B496="","",IFERROR(INDEX('Master Database'!$B$5:$B$600,MATCH(B496,'Master Database'!$A$5:$A$600,0)),"(row not found)"))</f>
        <v/>
      </c>
      <c r="E496" s="30"/>
      <c r="F496" s="33" t="str">
        <f>IF(E496="","",IFERROR(INDEX(Vendor_Register!$B$5:$B$205,MATCH(E496,Vendor_Register!$A$5:$A$205,0)),"(not in register)"))</f>
        <v/>
      </c>
      <c r="G496" s="33" t="str">
        <f>IF(E496="","",IFERROR(INDEX(Vendor_Register!$E$5:$E$205,MATCH(E496,Vendor_Register!$A$5:$A$205,0)),"(not in register)"))</f>
        <v/>
      </c>
      <c r="H496" s="30"/>
      <c r="I496" s="30"/>
      <c r="J496" s="30"/>
      <c r="K496" s="30"/>
      <c r="L496" s="30"/>
      <c r="M496" s="34"/>
      <c r="N496" s="30"/>
      <c r="O496" s="35" t="str">
        <f>IF(NOT(ISNUMBER(M496)),"",IFERROR(IF(L496="EUR",M496,IF(L496="IRR",M496/INDEX('Assumptions &amp; FX Reference'!$C$5:$C$25,MATCH(H496,'Assumptions &amp; FX Reference'!$A$5:$A$25,0)),IF(L496="USD",M496*INDEX('Assumptions &amp; FX Reference'!$B$5:$B$25,MATCH(H496,'Assumptions &amp; FX Reference'!$A$5:$A$25,0))/INDEX('Assumptions &amp; FX Reference'!$C$5:$C$25,MATCH(H496,'Assumptions &amp; FX Reference'!$A$5:$A$25,0)),""))),"(FX missing)"))</f>
        <v/>
      </c>
      <c r="P496" s="30"/>
      <c r="Q496" s="30"/>
      <c r="R496" s="30"/>
      <c r="S496" s="30"/>
      <c r="T496" s="30"/>
      <c r="U496" s="30"/>
      <c r="V496" s="30"/>
    </row>
    <row r="497" spans="1:22">
      <c r="A497" s="30"/>
      <c r="B497" s="30"/>
      <c r="C497" s="33" t="str">
        <f>IF(B497="","",IFERROR(INDEX('Master Database'!$D$5:$D$600,MATCH(B497,'Master Database'!$A$5:$A$600,0)),"(row not found)"))</f>
        <v/>
      </c>
      <c r="D497" s="33" t="str">
        <f>IF(B497="","",IFERROR(INDEX('Master Database'!$B$5:$B$600,MATCH(B497,'Master Database'!$A$5:$A$600,0)),"(row not found)"))</f>
        <v/>
      </c>
      <c r="E497" s="30"/>
      <c r="F497" s="33" t="str">
        <f>IF(E497="","",IFERROR(INDEX(Vendor_Register!$B$5:$B$205,MATCH(E497,Vendor_Register!$A$5:$A$205,0)),"(not in register)"))</f>
        <v/>
      </c>
      <c r="G497" s="33" t="str">
        <f>IF(E497="","",IFERROR(INDEX(Vendor_Register!$E$5:$E$205,MATCH(E497,Vendor_Register!$A$5:$A$205,0)),"(not in register)"))</f>
        <v/>
      </c>
      <c r="H497" s="30"/>
      <c r="I497" s="30"/>
      <c r="J497" s="30"/>
      <c r="K497" s="30"/>
      <c r="L497" s="30"/>
      <c r="M497" s="34"/>
      <c r="N497" s="30"/>
      <c r="O497" s="35" t="str">
        <f>IF(NOT(ISNUMBER(M497)),"",IFERROR(IF(L497="EUR",M497,IF(L497="IRR",M497/INDEX('Assumptions &amp; FX Reference'!$C$5:$C$25,MATCH(H497,'Assumptions &amp; FX Reference'!$A$5:$A$25,0)),IF(L497="USD",M497*INDEX('Assumptions &amp; FX Reference'!$B$5:$B$25,MATCH(H497,'Assumptions &amp; FX Reference'!$A$5:$A$25,0))/INDEX('Assumptions &amp; FX Reference'!$C$5:$C$25,MATCH(H497,'Assumptions &amp; FX Reference'!$A$5:$A$25,0)),""))),"(FX missing)"))</f>
        <v/>
      </c>
      <c r="P497" s="30"/>
      <c r="Q497" s="30"/>
      <c r="R497" s="30"/>
      <c r="S497" s="30"/>
      <c r="T497" s="30"/>
      <c r="U497" s="30"/>
      <c r="V497" s="30"/>
    </row>
    <row r="498" spans="1:22">
      <c r="A498" s="30"/>
      <c r="B498" s="30"/>
      <c r="C498" s="33" t="str">
        <f>IF(B498="","",IFERROR(INDEX('Master Database'!$D$5:$D$600,MATCH(B498,'Master Database'!$A$5:$A$600,0)),"(row not found)"))</f>
        <v/>
      </c>
      <c r="D498" s="33" t="str">
        <f>IF(B498="","",IFERROR(INDEX('Master Database'!$B$5:$B$600,MATCH(B498,'Master Database'!$A$5:$A$600,0)),"(row not found)"))</f>
        <v/>
      </c>
      <c r="E498" s="30"/>
      <c r="F498" s="33" t="str">
        <f>IF(E498="","",IFERROR(INDEX(Vendor_Register!$B$5:$B$205,MATCH(E498,Vendor_Register!$A$5:$A$205,0)),"(not in register)"))</f>
        <v/>
      </c>
      <c r="G498" s="33" t="str">
        <f>IF(E498="","",IFERROR(INDEX(Vendor_Register!$E$5:$E$205,MATCH(E498,Vendor_Register!$A$5:$A$205,0)),"(not in register)"))</f>
        <v/>
      </c>
      <c r="H498" s="30"/>
      <c r="I498" s="30"/>
      <c r="J498" s="30"/>
      <c r="K498" s="30"/>
      <c r="L498" s="30"/>
      <c r="M498" s="34"/>
      <c r="N498" s="30"/>
      <c r="O498" s="35" t="str">
        <f>IF(NOT(ISNUMBER(M498)),"",IFERROR(IF(L498="EUR",M498,IF(L498="IRR",M498/INDEX('Assumptions &amp; FX Reference'!$C$5:$C$25,MATCH(H498,'Assumptions &amp; FX Reference'!$A$5:$A$25,0)),IF(L498="USD",M498*INDEX('Assumptions &amp; FX Reference'!$B$5:$B$25,MATCH(H498,'Assumptions &amp; FX Reference'!$A$5:$A$25,0))/INDEX('Assumptions &amp; FX Reference'!$C$5:$C$25,MATCH(H498,'Assumptions &amp; FX Reference'!$A$5:$A$25,0)),""))),"(FX missing)"))</f>
        <v/>
      </c>
      <c r="P498" s="30"/>
      <c r="Q498" s="30"/>
      <c r="R498" s="30"/>
      <c r="S498" s="30"/>
      <c r="T498" s="30"/>
      <c r="U498" s="30"/>
      <c r="V498" s="30"/>
    </row>
    <row r="499" spans="1:22">
      <c r="A499" s="30"/>
      <c r="B499" s="30"/>
      <c r="C499" s="33" t="str">
        <f>IF(B499="","",IFERROR(INDEX('Master Database'!$D$5:$D$600,MATCH(B499,'Master Database'!$A$5:$A$600,0)),"(row not found)"))</f>
        <v/>
      </c>
      <c r="D499" s="33" t="str">
        <f>IF(B499="","",IFERROR(INDEX('Master Database'!$B$5:$B$600,MATCH(B499,'Master Database'!$A$5:$A$600,0)),"(row not found)"))</f>
        <v/>
      </c>
      <c r="E499" s="30"/>
      <c r="F499" s="33" t="str">
        <f>IF(E499="","",IFERROR(INDEX(Vendor_Register!$B$5:$B$205,MATCH(E499,Vendor_Register!$A$5:$A$205,0)),"(not in register)"))</f>
        <v/>
      </c>
      <c r="G499" s="33" t="str">
        <f>IF(E499="","",IFERROR(INDEX(Vendor_Register!$E$5:$E$205,MATCH(E499,Vendor_Register!$A$5:$A$205,0)),"(not in register)"))</f>
        <v/>
      </c>
      <c r="H499" s="30"/>
      <c r="I499" s="30"/>
      <c r="J499" s="30"/>
      <c r="K499" s="30"/>
      <c r="L499" s="30"/>
      <c r="M499" s="34"/>
      <c r="N499" s="30"/>
      <c r="O499" s="35" t="str">
        <f>IF(NOT(ISNUMBER(M499)),"",IFERROR(IF(L499="EUR",M499,IF(L499="IRR",M499/INDEX('Assumptions &amp; FX Reference'!$C$5:$C$25,MATCH(H499,'Assumptions &amp; FX Reference'!$A$5:$A$25,0)),IF(L499="USD",M499*INDEX('Assumptions &amp; FX Reference'!$B$5:$B$25,MATCH(H499,'Assumptions &amp; FX Reference'!$A$5:$A$25,0))/INDEX('Assumptions &amp; FX Reference'!$C$5:$C$25,MATCH(H499,'Assumptions &amp; FX Reference'!$A$5:$A$25,0)),""))),"(FX missing)"))</f>
        <v/>
      </c>
      <c r="P499" s="30"/>
      <c r="Q499" s="30"/>
      <c r="R499" s="30"/>
      <c r="S499" s="30"/>
      <c r="T499" s="30"/>
      <c r="U499" s="30"/>
      <c r="V499" s="30"/>
    </row>
    <row r="500" spans="1:22">
      <c r="A500" s="30"/>
      <c r="B500" s="30"/>
      <c r="C500" s="33" t="str">
        <f>IF(B500="","",IFERROR(INDEX('Master Database'!$D$5:$D$600,MATCH(B500,'Master Database'!$A$5:$A$600,0)),"(row not found)"))</f>
        <v/>
      </c>
      <c r="D500" s="33" t="str">
        <f>IF(B500="","",IFERROR(INDEX('Master Database'!$B$5:$B$600,MATCH(B500,'Master Database'!$A$5:$A$600,0)),"(row not found)"))</f>
        <v/>
      </c>
      <c r="E500" s="30"/>
      <c r="F500" s="33" t="str">
        <f>IF(E500="","",IFERROR(INDEX(Vendor_Register!$B$5:$B$205,MATCH(E500,Vendor_Register!$A$5:$A$205,0)),"(not in register)"))</f>
        <v/>
      </c>
      <c r="G500" s="33" t="str">
        <f>IF(E500="","",IFERROR(INDEX(Vendor_Register!$E$5:$E$205,MATCH(E500,Vendor_Register!$A$5:$A$205,0)),"(not in register)"))</f>
        <v/>
      </c>
      <c r="H500" s="30"/>
      <c r="I500" s="30"/>
      <c r="J500" s="30"/>
      <c r="K500" s="30"/>
      <c r="L500" s="30"/>
      <c r="M500" s="34"/>
      <c r="N500" s="30"/>
      <c r="O500" s="35" t="str">
        <f>IF(NOT(ISNUMBER(M500)),"",IFERROR(IF(L500="EUR",M500,IF(L500="IRR",M500/INDEX('Assumptions &amp; FX Reference'!$C$5:$C$25,MATCH(H500,'Assumptions &amp; FX Reference'!$A$5:$A$25,0)),IF(L500="USD",M500*INDEX('Assumptions &amp; FX Reference'!$B$5:$B$25,MATCH(H500,'Assumptions &amp; FX Reference'!$A$5:$A$25,0))/INDEX('Assumptions &amp; FX Reference'!$C$5:$C$25,MATCH(H500,'Assumptions &amp; FX Reference'!$A$5:$A$25,0)),""))),"(FX missing)"))</f>
        <v/>
      </c>
      <c r="P500" s="30"/>
      <c r="Q500" s="30"/>
      <c r="R500" s="30"/>
      <c r="S500" s="30"/>
      <c r="T500" s="30"/>
      <c r="U500" s="30"/>
      <c r="V500" s="30"/>
    </row>
    <row r="501" spans="1:22">
      <c r="A501" s="30"/>
      <c r="B501" s="30"/>
      <c r="C501" s="33" t="str">
        <f>IF(B501="","",IFERROR(INDEX('Master Database'!$D$5:$D$600,MATCH(B501,'Master Database'!$A$5:$A$600,0)),"(row not found)"))</f>
        <v/>
      </c>
      <c r="D501" s="33" t="str">
        <f>IF(B501="","",IFERROR(INDEX('Master Database'!$B$5:$B$600,MATCH(B501,'Master Database'!$A$5:$A$600,0)),"(row not found)"))</f>
        <v/>
      </c>
      <c r="E501" s="30"/>
      <c r="F501" s="33" t="str">
        <f>IF(E501="","",IFERROR(INDEX(Vendor_Register!$B$5:$B$205,MATCH(E501,Vendor_Register!$A$5:$A$205,0)),"(not in register)"))</f>
        <v/>
      </c>
      <c r="G501" s="33" t="str">
        <f>IF(E501="","",IFERROR(INDEX(Vendor_Register!$E$5:$E$205,MATCH(E501,Vendor_Register!$A$5:$A$205,0)),"(not in register)"))</f>
        <v/>
      </c>
      <c r="H501" s="30"/>
      <c r="I501" s="30"/>
      <c r="J501" s="30"/>
      <c r="K501" s="30"/>
      <c r="L501" s="30"/>
      <c r="M501" s="34"/>
      <c r="N501" s="30"/>
      <c r="O501" s="35" t="str">
        <f>IF(NOT(ISNUMBER(M501)),"",IFERROR(IF(L501="EUR",M501,IF(L501="IRR",M501/INDEX('Assumptions &amp; FX Reference'!$C$5:$C$25,MATCH(H501,'Assumptions &amp; FX Reference'!$A$5:$A$25,0)),IF(L501="USD",M501*INDEX('Assumptions &amp; FX Reference'!$B$5:$B$25,MATCH(H501,'Assumptions &amp; FX Reference'!$A$5:$A$25,0))/INDEX('Assumptions &amp; FX Reference'!$C$5:$C$25,MATCH(H501,'Assumptions &amp; FX Reference'!$A$5:$A$25,0)),""))),"(FX missing)"))</f>
        <v/>
      </c>
      <c r="P501" s="30"/>
      <c r="Q501" s="30"/>
      <c r="R501" s="30"/>
      <c r="S501" s="30"/>
      <c r="T501" s="30"/>
      <c r="U501" s="30"/>
      <c r="V501" s="30"/>
    </row>
    <row r="502" spans="1:22">
      <c r="A502" s="30"/>
      <c r="B502" s="30"/>
      <c r="C502" s="33" t="str">
        <f>IF(B502="","",IFERROR(INDEX('Master Database'!$D$5:$D$600,MATCH(B502,'Master Database'!$A$5:$A$600,0)),"(row not found)"))</f>
        <v/>
      </c>
      <c r="D502" s="33" t="str">
        <f>IF(B502="","",IFERROR(INDEX('Master Database'!$B$5:$B$600,MATCH(B502,'Master Database'!$A$5:$A$600,0)),"(row not found)"))</f>
        <v/>
      </c>
      <c r="E502" s="30"/>
      <c r="F502" s="33" t="str">
        <f>IF(E502="","",IFERROR(INDEX(Vendor_Register!$B$5:$B$205,MATCH(E502,Vendor_Register!$A$5:$A$205,0)),"(not in register)"))</f>
        <v/>
      </c>
      <c r="G502" s="33" t="str">
        <f>IF(E502="","",IFERROR(INDEX(Vendor_Register!$E$5:$E$205,MATCH(E502,Vendor_Register!$A$5:$A$205,0)),"(not in register)"))</f>
        <v/>
      </c>
      <c r="H502" s="30"/>
      <c r="I502" s="30"/>
      <c r="J502" s="30"/>
      <c r="K502" s="30"/>
      <c r="L502" s="30"/>
      <c r="M502" s="34"/>
      <c r="N502" s="30"/>
      <c r="O502" s="35" t="str">
        <f>IF(NOT(ISNUMBER(M502)),"",IFERROR(IF(L502="EUR",M502,IF(L502="IRR",M502/INDEX('Assumptions &amp; FX Reference'!$C$5:$C$25,MATCH(H502,'Assumptions &amp; FX Reference'!$A$5:$A$25,0)),IF(L502="USD",M502*INDEX('Assumptions &amp; FX Reference'!$B$5:$B$25,MATCH(H502,'Assumptions &amp; FX Reference'!$A$5:$A$25,0))/INDEX('Assumptions &amp; FX Reference'!$C$5:$C$25,MATCH(H502,'Assumptions &amp; FX Reference'!$A$5:$A$25,0)),""))),"(FX missing)"))</f>
        <v/>
      </c>
      <c r="P502" s="30"/>
      <c r="Q502" s="30"/>
      <c r="R502" s="30"/>
      <c r="S502" s="30"/>
      <c r="T502" s="30"/>
      <c r="U502" s="30"/>
      <c r="V502" s="30"/>
    </row>
    <row r="503" spans="1:22">
      <c r="A503" s="30"/>
      <c r="B503" s="30"/>
      <c r="C503" s="33" t="str">
        <f>IF(B503="","",IFERROR(INDEX('Master Database'!$D$5:$D$600,MATCH(B503,'Master Database'!$A$5:$A$600,0)),"(row not found)"))</f>
        <v/>
      </c>
      <c r="D503" s="33" t="str">
        <f>IF(B503="","",IFERROR(INDEX('Master Database'!$B$5:$B$600,MATCH(B503,'Master Database'!$A$5:$A$600,0)),"(row not found)"))</f>
        <v/>
      </c>
      <c r="E503" s="30"/>
      <c r="F503" s="33" t="str">
        <f>IF(E503="","",IFERROR(INDEX(Vendor_Register!$B$5:$B$205,MATCH(E503,Vendor_Register!$A$5:$A$205,0)),"(not in register)"))</f>
        <v/>
      </c>
      <c r="G503" s="33" t="str">
        <f>IF(E503="","",IFERROR(INDEX(Vendor_Register!$E$5:$E$205,MATCH(E503,Vendor_Register!$A$5:$A$205,0)),"(not in register)"))</f>
        <v/>
      </c>
      <c r="H503" s="30"/>
      <c r="I503" s="30"/>
      <c r="J503" s="30"/>
      <c r="K503" s="30"/>
      <c r="L503" s="30"/>
      <c r="M503" s="34"/>
      <c r="N503" s="30"/>
      <c r="O503" s="35" t="str">
        <f>IF(NOT(ISNUMBER(M503)),"",IFERROR(IF(L503="EUR",M503,IF(L503="IRR",M503/INDEX('Assumptions &amp; FX Reference'!$C$5:$C$25,MATCH(H503,'Assumptions &amp; FX Reference'!$A$5:$A$25,0)),IF(L503="USD",M503*INDEX('Assumptions &amp; FX Reference'!$B$5:$B$25,MATCH(H503,'Assumptions &amp; FX Reference'!$A$5:$A$25,0))/INDEX('Assumptions &amp; FX Reference'!$C$5:$C$25,MATCH(H503,'Assumptions &amp; FX Reference'!$A$5:$A$25,0)),""))),"(FX missing)"))</f>
        <v/>
      </c>
      <c r="P503" s="30"/>
      <c r="Q503" s="30"/>
      <c r="R503" s="30"/>
      <c r="S503" s="30"/>
      <c r="T503" s="30"/>
      <c r="U503" s="30"/>
      <c r="V503" s="30"/>
    </row>
    <row r="504" spans="1:22">
      <c r="A504" s="30"/>
      <c r="B504" s="30"/>
      <c r="C504" s="33" t="str">
        <f>IF(B504="","",IFERROR(INDEX('Master Database'!$D$5:$D$600,MATCH(B504,'Master Database'!$A$5:$A$600,0)),"(row not found)"))</f>
        <v/>
      </c>
      <c r="D504" s="33" t="str">
        <f>IF(B504="","",IFERROR(INDEX('Master Database'!$B$5:$B$600,MATCH(B504,'Master Database'!$A$5:$A$600,0)),"(row not found)"))</f>
        <v/>
      </c>
      <c r="E504" s="30"/>
      <c r="F504" s="33" t="str">
        <f>IF(E504="","",IFERROR(INDEX(Vendor_Register!$B$5:$B$205,MATCH(E504,Vendor_Register!$A$5:$A$205,0)),"(not in register)"))</f>
        <v/>
      </c>
      <c r="G504" s="33" t="str">
        <f>IF(E504="","",IFERROR(INDEX(Vendor_Register!$E$5:$E$205,MATCH(E504,Vendor_Register!$A$5:$A$205,0)),"(not in register)"))</f>
        <v/>
      </c>
      <c r="H504" s="30"/>
      <c r="I504" s="30"/>
      <c r="J504" s="30"/>
      <c r="K504" s="30"/>
      <c r="L504" s="30"/>
      <c r="M504" s="34"/>
      <c r="N504" s="30"/>
      <c r="O504" s="35" t="str">
        <f>IF(NOT(ISNUMBER(M504)),"",IFERROR(IF(L504="EUR",M504,IF(L504="IRR",M504/INDEX('Assumptions &amp; FX Reference'!$C$5:$C$25,MATCH(H504,'Assumptions &amp; FX Reference'!$A$5:$A$25,0)),IF(L504="USD",M504*INDEX('Assumptions &amp; FX Reference'!$B$5:$B$25,MATCH(H504,'Assumptions &amp; FX Reference'!$A$5:$A$25,0))/INDEX('Assumptions &amp; FX Reference'!$C$5:$C$25,MATCH(H504,'Assumptions &amp; FX Reference'!$A$5:$A$25,0)),""))),"(FX missing)"))</f>
        <v/>
      </c>
      <c r="P504" s="30"/>
      <c r="Q504" s="30"/>
      <c r="R504" s="30"/>
      <c r="S504" s="30"/>
      <c r="T504" s="30"/>
      <c r="U504" s="30"/>
      <c r="V504" s="30"/>
    </row>
    <row r="505" spans="1:22">
      <c r="A505" s="30"/>
      <c r="B505" s="30"/>
      <c r="C505" s="33" t="str">
        <f>IF(B505="","",IFERROR(INDEX('Master Database'!$D$5:$D$600,MATCH(B505,'Master Database'!$A$5:$A$600,0)),"(row not found)"))</f>
        <v/>
      </c>
      <c r="D505" s="33" t="str">
        <f>IF(B505="","",IFERROR(INDEX('Master Database'!$B$5:$B$600,MATCH(B505,'Master Database'!$A$5:$A$600,0)),"(row not found)"))</f>
        <v/>
      </c>
      <c r="E505" s="30"/>
      <c r="F505" s="33" t="str">
        <f>IF(E505="","",IFERROR(INDEX(Vendor_Register!$B$5:$B$205,MATCH(E505,Vendor_Register!$A$5:$A$205,0)),"(not in register)"))</f>
        <v/>
      </c>
      <c r="G505" s="33" t="str">
        <f>IF(E505="","",IFERROR(INDEX(Vendor_Register!$E$5:$E$205,MATCH(E505,Vendor_Register!$A$5:$A$205,0)),"(not in register)"))</f>
        <v/>
      </c>
      <c r="H505" s="30"/>
      <c r="I505" s="30"/>
      <c r="J505" s="30"/>
      <c r="K505" s="30"/>
      <c r="L505" s="30"/>
      <c r="M505" s="34"/>
      <c r="N505" s="30"/>
      <c r="O505" s="35" t="str">
        <f>IF(NOT(ISNUMBER(M505)),"",IFERROR(IF(L505="EUR",M505,IF(L505="IRR",M505/INDEX('Assumptions &amp; FX Reference'!$C$5:$C$25,MATCH(H505,'Assumptions &amp; FX Reference'!$A$5:$A$25,0)),IF(L505="USD",M505*INDEX('Assumptions &amp; FX Reference'!$B$5:$B$25,MATCH(H505,'Assumptions &amp; FX Reference'!$A$5:$A$25,0))/INDEX('Assumptions &amp; FX Reference'!$C$5:$C$25,MATCH(H505,'Assumptions &amp; FX Reference'!$A$5:$A$25,0)),""))),"(FX missing)"))</f>
        <v/>
      </c>
      <c r="P505" s="30"/>
      <c r="Q505" s="30"/>
      <c r="R505" s="30"/>
      <c r="S505" s="30"/>
      <c r="T505" s="30"/>
      <c r="U505" s="30"/>
      <c r="V505" s="30"/>
    </row>
    <row r="506" spans="1:22">
      <c r="A506" s="30"/>
      <c r="B506" s="30"/>
      <c r="C506" s="33" t="str">
        <f>IF(B506="","",IFERROR(INDEX('Master Database'!$D$5:$D$600,MATCH(B506,'Master Database'!$A$5:$A$600,0)),"(row not found)"))</f>
        <v/>
      </c>
      <c r="D506" s="33" t="str">
        <f>IF(B506="","",IFERROR(INDEX('Master Database'!$B$5:$B$600,MATCH(B506,'Master Database'!$A$5:$A$600,0)),"(row not found)"))</f>
        <v/>
      </c>
      <c r="E506" s="30"/>
      <c r="F506" s="33" t="str">
        <f>IF(E506="","",IFERROR(INDEX(Vendor_Register!$B$5:$B$205,MATCH(E506,Vendor_Register!$A$5:$A$205,0)),"(not in register)"))</f>
        <v/>
      </c>
      <c r="G506" s="33" t="str">
        <f>IF(E506="","",IFERROR(INDEX(Vendor_Register!$E$5:$E$205,MATCH(E506,Vendor_Register!$A$5:$A$205,0)),"(not in register)"))</f>
        <v/>
      </c>
      <c r="H506" s="30"/>
      <c r="I506" s="30"/>
      <c r="J506" s="30"/>
      <c r="K506" s="30"/>
      <c r="L506" s="30"/>
      <c r="M506" s="34"/>
      <c r="N506" s="30"/>
      <c r="O506" s="35" t="str">
        <f>IF(NOT(ISNUMBER(M506)),"",IFERROR(IF(L506="EUR",M506,IF(L506="IRR",M506/INDEX('Assumptions &amp; FX Reference'!$C$5:$C$25,MATCH(H506,'Assumptions &amp; FX Reference'!$A$5:$A$25,0)),IF(L506="USD",M506*INDEX('Assumptions &amp; FX Reference'!$B$5:$B$25,MATCH(H506,'Assumptions &amp; FX Reference'!$A$5:$A$25,0))/INDEX('Assumptions &amp; FX Reference'!$C$5:$C$25,MATCH(H506,'Assumptions &amp; FX Reference'!$A$5:$A$25,0)),""))),"(FX missing)"))</f>
        <v/>
      </c>
      <c r="P506" s="30"/>
      <c r="Q506" s="30"/>
      <c r="R506" s="30"/>
      <c r="S506" s="30"/>
      <c r="T506" s="30"/>
      <c r="U506" s="30"/>
      <c r="V506" s="30"/>
    </row>
    <row r="507" spans="1:22">
      <c r="A507" s="30"/>
      <c r="B507" s="30"/>
      <c r="C507" s="33" t="str">
        <f>IF(B507="","",IFERROR(INDEX('Master Database'!$D$5:$D$600,MATCH(B507,'Master Database'!$A$5:$A$600,0)),"(row not found)"))</f>
        <v/>
      </c>
      <c r="D507" s="33" t="str">
        <f>IF(B507="","",IFERROR(INDEX('Master Database'!$B$5:$B$600,MATCH(B507,'Master Database'!$A$5:$A$600,0)),"(row not found)"))</f>
        <v/>
      </c>
      <c r="E507" s="30"/>
      <c r="F507" s="33" t="str">
        <f>IF(E507="","",IFERROR(INDEX(Vendor_Register!$B$5:$B$205,MATCH(E507,Vendor_Register!$A$5:$A$205,0)),"(not in register)"))</f>
        <v/>
      </c>
      <c r="G507" s="33" t="str">
        <f>IF(E507="","",IFERROR(INDEX(Vendor_Register!$E$5:$E$205,MATCH(E507,Vendor_Register!$A$5:$A$205,0)),"(not in register)"))</f>
        <v/>
      </c>
      <c r="H507" s="30"/>
      <c r="I507" s="30"/>
      <c r="J507" s="30"/>
      <c r="K507" s="30"/>
      <c r="L507" s="30"/>
      <c r="M507" s="34"/>
      <c r="N507" s="30"/>
      <c r="O507" s="35" t="str">
        <f>IF(NOT(ISNUMBER(M507)),"",IFERROR(IF(L507="EUR",M507,IF(L507="IRR",M507/INDEX('Assumptions &amp; FX Reference'!$C$5:$C$25,MATCH(H507,'Assumptions &amp; FX Reference'!$A$5:$A$25,0)),IF(L507="USD",M507*INDEX('Assumptions &amp; FX Reference'!$B$5:$B$25,MATCH(H507,'Assumptions &amp; FX Reference'!$A$5:$A$25,0))/INDEX('Assumptions &amp; FX Reference'!$C$5:$C$25,MATCH(H507,'Assumptions &amp; FX Reference'!$A$5:$A$25,0)),""))),"(FX missing)"))</f>
        <v/>
      </c>
      <c r="P507" s="30"/>
      <c r="Q507" s="30"/>
      <c r="R507" s="30"/>
      <c r="S507" s="30"/>
      <c r="T507" s="30"/>
      <c r="U507" s="30"/>
      <c r="V507" s="30"/>
    </row>
    <row r="508" spans="1:22">
      <c r="A508" s="30"/>
      <c r="B508" s="30"/>
      <c r="C508" s="33" t="str">
        <f>IF(B508="","",IFERROR(INDEX('Master Database'!$D$5:$D$600,MATCH(B508,'Master Database'!$A$5:$A$600,0)),"(row not found)"))</f>
        <v/>
      </c>
      <c r="D508" s="33" t="str">
        <f>IF(B508="","",IFERROR(INDEX('Master Database'!$B$5:$B$600,MATCH(B508,'Master Database'!$A$5:$A$600,0)),"(row not found)"))</f>
        <v/>
      </c>
      <c r="E508" s="30"/>
      <c r="F508" s="33" t="str">
        <f>IF(E508="","",IFERROR(INDEX(Vendor_Register!$B$5:$B$205,MATCH(E508,Vendor_Register!$A$5:$A$205,0)),"(not in register)"))</f>
        <v/>
      </c>
      <c r="G508" s="33" t="str">
        <f>IF(E508="","",IFERROR(INDEX(Vendor_Register!$E$5:$E$205,MATCH(E508,Vendor_Register!$A$5:$A$205,0)),"(not in register)"))</f>
        <v/>
      </c>
      <c r="H508" s="30"/>
      <c r="I508" s="30"/>
      <c r="J508" s="30"/>
      <c r="K508" s="30"/>
      <c r="L508" s="30"/>
      <c r="M508" s="34"/>
      <c r="N508" s="30"/>
      <c r="O508" s="35" t="str">
        <f>IF(NOT(ISNUMBER(M508)),"",IFERROR(IF(L508="EUR",M508,IF(L508="IRR",M508/INDEX('Assumptions &amp; FX Reference'!$C$5:$C$25,MATCH(H508,'Assumptions &amp; FX Reference'!$A$5:$A$25,0)),IF(L508="USD",M508*INDEX('Assumptions &amp; FX Reference'!$B$5:$B$25,MATCH(H508,'Assumptions &amp; FX Reference'!$A$5:$A$25,0))/INDEX('Assumptions &amp; FX Reference'!$C$5:$C$25,MATCH(H508,'Assumptions &amp; FX Reference'!$A$5:$A$25,0)),""))),"(FX missing)"))</f>
        <v/>
      </c>
      <c r="P508" s="30"/>
      <c r="Q508" s="30"/>
      <c r="R508" s="30"/>
      <c r="S508" s="30"/>
      <c r="T508" s="30"/>
      <c r="U508" s="30"/>
      <c r="V508" s="30"/>
    </row>
    <row r="509" spans="1:22">
      <c r="A509" s="30"/>
      <c r="B509" s="30"/>
      <c r="C509" s="33" t="str">
        <f>IF(B509="","",IFERROR(INDEX('Master Database'!$D$5:$D$600,MATCH(B509,'Master Database'!$A$5:$A$600,0)),"(row not found)"))</f>
        <v/>
      </c>
      <c r="D509" s="33" t="str">
        <f>IF(B509="","",IFERROR(INDEX('Master Database'!$B$5:$B$600,MATCH(B509,'Master Database'!$A$5:$A$600,0)),"(row not found)"))</f>
        <v/>
      </c>
      <c r="E509" s="30"/>
      <c r="F509" s="33" t="str">
        <f>IF(E509="","",IFERROR(INDEX(Vendor_Register!$B$5:$B$205,MATCH(E509,Vendor_Register!$A$5:$A$205,0)),"(not in register)"))</f>
        <v/>
      </c>
      <c r="G509" s="33" t="str">
        <f>IF(E509="","",IFERROR(INDEX(Vendor_Register!$E$5:$E$205,MATCH(E509,Vendor_Register!$A$5:$A$205,0)),"(not in register)"))</f>
        <v/>
      </c>
      <c r="H509" s="30"/>
      <c r="I509" s="30"/>
      <c r="J509" s="30"/>
      <c r="K509" s="30"/>
      <c r="L509" s="30"/>
      <c r="M509" s="34"/>
      <c r="N509" s="30"/>
      <c r="O509" s="35" t="str">
        <f>IF(NOT(ISNUMBER(M509)),"",IFERROR(IF(L509="EUR",M509,IF(L509="IRR",M509/INDEX('Assumptions &amp; FX Reference'!$C$5:$C$25,MATCH(H509,'Assumptions &amp; FX Reference'!$A$5:$A$25,0)),IF(L509="USD",M509*INDEX('Assumptions &amp; FX Reference'!$B$5:$B$25,MATCH(H509,'Assumptions &amp; FX Reference'!$A$5:$A$25,0))/INDEX('Assumptions &amp; FX Reference'!$C$5:$C$25,MATCH(H509,'Assumptions &amp; FX Reference'!$A$5:$A$25,0)),""))),"(FX missing)"))</f>
        <v/>
      </c>
      <c r="P509" s="30"/>
      <c r="Q509" s="30"/>
      <c r="R509" s="30"/>
      <c r="S509" s="30"/>
      <c r="T509" s="30"/>
      <c r="U509" s="30"/>
      <c r="V509" s="30"/>
    </row>
    <row r="510" spans="1:22">
      <c r="A510" s="30"/>
      <c r="B510" s="30"/>
      <c r="C510" s="33" t="str">
        <f>IF(B510="","",IFERROR(INDEX('Master Database'!$D$5:$D$600,MATCH(B510,'Master Database'!$A$5:$A$600,0)),"(row not found)"))</f>
        <v/>
      </c>
      <c r="D510" s="33" t="str">
        <f>IF(B510="","",IFERROR(INDEX('Master Database'!$B$5:$B$600,MATCH(B510,'Master Database'!$A$5:$A$600,0)),"(row not found)"))</f>
        <v/>
      </c>
      <c r="E510" s="30"/>
      <c r="F510" s="33" t="str">
        <f>IF(E510="","",IFERROR(INDEX(Vendor_Register!$B$5:$B$205,MATCH(E510,Vendor_Register!$A$5:$A$205,0)),"(not in register)"))</f>
        <v/>
      </c>
      <c r="G510" s="33" t="str">
        <f>IF(E510="","",IFERROR(INDEX(Vendor_Register!$E$5:$E$205,MATCH(E510,Vendor_Register!$A$5:$A$205,0)),"(not in register)"))</f>
        <v/>
      </c>
      <c r="H510" s="30"/>
      <c r="I510" s="30"/>
      <c r="J510" s="30"/>
      <c r="K510" s="30"/>
      <c r="L510" s="30"/>
      <c r="M510" s="34"/>
      <c r="N510" s="30"/>
      <c r="O510" s="35" t="str">
        <f>IF(NOT(ISNUMBER(M510)),"",IFERROR(IF(L510="EUR",M510,IF(L510="IRR",M510/INDEX('Assumptions &amp; FX Reference'!$C$5:$C$25,MATCH(H510,'Assumptions &amp; FX Reference'!$A$5:$A$25,0)),IF(L510="USD",M510*INDEX('Assumptions &amp; FX Reference'!$B$5:$B$25,MATCH(H510,'Assumptions &amp; FX Reference'!$A$5:$A$25,0))/INDEX('Assumptions &amp; FX Reference'!$C$5:$C$25,MATCH(H510,'Assumptions &amp; FX Reference'!$A$5:$A$25,0)),""))),"(FX missing)"))</f>
        <v/>
      </c>
      <c r="P510" s="30"/>
      <c r="Q510" s="30"/>
      <c r="R510" s="30"/>
      <c r="S510" s="30"/>
      <c r="T510" s="30"/>
      <c r="U510" s="30"/>
      <c r="V510" s="30"/>
    </row>
    <row r="511" spans="1:22">
      <c r="A511" s="30"/>
      <c r="B511" s="30"/>
      <c r="C511" s="33" t="str">
        <f>IF(B511="","",IFERROR(INDEX('Master Database'!$D$5:$D$600,MATCH(B511,'Master Database'!$A$5:$A$600,0)),"(row not found)"))</f>
        <v/>
      </c>
      <c r="D511" s="33" t="str">
        <f>IF(B511="","",IFERROR(INDEX('Master Database'!$B$5:$B$600,MATCH(B511,'Master Database'!$A$5:$A$600,0)),"(row not found)"))</f>
        <v/>
      </c>
      <c r="E511" s="30"/>
      <c r="F511" s="33" t="str">
        <f>IF(E511="","",IFERROR(INDEX(Vendor_Register!$B$5:$B$205,MATCH(E511,Vendor_Register!$A$5:$A$205,0)),"(not in register)"))</f>
        <v/>
      </c>
      <c r="G511" s="33" t="str">
        <f>IF(E511="","",IFERROR(INDEX(Vendor_Register!$E$5:$E$205,MATCH(E511,Vendor_Register!$A$5:$A$205,0)),"(not in register)"))</f>
        <v/>
      </c>
      <c r="H511" s="30"/>
      <c r="I511" s="30"/>
      <c r="J511" s="30"/>
      <c r="K511" s="30"/>
      <c r="L511" s="30"/>
      <c r="M511" s="34"/>
      <c r="N511" s="30"/>
      <c r="O511" s="35" t="str">
        <f>IF(NOT(ISNUMBER(M511)),"",IFERROR(IF(L511="EUR",M511,IF(L511="IRR",M511/INDEX('Assumptions &amp; FX Reference'!$C$5:$C$25,MATCH(H511,'Assumptions &amp; FX Reference'!$A$5:$A$25,0)),IF(L511="USD",M511*INDEX('Assumptions &amp; FX Reference'!$B$5:$B$25,MATCH(H511,'Assumptions &amp; FX Reference'!$A$5:$A$25,0))/INDEX('Assumptions &amp; FX Reference'!$C$5:$C$25,MATCH(H511,'Assumptions &amp; FX Reference'!$A$5:$A$25,0)),""))),"(FX missing)"))</f>
        <v/>
      </c>
      <c r="P511" s="30"/>
      <c r="Q511" s="30"/>
      <c r="R511" s="30"/>
      <c r="S511" s="30"/>
      <c r="T511" s="30"/>
      <c r="U511" s="30"/>
      <c r="V511" s="30"/>
    </row>
    <row r="512" spans="1:22">
      <c r="A512" s="30"/>
      <c r="B512" s="30"/>
      <c r="C512" s="33" t="str">
        <f>IF(B512="","",IFERROR(INDEX('Master Database'!$D$5:$D$600,MATCH(B512,'Master Database'!$A$5:$A$600,0)),"(row not found)"))</f>
        <v/>
      </c>
      <c r="D512" s="33" t="str">
        <f>IF(B512="","",IFERROR(INDEX('Master Database'!$B$5:$B$600,MATCH(B512,'Master Database'!$A$5:$A$600,0)),"(row not found)"))</f>
        <v/>
      </c>
      <c r="E512" s="30"/>
      <c r="F512" s="33" t="str">
        <f>IF(E512="","",IFERROR(INDEX(Vendor_Register!$B$5:$B$205,MATCH(E512,Vendor_Register!$A$5:$A$205,0)),"(not in register)"))</f>
        <v/>
      </c>
      <c r="G512" s="33" t="str">
        <f>IF(E512="","",IFERROR(INDEX(Vendor_Register!$E$5:$E$205,MATCH(E512,Vendor_Register!$A$5:$A$205,0)),"(not in register)"))</f>
        <v/>
      </c>
      <c r="H512" s="30"/>
      <c r="I512" s="30"/>
      <c r="J512" s="30"/>
      <c r="K512" s="30"/>
      <c r="L512" s="30"/>
      <c r="M512" s="34"/>
      <c r="N512" s="30"/>
      <c r="O512" s="35" t="str">
        <f>IF(NOT(ISNUMBER(M512)),"",IFERROR(IF(L512="EUR",M512,IF(L512="IRR",M512/INDEX('Assumptions &amp; FX Reference'!$C$5:$C$25,MATCH(H512,'Assumptions &amp; FX Reference'!$A$5:$A$25,0)),IF(L512="USD",M512*INDEX('Assumptions &amp; FX Reference'!$B$5:$B$25,MATCH(H512,'Assumptions &amp; FX Reference'!$A$5:$A$25,0))/INDEX('Assumptions &amp; FX Reference'!$C$5:$C$25,MATCH(H512,'Assumptions &amp; FX Reference'!$A$5:$A$25,0)),""))),"(FX missing)"))</f>
        <v/>
      </c>
      <c r="P512" s="30"/>
      <c r="Q512" s="30"/>
      <c r="R512" s="30"/>
      <c r="S512" s="30"/>
      <c r="T512" s="30"/>
      <c r="U512" s="30"/>
      <c r="V512" s="30"/>
    </row>
    <row r="513" spans="1:22">
      <c r="A513" s="30"/>
      <c r="B513" s="30"/>
      <c r="C513" s="33" t="str">
        <f>IF(B513="","",IFERROR(INDEX('Master Database'!$D$5:$D$600,MATCH(B513,'Master Database'!$A$5:$A$600,0)),"(row not found)"))</f>
        <v/>
      </c>
      <c r="D513" s="33" t="str">
        <f>IF(B513="","",IFERROR(INDEX('Master Database'!$B$5:$B$600,MATCH(B513,'Master Database'!$A$5:$A$600,0)),"(row not found)"))</f>
        <v/>
      </c>
      <c r="E513" s="30"/>
      <c r="F513" s="33" t="str">
        <f>IF(E513="","",IFERROR(INDEX(Vendor_Register!$B$5:$B$205,MATCH(E513,Vendor_Register!$A$5:$A$205,0)),"(not in register)"))</f>
        <v/>
      </c>
      <c r="G513" s="33" t="str">
        <f>IF(E513="","",IFERROR(INDEX(Vendor_Register!$E$5:$E$205,MATCH(E513,Vendor_Register!$A$5:$A$205,0)),"(not in register)"))</f>
        <v/>
      </c>
      <c r="H513" s="30"/>
      <c r="I513" s="30"/>
      <c r="J513" s="30"/>
      <c r="K513" s="30"/>
      <c r="L513" s="30"/>
      <c r="M513" s="34"/>
      <c r="N513" s="30"/>
      <c r="O513" s="35" t="str">
        <f>IF(NOT(ISNUMBER(M513)),"",IFERROR(IF(L513="EUR",M513,IF(L513="IRR",M513/INDEX('Assumptions &amp; FX Reference'!$C$5:$C$25,MATCH(H513,'Assumptions &amp; FX Reference'!$A$5:$A$25,0)),IF(L513="USD",M513*INDEX('Assumptions &amp; FX Reference'!$B$5:$B$25,MATCH(H513,'Assumptions &amp; FX Reference'!$A$5:$A$25,0))/INDEX('Assumptions &amp; FX Reference'!$C$5:$C$25,MATCH(H513,'Assumptions &amp; FX Reference'!$A$5:$A$25,0)),""))),"(FX missing)"))</f>
        <v/>
      </c>
      <c r="P513" s="30"/>
      <c r="Q513" s="30"/>
      <c r="R513" s="30"/>
      <c r="S513" s="30"/>
      <c r="T513" s="30"/>
      <c r="U513" s="30"/>
      <c r="V513" s="30"/>
    </row>
    <row r="514" spans="1:22">
      <c r="A514" s="30"/>
      <c r="B514" s="30"/>
      <c r="C514" s="33" t="str">
        <f>IF(B514="","",IFERROR(INDEX('Master Database'!$D$5:$D$600,MATCH(B514,'Master Database'!$A$5:$A$600,0)),"(row not found)"))</f>
        <v/>
      </c>
      <c r="D514" s="33" t="str">
        <f>IF(B514="","",IFERROR(INDEX('Master Database'!$B$5:$B$600,MATCH(B514,'Master Database'!$A$5:$A$600,0)),"(row not found)"))</f>
        <v/>
      </c>
      <c r="E514" s="30"/>
      <c r="F514" s="33" t="str">
        <f>IF(E514="","",IFERROR(INDEX(Vendor_Register!$B$5:$B$205,MATCH(E514,Vendor_Register!$A$5:$A$205,0)),"(not in register)"))</f>
        <v/>
      </c>
      <c r="G514" s="33" t="str">
        <f>IF(E514="","",IFERROR(INDEX(Vendor_Register!$E$5:$E$205,MATCH(E514,Vendor_Register!$A$5:$A$205,0)),"(not in register)"))</f>
        <v/>
      </c>
      <c r="H514" s="30"/>
      <c r="I514" s="30"/>
      <c r="J514" s="30"/>
      <c r="K514" s="30"/>
      <c r="L514" s="30"/>
      <c r="M514" s="34"/>
      <c r="N514" s="30"/>
      <c r="O514" s="35" t="str">
        <f>IF(NOT(ISNUMBER(M514)),"",IFERROR(IF(L514="EUR",M514,IF(L514="IRR",M514/INDEX('Assumptions &amp; FX Reference'!$C$5:$C$25,MATCH(H514,'Assumptions &amp; FX Reference'!$A$5:$A$25,0)),IF(L514="USD",M514*INDEX('Assumptions &amp; FX Reference'!$B$5:$B$25,MATCH(H514,'Assumptions &amp; FX Reference'!$A$5:$A$25,0))/INDEX('Assumptions &amp; FX Reference'!$C$5:$C$25,MATCH(H514,'Assumptions &amp; FX Reference'!$A$5:$A$25,0)),""))),"(FX missing)"))</f>
        <v/>
      </c>
      <c r="P514" s="30"/>
      <c r="Q514" s="30"/>
      <c r="R514" s="30"/>
      <c r="S514" s="30"/>
      <c r="T514" s="30"/>
      <c r="U514" s="30"/>
      <c r="V514" s="30"/>
    </row>
    <row r="515" spans="1:22">
      <c r="A515" s="30"/>
      <c r="B515" s="30"/>
      <c r="C515" s="33" t="str">
        <f>IF(B515="","",IFERROR(INDEX('Master Database'!$D$5:$D$600,MATCH(B515,'Master Database'!$A$5:$A$600,0)),"(row not found)"))</f>
        <v/>
      </c>
      <c r="D515" s="33" t="str">
        <f>IF(B515="","",IFERROR(INDEX('Master Database'!$B$5:$B$600,MATCH(B515,'Master Database'!$A$5:$A$600,0)),"(row not found)"))</f>
        <v/>
      </c>
      <c r="E515" s="30"/>
      <c r="F515" s="33" t="str">
        <f>IF(E515="","",IFERROR(INDEX(Vendor_Register!$B$5:$B$205,MATCH(E515,Vendor_Register!$A$5:$A$205,0)),"(not in register)"))</f>
        <v/>
      </c>
      <c r="G515" s="33" t="str">
        <f>IF(E515="","",IFERROR(INDEX(Vendor_Register!$E$5:$E$205,MATCH(E515,Vendor_Register!$A$5:$A$205,0)),"(not in register)"))</f>
        <v/>
      </c>
      <c r="H515" s="30"/>
      <c r="I515" s="30"/>
      <c r="J515" s="30"/>
      <c r="K515" s="30"/>
      <c r="L515" s="30"/>
      <c r="M515" s="34"/>
      <c r="N515" s="30"/>
      <c r="O515" s="35" t="str">
        <f>IF(NOT(ISNUMBER(M515)),"",IFERROR(IF(L515="EUR",M515,IF(L515="IRR",M515/INDEX('Assumptions &amp; FX Reference'!$C$5:$C$25,MATCH(H515,'Assumptions &amp; FX Reference'!$A$5:$A$25,0)),IF(L515="USD",M515*INDEX('Assumptions &amp; FX Reference'!$B$5:$B$25,MATCH(H515,'Assumptions &amp; FX Reference'!$A$5:$A$25,0))/INDEX('Assumptions &amp; FX Reference'!$C$5:$C$25,MATCH(H515,'Assumptions &amp; FX Reference'!$A$5:$A$25,0)),""))),"(FX missing)"))</f>
        <v/>
      </c>
      <c r="P515" s="30"/>
      <c r="Q515" s="30"/>
      <c r="R515" s="30"/>
      <c r="S515" s="30"/>
      <c r="T515" s="30"/>
      <c r="U515" s="30"/>
      <c r="V515" s="30"/>
    </row>
    <row r="516" spans="1:22">
      <c r="A516" s="30"/>
      <c r="B516" s="30"/>
      <c r="C516" s="33" t="str">
        <f>IF(B516="","",IFERROR(INDEX('Master Database'!$D$5:$D$600,MATCH(B516,'Master Database'!$A$5:$A$600,0)),"(row not found)"))</f>
        <v/>
      </c>
      <c r="D516" s="33" t="str">
        <f>IF(B516="","",IFERROR(INDEX('Master Database'!$B$5:$B$600,MATCH(B516,'Master Database'!$A$5:$A$600,0)),"(row not found)"))</f>
        <v/>
      </c>
      <c r="E516" s="30"/>
      <c r="F516" s="33" t="str">
        <f>IF(E516="","",IFERROR(INDEX(Vendor_Register!$B$5:$B$205,MATCH(E516,Vendor_Register!$A$5:$A$205,0)),"(not in register)"))</f>
        <v/>
      </c>
      <c r="G516" s="33" t="str">
        <f>IF(E516="","",IFERROR(INDEX(Vendor_Register!$E$5:$E$205,MATCH(E516,Vendor_Register!$A$5:$A$205,0)),"(not in register)"))</f>
        <v/>
      </c>
      <c r="H516" s="30"/>
      <c r="I516" s="30"/>
      <c r="J516" s="30"/>
      <c r="K516" s="30"/>
      <c r="L516" s="30"/>
      <c r="M516" s="34"/>
      <c r="N516" s="30"/>
      <c r="O516" s="35" t="str">
        <f>IF(NOT(ISNUMBER(M516)),"",IFERROR(IF(L516="EUR",M516,IF(L516="IRR",M516/INDEX('Assumptions &amp; FX Reference'!$C$5:$C$25,MATCH(H516,'Assumptions &amp; FX Reference'!$A$5:$A$25,0)),IF(L516="USD",M516*INDEX('Assumptions &amp; FX Reference'!$B$5:$B$25,MATCH(H516,'Assumptions &amp; FX Reference'!$A$5:$A$25,0))/INDEX('Assumptions &amp; FX Reference'!$C$5:$C$25,MATCH(H516,'Assumptions &amp; FX Reference'!$A$5:$A$25,0)),""))),"(FX missing)"))</f>
        <v/>
      </c>
      <c r="P516" s="30"/>
      <c r="Q516" s="30"/>
      <c r="R516" s="30"/>
      <c r="S516" s="30"/>
      <c r="T516" s="30"/>
      <c r="U516" s="30"/>
      <c r="V516" s="30"/>
    </row>
    <row r="517" spans="1:22">
      <c r="A517" s="30"/>
      <c r="B517" s="30"/>
      <c r="C517" s="33" t="str">
        <f>IF(B517="","",IFERROR(INDEX('Master Database'!$D$5:$D$600,MATCH(B517,'Master Database'!$A$5:$A$600,0)),"(row not found)"))</f>
        <v/>
      </c>
      <c r="D517" s="33" t="str">
        <f>IF(B517="","",IFERROR(INDEX('Master Database'!$B$5:$B$600,MATCH(B517,'Master Database'!$A$5:$A$600,0)),"(row not found)"))</f>
        <v/>
      </c>
      <c r="E517" s="30"/>
      <c r="F517" s="33" t="str">
        <f>IF(E517="","",IFERROR(INDEX(Vendor_Register!$B$5:$B$205,MATCH(E517,Vendor_Register!$A$5:$A$205,0)),"(not in register)"))</f>
        <v/>
      </c>
      <c r="G517" s="33" t="str">
        <f>IF(E517="","",IFERROR(INDEX(Vendor_Register!$E$5:$E$205,MATCH(E517,Vendor_Register!$A$5:$A$205,0)),"(not in register)"))</f>
        <v/>
      </c>
      <c r="H517" s="30"/>
      <c r="I517" s="30"/>
      <c r="J517" s="30"/>
      <c r="K517" s="30"/>
      <c r="L517" s="30"/>
      <c r="M517" s="34"/>
      <c r="N517" s="30"/>
      <c r="O517" s="35" t="str">
        <f>IF(NOT(ISNUMBER(M517)),"",IFERROR(IF(L517="EUR",M517,IF(L517="IRR",M517/INDEX('Assumptions &amp; FX Reference'!$C$5:$C$25,MATCH(H517,'Assumptions &amp; FX Reference'!$A$5:$A$25,0)),IF(L517="USD",M517*INDEX('Assumptions &amp; FX Reference'!$B$5:$B$25,MATCH(H517,'Assumptions &amp; FX Reference'!$A$5:$A$25,0))/INDEX('Assumptions &amp; FX Reference'!$C$5:$C$25,MATCH(H517,'Assumptions &amp; FX Reference'!$A$5:$A$25,0)),""))),"(FX missing)"))</f>
        <v/>
      </c>
      <c r="P517" s="30"/>
      <c r="Q517" s="30"/>
      <c r="R517" s="30"/>
      <c r="S517" s="30"/>
      <c r="T517" s="30"/>
      <c r="U517" s="30"/>
      <c r="V517" s="30"/>
    </row>
    <row r="518" spans="1:22">
      <c r="A518" s="30"/>
      <c r="B518" s="30"/>
      <c r="C518" s="33" t="str">
        <f>IF(B518="","",IFERROR(INDEX('Master Database'!$D$5:$D$600,MATCH(B518,'Master Database'!$A$5:$A$600,0)),"(row not found)"))</f>
        <v/>
      </c>
      <c r="D518" s="33" t="str">
        <f>IF(B518="","",IFERROR(INDEX('Master Database'!$B$5:$B$600,MATCH(B518,'Master Database'!$A$5:$A$600,0)),"(row not found)"))</f>
        <v/>
      </c>
      <c r="E518" s="30"/>
      <c r="F518" s="33" t="str">
        <f>IF(E518="","",IFERROR(INDEX(Vendor_Register!$B$5:$B$205,MATCH(E518,Vendor_Register!$A$5:$A$205,0)),"(not in register)"))</f>
        <v/>
      </c>
      <c r="G518" s="33" t="str">
        <f>IF(E518="","",IFERROR(INDEX(Vendor_Register!$E$5:$E$205,MATCH(E518,Vendor_Register!$A$5:$A$205,0)),"(not in register)"))</f>
        <v/>
      </c>
      <c r="H518" s="30"/>
      <c r="I518" s="30"/>
      <c r="J518" s="30"/>
      <c r="K518" s="30"/>
      <c r="L518" s="30"/>
      <c r="M518" s="34"/>
      <c r="N518" s="30"/>
      <c r="O518" s="35" t="str">
        <f>IF(NOT(ISNUMBER(M518)),"",IFERROR(IF(L518="EUR",M518,IF(L518="IRR",M518/INDEX('Assumptions &amp; FX Reference'!$C$5:$C$25,MATCH(H518,'Assumptions &amp; FX Reference'!$A$5:$A$25,0)),IF(L518="USD",M518*INDEX('Assumptions &amp; FX Reference'!$B$5:$B$25,MATCH(H518,'Assumptions &amp; FX Reference'!$A$5:$A$25,0))/INDEX('Assumptions &amp; FX Reference'!$C$5:$C$25,MATCH(H518,'Assumptions &amp; FX Reference'!$A$5:$A$25,0)),""))),"(FX missing)"))</f>
        <v/>
      </c>
      <c r="P518" s="30"/>
      <c r="Q518" s="30"/>
      <c r="R518" s="30"/>
      <c r="S518" s="30"/>
      <c r="T518" s="30"/>
      <c r="U518" s="30"/>
      <c r="V518" s="30"/>
    </row>
    <row r="519" spans="1:22">
      <c r="A519" s="30"/>
      <c r="B519" s="30"/>
      <c r="C519" s="33" t="str">
        <f>IF(B519="","",IFERROR(INDEX('Master Database'!$D$5:$D$600,MATCH(B519,'Master Database'!$A$5:$A$600,0)),"(row not found)"))</f>
        <v/>
      </c>
      <c r="D519" s="33" t="str">
        <f>IF(B519="","",IFERROR(INDEX('Master Database'!$B$5:$B$600,MATCH(B519,'Master Database'!$A$5:$A$600,0)),"(row not found)"))</f>
        <v/>
      </c>
      <c r="E519" s="30"/>
      <c r="F519" s="33" t="str">
        <f>IF(E519="","",IFERROR(INDEX(Vendor_Register!$B$5:$B$205,MATCH(E519,Vendor_Register!$A$5:$A$205,0)),"(not in register)"))</f>
        <v/>
      </c>
      <c r="G519" s="33" t="str">
        <f>IF(E519="","",IFERROR(INDEX(Vendor_Register!$E$5:$E$205,MATCH(E519,Vendor_Register!$A$5:$A$205,0)),"(not in register)"))</f>
        <v/>
      </c>
      <c r="H519" s="30"/>
      <c r="I519" s="30"/>
      <c r="J519" s="30"/>
      <c r="K519" s="30"/>
      <c r="L519" s="30"/>
      <c r="M519" s="34"/>
      <c r="N519" s="30"/>
      <c r="O519" s="35" t="str">
        <f>IF(NOT(ISNUMBER(M519)),"",IFERROR(IF(L519="EUR",M519,IF(L519="IRR",M519/INDEX('Assumptions &amp; FX Reference'!$C$5:$C$25,MATCH(H519,'Assumptions &amp; FX Reference'!$A$5:$A$25,0)),IF(L519="USD",M519*INDEX('Assumptions &amp; FX Reference'!$B$5:$B$25,MATCH(H519,'Assumptions &amp; FX Reference'!$A$5:$A$25,0))/INDEX('Assumptions &amp; FX Reference'!$C$5:$C$25,MATCH(H519,'Assumptions &amp; FX Reference'!$A$5:$A$25,0)),""))),"(FX missing)"))</f>
        <v/>
      </c>
      <c r="P519" s="30"/>
      <c r="Q519" s="30"/>
      <c r="R519" s="30"/>
      <c r="S519" s="30"/>
      <c r="T519" s="30"/>
      <c r="U519" s="30"/>
      <c r="V519" s="30"/>
    </row>
    <row r="520" spans="1:22">
      <c r="A520" s="30"/>
      <c r="B520" s="30"/>
      <c r="C520" s="33" t="str">
        <f>IF(B520="","",IFERROR(INDEX('Master Database'!$D$5:$D$600,MATCH(B520,'Master Database'!$A$5:$A$600,0)),"(row not found)"))</f>
        <v/>
      </c>
      <c r="D520" s="33" t="str">
        <f>IF(B520="","",IFERROR(INDEX('Master Database'!$B$5:$B$600,MATCH(B520,'Master Database'!$A$5:$A$600,0)),"(row not found)"))</f>
        <v/>
      </c>
      <c r="E520" s="30"/>
      <c r="F520" s="33" t="str">
        <f>IF(E520="","",IFERROR(INDEX(Vendor_Register!$B$5:$B$205,MATCH(E520,Vendor_Register!$A$5:$A$205,0)),"(not in register)"))</f>
        <v/>
      </c>
      <c r="G520" s="33" t="str">
        <f>IF(E520="","",IFERROR(INDEX(Vendor_Register!$E$5:$E$205,MATCH(E520,Vendor_Register!$A$5:$A$205,0)),"(not in register)"))</f>
        <v/>
      </c>
      <c r="H520" s="30"/>
      <c r="I520" s="30"/>
      <c r="J520" s="30"/>
      <c r="K520" s="30"/>
      <c r="L520" s="30"/>
      <c r="M520" s="34"/>
      <c r="N520" s="30"/>
      <c r="O520" s="35" t="str">
        <f>IF(NOT(ISNUMBER(M520)),"",IFERROR(IF(L520="EUR",M520,IF(L520="IRR",M520/INDEX('Assumptions &amp; FX Reference'!$C$5:$C$25,MATCH(H520,'Assumptions &amp; FX Reference'!$A$5:$A$25,0)),IF(L520="USD",M520*INDEX('Assumptions &amp; FX Reference'!$B$5:$B$25,MATCH(H520,'Assumptions &amp; FX Reference'!$A$5:$A$25,0))/INDEX('Assumptions &amp; FX Reference'!$C$5:$C$25,MATCH(H520,'Assumptions &amp; FX Reference'!$A$5:$A$25,0)),""))),"(FX missing)"))</f>
        <v/>
      </c>
      <c r="P520" s="30"/>
      <c r="Q520" s="30"/>
      <c r="R520" s="30"/>
      <c r="S520" s="30"/>
      <c r="T520" s="30"/>
      <c r="U520" s="30"/>
      <c r="V520" s="30"/>
    </row>
    <row r="521" spans="1:22">
      <c r="A521" s="30"/>
      <c r="B521" s="30"/>
      <c r="C521" s="33" t="str">
        <f>IF(B521="","",IFERROR(INDEX('Master Database'!$D$5:$D$600,MATCH(B521,'Master Database'!$A$5:$A$600,0)),"(row not found)"))</f>
        <v/>
      </c>
      <c r="D521" s="33" t="str">
        <f>IF(B521="","",IFERROR(INDEX('Master Database'!$B$5:$B$600,MATCH(B521,'Master Database'!$A$5:$A$600,0)),"(row not found)"))</f>
        <v/>
      </c>
      <c r="E521" s="30"/>
      <c r="F521" s="33" t="str">
        <f>IF(E521="","",IFERROR(INDEX(Vendor_Register!$B$5:$B$205,MATCH(E521,Vendor_Register!$A$5:$A$205,0)),"(not in register)"))</f>
        <v/>
      </c>
      <c r="G521" s="33" t="str">
        <f>IF(E521="","",IFERROR(INDEX(Vendor_Register!$E$5:$E$205,MATCH(E521,Vendor_Register!$A$5:$A$205,0)),"(not in register)"))</f>
        <v/>
      </c>
      <c r="H521" s="30"/>
      <c r="I521" s="30"/>
      <c r="J521" s="30"/>
      <c r="K521" s="30"/>
      <c r="L521" s="30"/>
      <c r="M521" s="34"/>
      <c r="N521" s="30"/>
      <c r="O521" s="35" t="str">
        <f>IF(NOT(ISNUMBER(M521)),"",IFERROR(IF(L521="EUR",M521,IF(L521="IRR",M521/INDEX('Assumptions &amp; FX Reference'!$C$5:$C$25,MATCH(H521,'Assumptions &amp; FX Reference'!$A$5:$A$25,0)),IF(L521="USD",M521*INDEX('Assumptions &amp; FX Reference'!$B$5:$B$25,MATCH(H521,'Assumptions &amp; FX Reference'!$A$5:$A$25,0))/INDEX('Assumptions &amp; FX Reference'!$C$5:$C$25,MATCH(H521,'Assumptions &amp; FX Reference'!$A$5:$A$25,0)),""))),"(FX missing)"))</f>
        <v/>
      </c>
      <c r="P521" s="30"/>
      <c r="Q521" s="30"/>
      <c r="R521" s="30"/>
      <c r="S521" s="30"/>
      <c r="T521" s="30"/>
      <c r="U521" s="30"/>
      <c r="V521" s="30"/>
    </row>
    <row r="522" spans="1:22">
      <c r="A522" s="30"/>
      <c r="B522" s="30"/>
      <c r="C522" s="33" t="str">
        <f>IF(B522="","",IFERROR(INDEX('Master Database'!$D$5:$D$600,MATCH(B522,'Master Database'!$A$5:$A$600,0)),"(row not found)"))</f>
        <v/>
      </c>
      <c r="D522" s="33" t="str">
        <f>IF(B522="","",IFERROR(INDEX('Master Database'!$B$5:$B$600,MATCH(B522,'Master Database'!$A$5:$A$600,0)),"(row not found)"))</f>
        <v/>
      </c>
      <c r="E522" s="30"/>
      <c r="F522" s="33" t="str">
        <f>IF(E522="","",IFERROR(INDEX(Vendor_Register!$B$5:$B$205,MATCH(E522,Vendor_Register!$A$5:$A$205,0)),"(not in register)"))</f>
        <v/>
      </c>
      <c r="G522" s="33" t="str">
        <f>IF(E522="","",IFERROR(INDEX(Vendor_Register!$E$5:$E$205,MATCH(E522,Vendor_Register!$A$5:$A$205,0)),"(not in register)"))</f>
        <v/>
      </c>
      <c r="H522" s="30"/>
      <c r="I522" s="30"/>
      <c r="J522" s="30"/>
      <c r="K522" s="30"/>
      <c r="L522" s="30"/>
      <c r="M522" s="34"/>
      <c r="N522" s="30"/>
      <c r="O522" s="35" t="str">
        <f>IF(NOT(ISNUMBER(M522)),"",IFERROR(IF(L522="EUR",M522,IF(L522="IRR",M522/INDEX('Assumptions &amp; FX Reference'!$C$5:$C$25,MATCH(H522,'Assumptions &amp; FX Reference'!$A$5:$A$25,0)),IF(L522="USD",M522*INDEX('Assumptions &amp; FX Reference'!$B$5:$B$25,MATCH(H522,'Assumptions &amp; FX Reference'!$A$5:$A$25,0))/INDEX('Assumptions &amp; FX Reference'!$C$5:$C$25,MATCH(H522,'Assumptions &amp; FX Reference'!$A$5:$A$25,0)),""))),"(FX missing)"))</f>
        <v/>
      </c>
      <c r="P522" s="30"/>
      <c r="Q522" s="30"/>
      <c r="R522" s="30"/>
      <c r="S522" s="30"/>
      <c r="T522" s="30"/>
      <c r="U522" s="30"/>
      <c r="V522" s="30"/>
    </row>
    <row r="523" spans="1:22">
      <c r="A523" s="30"/>
      <c r="B523" s="30"/>
      <c r="C523" s="33" t="str">
        <f>IF(B523="","",IFERROR(INDEX('Master Database'!$D$5:$D$600,MATCH(B523,'Master Database'!$A$5:$A$600,0)),"(row not found)"))</f>
        <v/>
      </c>
      <c r="D523" s="33" t="str">
        <f>IF(B523="","",IFERROR(INDEX('Master Database'!$B$5:$B$600,MATCH(B523,'Master Database'!$A$5:$A$600,0)),"(row not found)"))</f>
        <v/>
      </c>
      <c r="E523" s="30"/>
      <c r="F523" s="33" t="str">
        <f>IF(E523="","",IFERROR(INDEX(Vendor_Register!$B$5:$B$205,MATCH(E523,Vendor_Register!$A$5:$A$205,0)),"(not in register)"))</f>
        <v/>
      </c>
      <c r="G523" s="33" t="str">
        <f>IF(E523="","",IFERROR(INDEX(Vendor_Register!$E$5:$E$205,MATCH(E523,Vendor_Register!$A$5:$A$205,0)),"(not in register)"))</f>
        <v/>
      </c>
      <c r="H523" s="30"/>
      <c r="I523" s="30"/>
      <c r="J523" s="30"/>
      <c r="K523" s="30"/>
      <c r="L523" s="30"/>
      <c r="M523" s="34"/>
      <c r="N523" s="30"/>
      <c r="O523" s="35" t="str">
        <f>IF(NOT(ISNUMBER(M523)),"",IFERROR(IF(L523="EUR",M523,IF(L523="IRR",M523/INDEX('Assumptions &amp; FX Reference'!$C$5:$C$25,MATCH(H523,'Assumptions &amp; FX Reference'!$A$5:$A$25,0)),IF(L523="USD",M523*INDEX('Assumptions &amp; FX Reference'!$B$5:$B$25,MATCH(H523,'Assumptions &amp; FX Reference'!$A$5:$A$25,0))/INDEX('Assumptions &amp; FX Reference'!$C$5:$C$25,MATCH(H523,'Assumptions &amp; FX Reference'!$A$5:$A$25,0)),""))),"(FX missing)"))</f>
        <v/>
      </c>
      <c r="P523" s="30"/>
      <c r="Q523" s="30"/>
      <c r="R523" s="30"/>
      <c r="S523" s="30"/>
      <c r="T523" s="30"/>
      <c r="U523" s="30"/>
      <c r="V523" s="30"/>
    </row>
    <row r="524" spans="1:22">
      <c r="A524" s="30"/>
      <c r="B524" s="30"/>
      <c r="C524" s="33" t="str">
        <f>IF(B524="","",IFERROR(INDEX('Master Database'!$D$5:$D$600,MATCH(B524,'Master Database'!$A$5:$A$600,0)),"(row not found)"))</f>
        <v/>
      </c>
      <c r="D524" s="33" t="str">
        <f>IF(B524="","",IFERROR(INDEX('Master Database'!$B$5:$B$600,MATCH(B524,'Master Database'!$A$5:$A$600,0)),"(row not found)"))</f>
        <v/>
      </c>
      <c r="E524" s="30"/>
      <c r="F524" s="33" t="str">
        <f>IF(E524="","",IFERROR(INDEX(Vendor_Register!$B$5:$B$205,MATCH(E524,Vendor_Register!$A$5:$A$205,0)),"(not in register)"))</f>
        <v/>
      </c>
      <c r="G524" s="33" t="str">
        <f>IF(E524="","",IFERROR(INDEX(Vendor_Register!$E$5:$E$205,MATCH(E524,Vendor_Register!$A$5:$A$205,0)),"(not in register)"))</f>
        <v/>
      </c>
      <c r="H524" s="30"/>
      <c r="I524" s="30"/>
      <c r="J524" s="30"/>
      <c r="K524" s="30"/>
      <c r="L524" s="30"/>
      <c r="M524" s="34"/>
      <c r="N524" s="30"/>
      <c r="O524" s="35" t="str">
        <f>IF(NOT(ISNUMBER(M524)),"",IFERROR(IF(L524="EUR",M524,IF(L524="IRR",M524/INDEX('Assumptions &amp; FX Reference'!$C$5:$C$25,MATCH(H524,'Assumptions &amp; FX Reference'!$A$5:$A$25,0)),IF(L524="USD",M524*INDEX('Assumptions &amp; FX Reference'!$B$5:$B$25,MATCH(H524,'Assumptions &amp; FX Reference'!$A$5:$A$25,0))/INDEX('Assumptions &amp; FX Reference'!$C$5:$C$25,MATCH(H524,'Assumptions &amp; FX Reference'!$A$5:$A$25,0)),""))),"(FX missing)"))</f>
        <v/>
      </c>
      <c r="P524" s="30"/>
      <c r="Q524" s="30"/>
      <c r="R524" s="30"/>
      <c r="S524" s="30"/>
      <c r="T524" s="30"/>
      <c r="U524" s="30"/>
      <c r="V524" s="30"/>
    </row>
    <row r="525" spans="1:22">
      <c r="A525" s="30"/>
      <c r="B525" s="30"/>
      <c r="C525" s="33" t="str">
        <f>IF(B525="","",IFERROR(INDEX('Master Database'!$D$5:$D$600,MATCH(B525,'Master Database'!$A$5:$A$600,0)),"(row not found)"))</f>
        <v/>
      </c>
      <c r="D525" s="33" t="str">
        <f>IF(B525="","",IFERROR(INDEX('Master Database'!$B$5:$B$600,MATCH(B525,'Master Database'!$A$5:$A$600,0)),"(row not found)"))</f>
        <v/>
      </c>
      <c r="E525" s="30"/>
      <c r="F525" s="33" t="str">
        <f>IF(E525="","",IFERROR(INDEX(Vendor_Register!$B$5:$B$205,MATCH(E525,Vendor_Register!$A$5:$A$205,0)),"(not in register)"))</f>
        <v/>
      </c>
      <c r="G525" s="33" t="str">
        <f>IF(E525="","",IFERROR(INDEX(Vendor_Register!$E$5:$E$205,MATCH(E525,Vendor_Register!$A$5:$A$205,0)),"(not in register)"))</f>
        <v/>
      </c>
      <c r="H525" s="30"/>
      <c r="I525" s="30"/>
      <c r="J525" s="30"/>
      <c r="K525" s="30"/>
      <c r="L525" s="30"/>
      <c r="M525" s="34"/>
      <c r="N525" s="30"/>
      <c r="O525" s="35" t="str">
        <f>IF(NOT(ISNUMBER(M525)),"",IFERROR(IF(L525="EUR",M525,IF(L525="IRR",M525/INDEX('Assumptions &amp; FX Reference'!$C$5:$C$25,MATCH(H525,'Assumptions &amp; FX Reference'!$A$5:$A$25,0)),IF(L525="USD",M525*INDEX('Assumptions &amp; FX Reference'!$B$5:$B$25,MATCH(H525,'Assumptions &amp; FX Reference'!$A$5:$A$25,0))/INDEX('Assumptions &amp; FX Reference'!$C$5:$C$25,MATCH(H525,'Assumptions &amp; FX Reference'!$A$5:$A$25,0)),""))),"(FX missing)"))</f>
        <v/>
      </c>
      <c r="P525" s="30"/>
      <c r="Q525" s="30"/>
      <c r="R525" s="30"/>
      <c r="S525" s="30"/>
      <c r="T525" s="30"/>
      <c r="U525" s="30"/>
      <c r="V525" s="30"/>
    </row>
    <row r="526" spans="1:22">
      <c r="A526" s="30"/>
      <c r="B526" s="30"/>
      <c r="C526" s="33" t="str">
        <f>IF(B526="","",IFERROR(INDEX('Master Database'!$D$5:$D$600,MATCH(B526,'Master Database'!$A$5:$A$600,0)),"(row not found)"))</f>
        <v/>
      </c>
      <c r="D526" s="33" t="str">
        <f>IF(B526="","",IFERROR(INDEX('Master Database'!$B$5:$B$600,MATCH(B526,'Master Database'!$A$5:$A$600,0)),"(row not found)"))</f>
        <v/>
      </c>
      <c r="E526" s="30"/>
      <c r="F526" s="33" t="str">
        <f>IF(E526="","",IFERROR(INDEX(Vendor_Register!$B$5:$B$205,MATCH(E526,Vendor_Register!$A$5:$A$205,0)),"(not in register)"))</f>
        <v/>
      </c>
      <c r="G526" s="33" t="str">
        <f>IF(E526="","",IFERROR(INDEX(Vendor_Register!$E$5:$E$205,MATCH(E526,Vendor_Register!$A$5:$A$205,0)),"(not in register)"))</f>
        <v/>
      </c>
      <c r="H526" s="30"/>
      <c r="I526" s="30"/>
      <c r="J526" s="30"/>
      <c r="K526" s="30"/>
      <c r="L526" s="30"/>
      <c r="M526" s="34"/>
      <c r="N526" s="30"/>
      <c r="O526" s="35" t="str">
        <f>IF(NOT(ISNUMBER(M526)),"",IFERROR(IF(L526="EUR",M526,IF(L526="IRR",M526/INDEX('Assumptions &amp; FX Reference'!$C$5:$C$25,MATCH(H526,'Assumptions &amp; FX Reference'!$A$5:$A$25,0)),IF(L526="USD",M526*INDEX('Assumptions &amp; FX Reference'!$B$5:$B$25,MATCH(H526,'Assumptions &amp; FX Reference'!$A$5:$A$25,0))/INDEX('Assumptions &amp; FX Reference'!$C$5:$C$25,MATCH(H526,'Assumptions &amp; FX Reference'!$A$5:$A$25,0)),""))),"(FX missing)"))</f>
        <v/>
      </c>
      <c r="P526" s="30"/>
      <c r="Q526" s="30"/>
      <c r="R526" s="30"/>
      <c r="S526" s="30"/>
      <c r="T526" s="30"/>
      <c r="U526" s="30"/>
      <c r="V526" s="30"/>
    </row>
    <row r="527" spans="1:22">
      <c r="A527" s="30"/>
      <c r="B527" s="30"/>
      <c r="C527" s="33" t="str">
        <f>IF(B527="","",IFERROR(INDEX('Master Database'!$D$5:$D$600,MATCH(B527,'Master Database'!$A$5:$A$600,0)),"(row not found)"))</f>
        <v/>
      </c>
      <c r="D527" s="33" t="str">
        <f>IF(B527="","",IFERROR(INDEX('Master Database'!$B$5:$B$600,MATCH(B527,'Master Database'!$A$5:$A$600,0)),"(row not found)"))</f>
        <v/>
      </c>
      <c r="E527" s="30"/>
      <c r="F527" s="33" t="str">
        <f>IF(E527="","",IFERROR(INDEX(Vendor_Register!$B$5:$B$205,MATCH(E527,Vendor_Register!$A$5:$A$205,0)),"(not in register)"))</f>
        <v/>
      </c>
      <c r="G527" s="33" t="str">
        <f>IF(E527="","",IFERROR(INDEX(Vendor_Register!$E$5:$E$205,MATCH(E527,Vendor_Register!$A$5:$A$205,0)),"(not in register)"))</f>
        <v/>
      </c>
      <c r="H527" s="30"/>
      <c r="I527" s="30"/>
      <c r="J527" s="30"/>
      <c r="K527" s="30"/>
      <c r="L527" s="30"/>
      <c r="M527" s="34"/>
      <c r="N527" s="30"/>
      <c r="O527" s="35" t="str">
        <f>IF(NOT(ISNUMBER(M527)),"",IFERROR(IF(L527="EUR",M527,IF(L527="IRR",M527/INDEX('Assumptions &amp; FX Reference'!$C$5:$C$25,MATCH(H527,'Assumptions &amp; FX Reference'!$A$5:$A$25,0)),IF(L527="USD",M527*INDEX('Assumptions &amp; FX Reference'!$B$5:$B$25,MATCH(H527,'Assumptions &amp; FX Reference'!$A$5:$A$25,0))/INDEX('Assumptions &amp; FX Reference'!$C$5:$C$25,MATCH(H527,'Assumptions &amp; FX Reference'!$A$5:$A$25,0)),""))),"(FX missing)"))</f>
        <v/>
      </c>
      <c r="P527" s="30"/>
      <c r="Q527" s="30"/>
      <c r="R527" s="30"/>
      <c r="S527" s="30"/>
      <c r="T527" s="30"/>
      <c r="U527" s="30"/>
      <c r="V527" s="30"/>
    </row>
    <row r="528" spans="1:22">
      <c r="A528" s="30"/>
      <c r="B528" s="30"/>
      <c r="C528" s="33" t="str">
        <f>IF(B528="","",IFERROR(INDEX('Master Database'!$D$5:$D$600,MATCH(B528,'Master Database'!$A$5:$A$600,0)),"(row not found)"))</f>
        <v/>
      </c>
      <c r="D528" s="33" t="str">
        <f>IF(B528="","",IFERROR(INDEX('Master Database'!$B$5:$B$600,MATCH(B528,'Master Database'!$A$5:$A$600,0)),"(row not found)"))</f>
        <v/>
      </c>
      <c r="E528" s="30"/>
      <c r="F528" s="33" t="str">
        <f>IF(E528="","",IFERROR(INDEX(Vendor_Register!$B$5:$B$205,MATCH(E528,Vendor_Register!$A$5:$A$205,0)),"(not in register)"))</f>
        <v/>
      </c>
      <c r="G528" s="33" t="str">
        <f>IF(E528="","",IFERROR(INDEX(Vendor_Register!$E$5:$E$205,MATCH(E528,Vendor_Register!$A$5:$A$205,0)),"(not in register)"))</f>
        <v/>
      </c>
      <c r="H528" s="30"/>
      <c r="I528" s="30"/>
      <c r="J528" s="30"/>
      <c r="K528" s="30"/>
      <c r="L528" s="30"/>
      <c r="M528" s="34"/>
      <c r="N528" s="30"/>
      <c r="O528" s="35" t="str">
        <f>IF(NOT(ISNUMBER(M528)),"",IFERROR(IF(L528="EUR",M528,IF(L528="IRR",M528/INDEX('Assumptions &amp; FX Reference'!$C$5:$C$25,MATCH(H528,'Assumptions &amp; FX Reference'!$A$5:$A$25,0)),IF(L528="USD",M528*INDEX('Assumptions &amp; FX Reference'!$B$5:$B$25,MATCH(H528,'Assumptions &amp; FX Reference'!$A$5:$A$25,0))/INDEX('Assumptions &amp; FX Reference'!$C$5:$C$25,MATCH(H528,'Assumptions &amp; FX Reference'!$A$5:$A$25,0)),""))),"(FX missing)"))</f>
        <v/>
      </c>
      <c r="P528" s="30"/>
      <c r="Q528" s="30"/>
      <c r="R528" s="30"/>
      <c r="S528" s="30"/>
      <c r="T528" s="30"/>
      <c r="U528" s="30"/>
      <c r="V528" s="30"/>
    </row>
    <row r="529" spans="1:22">
      <c r="A529" s="30"/>
      <c r="B529" s="30"/>
      <c r="C529" s="33" t="str">
        <f>IF(B529="","",IFERROR(INDEX('Master Database'!$D$5:$D$600,MATCH(B529,'Master Database'!$A$5:$A$600,0)),"(row not found)"))</f>
        <v/>
      </c>
      <c r="D529" s="33" t="str">
        <f>IF(B529="","",IFERROR(INDEX('Master Database'!$B$5:$B$600,MATCH(B529,'Master Database'!$A$5:$A$600,0)),"(row not found)"))</f>
        <v/>
      </c>
      <c r="E529" s="30"/>
      <c r="F529" s="33" t="str">
        <f>IF(E529="","",IFERROR(INDEX(Vendor_Register!$B$5:$B$205,MATCH(E529,Vendor_Register!$A$5:$A$205,0)),"(not in register)"))</f>
        <v/>
      </c>
      <c r="G529" s="33" t="str">
        <f>IF(E529="","",IFERROR(INDEX(Vendor_Register!$E$5:$E$205,MATCH(E529,Vendor_Register!$A$5:$A$205,0)),"(not in register)"))</f>
        <v/>
      </c>
      <c r="H529" s="30"/>
      <c r="I529" s="30"/>
      <c r="J529" s="30"/>
      <c r="K529" s="30"/>
      <c r="L529" s="30"/>
      <c r="M529" s="34"/>
      <c r="N529" s="30"/>
      <c r="O529" s="35" t="str">
        <f>IF(NOT(ISNUMBER(M529)),"",IFERROR(IF(L529="EUR",M529,IF(L529="IRR",M529/INDEX('Assumptions &amp; FX Reference'!$C$5:$C$25,MATCH(H529,'Assumptions &amp; FX Reference'!$A$5:$A$25,0)),IF(L529="USD",M529*INDEX('Assumptions &amp; FX Reference'!$B$5:$B$25,MATCH(H529,'Assumptions &amp; FX Reference'!$A$5:$A$25,0))/INDEX('Assumptions &amp; FX Reference'!$C$5:$C$25,MATCH(H529,'Assumptions &amp; FX Reference'!$A$5:$A$25,0)),""))),"(FX missing)"))</f>
        <v/>
      </c>
      <c r="P529" s="30"/>
      <c r="Q529" s="30"/>
      <c r="R529" s="30"/>
      <c r="S529" s="30"/>
      <c r="T529" s="30"/>
      <c r="U529" s="30"/>
      <c r="V529" s="30"/>
    </row>
    <row r="530" spans="1:22">
      <c r="A530" s="30"/>
      <c r="B530" s="30"/>
      <c r="C530" s="33" t="str">
        <f>IF(B530="","",IFERROR(INDEX('Master Database'!$D$5:$D$600,MATCH(B530,'Master Database'!$A$5:$A$600,0)),"(row not found)"))</f>
        <v/>
      </c>
      <c r="D530" s="33" t="str">
        <f>IF(B530="","",IFERROR(INDEX('Master Database'!$B$5:$B$600,MATCH(B530,'Master Database'!$A$5:$A$600,0)),"(row not found)"))</f>
        <v/>
      </c>
      <c r="E530" s="30"/>
      <c r="F530" s="33" t="str">
        <f>IF(E530="","",IFERROR(INDEX(Vendor_Register!$B$5:$B$205,MATCH(E530,Vendor_Register!$A$5:$A$205,0)),"(not in register)"))</f>
        <v/>
      </c>
      <c r="G530" s="33" t="str">
        <f>IF(E530="","",IFERROR(INDEX(Vendor_Register!$E$5:$E$205,MATCH(E530,Vendor_Register!$A$5:$A$205,0)),"(not in register)"))</f>
        <v/>
      </c>
      <c r="H530" s="30"/>
      <c r="I530" s="30"/>
      <c r="J530" s="30"/>
      <c r="K530" s="30"/>
      <c r="L530" s="30"/>
      <c r="M530" s="34"/>
      <c r="N530" s="30"/>
      <c r="O530" s="35" t="str">
        <f>IF(NOT(ISNUMBER(M530)),"",IFERROR(IF(L530="EUR",M530,IF(L530="IRR",M530/INDEX('Assumptions &amp; FX Reference'!$C$5:$C$25,MATCH(H530,'Assumptions &amp; FX Reference'!$A$5:$A$25,0)),IF(L530="USD",M530*INDEX('Assumptions &amp; FX Reference'!$B$5:$B$25,MATCH(H530,'Assumptions &amp; FX Reference'!$A$5:$A$25,0))/INDEX('Assumptions &amp; FX Reference'!$C$5:$C$25,MATCH(H530,'Assumptions &amp; FX Reference'!$A$5:$A$25,0)),""))),"(FX missing)"))</f>
        <v/>
      </c>
      <c r="P530" s="30"/>
      <c r="Q530" s="30"/>
      <c r="R530" s="30"/>
      <c r="S530" s="30"/>
      <c r="T530" s="30"/>
      <c r="U530" s="30"/>
      <c r="V530" s="30"/>
    </row>
    <row r="531" spans="1:22">
      <c r="A531" s="30"/>
      <c r="B531" s="30"/>
      <c r="C531" s="33" t="str">
        <f>IF(B531="","",IFERROR(INDEX('Master Database'!$D$5:$D$600,MATCH(B531,'Master Database'!$A$5:$A$600,0)),"(row not found)"))</f>
        <v/>
      </c>
      <c r="D531" s="33" t="str">
        <f>IF(B531="","",IFERROR(INDEX('Master Database'!$B$5:$B$600,MATCH(B531,'Master Database'!$A$5:$A$600,0)),"(row not found)"))</f>
        <v/>
      </c>
      <c r="E531" s="30"/>
      <c r="F531" s="33" t="str">
        <f>IF(E531="","",IFERROR(INDEX(Vendor_Register!$B$5:$B$205,MATCH(E531,Vendor_Register!$A$5:$A$205,0)),"(not in register)"))</f>
        <v/>
      </c>
      <c r="G531" s="33" t="str">
        <f>IF(E531="","",IFERROR(INDEX(Vendor_Register!$E$5:$E$205,MATCH(E531,Vendor_Register!$A$5:$A$205,0)),"(not in register)"))</f>
        <v/>
      </c>
      <c r="H531" s="30"/>
      <c r="I531" s="30"/>
      <c r="J531" s="30"/>
      <c r="K531" s="30"/>
      <c r="L531" s="30"/>
      <c r="M531" s="34"/>
      <c r="N531" s="30"/>
      <c r="O531" s="35" t="str">
        <f>IF(NOT(ISNUMBER(M531)),"",IFERROR(IF(L531="EUR",M531,IF(L531="IRR",M531/INDEX('Assumptions &amp; FX Reference'!$C$5:$C$25,MATCH(H531,'Assumptions &amp; FX Reference'!$A$5:$A$25,0)),IF(L531="USD",M531*INDEX('Assumptions &amp; FX Reference'!$B$5:$B$25,MATCH(H531,'Assumptions &amp; FX Reference'!$A$5:$A$25,0))/INDEX('Assumptions &amp; FX Reference'!$C$5:$C$25,MATCH(H531,'Assumptions &amp; FX Reference'!$A$5:$A$25,0)),""))),"(FX missing)"))</f>
        <v/>
      </c>
      <c r="P531" s="30"/>
      <c r="Q531" s="30"/>
      <c r="R531" s="30"/>
      <c r="S531" s="30"/>
      <c r="T531" s="30"/>
      <c r="U531" s="30"/>
      <c r="V531" s="30"/>
    </row>
    <row r="532" spans="1:22">
      <c r="A532" s="30"/>
      <c r="B532" s="30"/>
      <c r="C532" s="33" t="str">
        <f>IF(B532="","",IFERROR(INDEX('Master Database'!$D$5:$D$600,MATCH(B532,'Master Database'!$A$5:$A$600,0)),"(row not found)"))</f>
        <v/>
      </c>
      <c r="D532" s="33" t="str">
        <f>IF(B532="","",IFERROR(INDEX('Master Database'!$B$5:$B$600,MATCH(B532,'Master Database'!$A$5:$A$600,0)),"(row not found)"))</f>
        <v/>
      </c>
      <c r="E532" s="30"/>
      <c r="F532" s="33" t="str">
        <f>IF(E532="","",IFERROR(INDEX(Vendor_Register!$B$5:$B$205,MATCH(E532,Vendor_Register!$A$5:$A$205,0)),"(not in register)"))</f>
        <v/>
      </c>
      <c r="G532" s="33" t="str">
        <f>IF(E532="","",IFERROR(INDEX(Vendor_Register!$E$5:$E$205,MATCH(E532,Vendor_Register!$A$5:$A$205,0)),"(not in register)"))</f>
        <v/>
      </c>
      <c r="H532" s="30"/>
      <c r="I532" s="30"/>
      <c r="J532" s="30"/>
      <c r="K532" s="30"/>
      <c r="L532" s="30"/>
      <c r="M532" s="34"/>
      <c r="N532" s="30"/>
      <c r="O532" s="35" t="str">
        <f>IF(NOT(ISNUMBER(M532)),"",IFERROR(IF(L532="EUR",M532,IF(L532="IRR",M532/INDEX('Assumptions &amp; FX Reference'!$C$5:$C$25,MATCH(H532,'Assumptions &amp; FX Reference'!$A$5:$A$25,0)),IF(L532="USD",M532*INDEX('Assumptions &amp; FX Reference'!$B$5:$B$25,MATCH(H532,'Assumptions &amp; FX Reference'!$A$5:$A$25,0))/INDEX('Assumptions &amp; FX Reference'!$C$5:$C$25,MATCH(H532,'Assumptions &amp; FX Reference'!$A$5:$A$25,0)),""))),"(FX missing)"))</f>
        <v/>
      </c>
      <c r="P532" s="30"/>
      <c r="Q532" s="30"/>
      <c r="R532" s="30"/>
      <c r="S532" s="30"/>
      <c r="T532" s="30"/>
      <c r="U532" s="30"/>
      <c r="V532" s="30"/>
    </row>
    <row r="533" spans="1:22">
      <c r="A533" s="30"/>
      <c r="B533" s="30"/>
      <c r="C533" s="33" t="str">
        <f>IF(B533="","",IFERROR(INDEX('Master Database'!$D$5:$D$600,MATCH(B533,'Master Database'!$A$5:$A$600,0)),"(row not found)"))</f>
        <v/>
      </c>
      <c r="D533" s="33" t="str">
        <f>IF(B533="","",IFERROR(INDEX('Master Database'!$B$5:$B$600,MATCH(B533,'Master Database'!$A$5:$A$600,0)),"(row not found)"))</f>
        <v/>
      </c>
      <c r="E533" s="30"/>
      <c r="F533" s="33" t="str">
        <f>IF(E533="","",IFERROR(INDEX(Vendor_Register!$B$5:$B$205,MATCH(E533,Vendor_Register!$A$5:$A$205,0)),"(not in register)"))</f>
        <v/>
      </c>
      <c r="G533" s="33" t="str">
        <f>IF(E533="","",IFERROR(INDEX(Vendor_Register!$E$5:$E$205,MATCH(E533,Vendor_Register!$A$5:$A$205,0)),"(not in register)"))</f>
        <v/>
      </c>
      <c r="H533" s="30"/>
      <c r="I533" s="30"/>
      <c r="J533" s="30"/>
      <c r="K533" s="30"/>
      <c r="L533" s="30"/>
      <c r="M533" s="34"/>
      <c r="N533" s="30"/>
      <c r="O533" s="35" t="str">
        <f>IF(NOT(ISNUMBER(M533)),"",IFERROR(IF(L533="EUR",M533,IF(L533="IRR",M533/INDEX('Assumptions &amp; FX Reference'!$C$5:$C$25,MATCH(H533,'Assumptions &amp; FX Reference'!$A$5:$A$25,0)),IF(L533="USD",M533*INDEX('Assumptions &amp; FX Reference'!$B$5:$B$25,MATCH(H533,'Assumptions &amp; FX Reference'!$A$5:$A$25,0))/INDEX('Assumptions &amp; FX Reference'!$C$5:$C$25,MATCH(H533,'Assumptions &amp; FX Reference'!$A$5:$A$25,0)),""))),"(FX missing)"))</f>
        <v/>
      </c>
      <c r="P533" s="30"/>
      <c r="Q533" s="30"/>
      <c r="R533" s="30"/>
      <c r="S533" s="30"/>
      <c r="T533" s="30"/>
      <c r="U533" s="30"/>
      <c r="V533" s="30"/>
    </row>
    <row r="534" spans="1:22">
      <c r="A534" s="30"/>
      <c r="B534" s="30"/>
      <c r="C534" s="33" t="str">
        <f>IF(B534="","",IFERROR(INDEX('Master Database'!$D$5:$D$600,MATCH(B534,'Master Database'!$A$5:$A$600,0)),"(row not found)"))</f>
        <v/>
      </c>
      <c r="D534" s="33" t="str">
        <f>IF(B534="","",IFERROR(INDEX('Master Database'!$B$5:$B$600,MATCH(B534,'Master Database'!$A$5:$A$600,0)),"(row not found)"))</f>
        <v/>
      </c>
      <c r="E534" s="30"/>
      <c r="F534" s="33" t="str">
        <f>IF(E534="","",IFERROR(INDEX(Vendor_Register!$B$5:$B$205,MATCH(E534,Vendor_Register!$A$5:$A$205,0)),"(not in register)"))</f>
        <v/>
      </c>
      <c r="G534" s="33" t="str">
        <f>IF(E534="","",IFERROR(INDEX(Vendor_Register!$E$5:$E$205,MATCH(E534,Vendor_Register!$A$5:$A$205,0)),"(not in register)"))</f>
        <v/>
      </c>
      <c r="H534" s="30"/>
      <c r="I534" s="30"/>
      <c r="J534" s="30"/>
      <c r="K534" s="30"/>
      <c r="L534" s="30"/>
      <c r="M534" s="34"/>
      <c r="N534" s="30"/>
      <c r="O534" s="35" t="str">
        <f>IF(NOT(ISNUMBER(M534)),"",IFERROR(IF(L534="EUR",M534,IF(L534="IRR",M534/INDEX('Assumptions &amp; FX Reference'!$C$5:$C$25,MATCH(H534,'Assumptions &amp; FX Reference'!$A$5:$A$25,0)),IF(L534="USD",M534*INDEX('Assumptions &amp; FX Reference'!$B$5:$B$25,MATCH(H534,'Assumptions &amp; FX Reference'!$A$5:$A$25,0))/INDEX('Assumptions &amp; FX Reference'!$C$5:$C$25,MATCH(H534,'Assumptions &amp; FX Reference'!$A$5:$A$25,0)),""))),"(FX missing)"))</f>
        <v/>
      </c>
      <c r="P534" s="30"/>
      <c r="Q534" s="30"/>
      <c r="R534" s="30"/>
      <c r="S534" s="30"/>
      <c r="T534" s="30"/>
      <c r="U534" s="30"/>
      <c r="V534" s="30"/>
    </row>
    <row r="535" spans="1:22">
      <c r="A535" s="30"/>
      <c r="B535" s="30"/>
      <c r="C535" s="33" t="str">
        <f>IF(B535="","",IFERROR(INDEX('Master Database'!$D$5:$D$600,MATCH(B535,'Master Database'!$A$5:$A$600,0)),"(row not found)"))</f>
        <v/>
      </c>
      <c r="D535" s="33" t="str">
        <f>IF(B535="","",IFERROR(INDEX('Master Database'!$B$5:$B$600,MATCH(B535,'Master Database'!$A$5:$A$600,0)),"(row not found)"))</f>
        <v/>
      </c>
      <c r="E535" s="30"/>
      <c r="F535" s="33" t="str">
        <f>IF(E535="","",IFERROR(INDEX(Vendor_Register!$B$5:$B$205,MATCH(E535,Vendor_Register!$A$5:$A$205,0)),"(not in register)"))</f>
        <v/>
      </c>
      <c r="G535" s="33" t="str">
        <f>IF(E535="","",IFERROR(INDEX(Vendor_Register!$E$5:$E$205,MATCH(E535,Vendor_Register!$A$5:$A$205,0)),"(not in register)"))</f>
        <v/>
      </c>
      <c r="H535" s="30"/>
      <c r="I535" s="30"/>
      <c r="J535" s="30"/>
      <c r="K535" s="30"/>
      <c r="L535" s="30"/>
      <c r="M535" s="34"/>
      <c r="N535" s="30"/>
      <c r="O535" s="35" t="str">
        <f>IF(NOT(ISNUMBER(M535)),"",IFERROR(IF(L535="EUR",M535,IF(L535="IRR",M535/INDEX('Assumptions &amp; FX Reference'!$C$5:$C$25,MATCH(H535,'Assumptions &amp; FX Reference'!$A$5:$A$25,0)),IF(L535="USD",M535*INDEX('Assumptions &amp; FX Reference'!$B$5:$B$25,MATCH(H535,'Assumptions &amp; FX Reference'!$A$5:$A$25,0))/INDEX('Assumptions &amp; FX Reference'!$C$5:$C$25,MATCH(H535,'Assumptions &amp; FX Reference'!$A$5:$A$25,0)),""))),"(FX missing)"))</f>
        <v/>
      </c>
      <c r="P535" s="30"/>
      <c r="Q535" s="30"/>
      <c r="R535" s="30"/>
      <c r="S535" s="30"/>
      <c r="T535" s="30"/>
      <c r="U535" s="30"/>
      <c r="V535" s="30"/>
    </row>
    <row r="536" spans="1:22">
      <c r="A536" s="30"/>
      <c r="B536" s="30"/>
      <c r="C536" s="33" t="str">
        <f>IF(B536="","",IFERROR(INDEX('Master Database'!$D$5:$D$600,MATCH(B536,'Master Database'!$A$5:$A$600,0)),"(row not found)"))</f>
        <v/>
      </c>
      <c r="D536" s="33" t="str">
        <f>IF(B536="","",IFERROR(INDEX('Master Database'!$B$5:$B$600,MATCH(B536,'Master Database'!$A$5:$A$600,0)),"(row not found)"))</f>
        <v/>
      </c>
      <c r="E536" s="30"/>
      <c r="F536" s="33" t="str">
        <f>IF(E536="","",IFERROR(INDEX(Vendor_Register!$B$5:$B$205,MATCH(E536,Vendor_Register!$A$5:$A$205,0)),"(not in register)"))</f>
        <v/>
      </c>
      <c r="G536" s="33" t="str">
        <f>IF(E536="","",IFERROR(INDEX(Vendor_Register!$E$5:$E$205,MATCH(E536,Vendor_Register!$A$5:$A$205,0)),"(not in register)"))</f>
        <v/>
      </c>
      <c r="H536" s="30"/>
      <c r="I536" s="30"/>
      <c r="J536" s="30"/>
      <c r="K536" s="30"/>
      <c r="L536" s="30"/>
      <c r="M536" s="34"/>
      <c r="N536" s="30"/>
      <c r="O536" s="35" t="str">
        <f>IF(NOT(ISNUMBER(M536)),"",IFERROR(IF(L536="EUR",M536,IF(L536="IRR",M536/INDEX('Assumptions &amp; FX Reference'!$C$5:$C$25,MATCH(H536,'Assumptions &amp; FX Reference'!$A$5:$A$25,0)),IF(L536="USD",M536*INDEX('Assumptions &amp; FX Reference'!$B$5:$B$25,MATCH(H536,'Assumptions &amp; FX Reference'!$A$5:$A$25,0))/INDEX('Assumptions &amp; FX Reference'!$C$5:$C$25,MATCH(H536,'Assumptions &amp; FX Reference'!$A$5:$A$25,0)),""))),"(FX missing)"))</f>
        <v/>
      </c>
      <c r="P536" s="30"/>
      <c r="Q536" s="30"/>
      <c r="R536" s="30"/>
      <c r="S536" s="30"/>
      <c r="T536" s="30"/>
      <c r="U536" s="30"/>
      <c r="V536" s="30"/>
    </row>
    <row r="537" spans="1:22">
      <c r="A537" s="30"/>
      <c r="B537" s="30"/>
      <c r="C537" s="33" t="str">
        <f>IF(B537="","",IFERROR(INDEX('Master Database'!$D$5:$D$600,MATCH(B537,'Master Database'!$A$5:$A$600,0)),"(row not found)"))</f>
        <v/>
      </c>
      <c r="D537" s="33" t="str">
        <f>IF(B537="","",IFERROR(INDEX('Master Database'!$B$5:$B$600,MATCH(B537,'Master Database'!$A$5:$A$600,0)),"(row not found)"))</f>
        <v/>
      </c>
      <c r="E537" s="30"/>
      <c r="F537" s="33" t="str">
        <f>IF(E537="","",IFERROR(INDEX(Vendor_Register!$B$5:$B$205,MATCH(E537,Vendor_Register!$A$5:$A$205,0)),"(not in register)"))</f>
        <v/>
      </c>
      <c r="G537" s="33" t="str">
        <f>IF(E537="","",IFERROR(INDEX(Vendor_Register!$E$5:$E$205,MATCH(E537,Vendor_Register!$A$5:$A$205,0)),"(not in register)"))</f>
        <v/>
      </c>
      <c r="H537" s="30"/>
      <c r="I537" s="30"/>
      <c r="J537" s="30"/>
      <c r="K537" s="30"/>
      <c r="L537" s="30"/>
      <c r="M537" s="34"/>
      <c r="N537" s="30"/>
      <c r="O537" s="35" t="str">
        <f>IF(NOT(ISNUMBER(M537)),"",IFERROR(IF(L537="EUR",M537,IF(L537="IRR",M537/INDEX('Assumptions &amp; FX Reference'!$C$5:$C$25,MATCH(H537,'Assumptions &amp; FX Reference'!$A$5:$A$25,0)),IF(L537="USD",M537*INDEX('Assumptions &amp; FX Reference'!$B$5:$B$25,MATCH(H537,'Assumptions &amp; FX Reference'!$A$5:$A$25,0))/INDEX('Assumptions &amp; FX Reference'!$C$5:$C$25,MATCH(H537,'Assumptions &amp; FX Reference'!$A$5:$A$25,0)),""))),"(FX missing)"))</f>
        <v/>
      </c>
      <c r="P537" s="30"/>
      <c r="Q537" s="30"/>
      <c r="R537" s="30"/>
      <c r="S537" s="30"/>
      <c r="T537" s="30"/>
      <c r="U537" s="30"/>
      <c r="V537" s="30"/>
    </row>
    <row r="538" spans="1:22">
      <c r="A538" s="30"/>
      <c r="B538" s="30"/>
      <c r="C538" s="33" t="str">
        <f>IF(B538="","",IFERROR(INDEX('Master Database'!$D$5:$D$600,MATCH(B538,'Master Database'!$A$5:$A$600,0)),"(row not found)"))</f>
        <v/>
      </c>
      <c r="D538" s="33" t="str">
        <f>IF(B538="","",IFERROR(INDEX('Master Database'!$B$5:$B$600,MATCH(B538,'Master Database'!$A$5:$A$600,0)),"(row not found)"))</f>
        <v/>
      </c>
      <c r="E538" s="30"/>
      <c r="F538" s="33" t="str">
        <f>IF(E538="","",IFERROR(INDEX(Vendor_Register!$B$5:$B$205,MATCH(E538,Vendor_Register!$A$5:$A$205,0)),"(not in register)"))</f>
        <v/>
      </c>
      <c r="G538" s="33" t="str">
        <f>IF(E538="","",IFERROR(INDEX(Vendor_Register!$E$5:$E$205,MATCH(E538,Vendor_Register!$A$5:$A$205,0)),"(not in register)"))</f>
        <v/>
      </c>
      <c r="H538" s="30"/>
      <c r="I538" s="30"/>
      <c r="J538" s="30"/>
      <c r="K538" s="30"/>
      <c r="L538" s="30"/>
      <c r="M538" s="34"/>
      <c r="N538" s="30"/>
      <c r="O538" s="35" t="str">
        <f>IF(NOT(ISNUMBER(M538)),"",IFERROR(IF(L538="EUR",M538,IF(L538="IRR",M538/INDEX('Assumptions &amp; FX Reference'!$C$5:$C$25,MATCH(H538,'Assumptions &amp; FX Reference'!$A$5:$A$25,0)),IF(L538="USD",M538*INDEX('Assumptions &amp; FX Reference'!$B$5:$B$25,MATCH(H538,'Assumptions &amp; FX Reference'!$A$5:$A$25,0))/INDEX('Assumptions &amp; FX Reference'!$C$5:$C$25,MATCH(H538,'Assumptions &amp; FX Reference'!$A$5:$A$25,0)),""))),"(FX missing)"))</f>
        <v/>
      </c>
      <c r="P538" s="30"/>
      <c r="Q538" s="30"/>
      <c r="R538" s="30"/>
      <c r="S538" s="30"/>
      <c r="T538" s="30"/>
      <c r="U538" s="30"/>
      <c r="V538" s="30"/>
    </row>
    <row r="539" spans="1:22">
      <c r="A539" s="30"/>
      <c r="B539" s="30"/>
      <c r="C539" s="33" t="str">
        <f>IF(B539="","",IFERROR(INDEX('Master Database'!$D$5:$D$600,MATCH(B539,'Master Database'!$A$5:$A$600,0)),"(row not found)"))</f>
        <v/>
      </c>
      <c r="D539" s="33" t="str">
        <f>IF(B539="","",IFERROR(INDEX('Master Database'!$B$5:$B$600,MATCH(B539,'Master Database'!$A$5:$A$600,0)),"(row not found)"))</f>
        <v/>
      </c>
      <c r="E539" s="30"/>
      <c r="F539" s="33" t="str">
        <f>IF(E539="","",IFERROR(INDEX(Vendor_Register!$B$5:$B$205,MATCH(E539,Vendor_Register!$A$5:$A$205,0)),"(not in register)"))</f>
        <v/>
      </c>
      <c r="G539" s="33" t="str">
        <f>IF(E539="","",IFERROR(INDEX(Vendor_Register!$E$5:$E$205,MATCH(E539,Vendor_Register!$A$5:$A$205,0)),"(not in register)"))</f>
        <v/>
      </c>
      <c r="H539" s="30"/>
      <c r="I539" s="30"/>
      <c r="J539" s="30"/>
      <c r="K539" s="30"/>
      <c r="L539" s="30"/>
      <c r="M539" s="34"/>
      <c r="N539" s="30"/>
      <c r="O539" s="35" t="str">
        <f>IF(NOT(ISNUMBER(M539)),"",IFERROR(IF(L539="EUR",M539,IF(L539="IRR",M539/INDEX('Assumptions &amp; FX Reference'!$C$5:$C$25,MATCH(H539,'Assumptions &amp; FX Reference'!$A$5:$A$25,0)),IF(L539="USD",M539*INDEX('Assumptions &amp; FX Reference'!$B$5:$B$25,MATCH(H539,'Assumptions &amp; FX Reference'!$A$5:$A$25,0))/INDEX('Assumptions &amp; FX Reference'!$C$5:$C$25,MATCH(H539,'Assumptions &amp; FX Reference'!$A$5:$A$25,0)),""))),"(FX missing)"))</f>
        <v/>
      </c>
      <c r="P539" s="30"/>
      <c r="Q539" s="30"/>
      <c r="R539" s="30"/>
      <c r="S539" s="30"/>
      <c r="T539" s="30"/>
      <c r="U539" s="30"/>
      <c r="V539" s="30"/>
    </row>
    <row r="540" spans="1:22">
      <c r="A540" s="30"/>
      <c r="B540" s="30"/>
      <c r="C540" s="33" t="str">
        <f>IF(B540="","",IFERROR(INDEX('Master Database'!$D$5:$D$600,MATCH(B540,'Master Database'!$A$5:$A$600,0)),"(row not found)"))</f>
        <v/>
      </c>
      <c r="D540" s="33" t="str">
        <f>IF(B540="","",IFERROR(INDEX('Master Database'!$B$5:$B$600,MATCH(B540,'Master Database'!$A$5:$A$600,0)),"(row not found)"))</f>
        <v/>
      </c>
      <c r="E540" s="30"/>
      <c r="F540" s="33" t="str">
        <f>IF(E540="","",IFERROR(INDEX(Vendor_Register!$B$5:$B$205,MATCH(E540,Vendor_Register!$A$5:$A$205,0)),"(not in register)"))</f>
        <v/>
      </c>
      <c r="G540" s="33" t="str">
        <f>IF(E540="","",IFERROR(INDEX(Vendor_Register!$E$5:$E$205,MATCH(E540,Vendor_Register!$A$5:$A$205,0)),"(not in register)"))</f>
        <v/>
      </c>
      <c r="H540" s="30"/>
      <c r="I540" s="30"/>
      <c r="J540" s="30"/>
      <c r="K540" s="30"/>
      <c r="L540" s="30"/>
      <c r="M540" s="34"/>
      <c r="N540" s="30"/>
      <c r="O540" s="35" t="str">
        <f>IF(NOT(ISNUMBER(M540)),"",IFERROR(IF(L540="EUR",M540,IF(L540="IRR",M540/INDEX('Assumptions &amp; FX Reference'!$C$5:$C$25,MATCH(H540,'Assumptions &amp; FX Reference'!$A$5:$A$25,0)),IF(L540="USD",M540*INDEX('Assumptions &amp; FX Reference'!$B$5:$B$25,MATCH(H540,'Assumptions &amp; FX Reference'!$A$5:$A$25,0))/INDEX('Assumptions &amp; FX Reference'!$C$5:$C$25,MATCH(H540,'Assumptions &amp; FX Reference'!$A$5:$A$25,0)),""))),"(FX missing)"))</f>
        <v/>
      </c>
      <c r="P540" s="30"/>
      <c r="Q540" s="30"/>
      <c r="R540" s="30"/>
      <c r="S540" s="30"/>
      <c r="T540" s="30"/>
      <c r="U540" s="30"/>
      <c r="V540" s="30"/>
    </row>
    <row r="541" spans="1:22">
      <c r="A541" s="30"/>
      <c r="B541" s="30"/>
      <c r="C541" s="33" t="str">
        <f>IF(B541="","",IFERROR(INDEX('Master Database'!$D$5:$D$600,MATCH(B541,'Master Database'!$A$5:$A$600,0)),"(row not found)"))</f>
        <v/>
      </c>
      <c r="D541" s="33" t="str">
        <f>IF(B541="","",IFERROR(INDEX('Master Database'!$B$5:$B$600,MATCH(B541,'Master Database'!$A$5:$A$600,0)),"(row not found)"))</f>
        <v/>
      </c>
      <c r="E541" s="30"/>
      <c r="F541" s="33" t="str">
        <f>IF(E541="","",IFERROR(INDEX(Vendor_Register!$B$5:$B$205,MATCH(E541,Vendor_Register!$A$5:$A$205,0)),"(not in register)"))</f>
        <v/>
      </c>
      <c r="G541" s="33" t="str">
        <f>IF(E541="","",IFERROR(INDEX(Vendor_Register!$E$5:$E$205,MATCH(E541,Vendor_Register!$A$5:$A$205,0)),"(not in register)"))</f>
        <v/>
      </c>
      <c r="H541" s="30"/>
      <c r="I541" s="30"/>
      <c r="J541" s="30"/>
      <c r="K541" s="30"/>
      <c r="L541" s="30"/>
      <c r="M541" s="34"/>
      <c r="N541" s="30"/>
      <c r="O541" s="35" t="str">
        <f>IF(NOT(ISNUMBER(M541)),"",IFERROR(IF(L541="EUR",M541,IF(L541="IRR",M541/INDEX('Assumptions &amp; FX Reference'!$C$5:$C$25,MATCH(H541,'Assumptions &amp; FX Reference'!$A$5:$A$25,0)),IF(L541="USD",M541*INDEX('Assumptions &amp; FX Reference'!$B$5:$B$25,MATCH(H541,'Assumptions &amp; FX Reference'!$A$5:$A$25,0))/INDEX('Assumptions &amp; FX Reference'!$C$5:$C$25,MATCH(H541,'Assumptions &amp; FX Reference'!$A$5:$A$25,0)),""))),"(FX missing)"))</f>
        <v/>
      </c>
      <c r="P541" s="30"/>
      <c r="Q541" s="30"/>
      <c r="R541" s="30"/>
      <c r="S541" s="30"/>
      <c r="T541" s="30"/>
      <c r="U541" s="30"/>
      <c r="V541" s="30"/>
    </row>
    <row r="542" spans="1:22">
      <c r="A542" s="30"/>
      <c r="B542" s="30"/>
      <c r="C542" s="33" t="str">
        <f>IF(B542="","",IFERROR(INDEX('Master Database'!$D$5:$D$600,MATCH(B542,'Master Database'!$A$5:$A$600,0)),"(row not found)"))</f>
        <v/>
      </c>
      <c r="D542" s="33" t="str">
        <f>IF(B542="","",IFERROR(INDEX('Master Database'!$B$5:$B$600,MATCH(B542,'Master Database'!$A$5:$A$600,0)),"(row not found)"))</f>
        <v/>
      </c>
      <c r="E542" s="30"/>
      <c r="F542" s="33" t="str">
        <f>IF(E542="","",IFERROR(INDEX(Vendor_Register!$B$5:$B$205,MATCH(E542,Vendor_Register!$A$5:$A$205,0)),"(not in register)"))</f>
        <v/>
      </c>
      <c r="G542" s="33" t="str">
        <f>IF(E542="","",IFERROR(INDEX(Vendor_Register!$E$5:$E$205,MATCH(E542,Vendor_Register!$A$5:$A$205,0)),"(not in register)"))</f>
        <v/>
      </c>
      <c r="H542" s="30"/>
      <c r="I542" s="30"/>
      <c r="J542" s="30"/>
      <c r="K542" s="30"/>
      <c r="L542" s="30"/>
      <c r="M542" s="34"/>
      <c r="N542" s="30"/>
      <c r="O542" s="35" t="str">
        <f>IF(NOT(ISNUMBER(M542)),"",IFERROR(IF(L542="EUR",M542,IF(L542="IRR",M542/INDEX('Assumptions &amp; FX Reference'!$C$5:$C$25,MATCH(H542,'Assumptions &amp; FX Reference'!$A$5:$A$25,0)),IF(L542="USD",M542*INDEX('Assumptions &amp; FX Reference'!$B$5:$B$25,MATCH(H542,'Assumptions &amp; FX Reference'!$A$5:$A$25,0))/INDEX('Assumptions &amp; FX Reference'!$C$5:$C$25,MATCH(H542,'Assumptions &amp; FX Reference'!$A$5:$A$25,0)),""))),"(FX missing)"))</f>
        <v/>
      </c>
      <c r="P542" s="30"/>
      <c r="Q542" s="30"/>
      <c r="R542" s="30"/>
      <c r="S542" s="30"/>
      <c r="T542" s="30"/>
      <c r="U542" s="30"/>
      <c r="V542" s="30"/>
    </row>
    <row r="543" spans="1:22">
      <c r="A543" s="30"/>
      <c r="B543" s="30"/>
      <c r="C543" s="33" t="str">
        <f>IF(B543="","",IFERROR(INDEX('Master Database'!$D$5:$D$600,MATCH(B543,'Master Database'!$A$5:$A$600,0)),"(row not found)"))</f>
        <v/>
      </c>
      <c r="D543" s="33" t="str">
        <f>IF(B543="","",IFERROR(INDEX('Master Database'!$B$5:$B$600,MATCH(B543,'Master Database'!$A$5:$A$600,0)),"(row not found)"))</f>
        <v/>
      </c>
      <c r="E543" s="30"/>
      <c r="F543" s="33" t="str">
        <f>IF(E543="","",IFERROR(INDEX(Vendor_Register!$B$5:$B$205,MATCH(E543,Vendor_Register!$A$5:$A$205,0)),"(not in register)"))</f>
        <v/>
      </c>
      <c r="G543" s="33" t="str">
        <f>IF(E543="","",IFERROR(INDEX(Vendor_Register!$E$5:$E$205,MATCH(E543,Vendor_Register!$A$5:$A$205,0)),"(not in register)"))</f>
        <v/>
      </c>
      <c r="H543" s="30"/>
      <c r="I543" s="30"/>
      <c r="J543" s="30"/>
      <c r="K543" s="30"/>
      <c r="L543" s="30"/>
      <c r="M543" s="34"/>
      <c r="N543" s="30"/>
      <c r="O543" s="35" t="str">
        <f>IF(NOT(ISNUMBER(M543)),"",IFERROR(IF(L543="EUR",M543,IF(L543="IRR",M543/INDEX('Assumptions &amp; FX Reference'!$C$5:$C$25,MATCH(H543,'Assumptions &amp; FX Reference'!$A$5:$A$25,0)),IF(L543="USD",M543*INDEX('Assumptions &amp; FX Reference'!$B$5:$B$25,MATCH(H543,'Assumptions &amp; FX Reference'!$A$5:$A$25,0))/INDEX('Assumptions &amp; FX Reference'!$C$5:$C$25,MATCH(H543,'Assumptions &amp; FX Reference'!$A$5:$A$25,0)),""))),"(FX missing)"))</f>
        <v/>
      </c>
      <c r="P543" s="30"/>
      <c r="Q543" s="30"/>
      <c r="R543" s="30"/>
      <c r="S543" s="30"/>
      <c r="T543" s="30"/>
      <c r="U543" s="30"/>
      <c r="V543" s="30"/>
    </row>
    <row r="544" spans="1:22">
      <c r="A544" s="30"/>
      <c r="B544" s="30"/>
      <c r="C544" s="33" t="str">
        <f>IF(B544="","",IFERROR(INDEX('Master Database'!$D$5:$D$600,MATCH(B544,'Master Database'!$A$5:$A$600,0)),"(row not found)"))</f>
        <v/>
      </c>
      <c r="D544" s="33" t="str">
        <f>IF(B544="","",IFERROR(INDEX('Master Database'!$B$5:$B$600,MATCH(B544,'Master Database'!$A$5:$A$600,0)),"(row not found)"))</f>
        <v/>
      </c>
      <c r="E544" s="30"/>
      <c r="F544" s="33" t="str">
        <f>IF(E544="","",IFERROR(INDEX(Vendor_Register!$B$5:$B$205,MATCH(E544,Vendor_Register!$A$5:$A$205,0)),"(not in register)"))</f>
        <v/>
      </c>
      <c r="G544" s="33" t="str">
        <f>IF(E544="","",IFERROR(INDEX(Vendor_Register!$E$5:$E$205,MATCH(E544,Vendor_Register!$A$5:$A$205,0)),"(not in register)"))</f>
        <v/>
      </c>
      <c r="H544" s="30"/>
      <c r="I544" s="30"/>
      <c r="J544" s="30"/>
      <c r="K544" s="30"/>
      <c r="L544" s="30"/>
      <c r="M544" s="34"/>
      <c r="N544" s="30"/>
      <c r="O544" s="35" t="str">
        <f>IF(NOT(ISNUMBER(M544)),"",IFERROR(IF(L544="EUR",M544,IF(L544="IRR",M544/INDEX('Assumptions &amp; FX Reference'!$C$5:$C$25,MATCH(H544,'Assumptions &amp; FX Reference'!$A$5:$A$25,0)),IF(L544="USD",M544*INDEX('Assumptions &amp; FX Reference'!$B$5:$B$25,MATCH(H544,'Assumptions &amp; FX Reference'!$A$5:$A$25,0))/INDEX('Assumptions &amp; FX Reference'!$C$5:$C$25,MATCH(H544,'Assumptions &amp; FX Reference'!$A$5:$A$25,0)),""))),"(FX missing)"))</f>
        <v/>
      </c>
      <c r="P544" s="30"/>
      <c r="Q544" s="30"/>
      <c r="R544" s="30"/>
      <c r="S544" s="30"/>
      <c r="T544" s="30"/>
      <c r="U544" s="30"/>
      <c r="V544" s="30"/>
    </row>
    <row r="545" spans="1:22">
      <c r="A545" s="30"/>
      <c r="B545" s="30"/>
      <c r="C545" s="33" t="str">
        <f>IF(B545="","",IFERROR(INDEX('Master Database'!$D$5:$D$600,MATCH(B545,'Master Database'!$A$5:$A$600,0)),"(row not found)"))</f>
        <v/>
      </c>
      <c r="D545" s="33" t="str">
        <f>IF(B545="","",IFERROR(INDEX('Master Database'!$B$5:$B$600,MATCH(B545,'Master Database'!$A$5:$A$600,0)),"(row not found)"))</f>
        <v/>
      </c>
      <c r="E545" s="30"/>
      <c r="F545" s="33" t="str">
        <f>IF(E545="","",IFERROR(INDEX(Vendor_Register!$B$5:$B$205,MATCH(E545,Vendor_Register!$A$5:$A$205,0)),"(not in register)"))</f>
        <v/>
      </c>
      <c r="G545" s="33" t="str">
        <f>IF(E545="","",IFERROR(INDEX(Vendor_Register!$E$5:$E$205,MATCH(E545,Vendor_Register!$A$5:$A$205,0)),"(not in register)"))</f>
        <v/>
      </c>
      <c r="H545" s="30"/>
      <c r="I545" s="30"/>
      <c r="J545" s="30"/>
      <c r="K545" s="30"/>
      <c r="L545" s="30"/>
      <c r="M545" s="34"/>
      <c r="N545" s="30"/>
      <c r="O545" s="35" t="str">
        <f>IF(NOT(ISNUMBER(M545)),"",IFERROR(IF(L545="EUR",M545,IF(L545="IRR",M545/INDEX('Assumptions &amp; FX Reference'!$C$5:$C$25,MATCH(H545,'Assumptions &amp; FX Reference'!$A$5:$A$25,0)),IF(L545="USD",M545*INDEX('Assumptions &amp; FX Reference'!$B$5:$B$25,MATCH(H545,'Assumptions &amp; FX Reference'!$A$5:$A$25,0))/INDEX('Assumptions &amp; FX Reference'!$C$5:$C$25,MATCH(H545,'Assumptions &amp; FX Reference'!$A$5:$A$25,0)),""))),"(FX missing)"))</f>
        <v/>
      </c>
      <c r="P545" s="30"/>
      <c r="Q545" s="30"/>
      <c r="R545" s="30"/>
      <c r="S545" s="30"/>
      <c r="T545" s="30"/>
      <c r="U545" s="30"/>
      <c r="V545" s="30"/>
    </row>
    <row r="546" spans="1:22">
      <c r="A546" s="30"/>
      <c r="B546" s="30"/>
      <c r="C546" s="33" t="str">
        <f>IF(B546="","",IFERROR(INDEX('Master Database'!$D$5:$D$600,MATCH(B546,'Master Database'!$A$5:$A$600,0)),"(row not found)"))</f>
        <v/>
      </c>
      <c r="D546" s="33" t="str">
        <f>IF(B546="","",IFERROR(INDEX('Master Database'!$B$5:$B$600,MATCH(B546,'Master Database'!$A$5:$A$600,0)),"(row not found)"))</f>
        <v/>
      </c>
      <c r="E546" s="30"/>
      <c r="F546" s="33" t="str">
        <f>IF(E546="","",IFERROR(INDEX(Vendor_Register!$B$5:$B$205,MATCH(E546,Vendor_Register!$A$5:$A$205,0)),"(not in register)"))</f>
        <v/>
      </c>
      <c r="G546" s="33" t="str">
        <f>IF(E546="","",IFERROR(INDEX(Vendor_Register!$E$5:$E$205,MATCH(E546,Vendor_Register!$A$5:$A$205,0)),"(not in register)"))</f>
        <v/>
      </c>
      <c r="H546" s="30"/>
      <c r="I546" s="30"/>
      <c r="J546" s="30"/>
      <c r="K546" s="30"/>
      <c r="L546" s="30"/>
      <c r="M546" s="34"/>
      <c r="N546" s="30"/>
      <c r="O546" s="35" t="str">
        <f>IF(NOT(ISNUMBER(M546)),"",IFERROR(IF(L546="EUR",M546,IF(L546="IRR",M546/INDEX('Assumptions &amp; FX Reference'!$C$5:$C$25,MATCH(H546,'Assumptions &amp; FX Reference'!$A$5:$A$25,0)),IF(L546="USD",M546*INDEX('Assumptions &amp; FX Reference'!$B$5:$B$25,MATCH(H546,'Assumptions &amp; FX Reference'!$A$5:$A$25,0))/INDEX('Assumptions &amp; FX Reference'!$C$5:$C$25,MATCH(H546,'Assumptions &amp; FX Reference'!$A$5:$A$25,0)),""))),"(FX missing)"))</f>
        <v/>
      </c>
      <c r="P546" s="30"/>
      <c r="Q546" s="30"/>
      <c r="R546" s="30"/>
      <c r="S546" s="30"/>
      <c r="T546" s="30"/>
      <c r="U546" s="30"/>
      <c r="V546" s="30"/>
    </row>
    <row r="547" spans="1:22">
      <c r="A547" s="30"/>
      <c r="B547" s="30"/>
      <c r="C547" s="33" t="str">
        <f>IF(B547="","",IFERROR(INDEX('Master Database'!$D$5:$D$600,MATCH(B547,'Master Database'!$A$5:$A$600,0)),"(row not found)"))</f>
        <v/>
      </c>
      <c r="D547" s="33" t="str">
        <f>IF(B547="","",IFERROR(INDEX('Master Database'!$B$5:$B$600,MATCH(B547,'Master Database'!$A$5:$A$600,0)),"(row not found)"))</f>
        <v/>
      </c>
      <c r="E547" s="30"/>
      <c r="F547" s="33" t="str">
        <f>IF(E547="","",IFERROR(INDEX(Vendor_Register!$B$5:$B$205,MATCH(E547,Vendor_Register!$A$5:$A$205,0)),"(not in register)"))</f>
        <v/>
      </c>
      <c r="G547" s="33" t="str">
        <f>IF(E547="","",IFERROR(INDEX(Vendor_Register!$E$5:$E$205,MATCH(E547,Vendor_Register!$A$5:$A$205,0)),"(not in register)"))</f>
        <v/>
      </c>
      <c r="H547" s="30"/>
      <c r="I547" s="30"/>
      <c r="J547" s="30"/>
      <c r="K547" s="30"/>
      <c r="L547" s="30"/>
      <c r="M547" s="34"/>
      <c r="N547" s="30"/>
      <c r="O547" s="35" t="str">
        <f>IF(NOT(ISNUMBER(M547)),"",IFERROR(IF(L547="EUR",M547,IF(L547="IRR",M547/INDEX('Assumptions &amp; FX Reference'!$C$5:$C$25,MATCH(H547,'Assumptions &amp; FX Reference'!$A$5:$A$25,0)),IF(L547="USD",M547*INDEX('Assumptions &amp; FX Reference'!$B$5:$B$25,MATCH(H547,'Assumptions &amp; FX Reference'!$A$5:$A$25,0))/INDEX('Assumptions &amp; FX Reference'!$C$5:$C$25,MATCH(H547,'Assumptions &amp; FX Reference'!$A$5:$A$25,0)),""))),"(FX missing)"))</f>
        <v/>
      </c>
      <c r="P547" s="30"/>
      <c r="Q547" s="30"/>
      <c r="R547" s="30"/>
      <c r="S547" s="30"/>
      <c r="T547" s="30"/>
      <c r="U547" s="30"/>
      <c r="V547" s="30"/>
    </row>
    <row r="548" spans="1:22">
      <c r="A548" s="30"/>
      <c r="B548" s="30"/>
      <c r="C548" s="33" t="str">
        <f>IF(B548="","",IFERROR(INDEX('Master Database'!$D$5:$D$600,MATCH(B548,'Master Database'!$A$5:$A$600,0)),"(row not found)"))</f>
        <v/>
      </c>
      <c r="D548" s="33" t="str">
        <f>IF(B548="","",IFERROR(INDEX('Master Database'!$B$5:$B$600,MATCH(B548,'Master Database'!$A$5:$A$600,0)),"(row not found)"))</f>
        <v/>
      </c>
      <c r="E548" s="30"/>
      <c r="F548" s="33" t="str">
        <f>IF(E548="","",IFERROR(INDEX(Vendor_Register!$B$5:$B$205,MATCH(E548,Vendor_Register!$A$5:$A$205,0)),"(not in register)"))</f>
        <v/>
      </c>
      <c r="G548" s="33" t="str">
        <f>IF(E548="","",IFERROR(INDEX(Vendor_Register!$E$5:$E$205,MATCH(E548,Vendor_Register!$A$5:$A$205,0)),"(not in register)"))</f>
        <v/>
      </c>
      <c r="H548" s="30"/>
      <c r="I548" s="30"/>
      <c r="J548" s="30"/>
      <c r="K548" s="30"/>
      <c r="L548" s="30"/>
      <c r="M548" s="34"/>
      <c r="N548" s="30"/>
      <c r="O548" s="35" t="str">
        <f>IF(NOT(ISNUMBER(M548)),"",IFERROR(IF(L548="EUR",M548,IF(L548="IRR",M548/INDEX('Assumptions &amp; FX Reference'!$C$5:$C$25,MATCH(H548,'Assumptions &amp; FX Reference'!$A$5:$A$25,0)),IF(L548="USD",M548*INDEX('Assumptions &amp; FX Reference'!$B$5:$B$25,MATCH(H548,'Assumptions &amp; FX Reference'!$A$5:$A$25,0))/INDEX('Assumptions &amp; FX Reference'!$C$5:$C$25,MATCH(H548,'Assumptions &amp; FX Reference'!$A$5:$A$25,0)),""))),"(FX missing)"))</f>
        <v/>
      </c>
      <c r="P548" s="30"/>
      <c r="Q548" s="30"/>
      <c r="R548" s="30"/>
      <c r="S548" s="30"/>
      <c r="T548" s="30"/>
      <c r="U548" s="30"/>
      <c r="V548" s="30"/>
    </row>
    <row r="549" spans="1:22">
      <c r="A549" s="30"/>
      <c r="B549" s="30"/>
      <c r="C549" s="33" t="str">
        <f>IF(B549="","",IFERROR(INDEX('Master Database'!$D$5:$D$600,MATCH(B549,'Master Database'!$A$5:$A$600,0)),"(row not found)"))</f>
        <v/>
      </c>
      <c r="D549" s="33" t="str">
        <f>IF(B549="","",IFERROR(INDEX('Master Database'!$B$5:$B$600,MATCH(B549,'Master Database'!$A$5:$A$600,0)),"(row not found)"))</f>
        <v/>
      </c>
      <c r="E549" s="30"/>
      <c r="F549" s="33" t="str">
        <f>IF(E549="","",IFERROR(INDEX(Vendor_Register!$B$5:$B$205,MATCH(E549,Vendor_Register!$A$5:$A$205,0)),"(not in register)"))</f>
        <v/>
      </c>
      <c r="G549" s="33" t="str">
        <f>IF(E549="","",IFERROR(INDEX(Vendor_Register!$E$5:$E$205,MATCH(E549,Vendor_Register!$A$5:$A$205,0)),"(not in register)"))</f>
        <v/>
      </c>
      <c r="H549" s="30"/>
      <c r="I549" s="30"/>
      <c r="J549" s="30"/>
      <c r="K549" s="30"/>
      <c r="L549" s="30"/>
      <c r="M549" s="34"/>
      <c r="N549" s="30"/>
      <c r="O549" s="35" t="str">
        <f>IF(NOT(ISNUMBER(M549)),"",IFERROR(IF(L549="EUR",M549,IF(L549="IRR",M549/INDEX('Assumptions &amp; FX Reference'!$C$5:$C$25,MATCH(H549,'Assumptions &amp; FX Reference'!$A$5:$A$25,0)),IF(L549="USD",M549*INDEX('Assumptions &amp; FX Reference'!$B$5:$B$25,MATCH(H549,'Assumptions &amp; FX Reference'!$A$5:$A$25,0))/INDEX('Assumptions &amp; FX Reference'!$C$5:$C$25,MATCH(H549,'Assumptions &amp; FX Reference'!$A$5:$A$25,0)),""))),"(FX missing)"))</f>
        <v/>
      </c>
      <c r="P549" s="30"/>
      <c r="Q549" s="30"/>
      <c r="R549" s="30"/>
      <c r="S549" s="30"/>
      <c r="T549" s="30"/>
      <c r="U549" s="30"/>
      <c r="V549" s="30"/>
    </row>
    <row r="550" spans="1:22">
      <c r="A550" s="30"/>
      <c r="B550" s="30"/>
      <c r="C550" s="33" t="str">
        <f>IF(B550="","",IFERROR(INDEX('Master Database'!$D$5:$D$600,MATCH(B550,'Master Database'!$A$5:$A$600,0)),"(row not found)"))</f>
        <v/>
      </c>
      <c r="D550" s="33" t="str">
        <f>IF(B550="","",IFERROR(INDEX('Master Database'!$B$5:$B$600,MATCH(B550,'Master Database'!$A$5:$A$600,0)),"(row not found)"))</f>
        <v/>
      </c>
      <c r="E550" s="30"/>
      <c r="F550" s="33" t="str">
        <f>IF(E550="","",IFERROR(INDEX(Vendor_Register!$B$5:$B$205,MATCH(E550,Vendor_Register!$A$5:$A$205,0)),"(not in register)"))</f>
        <v/>
      </c>
      <c r="G550" s="33" t="str">
        <f>IF(E550="","",IFERROR(INDEX(Vendor_Register!$E$5:$E$205,MATCH(E550,Vendor_Register!$A$5:$A$205,0)),"(not in register)"))</f>
        <v/>
      </c>
      <c r="H550" s="30"/>
      <c r="I550" s="30"/>
      <c r="J550" s="30"/>
      <c r="K550" s="30"/>
      <c r="L550" s="30"/>
      <c r="M550" s="34"/>
      <c r="N550" s="30"/>
      <c r="O550" s="35" t="str">
        <f>IF(NOT(ISNUMBER(M550)),"",IFERROR(IF(L550="EUR",M550,IF(L550="IRR",M550/INDEX('Assumptions &amp; FX Reference'!$C$5:$C$25,MATCH(H550,'Assumptions &amp; FX Reference'!$A$5:$A$25,0)),IF(L550="USD",M550*INDEX('Assumptions &amp; FX Reference'!$B$5:$B$25,MATCH(H550,'Assumptions &amp; FX Reference'!$A$5:$A$25,0))/INDEX('Assumptions &amp; FX Reference'!$C$5:$C$25,MATCH(H550,'Assumptions &amp; FX Reference'!$A$5:$A$25,0)),""))),"(FX missing)"))</f>
        <v/>
      </c>
      <c r="P550" s="30"/>
      <c r="Q550" s="30"/>
      <c r="R550" s="30"/>
      <c r="S550" s="30"/>
      <c r="T550" s="30"/>
      <c r="U550" s="30"/>
      <c r="V550" s="30"/>
    </row>
    <row r="551" spans="1:22">
      <c r="A551" s="30"/>
      <c r="B551" s="30"/>
      <c r="C551" s="33" t="str">
        <f>IF(B551="","",IFERROR(INDEX('Master Database'!$D$5:$D$600,MATCH(B551,'Master Database'!$A$5:$A$600,0)),"(row not found)"))</f>
        <v/>
      </c>
      <c r="D551" s="33" t="str">
        <f>IF(B551="","",IFERROR(INDEX('Master Database'!$B$5:$B$600,MATCH(B551,'Master Database'!$A$5:$A$600,0)),"(row not found)"))</f>
        <v/>
      </c>
      <c r="E551" s="30"/>
      <c r="F551" s="33" t="str">
        <f>IF(E551="","",IFERROR(INDEX(Vendor_Register!$B$5:$B$205,MATCH(E551,Vendor_Register!$A$5:$A$205,0)),"(not in register)"))</f>
        <v/>
      </c>
      <c r="G551" s="33" t="str">
        <f>IF(E551="","",IFERROR(INDEX(Vendor_Register!$E$5:$E$205,MATCH(E551,Vendor_Register!$A$5:$A$205,0)),"(not in register)"))</f>
        <v/>
      </c>
      <c r="H551" s="30"/>
      <c r="I551" s="30"/>
      <c r="J551" s="30"/>
      <c r="K551" s="30"/>
      <c r="L551" s="30"/>
      <c r="M551" s="34"/>
      <c r="N551" s="30"/>
      <c r="O551" s="35" t="str">
        <f>IF(NOT(ISNUMBER(M551)),"",IFERROR(IF(L551="EUR",M551,IF(L551="IRR",M551/INDEX('Assumptions &amp; FX Reference'!$C$5:$C$25,MATCH(H551,'Assumptions &amp; FX Reference'!$A$5:$A$25,0)),IF(L551="USD",M551*INDEX('Assumptions &amp; FX Reference'!$B$5:$B$25,MATCH(H551,'Assumptions &amp; FX Reference'!$A$5:$A$25,0))/INDEX('Assumptions &amp; FX Reference'!$C$5:$C$25,MATCH(H551,'Assumptions &amp; FX Reference'!$A$5:$A$25,0)),""))),"(FX missing)"))</f>
        <v/>
      </c>
      <c r="P551" s="30"/>
      <c r="Q551" s="30"/>
      <c r="R551" s="30"/>
      <c r="S551" s="30"/>
      <c r="T551" s="30"/>
      <c r="U551" s="30"/>
      <c r="V551" s="30"/>
    </row>
    <row r="552" spans="1:22">
      <c r="A552" s="30"/>
      <c r="B552" s="30"/>
      <c r="C552" s="33" t="str">
        <f>IF(B552="","",IFERROR(INDEX('Master Database'!$D$5:$D$600,MATCH(B552,'Master Database'!$A$5:$A$600,0)),"(row not found)"))</f>
        <v/>
      </c>
      <c r="D552" s="33" t="str">
        <f>IF(B552="","",IFERROR(INDEX('Master Database'!$B$5:$B$600,MATCH(B552,'Master Database'!$A$5:$A$600,0)),"(row not found)"))</f>
        <v/>
      </c>
      <c r="E552" s="30"/>
      <c r="F552" s="33" t="str">
        <f>IF(E552="","",IFERROR(INDEX(Vendor_Register!$B$5:$B$205,MATCH(E552,Vendor_Register!$A$5:$A$205,0)),"(not in register)"))</f>
        <v/>
      </c>
      <c r="G552" s="33" t="str">
        <f>IF(E552="","",IFERROR(INDEX(Vendor_Register!$E$5:$E$205,MATCH(E552,Vendor_Register!$A$5:$A$205,0)),"(not in register)"))</f>
        <v/>
      </c>
      <c r="H552" s="30"/>
      <c r="I552" s="30"/>
      <c r="J552" s="30"/>
      <c r="K552" s="30"/>
      <c r="L552" s="30"/>
      <c r="M552" s="34"/>
      <c r="N552" s="30"/>
      <c r="O552" s="35" t="str">
        <f>IF(NOT(ISNUMBER(M552)),"",IFERROR(IF(L552="EUR",M552,IF(L552="IRR",M552/INDEX('Assumptions &amp; FX Reference'!$C$5:$C$25,MATCH(H552,'Assumptions &amp; FX Reference'!$A$5:$A$25,0)),IF(L552="USD",M552*INDEX('Assumptions &amp; FX Reference'!$B$5:$B$25,MATCH(H552,'Assumptions &amp; FX Reference'!$A$5:$A$25,0))/INDEX('Assumptions &amp; FX Reference'!$C$5:$C$25,MATCH(H552,'Assumptions &amp; FX Reference'!$A$5:$A$25,0)),""))),"(FX missing)"))</f>
        <v/>
      </c>
      <c r="P552" s="30"/>
      <c r="Q552" s="30"/>
      <c r="R552" s="30"/>
      <c r="S552" s="30"/>
      <c r="T552" s="30"/>
      <c r="U552" s="30"/>
      <c r="V552" s="30"/>
    </row>
    <row r="553" spans="1:22">
      <c r="A553" s="30"/>
      <c r="B553" s="30"/>
      <c r="C553" s="33" t="str">
        <f>IF(B553="","",IFERROR(INDEX('Master Database'!$D$5:$D$600,MATCH(B553,'Master Database'!$A$5:$A$600,0)),"(row not found)"))</f>
        <v/>
      </c>
      <c r="D553" s="33" t="str">
        <f>IF(B553="","",IFERROR(INDEX('Master Database'!$B$5:$B$600,MATCH(B553,'Master Database'!$A$5:$A$600,0)),"(row not found)"))</f>
        <v/>
      </c>
      <c r="E553" s="30"/>
      <c r="F553" s="33" t="str">
        <f>IF(E553="","",IFERROR(INDEX(Vendor_Register!$B$5:$B$205,MATCH(E553,Vendor_Register!$A$5:$A$205,0)),"(not in register)"))</f>
        <v/>
      </c>
      <c r="G553" s="33" t="str">
        <f>IF(E553="","",IFERROR(INDEX(Vendor_Register!$E$5:$E$205,MATCH(E553,Vendor_Register!$A$5:$A$205,0)),"(not in register)"))</f>
        <v/>
      </c>
      <c r="H553" s="30"/>
      <c r="I553" s="30"/>
      <c r="J553" s="30"/>
      <c r="K553" s="30"/>
      <c r="L553" s="30"/>
      <c r="M553" s="34"/>
      <c r="N553" s="30"/>
      <c r="O553" s="35" t="str">
        <f>IF(NOT(ISNUMBER(M553)),"",IFERROR(IF(L553="EUR",M553,IF(L553="IRR",M553/INDEX('Assumptions &amp; FX Reference'!$C$5:$C$25,MATCH(H553,'Assumptions &amp; FX Reference'!$A$5:$A$25,0)),IF(L553="USD",M553*INDEX('Assumptions &amp; FX Reference'!$B$5:$B$25,MATCH(H553,'Assumptions &amp; FX Reference'!$A$5:$A$25,0))/INDEX('Assumptions &amp; FX Reference'!$C$5:$C$25,MATCH(H553,'Assumptions &amp; FX Reference'!$A$5:$A$25,0)),""))),"(FX missing)"))</f>
        <v/>
      </c>
      <c r="P553" s="30"/>
      <c r="Q553" s="30"/>
      <c r="R553" s="30"/>
      <c r="S553" s="30"/>
      <c r="T553" s="30"/>
      <c r="U553" s="30"/>
      <c r="V553" s="30"/>
    </row>
    <row r="554" spans="1:22">
      <c r="A554" s="30"/>
      <c r="B554" s="30"/>
      <c r="C554" s="33" t="str">
        <f>IF(B554="","",IFERROR(INDEX('Master Database'!$D$5:$D$600,MATCH(B554,'Master Database'!$A$5:$A$600,0)),"(row not found)"))</f>
        <v/>
      </c>
      <c r="D554" s="33" t="str">
        <f>IF(B554="","",IFERROR(INDEX('Master Database'!$B$5:$B$600,MATCH(B554,'Master Database'!$A$5:$A$600,0)),"(row not found)"))</f>
        <v/>
      </c>
      <c r="E554" s="30"/>
      <c r="F554" s="33" t="str">
        <f>IF(E554="","",IFERROR(INDEX(Vendor_Register!$B$5:$B$205,MATCH(E554,Vendor_Register!$A$5:$A$205,0)),"(not in register)"))</f>
        <v/>
      </c>
      <c r="G554" s="33" t="str">
        <f>IF(E554="","",IFERROR(INDEX(Vendor_Register!$E$5:$E$205,MATCH(E554,Vendor_Register!$A$5:$A$205,0)),"(not in register)"))</f>
        <v/>
      </c>
      <c r="H554" s="30"/>
      <c r="I554" s="30"/>
      <c r="J554" s="30"/>
      <c r="K554" s="30"/>
      <c r="L554" s="30"/>
      <c r="M554" s="34"/>
      <c r="N554" s="30"/>
      <c r="O554" s="35" t="str">
        <f>IF(NOT(ISNUMBER(M554)),"",IFERROR(IF(L554="EUR",M554,IF(L554="IRR",M554/INDEX('Assumptions &amp; FX Reference'!$C$5:$C$25,MATCH(H554,'Assumptions &amp; FX Reference'!$A$5:$A$25,0)),IF(L554="USD",M554*INDEX('Assumptions &amp; FX Reference'!$B$5:$B$25,MATCH(H554,'Assumptions &amp; FX Reference'!$A$5:$A$25,0))/INDEX('Assumptions &amp; FX Reference'!$C$5:$C$25,MATCH(H554,'Assumptions &amp; FX Reference'!$A$5:$A$25,0)),""))),"(FX missing)"))</f>
        <v/>
      </c>
      <c r="P554" s="30"/>
      <c r="Q554" s="30"/>
      <c r="R554" s="30"/>
      <c r="S554" s="30"/>
      <c r="T554" s="30"/>
      <c r="U554" s="30"/>
      <c r="V554" s="30"/>
    </row>
    <row r="555" spans="1:22">
      <c r="A555" s="30"/>
      <c r="B555" s="30"/>
      <c r="C555" s="33" t="str">
        <f>IF(B555="","",IFERROR(INDEX('Master Database'!$D$5:$D$600,MATCH(B555,'Master Database'!$A$5:$A$600,0)),"(row not found)"))</f>
        <v/>
      </c>
      <c r="D555" s="33" t="str">
        <f>IF(B555="","",IFERROR(INDEX('Master Database'!$B$5:$B$600,MATCH(B555,'Master Database'!$A$5:$A$600,0)),"(row not found)"))</f>
        <v/>
      </c>
      <c r="E555" s="30"/>
      <c r="F555" s="33" t="str">
        <f>IF(E555="","",IFERROR(INDEX(Vendor_Register!$B$5:$B$205,MATCH(E555,Vendor_Register!$A$5:$A$205,0)),"(not in register)"))</f>
        <v/>
      </c>
      <c r="G555" s="33" t="str">
        <f>IF(E555="","",IFERROR(INDEX(Vendor_Register!$E$5:$E$205,MATCH(E555,Vendor_Register!$A$5:$A$205,0)),"(not in register)"))</f>
        <v/>
      </c>
      <c r="H555" s="30"/>
      <c r="I555" s="30"/>
      <c r="J555" s="30"/>
      <c r="K555" s="30"/>
      <c r="L555" s="30"/>
      <c r="M555" s="34"/>
      <c r="N555" s="30"/>
      <c r="O555" s="35" t="str">
        <f>IF(NOT(ISNUMBER(M555)),"",IFERROR(IF(L555="EUR",M555,IF(L555="IRR",M555/INDEX('Assumptions &amp; FX Reference'!$C$5:$C$25,MATCH(H555,'Assumptions &amp; FX Reference'!$A$5:$A$25,0)),IF(L555="USD",M555*INDEX('Assumptions &amp; FX Reference'!$B$5:$B$25,MATCH(H555,'Assumptions &amp; FX Reference'!$A$5:$A$25,0))/INDEX('Assumptions &amp; FX Reference'!$C$5:$C$25,MATCH(H555,'Assumptions &amp; FX Reference'!$A$5:$A$25,0)),""))),"(FX missing)"))</f>
        <v/>
      </c>
      <c r="P555" s="30"/>
      <c r="Q555" s="30"/>
      <c r="R555" s="30"/>
      <c r="S555" s="30"/>
      <c r="T555" s="30"/>
      <c r="U555" s="30"/>
      <c r="V555" s="30"/>
    </row>
    <row r="556" spans="1:22">
      <c r="A556" s="30"/>
      <c r="B556" s="30"/>
      <c r="C556" s="33" t="str">
        <f>IF(B556="","",IFERROR(INDEX('Master Database'!$D$5:$D$600,MATCH(B556,'Master Database'!$A$5:$A$600,0)),"(row not found)"))</f>
        <v/>
      </c>
      <c r="D556" s="33" t="str">
        <f>IF(B556="","",IFERROR(INDEX('Master Database'!$B$5:$B$600,MATCH(B556,'Master Database'!$A$5:$A$600,0)),"(row not found)"))</f>
        <v/>
      </c>
      <c r="E556" s="30"/>
      <c r="F556" s="33" t="str">
        <f>IF(E556="","",IFERROR(INDEX(Vendor_Register!$B$5:$B$205,MATCH(E556,Vendor_Register!$A$5:$A$205,0)),"(not in register)"))</f>
        <v/>
      </c>
      <c r="G556" s="33" t="str">
        <f>IF(E556="","",IFERROR(INDEX(Vendor_Register!$E$5:$E$205,MATCH(E556,Vendor_Register!$A$5:$A$205,0)),"(not in register)"))</f>
        <v/>
      </c>
      <c r="H556" s="30"/>
      <c r="I556" s="30"/>
      <c r="J556" s="30"/>
      <c r="K556" s="30"/>
      <c r="L556" s="30"/>
      <c r="M556" s="34"/>
      <c r="N556" s="30"/>
      <c r="O556" s="35" t="str">
        <f>IF(NOT(ISNUMBER(M556)),"",IFERROR(IF(L556="EUR",M556,IF(L556="IRR",M556/INDEX('Assumptions &amp; FX Reference'!$C$5:$C$25,MATCH(H556,'Assumptions &amp; FX Reference'!$A$5:$A$25,0)),IF(L556="USD",M556*INDEX('Assumptions &amp; FX Reference'!$B$5:$B$25,MATCH(H556,'Assumptions &amp; FX Reference'!$A$5:$A$25,0))/INDEX('Assumptions &amp; FX Reference'!$C$5:$C$25,MATCH(H556,'Assumptions &amp; FX Reference'!$A$5:$A$25,0)),""))),"(FX missing)"))</f>
        <v/>
      </c>
      <c r="P556" s="30"/>
      <c r="Q556" s="30"/>
      <c r="R556" s="30"/>
      <c r="S556" s="30"/>
      <c r="T556" s="30"/>
      <c r="U556" s="30"/>
      <c r="V556" s="30"/>
    </row>
    <row r="557" spans="1:22">
      <c r="A557" s="30"/>
      <c r="B557" s="30"/>
      <c r="C557" s="33" t="str">
        <f>IF(B557="","",IFERROR(INDEX('Master Database'!$D$5:$D$600,MATCH(B557,'Master Database'!$A$5:$A$600,0)),"(row not found)"))</f>
        <v/>
      </c>
      <c r="D557" s="33" t="str">
        <f>IF(B557="","",IFERROR(INDEX('Master Database'!$B$5:$B$600,MATCH(B557,'Master Database'!$A$5:$A$600,0)),"(row not found)"))</f>
        <v/>
      </c>
      <c r="E557" s="30"/>
      <c r="F557" s="33" t="str">
        <f>IF(E557="","",IFERROR(INDEX(Vendor_Register!$B$5:$B$205,MATCH(E557,Vendor_Register!$A$5:$A$205,0)),"(not in register)"))</f>
        <v/>
      </c>
      <c r="G557" s="33" t="str">
        <f>IF(E557="","",IFERROR(INDEX(Vendor_Register!$E$5:$E$205,MATCH(E557,Vendor_Register!$A$5:$A$205,0)),"(not in register)"))</f>
        <v/>
      </c>
      <c r="H557" s="30"/>
      <c r="I557" s="30"/>
      <c r="J557" s="30"/>
      <c r="K557" s="30"/>
      <c r="L557" s="30"/>
      <c r="M557" s="34"/>
      <c r="N557" s="30"/>
      <c r="O557" s="35" t="str">
        <f>IF(NOT(ISNUMBER(M557)),"",IFERROR(IF(L557="EUR",M557,IF(L557="IRR",M557/INDEX('Assumptions &amp; FX Reference'!$C$5:$C$25,MATCH(H557,'Assumptions &amp; FX Reference'!$A$5:$A$25,0)),IF(L557="USD",M557*INDEX('Assumptions &amp; FX Reference'!$B$5:$B$25,MATCH(H557,'Assumptions &amp; FX Reference'!$A$5:$A$25,0))/INDEX('Assumptions &amp; FX Reference'!$C$5:$C$25,MATCH(H557,'Assumptions &amp; FX Reference'!$A$5:$A$25,0)),""))),"(FX missing)"))</f>
        <v/>
      </c>
      <c r="P557" s="30"/>
      <c r="Q557" s="30"/>
      <c r="R557" s="30"/>
      <c r="S557" s="30"/>
      <c r="T557" s="30"/>
      <c r="U557" s="30"/>
      <c r="V557" s="30"/>
    </row>
    <row r="558" spans="1:22">
      <c r="A558" s="30"/>
      <c r="B558" s="30"/>
      <c r="C558" s="33" t="str">
        <f>IF(B558="","",IFERROR(INDEX('Master Database'!$D$5:$D$600,MATCH(B558,'Master Database'!$A$5:$A$600,0)),"(row not found)"))</f>
        <v/>
      </c>
      <c r="D558" s="33" t="str">
        <f>IF(B558="","",IFERROR(INDEX('Master Database'!$B$5:$B$600,MATCH(B558,'Master Database'!$A$5:$A$600,0)),"(row not found)"))</f>
        <v/>
      </c>
      <c r="E558" s="30"/>
      <c r="F558" s="33" t="str">
        <f>IF(E558="","",IFERROR(INDEX(Vendor_Register!$B$5:$B$205,MATCH(E558,Vendor_Register!$A$5:$A$205,0)),"(not in register)"))</f>
        <v/>
      </c>
      <c r="G558" s="33" t="str">
        <f>IF(E558="","",IFERROR(INDEX(Vendor_Register!$E$5:$E$205,MATCH(E558,Vendor_Register!$A$5:$A$205,0)),"(not in register)"))</f>
        <v/>
      </c>
      <c r="H558" s="30"/>
      <c r="I558" s="30"/>
      <c r="J558" s="30"/>
      <c r="K558" s="30"/>
      <c r="L558" s="30"/>
      <c r="M558" s="34"/>
      <c r="N558" s="30"/>
      <c r="O558" s="35" t="str">
        <f>IF(NOT(ISNUMBER(M558)),"",IFERROR(IF(L558="EUR",M558,IF(L558="IRR",M558/INDEX('Assumptions &amp; FX Reference'!$C$5:$C$25,MATCH(H558,'Assumptions &amp; FX Reference'!$A$5:$A$25,0)),IF(L558="USD",M558*INDEX('Assumptions &amp; FX Reference'!$B$5:$B$25,MATCH(H558,'Assumptions &amp; FX Reference'!$A$5:$A$25,0))/INDEX('Assumptions &amp; FX Reference'!$C$5:$C$25,MATCH(H558,'Assumptions &amp; FX Reference'!$A$5:$A$25,0)),""))),"(FX missing)"))</f>
        <v/>
      </c>
      <c r="P558" s="30"/>
      <c r="Q558" s="30"/>
      <c r="R558" s="30"/>
      <c r="S558" s="30"/>
      <c r="T558" s="30"/>
      <c r="U558" s="30"/>
      <c r="V558" s="30"/>
    </row>
    <row r="559" spans="1:22">
      <c r="A559" s="30"/>
      <c r="B559" s="30"/>
      <c r="C559" s="33" t="str">
        <f>IF(B559="","",IFERROR(INDEX('Master Database'!$D$5:$D$600,MATCH(B559,'Master Database'!$A$5:$A$600,0)),"(row not found)"))</f>
        <v/>
      </c>
      <c r="D559" s="33" t="str">
        <f>IF(B559="","",IFERROR(INDEX('Master Database'!$B$5:$B$600,MATCH(B559,'Master Database'!$A$5:$A$600,0)),"(row not found)"))</f>
        <v/>
      </c>
      <c r="E559" s="30"/>
      <c r="F559" s="33" t="str">
        <f>IF(E559="","",IFERROR(INDEX(Vendor_Register!$B$5:$B$205,MATCH(E559,Vendor_Register!$A$5:$A$205,0)),"(not in register)"))</f>
        <v/>
      </c>
      <c r="G559" s="33" t="str">
        <f>IF(E559="","",IFERROR(INDEX(Vendor_Register!$E$5:$E$205,MATCH(E559,Vendor_Register!$A$5:$A$205,0)),"(not in register)"))</f>
        <v/>
      </c>
      <c r="H559" s="30"/>
      <c r="I559" s="30"/>
      <c r="J559" s="30"/>
      <c r="K559" s="30"/>
      <c r="L559" s="30"/>
      <c r="M559" s="34"/>
      <c r="N559" s="30"/>
      <c r="O559" s="35" t="str">
        <f>IF(NOT(ISNUMBER(M559)),"",IFERROR(IF(L559="EUR",M559,IF(L559="IRR",M559/INDEX('Assumptions &amp; FX Reference'!$C$5:$C$25,MATCH(H559,'Assumptions &amp; FX Reference'!$A$5:$A$25,0)),IF(L559="USD",M559*INDEX('Assumptions &amp; FX Reference'!$B$5:$B$25,MATCH(H559,'Assumptions &amp; FX Reference'!$A$5:$A$25,0))/INDEX('Assumptions &amp; FX Reference'!$C$5:$C$25,MATCH(H559,'Assumptions &amp; FX Reference'!$A$5:$A$25,0)),""))),"(FX missing)"))</f>
        <v/>
      </c>
      <c r="P559" s="30"/>
      <c r="Q559" s="30"/>
      <c r="R559" s="30"/>
      <c r="S559" s="30"/>
      <c r="T559" s="30"/>
      <c r="U559" s="30"/>
      <c r="V559" s="30"/>
    </row>
    <row r="560" spans="1:22">
      <c r="A560" s="30"/>
      <c r="B560" s="30"/>
      <c r="C560" s="33" t="str">
        <f>IF(B560="","",IFERROR(INDEX('Master Database'!$D$5:$D$600,MATCH(B560,'Master Database'!$A$5:$A$600,0)),"(row not found)"))</f>
        <v/>
      </c>
      <c r="D560" s="33" t="str">
        <f>IF(B560="","",IFERROR(INDEX('Master Database'!$B$5:$B$600,MATCH(B560,'Master Database'!$A$5:$A$600,0)),"(row not found)"))</f>
        <v/>
      </c>
      <c r="E560" s="30"/>
      <c r="F560" s="33" t="str">
        <f>IF(E560="","",IFERROR(INDEX(Vendor_Register!$B$5:$B$205,MATCH(E560,Vendor_Register!$A$5:$A$205,0)),"(not in register)"))</f>
        <v/>
      </c>
      <c r="G560" s="33" t="str">
        <f>IF(E560="","",IFERROR(INDEX(Vendor_Register!$E$5:$E$205,MATCH(E560,Vendor_Register!$A$5:$A$205,0)),"(not in register)"))</f>
        <v/>
      </c>
      <c r="H560" s="30"/>
      <c r="I560" s="30"/>
      <c r="J560" s="30"/>
      <c r="K560" s="30"/>
      <c r="L560" s="30"/>
      <c r="M560" s="34"/>
      <c r="N560" s="30"/>
      <c r="O560" s="35" t="str">
        <f>IF(NOT(ISNUMBER(M560)),"",IFERROR(IF(L560="EUR",M560,IF(L560="IRR",M560/INDEX('Assumptions &amp; FX Reference'!$C$5:$C$25,MATCH(H560,'Assumptions &amp; FX Reference'!$A$5:$A$25,0)),IF(L560="USD",M560*INDEX('Assumptions &amp; FX Reference'!$B$5:$B$25,MATCH(H560,'Assumptions &amp; FX Reference'!$A$5:$A$25,0))/INDEX('Assumptions &amp; FX Reference'!$C$5:$C$25,MATCH(H560,'Assumptions &amp; FX Reference'!$A$5:$A$25,0)),""))),"(FX missing)"))</f>
        <v/>
      </c>
      <c r="P560" s="30"/>
      <c r="Q560" s="30"/>
      <c r="R560" s="30"/>
      <c r="S560" s="30"/>
      <c r="T560" s="30"/>
      <c r="U560" s="30"/>
      <c r="V560" s="30"/>
    </row>
    <row r="561" spans="1:22">
      <c r="A561" s="30"/>
      <c r="B561" s="30"/>
      <c r="C561" s="33" t="str">
        <f>IF(B561="","",IFERROR(INDEX('Master Database'!$D$5:$D$600,MATCH(B561,'Master Database'!$A$5:$A$600,0)),"(row not found)"))</f>
        <v/>
      </c>
      <c r="D561" s="33" t="str">
        <f>IF(B561="","",IFERROR(INDEX('Master Database'!$B$5:$B$600,MATCH(B561,'Master Database'!$A$5:$A$600,0)),"(row not found)"))</f>
        <v/>
      </c>
      <c r="E561" s="30"/>
      <c r="F561" s="33" t="str">
        <f>IF(E561="","",IFERROR(INDEX(Vendor_Register!$B$5:$B$205,MATCH(E561,Vendor_Register!$A$5:$A$205,0)),"(not in register)"))</f>
        <v/>
      </c>
      <c r="G561" s="33" t="str">
        <f>IF(E561="","",IFERROR(INDEX(Vendor_Register!$E$5:$E$205,MATCH(E561,Vendor_Register!$A$5:$A$205,0)),"(not in register)"))</f>
        <v/>
      </c>
      <c r="H561" s="30"/>
      <c r="I561" s="30"/>
      <c r="J561" s="30"/>
      <c r="K561" s="30"/>
      <c r="L561" s="30"/>
      <c r="M561" s="34"/>
      <c r="N561" s="30"/>
      <c r="O561" s="35" t="str">
        <f>IF(NOT(ISNUMBER(M561)),"",IFERROR(IF(L561="EUR",M561,IF(L561="IRR",M561/INDEX('Assumptions &amp; FX Reference'!$C$5:$C$25,MATCH(H561,'Assumptions &amp; FX Reference'!$A$5:$A$25,0)),IF(L561="USD",M561*INDEX('Assumptions &amp; FX Reference'!$B$5:$B$25,MATCH(H561,'Assumptions &amp; FX Reference'!$A$5:$A$25,0))/INDEX('Assumptions &amp; FX Reference'!$C$5:$C$25,MATCH(H561,'Assumptions &amp; FX Reference'!$A$5:$A$25,0)),""))),"(FX missing)"))</f>
        <v/>
      </c>
      <c r="P561" s="30"/>
      <c r="Q561" s="30"/>
      <c r="R561" s="30"/>
      <c r="S561" s="30"/>
      <c r="T561" s="30"/>
      <c r="U561" s="30"/>
      <c r="V561" s="30"/>
    </row>
    <row r="562" spans="1:22">
      <c r="A562" s="30"/>
      <c r="B562" s="30"/>
      <c r="C562" s="33" t="str">
        <f>IF(B562="","",IFERROR(INDEX('Master Database'!$D$5:$D$600,MATCH(B562,'Master Database'!$A$5:$A$600,0)),"(row not found)"))</f>
        <v/>
      </c>
      <c r="D562" s="33" t="str">
        <f>IF(B562="","",IFERROR(INDEX('Master Database'!$B$5:$B$600,MATCH(B562,'Master Database'!$A$5:$A$600,0)),"(row not found)"))</f>
        <v/>
      </c>
      <c r="E562" s="30"/>
      <c r="F562" s="33" t="str">
        <f>IF(E562="","",IFERROR(INDEX(Vendor_Register!$B$5:$B$205,MATCH(E562,Vendor_Register!$A$5:$A$205,0)),"(not in register)"))</f>
        <v/>
      </c>
      <c r="G562" s="33" t="str">
        <f>IF(E562="","",IFERROR(INDEX(Vendor_Register!$E$5:$E$205,MATCH(E562,Vendor_Register!$A$5:$A$205,0)),"(not in register)"))</f>
        <v/>
      </c>
      <c r="H562" s="30"/>
      <c r="I562" s="30"/>
      <c r="J562" s="30"/>
      <c r="K562" s="30"/>
      <c r="L562" s="30"/>
      <c r="M562" s="34"/>
      <c r="N562" s="30"/>
      <c r="O562" s="35" t="str">
        <f>IF(NOT(ISNUMBER(M562)),"",IFERROR(IF(L562="EUR",M562,IF(L562="IRR",M562/INDEX('Assumptions &amp; FX Reference'!$C$5:$C$25,MATCH(H562,'Assumptions &amp; FX Reference'!$A$5:$A$25,0)),IF(L562="USD",M562*INDEX('Assumptions &amp; FX Reference'!$B$5:$B$25,MATCH(H562,'Assumptions &amp; FX Reference'!$A$5:$A$25,0))/INDEX('Assumptions &amp; FX Reference'!$C$5:$C$25,MATCH(H562,'Assumptions &amp; FX Reference'!$A$5:$A$25,0)),""))),"(FX missing)"))</f>
        <v/>
      </c>
      <c r="P562" s="30"/>
      <c r="Q562" s="30"/>
      <c r="R562" s="30"/>
      <c r="S562" s="30"/>
      <c r="T562" s="30"/>
      <c r="U562" s="30"/>
      <c r="V562" s="30"/>
    </row>
    <row r="563" spans="1:22">
      <c r="A563" s="30"/>
      <c r="B563" s="30"/>
      <c r="C563" s="33" t="str">
        <f>IF(B563="","",IFERROR(INDEX('Master Database'!$D$5:$D$600,MATCH(B563,'Master Database'!$A$5:$A$600,0)),"(row not found)"))</f>
        <v/>
      </c>
      <c r="D563" s="33" t="str">
        <f>IF(B563="","",IFERROR(INDEX('Master Database'!$B$5:$B$600,MATCH(B563,'Master Database'!$A$5:$A$600,0)),"(row not found)"))</f>
        <v/>
      </c>
      <c r="E563" s="30"/>
      <c r="F563" s="33" t="str">
        <f>IF(E563="","",IFERROR(INDEX(Vendor_Register!$B$5:$B$205,MATCH(E563,Vendor_Register!$A$5:$A$205,0)),"(not in register)"))</f>
        <v/>
      </c>
      <c r="G563" s="33" t="str">
        <f>IF(E563="","",IFERROR(INDEX(Vendor_Register!$E$5:$E$205,MATCH(E563,Vendor_Register!$A$5:$A$205,0)),"(not in register)"))</f>
        <v/>
      </c>
      <c r="H563" s="30"/>
      <c r="I563" s="30"/>
      <c r="J563" s="30"/>
      <c r="K563" s="30"/>
      <c r="L563" s="30"/>
      <c r="M563" s="34"/>
      <c r="N563" s="30"/>
      <c r="O563" s="35" t="str">
        <f>IF(NOT(ISNUMBER(M563)),"",IFERROR(IF(L563="EUR",M563,IF(L563="IRR",M563/INDEX('Assumptions &amp; FX Reference'!$C$5:$C$25,MATCH(H563,'Assumptions &amp; FX Reference'!$A$5:$A$25,0)),IF(L563="USD",M563*INDEX('Assumptions &amp; FX Reference'!$B$5:$B$25,MATCH(H563,'Assumptions &amp; FX Reference'!$A$5:$A$25,0))/INDEX('Assumptions &amp; FX Reference'!$C$5:$C$25,MATCH(H563,'Assumptions &amp; FX Reference'!$A$5:$A$25,0)),""))),"(FX missing)"))</f>
        <v/>
      </c>
      <c r="P563" s="30"/>
      <c r="Q563" s="30"/>
      <c r="R563" s="30"/>
      <c r="S563" s="30"/>
      <c r="T563" s="30"/>
      <c r="U563" s="30"/>
      <c r="V563" s="30"/>
    </row>
    <row r="564" spans="1:22">
      <c r="A564" s="30"/>
      <c r="B564" s="30"/>
      <c r="C564" s="33" t="str">
        <f>IF(B564="","",IFERROR(INDEX('Master Database'!$D$5:$D$600,MATCH(B564,'Master Database'!$A$5:$A$600,0)),"(row not found)"))</f>
        <v/>
      </c>
      <c r="D564" s="33" t="str">
        <f>IF(B564="","",IFERROR(INDEX('Master Database'!$B$5:$B$600,MATCH(B564,'Master Database'!$A$5:$A$600,0)),"(row not found)"))</f>
        <v/>
      </c>
      <c r="E564" s="30"/>
      <c r="F564" s="33" t="str">
        <f>IF(E564="","",IFERROR(INDEX(Vendor_Register!$B$5:$B$205,MATCH(E564,Vendor_Register!$A$5:$A$205,0)),"(not in register)"))</f>
        <v/>
      </c>
      <c r="G564" s="33" t="str">
        <f>IF(E564="","",IFERROR(INDEX(Vendor_Register!$E$5:$E$205,MATCH(E564,Vendor_Register!$A$5:$A$205,0)),"(not in register)"))</f>
        <v/>
      </c>
      <c r="H564" s="30"/>
      <c r="I564" s="30"/>
      <c r="J564" s="30"/>
      <c r="K564" s="30"/>
      <c r="L564" s="30"/>
      <c r="M564" s="34"/>
      <c r="N564" s="30"/>
      <c r="O564" s="35" t="str">
        <f>IF(NOT(ISNUMBER(M564)),"",IFERROR(IF(L564="EUR",M564,IF(L564="IRR",M564/INDEX('Assumptions &amp; FX Reference'!$C$5:$C$25,MATCH(H564,'Assumptions &amp; FX Reference'!$A$5:$A$25,0)),IF(L564="USD",M564*INDEX('Assumptions &amp; FX Reference'!$B$5:$B$25,MATCH(H564,'Assumptions &amp; FX Reference'!$A$5:$A$25,0))/INDEX('Assumptions &amp; FX Reference'!$C$5:$C$25,MATCH(H564,'Assumptions &amp; FX Reference'!$A$5:$A$25,0)),""))),"(FX missing)"))</f>
        <v/>
      </c>
      <c r="P564" s="30"/>
      <c r="Q564" s="30"/>
      <c r="R564" s="30"/>
      <c r="S564" s="30"/>
      <c r="T564" s="30"/>
      <c r="U564" s="30"/>
      <c r="V564" s="30"/>
    </row>
    <row r="565" spans="1:22">
      <c r="A565" s="30"/>
      <c r="B565" s="30"/>
      <c r="C565" s="33" t="str">
        <f>IF(B565="","",IFERROR(INDEX('Master Database'!$D$5:$D$600,MATCH(B565,'Master Database'!$A$5:$A$600,0)),"(row not found)"))</f>
        <v/>
      </c>
      <c r="D565" s="33" t="str">
        <f>IF(B565="","",IFERROR(INDEX('Master Database'!$B$5:$B$600,MATCH(B565,'Master Database'!$A$5:$A$600,0)),"(row not found)"))</f>
        <v/>
      </c>
      <c r="E565" s="30"/>
      <c r="F565" s="33" t="str">
        <f>IF(E565="","",IFERROR(INDEX(Vendor_Register!$B$5:$B$205,MATCH(E565,Vendor_Register!$A$5:$A$205,0)),"(not in register)"))</f>
        <v/>
      </c>
      <c r="G565" s="33" t="str">
        <f>IF(E565="","",IFERROR(INDEX(Vendor_Register!$E$5:$E$205,MATCH(E565,Vendor_Register!$A$5:$A$205,0)),"(not in register)"))</f>
        <v/>
      </c>
      <c r="H565" s="30"/>
      <c r="I565" s="30"/>
      <c r="J565" s="30"/>
      <c r="K565" s="30"/>
      <c r="L565" s="30"/>
      <c r="M565" s="34"/>
      <c r="N565" s="30"/>
      <c r="O565" s="35" t="str">
        <f>IF(NOT(ISNUMBER(M565)),"",IFERROR(IF(L565="EUR",M565,IF(L565="IRR",M565/INDEX('Assumptions &amp; FX Reference'!$C$5:$C$25,MATCH(H565,'Assumptions &amp; FX Reference'!$A$5:$A$25,0)),IF(L565="USD",M565*INDEX('Assumptions &amp; FX Reference'!$B$5:$B$25,MATCH(H565,'Assumptions &amp; FX Reference'!$A$5:$A$25,0))/INDEX('Assumptions &amp; FX Reference'!$C$5:$C$25,MATCH(H565,'Assumptions &amp; FX Reference'!$A$5:$A$25,0)),""))),"(FX missing)"))</f>
        <v/>
      </c>
      <c r="P565" s="30"/>
      <c r="Q565" s="30"/>
      <c r="R565" s="30"/>
      <c r="S565" s="30"/>
      <c r="T565" s="30"/>
      <c r="U565" s="30"/>
      <c r="V565" s="30"/>
    </row>
    <row r="566" spans="1:22">
      <c r="A566" s="30"/>
      <c r="B566" s="30"/>
      <c r="C566" s="33" t="str">
        <f>IF(B566="","",IFERROR(INDEX('Master Database'!$D$5:$D$600,MATCH(B566,'Master Database'!$A$5:$A$600,0)),"(row not found)"))</f>
        <v/>
      </c>
      <c r="D566" s="33" t="str">
        <f>IF(B566="","",IFERROR(INDEX('Master Database'!$B$5:$B$600,MATCH(B566,'Master Database'!$A$5:$A$600,0)),"(row not found)"))</f>
        <v/>
      </c>
      <c r="E566" s="30"/>
      <c r="F566" s="33" t="str">
        <f>IF(E566="","",IFERROR(INDEX(Vendor_Register!$B$5:$B$205,MATCH(E566,Vendor_Register!$A$5:$A$205,0)),"(not in register)"))</f>
        <v/>
      </c>
      <c r="G566" s="33" t="str">
        <f>IF(E566="","",IFERROR(INDEX(Vendor_Register!$E$5:$E$205,MATCH(E566,Vendor_Register!$A$5:$A$205,0)),"(not in register)"))</f>
        <v/>
      </c>
      <c r="H566" s="30"/>
      <c r="I566" s="30"/>
      <c r="J566" s="30"/>
      <c r="K566" s="30"/>
      <c r="L566" s="30"/>
      <c r="M566" s="34"/>
      <c r="N566" s="30"/>
      <c r="O566" s="35" t="str">
        <f>IF(NOT(ISNUMBER(M566)),"",IFERROR(IF(L566="EUR",M566,IF(L566="IRR",M566/INDEX('Assumptions &amp; FX Reference'!$C$5:$C$25,MATCH(H566,'Assumptions &amp; FX Reference'!$A$5:$A$25,0)),IF(L566="USD",M566*INDEX('Assumptions &amp; FX Reference'!$B$5:$B$25,MATCH(H566,'Assumptions &amp; FX Reference'!$A$5:$A$25,0))/INDEX('Assumptions &amp; FX Reference'!$C$5:$C$25,MATCH(H566,'Assumptions &amp; FX Reference'!$A$5:$A$25,0)),""))),"(FX missing)"))</f>
        <v/>
      </c>
      <c r="P566" s="30"/>
      <c r="Q566" s="30"/>
      <c r="R566" s="30"/>
      <c r="S566" s="30"/>
      <c r="T566" s="30"/>
      <c r="U566" s="30"/>
      <c r="V566" s="30"/>
    </row>
    <row r="567" spans="1:22">
      <c r="A567" s="30"/>
      <c r="B567" s="30"/>
      <c r="C567" s="33" t="str">
        <f>IF(B567="","",IFERROR(INDEX('Master Database'!$D$5:$D$600,MATCH(B567,'Master Database'!$A$5:$A$600,0)),"(row not found)"))</f>
        <v/>
      </c>
      <c r="D567" s="33" t="str">
        <f>IF(B567="","",IFERROR(INDEX('Master Database'!$B$5:$B$600,MATCH(B567,'Master Database'!$A$5:$A$600,0)),"(row not found)"))</f>
        <v/>
      </c>
      <c r="E567" s="30"/>
      <c r="F567" s="33" t="str">
        <f>IF(E567="","",IFERROR(INDEX(Vendor_Register!$B$5:$B$205,MATCH(E567,Vendor_Register!$A$5:$A$205,0)),"(not in register)"))</f>
        <v/>
      </c>
      <c r="G567" s="33" t="str">
        <f>IF(E567="","",IFERROR(INDEX(Vendor_Register!$E$5:$E$205,MATCH(E567,Vendor_Register!$A$5:$A$205,0)),"(not in register)"))</f>
        <v/>
      </c>
      <c r="H567" s="30"/>
      <c r="I567" s="30"/>
      <c r="J567" s="30"/>
      <c r="K567" s="30"/>
      <c r="L567" s="30"/>
      <c r="M567" s="34"/>
      <c r="N567" s="30"/>
      <c r="O567" s="35" t="str">
        <f>IF(NOT(ISNUMBER(M567)),"",IFERROR(IF(L567="EUR",M567,IF(L567="IRR",M567/INDEX('Assumptions &amp; FX Reference'!$C$5:$C$25,MATCH(H567,'Assumptions &amp; FX Reference'!$A$5:$A$25,0)),IF(L567="USD",M567*INDEX('Assumptions &amp; FX Reference'!$B$5:$B$25,MATCH(H567,'Assumptions &amp; FX Reference'!$A$5:$A$25,0))/INDEX('Assumptions &amp; FX Reference'!$C$5:$C$25,MATCH(H567,'Assumptions &amp; FX Reference'!$A$5:$A$25,0)),""))),"(FX missing)"))</f>
        <v/>
      </c>
      <c r="P567" s="30"/>
      <c r="Q567" s="30"/>
      <c r="R567" s="30"/>
      <c r="S567" s="30"/>
      <c r="T567" s="30"/>
      <c r="U567" s="30"/>
      <c r="V567" s="30"/>
    </row>
    <row r="568" spans="1:22">
      <c r="A568" s="30"/>
      <c r="B568" s="30"/>
      <c r="C568" s="33" t="str">
        <f>IF(B568="","",IFERROR(INDEX('Master Database'!$D$5:$D$600,MATCH(B568,'Master Database'!$A$5:$A$600,0)),"(row not found)"))</f>
        <v/>
      </c>
      <c r="D568" s="33" t="str">
        <f>IF(B568="","",IFERROR(INDEX('Master Database'!$B$5:$B$600,MATCH(B568,'Master Database'!$A$5:$A$600,0)),"(row not found)"))</f>
        <v/>
      </c>
      <c r="E568" s="30"/>
      <c r="F568" s="33" t="str">
        <f>IF(E568="","",IFERROR(INDEX(Vendor_Register!$B$5:$B$205,MATCH(E568,Vendor_Register!$A$5:$A$205,0)),"(not in register)"))</f>
        <v/>
      </c>
      <c r="G568" s="33" t="str">
        <f>IF(E568="","",IFERROR(INDEX(Vendor_Register!$E$5:$E$205,MATCH(E568,Vendor_Register!$A$5:$A$205,0)),"(not in register)"))</f>
        <v/>
      </c>
      <c r="H568" s="30"/>
      <c r="I568" s="30"/>
      <c r="J568" s="30"/>
      <c r="K568" s="30"/>
      <c r="L568" s="30"/>
      <c r="M568" s="34"/>
      <c r="N568" s="30"/>
      <c r="O568" s="35" t="str">
        <f>IF(NOT(ISNUMBER(M568)),"",IFERROR(IF(L568="EUR",M568,IF(L568="IRR",M568/INDEX('Assumptions &amp; FX Reference'!$C$5:$C$25,MATCH(H568,'Assumptions &amp; FX Reference'!$A$5:$A$25,0)),IF(L568="USD",M568*INDEX('Assumptions &amp; FX Reference'!$B$5:$B$25,MATCH(H568,'Assumptions &amp; FX Reference'!$A$5:$A$25,0))/INDEX('Assumptions &amp; FX Reference'!$C$5:$C$25,MATCH(H568,'Assumptions &amp; FX Reference'!$A$5:$A$25,0)),""))),"(FX missing)"))</f>
        <v/>
      </c>
      <c r="P568" s="30"/>
      <c r="Q568" s="30"/>
      <c r="R568" s="30"/>
      <c r="S568" s="30"/>
      <c r="T568" s="30"/>
      <c r="U568" s="30"/>
      <c r="V568" s="30"/>
    </row>
    <row r="569" spans="1:22">
      <c r="A569" s="30"/>
      <c r="B569" s="30"/>
      <c r="C569" s="33" t="str">
        <f>IF(B569="","",IFERROR(INDEX('Master Database'!$D$5:$D$600,MATCH(B569,'Master Database'!$A$5:$A$600,0)),"(row not found)"))</f>
        <v/>
      </c>
      <c r="D569" s="33" t="str">
        <f>IF(B569="","",IFERROR(INDEX('Master Database'!$B$5:$B$600,MATCH(B569,'Master Database'!$A$5:$A$600,0)),"(row not found)"))</f>
        <v/>
      </c>
      <c r="E569" s="30"/>
      <c r="F569" s="33" t="str">
        <f>IF(E569="","",IFERROR(INDEX(Vendor_Register!$B$5:$B$205,MATCH(E569,Vendor_Register!$A$5:$A$205,0)),"(not in register)"))</f>
        <v/>
      </c>
      <c r="G569" s="33" t="str">
        <f>IF(E569="","",IFERROR(INDEX(Vendor_Register!$E$5:$E$205,MATCH(E569,Vendor_Register!$A$5:$A$205,0)),"(not in register)"))</f>
        <v/>
      </c>
      <c r="H569" s="30"/>
      <c r="I569" s="30"/>
      <c r="J569" s="30"/>
      <c r="K569" s="30"/>
      <c r="L569" s="30"/>
      <c r="M569" s="34"/>
      <c r="N569" s="30"/>
      <c r="O569" s="35" t="str">
        <f>IF(NOT(ISNUMBER(M569)),"",IFERROR(IF(L569="EUR",M569,IF(L569="IRR",M569/INDEX('Assumptions &amp; FX Reference'!$C$5:$C$25,MATCH(H569,'Assumptions &amp; FX Reference'!$A$5:$A$25,0)),IF(L569="USD",M569*INDEX('Assumptions &amp; FX Reference'!$B$5:$B$25,MATCH(H569,'Assumptions &amp; FX Reference'!$A$5:$A$25,0))/INDEX('Assumptions &amp; FX Reference'!$C$5:$C$25,MATCH(H569,'Assumptions &amp; FX Reference'!$A$5:$A$25,0)),""))),"(FX missing)"))</f>
        <v/>
      </c>
      <c r="P569" s="30"/>
      <c r="Q569" s="30"/>
      <c r="R569" s="30"/>
      <c r="S569" s="30"/>
      <c r="T569" s="30"/>
      <c r="U569" s="30"/>
      <c r="V569" s="30"/>
    </row>
    <row r="570" spans="1:22">
      <c r="A570" s="30"/>
      <c r="B570" s="30"/>
      <c r="C570" s="33" t="str">
        <f>IF(B570="","",IFERROR(INDEX('Master Database'!$D$5:$D$600,MATCH(B570,'Master Database'!$A$5:$A$600,0)),"(row not found)"))</f>
        <v/>
      </c>
      <c r="D570" s="33" t="str">
        <f>IF(B570="","",IFERROR(INDEX('Master Database'!$B$5:$B$600,MATCH(B570,'Master Database'!$A$5:$A$600,0)),"(row not found)"))</f>
        <v/>
      </c>
      <c r="E570" s="30"/>
      <c r="F570" s="33" t="str">
        <f>IF(E570="","",IFERROR(INDEX(Vendor_Register!$B$5:$B$205,MATCH(E570,Vendor_Register!$A$5:$A$205,0)),"(not in register)"))</f>
        <v/>
      </c>
      <c r="G570" s="33" t="str">
        <f>IF(E570="","",IFERROR(INDEX(Vendor_Register!$E$5:$E$205,MATCH(E570,Vendor_Register!$A$5:$A$205,0)),"(not in register)"))</f>
        <v/>
      </c>
      <c r="H570" s="30"/>
      <c r="I570" s="30"/>
      <c r="J570" s="30"/>
      <c r="K570" s="30"/>
      <c r="L570" s="30"/>
      <c r="M570" s="34"/>
      <c r="N570" s="30"/>
      <c r="O570" s="35" t="str">
        <f>IF(NOT(ISNUMBER(M570)),"",IFERROR(IF(L570="EUR",M570,IF(L570="IRR",M570/INDEX('Assumptions &amp; FX Reference'!$C$5:$C$25,MATCH(H570,'Assumptions &amp; FX Reference'!$A$5:$A$25,0)),IF(L570="USD",M570*INDEX('Assumptions &amp; FX Reference'!$B$5:$B$25,MATCH(H570,'Assumptions &amp; FX Reference'!$A$5:$A$25,0))/INDEX('Assumptions &amp; FX Reference'!$C$5:$C$25,MATCH(H570,'Assumptions &amp; FX Reference'!$A$5:$A$25,0)),""))),"(FX missing)"))</f>
        <v/>
      </c>
      <c r="P570" s="30"/>
      <c r="Q570" s="30"/>
      <c r="R570" s="30"/>
      <c r="S570" s="30"/>
      <c r="T570" s="30"/>
      <c r="U570" s="30"/>
      <c r="V570" s="30"/>
    </row>
    <row r="571" spans="1:22">
      <c r="A571" s="30"/>
      <c r="B571" s="30"/>
      <c r="C571" s="33" t="str">
        <f>IF(B571="","",IFERROR(INDEX('Master Database'!$D$5:$D$600,MATCH(B571,'Master Database'!$A$5:$A$600,0)),"(row not found)"))</f>
        <v/>
      </c>
      <c r="D571" s="33" t="str">
        <f>IF(B571="","",IFERROR(INDEX('Master Database'!$B$5:$B$600,MATCH(B571,'Master Database'!$A$5:$A$600,0)),"(row not found)"))</f>
        <v/>
      </c>
      <c r="E571" s="30"/>
      <c r="F571" s="33" t="str">
        <f>IF(E571="","",IFERROR(INDEX(Vendor_Register!$B$5:$B$205,MATCH(E571,Vendor_Register!$A$5:$A$205,0)),"(not in register)"))</f>
        <v/>
      </c>
      <c r="G571" s="33" t="str">
        <f>IF(E571="","",IFERROR(INDEX(Vendor_Register!$E$5:$E$205,MATCH(E571,Vendor_Register!$A$5:$A$205,0)),"(not in register)"))</f>
        <v/>
      </c>
      <c r="H571" s="30"/>
      <c r="I571" s="30"/>
      <c r="J571" s="30"/>
      <c r="K571" s="30"/>
      <c r="L571" s="30"/>
      <c r="M571" s="34"/>
      <c r="N571" s="30"/>
      <c r="O571" s="35" t="str">
        <f>IF(NOT(ISNUMBER(M571)),"",IFERROR(IF(L571="EUR",M571,IF(L571="IRR",M571/INDEX('Assumptions &amp; FX Reference'!$C$5:$C$25,MATCH(H571,'Assumptions &amp; FX Reference'!$A$5:$A$25,0)),IF(L571="USD",M571*INDEX('Assumptions &amp; FX Reference'!$B$5:$B$25,MATCH(H571,'Assumptions &amp; FX Reference'!$A$5:$A$25,0))/INDEX('Assumptions &amp; FX Reference'!$C$5:$C$25,MATCH(H571,'Assumptions &amp; FX Reference'!$A$5:$A$25,0)),""))),"(FX missing)"))</f>
        <v/>
      </c>
      <c r="P571" s="30"/>
      <c r="Q571" s="30"/>
      <c r="R571" s="30"/>
      <c r="S571" s="30"/>
      <c r="T571" s="30"/>
      <c r="U571" s="30"/>
      <c r="V571" s="30"/>
    </row>
    <row r="572" spans="1:22">
      <c r="A572" s="30"/>
      <c r="B572" s="30"/>
      <c r="C572" s="33" t="str">
        <f>IF(B572="","",IFERROR(INDEX('Master Database'!$D$5:$D$600,MATCH(B572,'Master Database'!$A$5:$A$600,0)),"(row not found)"))</f>
        <v/>
      </c>
      <c r="D572" s="33" t="str">
        <f>IF(B572="","",IFERROR(INDEX('Master Database'!$B$5:$B$600,MATCH(B572,'Master Database'!$A$5:$A$600,0)),"(row not found)"))</f>
        <v/>
      </c>
      <c r="E572" s="30"/>
      <c r="F572" s="33" t="str">
        <f>IF(E572="","",IFERROR(INDEX(Vendor_Register!$B$5:$B$205,MATCH(E572,Vendor_Register!$A$5:$A$205,0)),"(not in register)"))</f>
        <v/>
      </c>
      <c r="G572" s="33" t="str">
        <f>IF(E572="","",IFERROR(INDEX(Vendor_Register!$E$5:$E$205,MATCH(E572,Vendor_Register!$A$5:$A$205,0)),"(not in register)"))</f>
        <v/>
      </c>
      <c r="H572" s="30"/>
      <c r="I572" s="30"/>
      <c r="J572" s="30"/>
      <c r="K572" s="30"/>
      <c r="L572" s="30"/>
      <c r="M572" s="34"/>
      <c r="N572" s="30"/>
      <c r="O572" s="35" t="str">
        <f>IF(NOT(ISNUMBER(M572)),"",IFERROR(IF(L572="EUR",M572,IF(L572="IRR",M572/INDEX('Assumptions &amp; FX Reference'!$C$5:$C$25,MATCH(H572,'Assumptions &amp; FX Reference'!$A$5:$A$25,0)),IF(L572="USD",M572*INDEX('Assumptions &amp; FX Reference'!$B$5:$B$25,MATCH(H572,'Assumptions &amp; FX Reference'!$A$5:$A$25,0))/INDEX('Assumptions &amp; FX Reference'!$C$5:$C$25,MATCH(H572,'Assumptions &amp; FX Reference'!$A$5:$A$25,0)),""))),"(FX missing)"))</f>
        <v/>
      </c>
      <c r="P572" s="30"/>
      <c r="Q572" s="30"/>
      <c r="R572" s="30"/>
      <c r="S572" s="30"/>
      <c r="T572" s="30"/>
      <c r="U572" s="30"/>
      <c r="V572" s="30"/>
    </row>
    <row r="573" spans="1:22">
      <c r="A573" s="30"/>
      <c r="B573" s="30"/>
      <c r="C573" s="33" t="str">
        <f>IF(B573="","",IFERROR(INDEX('Master Database'!$D$5:$D$600,MATCH(B573,'Master Database'!$A$5:$A$600,0)),"(row not found)"))</f>
        <v/>
      </c>
      <c r="D573" s="33" t="str">
        <f>IF(B573="","",IFERROR(INDEX('Master Database'!$B$5:$B$600,MATCH(B573,'Master Database'!$A$5:$A$600,0)),"(row not found)"))</f>
        <v/>
      </c>
      <c r="E573" s="30"/>
      <c r="F573" s="33" t="str">
        <f>IF(E573="","",IFERROR(INDEX(Vendor_Register!$B$5:$B$205,MATCH(E573,Vendor_Register!$A$5:$A$205,0)),"(not in register)"))</f>
        <v/>
      </c>
      <c r="G573" s="33" t="str">
        <f>IF(E573="","",IFERROR(INDEX(Vendor_Register!$E$5:$E$205,MATCH(E573,Vendor_Register!$A$5:$A$205,0)),"(not in register)"))</f>
        <v/>
      </c>
      <c r="H573" s="30"/>
      <c r="I573" s="30"/>
      <c r="J573" s="30"/>
      <c r="K573" s="30"/>
      <c r="L573" s="30"/>
      <c r="M573" s="34"/>
      <c r="N573" s="30"/>
      <c r="O573" s="35" t="str">
        <f>IF(NOT(ISNUMBER(M573)),"",IFERROR(IF(L573="EUR",M573,IF(L573="IRR",M573/INDEX('Assumptions &amp; FX Reference'!$C$5:$C$25,MATCH(H573,'Assumptions &amp; FX Reference'!$A$5:$A$25,0)),IF(L573="USD",M573*INDEX('Assumptions &amp; FX Reference'!$B$5:$B$25,MATCH(H573,'Assumptions &amp; FX Reference'!$A$5:$A$25,0))/INDEX('Assumptions &amp; FX Reference'!$C$5:$C$25,MATCH(H573,'Assumptions &amp; FX Reference'!$A$5:$A$25,0)),""))),"(FX missing)"))</f>
        <v/>
      </c>
      <c r="P573" s="30"/>
      <c r="Q573" s="30"/>
      <c r="R573" s="30"/>
      <c r="S573" s="30"/>
      <c r="T573" s="30"/>
      <c r="U573" s="30"/>
      <c r="V573" s="30"/>
    </row>
    <row r="574" spans="1:22">
      <c r="A574" s="30"/>
      <c r="B574" s="30"/>
      <c r="C574" s="33" t="str">
        <f>IF(B574="","",IFERROR(INDEX('Master Database'!$D$5:$D$600,MATCH(B574,'Master Database'!$A$5:$A$600,0)),"(row not found)"))</f>
        <v/>
      </c>
      <c r="D574" s="33" t="str">
        <f>IF(B574="","",IFERROR(INDEX('Master Database'!$B$5:$B$600,MATCH(B574,'Master Database'!$A$5:$A$600,0)),"(row not found)"))</f>
        <v/>
      </c>
      <c r="E574" s="30"/>
      <c r="F574" s="33" t="str">
        <f>IF(E574="","",IFERROR(INDEX(Vendor_Register!$B$5:$B$205,MATCH(E574,Vendor_Register!$A$5:$A$205,0)),"(not in register)"))</f>
        <v/>
      </c>
      <c r="G574" s="33" t="str">
        <f>IF(E574="","",IFERROR(INDEX(Vendor_Register!$E$5:$E$205,MATCH(E574,Vendor_Register!$A$5:$A$205,0)),"(not in register)"))</f>
        <v/>
      </c>
      <c r="H574" s="30"/>
      <c r="I574" s="30"/>
      <c r="J574" s="30"/>
      <c r="K574" s="30"/>
      <c r="L574" s="30"/>
      <c r="M574" s="34"/>
      <c r="N574" s="30"/>
      <c r="O574" s="35" t="str">
        <f>IF(NOT(ISNUMBER(M574)),"",IFERROR(IF(L574="EUR",M574,IF(L574="IRR",M574/INDEX('Assumptions &amp; FX Reference'!$C$5:$C$25,MATCH(H574,'Assumptions &amp; FX Reference'!$A$5:$A$25,0)),IF(L574="USD",M574*INDEX('Assumptions &amp; FX Reference'!$B$5:$B$25,MATCH(H574,'Assumptions &amp; FX Reference'!$A$5:$A$25,0))/INDEX('Assumptions &amp; FX Reference'!$C$5:$C$25,MATCH(H574,'Assumptions &amp; FX Reference'!$A$5:$A$25,0)),""))),"(FX missing)"))</f>
        <v/>
      </c>
      <c r="P574" s="30"/>
      <c r="Q574" s="30"/>
      <c r="R574" s="30"/>
      <c r="S574" s="30"/>
      <c r="T574" s="30"/>
      <c r="U574" s="30"/>
      <c r="V574" s="30"/>
    </row>
    <row r="575" spans="1:22">
      <c r="A575" s="30"/>
      <c r="B575" s="30"/>
      <c r="C575" s="33" t="str">
        <f>IF(B575="","",IFERROR(INDEX('Master Database'!$D$5:$D$600,MATCH(B575,'Master Database'!$A$5:$A$600,0)),"(row not found)"))</f>
        <v/>
      </c>
      <c r="D575" s="33" t="str">
        <f>IF(B575="","",IFERROR(INDEX('Master Database'!$B$5:$B$600,MATCH(B575,'Master Database'!$A$5:$A$600,0)),"(row not found)"))</f>
        <v/>
      </c>
      <c r="E575" s="30"/>
      <c r="F575" s="33" t="str">
        <f>IF(E575="","",IFERROR(INDEX(Vendor_Register!$B$5:$B$205,MATCH(E575,Vendor_Register!$A$5:$A$205,0)),"(not in register)"))</f>
        <v/>
      </c>
      <c r="G575" s="33" t="str">
        <f>IF(E575="","",IFERROR(INDEX(Vendor_Register!$E$5:$E$205,MATCH(E575,Vendor_Register!$A$5:$A$205,0)),"(not in register)"))</f>
        <v/>
      </c>
      <c r="H575" s="30"/>
      <c r="I575" s="30"/>
      <c r="J575" s="30"/>
      <c r="K575" s="30"/>
      <c r="L575" s="30"/>
      <c r="M575" s="34"/>
      <c r="N575" s="30"/>
      <c r="O575" s="35" t="str">
        <f>IF(NOT(ISNUMBER(M575)),"",IFERROR(IF(L575="EUR",M575,IF(L575="IRR",M575/INDEX('Assumptions &amp; FX Reference'!$C$5:$C$25,MATCH(H575,'Assumptions &amp; FX Reference'!$A$5:$A$25,0)),IF(L575="USD",M575*INDEX('Assumptions &amp; FX Reference'!$B$5:$B$25,MATCH(H575,'Assumptions &amp; FX Reference'!$A$5:$A$25,0))/INDEX('Assumptions &amp; FX Reference'!$C$5:$C$25,MATCH(H575,'Assumptions &amp; FX Reference'!$A$5:$A$25,0)),""))),"(FX missing)"))</f>
        <v/>
      </c>
      <c r="P575" s="30"/>
      <c r="Q575" s="30"/>
      <c r="R575" s="30"/>
      <c r="S575" s="30"/>
      <c r="T575" s="30"/>
      <c r="U575" s="30"/>
      <c r="V575" s="30"/>
    </row>
    <row r="576" spans="1:22">
      <c r="A576" s="30"/>
      <c r="B576" s="30"/>
      <c r="C576" s="33" t="str">
        <f>IF(B576="","",IFERROR(INDEX('Master Database'!$D$5:$D$600,MATCH(B576,'Master Database'!$A$5:$A$600,0)),"(row not found)"))</f>
        <v/>
      </c>
      <c r="D576" s="33" t="str">
        <f>IF(B576="","",IFERROR(INDEX('Master Database'!$B$5:$B$600,MATCH(B576,'Master Database'!$A$5:$A$600,0)),"(row not found)"))</f>
        <v/>
      </c>
      <c r="E576" s="30"/>
      <c r="F576" s="33" t="str">
        <f>IF(E576="","",IFERROR(INDEX(Vendor_Register!$B$5:$B$205,MATCH(E576,Vendor_Register!$A$5:$A$205,0)),"(not in register)"))</f>
        <v/>
      </c>
      <c r="G576" s="33" t="str">
        <f>IF(E576="","",IFERROR(INDEX(Vendor_Register!$E$5:$E$205,MATCH(E576,Vendor_Register!$A$5:$A$205,0)),"(not in register)"))</f>
        <v/>
      </c>
      <c r="H576" s="30"/>
      <c r="I576" s="30"/>
      <c r="J576" s="30"/>
      <c r="K576" s="30"/>
      <c r="L576" s="30"/>
      <c r="M576" s="34"/>
      <c r="N576" s="30"/>
      <c r="O576" s="35" t="str">
        <f>IF(NOT(ISNUMBER(M576)),"",IFERROR(IF(L576="EUR",M576,IF(L576="IRR",M576/INDEX('Assumptions &amp; FX Reference'!$C$5:$C$25,MATCH(H576,'Assumptions &amp; FX Reference'!$A$5:$A$25,0)),IF(L576="USD",M576*INDEX('Assumptions &amp; FX Reference'!$B$5:$B$25,MATCH(H576,'Assumptions &amp; FX Reference'!$A$5:$A$25,0))/INDEX('Assumptions &amp; FX Reference'!$C$5:$C$25,MATCH(H576,'Assumptions &amp; FX Reference'!$A$5:$A$25,0)),""))),"(FX missing)"))</f>
        <v/>
      </c>
      <c r="P576" s="30"/>
      <c r="Q576" s="30"/>
      <c r="R576" s="30"/>
      <c r="S576" s="30"/>
      <c r="T576" s="30"/>
      <c r="U576" s="30"/>
      <c r="V576" s="30"/>
    </row>
    <row r="577" spans="1:22">
      <c r="A577" s="30"/>
      <c r="B577" s="30"/>
      <c r="C577" s="33" t="str">
        <f>IF(B577="","",IFERROR(INDEX('Master Database'!$D$5:$D$600,MATCH(B577,'Master Database'!$A$5:$A$600,0)),"(row not found)"))</f>
        <v/>
      </c>
      <c r="D577" s="33" t="str">
        <f>IF(B577="","",IFERROR(INDEX('Master Database'!$B$5:$B$600,MATCH(B577,'Master Database'!$A$5:$A$600,0)),"(row not found)"))</f>
        <v/>
      </c>
      <c r="E577" s="30"/>
      <c r="F577" s="33" t="str">
        <f>IF(E577="","",IFERROR(INDEX(Vendor_Register!$B$5:$B$205,MATCH(E577,Vendor_Register!$A$5:$A$205,0)),"(not in register)"))</f>
        <v/>
      </c>
      <c r="G577" s="33" t="str">
        <f>IF(E577="","",IFERROR(INDEX(Vendor_Register!$E$5:$E$205,MATCH(E577,Vendor_Register!$A$5:$A$205,0)),"(not in register)"))</f>
        <v/>
      </c>
      <c r="H577" s="30"/>
      <c r="I577" s="30"/>
      <c r="J577" s="30"/>
      <c r="K577" s="30"/>
      <c r="L577" s="30"/>
      <c r="M577" s="34"/>
      <c r="N577" s="30"/>
      <c r="O577" s="35" t="str">
        <f>IF(NOT(ISNUMBER(M577)),"",IFERROR(IF(L577="EUR",M577,IF(L577="IRR",M577/INDEX('Assumptions &amp; FX Reference'!$C$5:$C$25,MATCH(H577,'Assumptions &amp; FX Reference'!$A$5:$A$25,0)),IF(L577="USD",M577*INDEX('Assumptions &amp; FX Reference'!$B$5:$B$25,MATCH(H577,'Assumptions &amp; FX Reference'!$A$5:$A$25,0))/INDEX('Assumptions &amp; FX Reference'!$C$5:$C$25,MATCH(H577,'Assumptions &amp; FX Reference'!$A$5:$A$25,0)),""))),"(FX missing)"))</f>
        <v/>
      </c>
      <c r="P577" s="30"/>
      <c r="Q577" s="30"/>
      <c r="R577" s="30"/>
      <c r="S577" s="30"/>
      <c r="T577" s="30"/>
      <c r="U577" s="30"/>
      <c r="V577" s="30"/>
    </row>
    <row r="578" spans="1:22">
      <c r="A578" s="30"/>
      <c r="B578" s="30"/>
      <c r="C578" s="33" t="str">
        <f>IF(B578="","",IFERROR(INDEX('Master Database'!$D$5:$D$600,MATCH(B578,'Master Database'!$A$5:$A$600,0)),"(row not found)"))</f>
        <v/>
      </c>
      <c r="D578" s="33" t="str">
        <f>IF(B578="","",IFERROR(INDEX('Master Database'!$B$5:$B$600,MATCH(B578,'Master Database'!$A$5:$A$600,0)),"(row not found)"))</f>
        <v/>
      </c>
      <c r="E578" s="30"/>
      <c r="F578" s="33" t="str">
        <f>IF(E578="","",IFERROR(INDEX(Vendor_Register!$B$5:$B$205,MATCH(E578,Vendor_Register!$A$5:$A$205,0)),"(not in register)"))</f>
        <v/>
      </c>
      <c r="G578" s="33" t="str">
        <f>IF(E578="","",IFERROR(INDEX(Vendor_Register!$E$5:$E$205,MATCH(E578,Vendor_Register!$A$5:$A$205,0)),"(not in register)"))</f>
        <v/>
      </c>
      <c r="H578" s="30"/>
      <c r="I578" s="30"/>
      <c r="J578" s="30"/>
      <c r="K578" s="30"/>
      <c r="L578" s="30"/>
      <c r="M578" s="34"/>
      <c r="N578" s="30"/>
      <c r="O578" s="35" t="str">
        <f>IF(NOT(ISNUMBER(M578)),"",IFERROR(IF(L578="EUR",M578,IF(L578="IRR",M578/INDEX('Assumptions &amp; FX Reference'!$C$5:$C$25,MATCH(H578,'Assumptions &amp; FX Reference'!$A$5:$A$25,0)),IF(L578="USD",M578*INDEX('Assumptions &amp; FX Reference'!$B$5:$B$25,MATCH(H578,'Assumptions &amp; FX Reference'!$A$5:$A$25,0))/INDEX('Assumptions &amp; FX Reference'!$C$5:$C$25,MATCH(H578,'Assumptions &amp; FX Reference'!$A$5:$A$25,0)),""))),"(FX missing)"))</f>
        <v/>
      </c>
      <c r="P578" s="30"/>
      <c r="Q578" s="30"/>
      <c r="R578" s="30"/>
      <c r="S578" s="30"/>
      <c r="T578" s="30"/>
      <c r="U578" s="30"/>
      <c r="V578" s="30"/>
    </row>
    <row r="579" spans="1:22">
      <c r="A579" s="30"/>
      <c r="B579" s="30"/>
      <c r="C579" s="33" t="str">
        <f>IF(B579="","",IFERROR(INDEX('Master Database'!$D$5:$D$600,MATCH(B579,'Master Database'!$A$5:$A$600,0)),"(row not found)"))</f>
        <v/>
      </c>
      <c r="D579" s="33" t="str">
        <f>IF(B579="","",IFERROR(INDEX('Master Database'!$B$5:$B$600,MATCH(B579,'Master Database'!$A$5:$A$600,0)),"(row not found)"))</f>
        <v/>
      </c>
      <c r="E579" s="30"/>
      <c r="F579" s="33" t="str">
        <f>IF(E579="","",IFERROR(INDEX(Vendor_Register!$B$5:$B$205,MATCH(E579,Vendor_Register!$A$5:$A$205,0)),"(not in register)"))</f>
        <v/>
      </c>
      <c r="G579" s="33" t="str">
        <f>IF(E579="","",IFERROR(INDEX(Vendor_Register!$E$5:$E$205,MATCH(E579,Vendor_Register!$A$5:$A$205,0)),"(not in register)"))</f>
        <v/>
      </c>
      <c r="H579" s="30"/>
      <c r="I579" s="30"/>
      <c r="J579" s="30"/>
      <c r="K579" s="30"/>
      <c r="L579" s="30"/>
      <c r="M579" s="34"/>
      <c r="N579" s="30"/>
      <c r="O579" s="35" t="str">
        <f>IF(NOT(ISNUMBER(M579)),"",IFERROR(IF(L579="EUR",M579,IF(L579="IRR",M579/INDEX('Assumptions &amp; FX Reference'!$C$5:$C$25,MATCH(H579,'Assumptions &amp; FX Reference'!$A$5:$A$25,0)),IF(L579="USD",M579*INDEX('Assumptions &amp; FX Reference'!$B$5:$B$25,MATCH(H579,'Assumptions &amp; FX Reference'!$A$5:$A$25,0))/INDEX('Assumptions &amp; FX Reference'!$C$5:$C$25,MATCH(H579,'Assumptions &amp; FX Reference'!$A$5:$A$25,0)),""))),"(FX missing)"))</f>
        <v/>
      </c>
      <c r="P579" s="30"/>
      <c r="Q579" s="30"/>
      <c r="R579" s="30"/>
      <c r="S579" s="30"/>
      <c r="T579" s="30"/>
      <c r="U579" s="30"/>
      <c r="V579" s="30"/>
    </row>
    <row r="580" spans="1:22">
      <c r="A580" s="30"/>
      <c r="B580" s="30"/>
      <c r="C580" s="33" t="str">
        <f>IF(B580="","",IFERROR(INDEX('Master Database'!$D$5:$D$600,MATCH(B580,'Master Database'!$A$5:$A$600,0)),"(row not found)"))</f>
        <v/>
      </c>
      <c r="D580" s="33" t="str">
        <f>IF(B580="","",IFERROR(INDEX('Master Database'!$B$5:$B$600,MATCH(B580,'Master Database'!$A$5:$A$600,0)),"(row not found)"))</f>
        <v/>
      </c>
      <c r="E580" s="30"/>
      <c r="F580" s="33" t="str">
        <f>IF(E580="","",IFERROR(INDEX(Vendor_Register!$B$5:$B$205,MATCH(E580,Vendor_Register!$A$5:$A$205,0)),"(not in register)"))</f>
        <v/>
      </c>
      <c r="G580" s="33" t="str">
        <f>IF(E580="","",IFERROR(INDEX(Vendor_Register!$E$5:$E$205,MATCH(E580,Vendor_Register!$A$5:$A$205,0)),"(not in register)"))</f>
        <v/>
      </c>
      <c r="H580" s="30"/>
      <c r="I580" s="30"/>
      <c r="J580" s="30"/>
      <c r="K580" s="30"/>
      <c r="L580" s="30"/>
      <c r="M580" s="34"/>
      <c r="N580" s="30"/>
      <c r="O580" s="35" t="str">
        <f>IF(NOT(ISNUMBER(M580)),"",IFERROR(IF(L580="EUR",M580,IF(L580="IRR",M580/INDEX('Assumptions &amp; FX Reference'!$C$5:$C$25,MATCH(H580,'Assumptions &amp; FX Reference'!$A$5:$A$25,0)),IF(L580="USD",M580*INDEX('Assumptions &amp; FX Reference'!$B$5:$B$25,MATCH(H580,'Assumptions &amp; FX Reference'!$A$5:$A$25,0))/INDEX('Assumptions &amp; FX Reference'!$C$5:$C$25,MATCH(H580,'Assumptions &amp; FX Reference'!$A$5:$A$25,0)),""))),"(FX missing)"))</f>
        <v/>
      </c>
      <c r="P580" s="30"/>
      <c r="Q580" s="30"/>
      <c r="R580" s="30"/>
      <c r="S580" s="30"/>
      <c r="T580" s="30"/>
      <c r="U580" s="30"/>
      <c r="V580" s="30"/>
    </row>
    <row r="581" spans="1:22">
      <c r="A581" s="30"/>
      <c r="B581" s="30"/>
      <c r="C581" s="33" t="str">
        <f>IF(B581="","",IFERROR(INDEX('Master Database'!$D$5:$D$600,MATCH(B581,'Master Database'!$A$5:$A$600,0)),"(row not found)"))</f>
        <v/>
      </c>
      <c r="D581" s="33" t="str">
        <f>IF(B581="","",IFERROR(INDEX('Master Database'!$B$5:$B$600,MATCH(B581,'Master Database'!$A$5:$A$600,0)),"(row not found)"))</f>
        <v/>
      </c>
      <c r="E581" s="30"/>
      <c r="F581" s="33" t="str">
        <f>IF(E581="","",IFERROR(INDEX(Vendor_Register!$B$5:$B$205,MATCH(E581,Vendor_Register!$A$5:$A$205,0)),"(not in register)"))</f>
        <v/>
      </c>
      <c r="G581" s="33" t="str">
        <f>IF(E581="","",IFERROR(INDEX(Vendor_Register!$E$5:$E$205,MATCH(E581,Vendor_Register!$A$5:$A$205,0)),"(not in register)"))</f>
        <v/>
      </c>
      <c r="H581" s="30"/>
      <c r="I581" s="30"/>
      <c r="J581" s="30"/>
      <c r="K581" s="30"/>
      <c r="L581" s="30"/>
      <c r="M581" s="34"/>
      <c r="N581" s="30"/>
      <c r="O581" s="35" t="str">
        <f>IF(NOT(ISNUMBER(M581)),"",IFERROR(IF(L581="EUR",M581,IF(L581="IRR",M581/INDEX('Assumptions &amp; FX Reference'!$C$5:$C$25,MATCH(H581,'Assumptions &amp; FX Reference'!$A$5:$A$25,0)),IF(L581="USD",M581*INDEX('Assumptions &amp; FX Reference'!$B$5:$B$25,MATCH(H581,'Assumptions &amp; FX Reference'!$A$5:$A$25,0))/INDEX('Assumptions &amp; FX Reference'!$C$5:$C$25,MATCH(H581,'Assumptions &amp; FX Reference'!$A$5:$A$25,0)),""))),"(FX missing)"))</f>
        <v/>
      </c>
      <c r="P581" s="30"/>
      <c r="Q581" s="30"/>
      <c r="R581" s="30"/>
      <c r="S581" s="30"/>
      <c r="T581" s="30"/>
      <c r="U581" s="30"/>
      <c r="V581" s="30"/>
    </row>
    <row r="582" spans="1:22">
      <c r="A582" s="30"/>
      <c r="B582" s="30"/>
      <c r="C582" s="33" t="str">
        <f>IF(B582="","",IFERROR(INDEX('Master Database'!$D$5:$D$600,MATCH(B582,'Master Database'!$A$5:$A$600,0)),"(row not found)"))</f>
        <v/>
      </c>
      <c r="D582" s="33" t="str">
        <f>IF(B582="","",IFERROR(INDEX('Master Database'!$B$5:$B$600,MATCH(B582,'Master Database'!$A$5:$A$600,0)),"(row not found)"))</f>
        <v/>
      </c>
      <c r="E582" s="30"/>
      <c r="F582" s="33" t="str">
        <f>IF(E582="","",IFERROR(INDEX(Vendor_Register!$B$5:$B$205,MATCH(E582,Vendor_Register!$A$5:$A$205,0)),"(not in register)"))</f>
        <v/>
      </c>
      <c r="G582" s="33" t="str">
        <f>IF(E582="","",IFERROR(INDEX(Vendor_Register!$E$5:$E$205,MATCH(E582,Vendor_Register!$A$5:$A$205,0)),"(not in register)"))</f>
        <v/>
      </c>
      <c r="H582" s="30"/>
      <c r="I582" s="30"/>
      <c r="J582" s="30"/>
      <c r="K582" s="30"/>
      <c r="L582" s="30"/>
      <c r="M582" s="34"/>
      <c r="N582" s="30"/>
      <c r="O582" s="35" t="str">
        <f>IF(NOT(ISNUMBER(M582)),"",IFERROR(IF(L582="EUR",M582,IF(L582="IRR",M582/INDEX('Assumptions &amp; FX Reference'!$C$5:$C$25,MATCH(H582,'Assumptions &amp; FX Reference'!$A$5:$A$25,0)),IF(L582="USD",M582*INDEX('Assumptions &amp; FX Reference'!$B$5:$B$25,MATCH(H582,'Assumptions &amp; FX Reference'!$A$5:$A$25,0))/INDEX('Assumptions &amp; FX Reference'!$C$5:$C$25,MATCH(H582,'Assumptions &amp; FX Reference'!$A$5:$A$25,0)),""))),"(FX missing)"))</f>
        <v/>
      </c>
      <c r="P582" s="30"/>
      <c r="Q582" s="30"/>
      <c r="R582" s="30"/>
      <c r="S582" s="30"/>
      <c r="T582" s="30"/>
      <c r="U582" s="30"/>
      <c r="V582" s="30"/>
    </row>
    <row r="583" spans="1:22">
      <c r="A583" s="30"/>
      <c r="B583" s="30"/>
      <c r="C583" s="33" t="str">
        <f>IF(B583="","",IFERROR(INDEX('Master Database'!$D$5:$D$600,MATCH(B583,'Master Database'!$A$5:$A$600,0)),"(row not found)"))</f>
        <v/>
      </c>
      <c r="D583" s="33" t="str">
        <f>IF(B583="","",IFERROR(INDEX('Master Database'!$B$5:$B$600,MATCH(B583,'Master Database'!$A$5:$A$600,0)),"(row not found)"))</f>
        <v/>
      </c>
      <c r="E583" s="30"/>
      <c r="F583" s="33" t="str">
        <f>IF(E583="","",IFERROR(INDEX(Vendor_Register!$B$5:$B$205,MATCH(E583,Vendor_Register!$A$5:$A$205,0)),"(not in register)"))</f>
        <v/>
      </c>
      <c r="G583" s="33" t="str">
        <f>IF(E583="","",IFERROR(INDEX(Vendor_Register!$E$5:$E$205,MATCH(E583,Vendor_Register!$A$5:$A$205,0)),"(not in register)"))</f>
        <v/>
      </c>
      <c r="H583" s="30"/>
      <c r="I583" s="30"/>
      <c r="J583" s="30"/>
      <c r="K583" s="30"/>
      <c r="L583" s="30"/>
      <c r="M583" s="34"/>
      <c r="N583" s="30"/>
      <c r="O583" s="35" t="str">
        <f>IF(NOT(ISNUMBER(M583)),"",IFERROR(IF(L583="EUR",M583,IF(L583="IRR",M583/INDEX('Assumptions &amp; FX Reference'!$C$5:$C$25,MATCH(H583,'Assumptions &amp; FX Reference'!$A$5:$A$25,0)),IF(L583="USD",M583*INDEX('Assumptions &amp; FX Reference'!$B$5:$B$25,MATCH(H583,'Assumptions &amp; FX Reference'!$A$5:$A$25,0))/INDEX('Assumptions &amp; FX Reference'!$C$5:$C$25,MATCH(H583,'Assumptions &amp; FX Reference'!$A$5:$A$25,0)),""))),"(FX missing)"))</f>
        <v/>
      </c>
      <c r="P583" s="30"/>
      <c r="Q583" s="30"/>
      <c r="R583" s="30"/>
      <c r="S583" s="30"/>
      <c r="T583" s="30"/>
      <c r="U583" s="30"/>
      <c r="V583" s="30"/>
    </row>
    <row r="584" spans="1:22">
      <c r="A584" s="30"/>
      <c r="B584" s="30"/>
      <c r="C584" s="33" t="str">
        <f>IF(B584="","",IFERROR(INDEX('Master Database'!$D$5:$D$600,MATCH(B584,'Master Database'!$A$5:$A$600,0)),"(row not found)"))</f>
        <v/>
      </c>
      <c r="D584" s="33" t="str">
        <f>IF(B584="","",IFERROR(INDEX('Master Database'!$B$5:$B$600,MATCH(B584,'Master Database'!$A$5:$A$600,0)),"(row not found)"))</f>
        <v/>
      </c>
      <c r="E584" s="30"/>
      <c r="F584" s="33" t="str">
        <f>IF(E584="","",IFERROR(INDEX(Vendor_Register!$B$5:$B$205,MATCH(E584,Vendor_Register!$A$5:$A$205,0)),"(not in register)"))</f>
        <v/>
      </c>
      <c r="G584" s="33" t="str">
        <f>IF(E584="","",IFERROR(INDEX(Vendor_Register!$E$5:$E$205,MATCH(E584,Vendor_Register!$A$5:$A$205,0)),"(not in register)"))</f>
        <v/>
      </c>
      <c r="H584" s="30"/>
      <c r="I584" s="30"/>
      <c r="J584" s="30"/>
      <c r="K584" s="30"/>
      <c r="L584" s="30"/>
      <c r="M584" s="34"/>
      <c r="N584" s="30"/>
      <c r="O584" s="35" t="str">
        <f>IF(NOT(ISNUMBER(M584)),"",IFERROR(IF(L584="EUR",M584,IF(L584="IRR",M584/INDEX('Assumptions &amp; FX Reference'!$C$5:$C$25,MATCH(H584,'Assumptions &amp; FX Reference'!$A$5:$A$25,0)),IF(L584="USD",M584*INDEX('Assumptions &amp; FX Reference'!$B$5:$B$25,MATCH(H584,'Assumptions &amp; FX Reference'!$A$5:$A$25,0))/INDEX('Assumptions &amp; FX Reference'!$C$5:$C$25,MATCH(H584,'Assumptions &amp; FX Reference'!$A$5:$A$25,0)),""))),"(FX missing)"))</f>
        <v/>
      </c>
      <c r="P584" s="30"/>
      <c r="Q584" s="30"/>
      <c r="R584" s="30"/>
      <c r="S584" s="30"/>
      <c r="T584" s="30"/>
      <c r="U584" s="30"/>
      <c r="V584" s="30"/>
    </row>
    <row r="585" spans="1:22">
      <c r="A585" s="30"/>
      <c r="B585" s="30"/>
      <c r="C585" s="33" t="str">
        <f>IF(B585="","",IFERROR(INDEX('Master Database'!$D$5:$D$600,MATCH(B585,'Master Database'!$A$5:$A$600,0)),"(row not found)"))</f>
        <v/>
      </c>
      <c r="D585" s="33" t="str">
        <f>IF(B585="","",IFERROR(INDEX('Master Database'!$B$5:$B$600,MATCH(B585,'Master Database'!$A$5:$A$600,0)),"(row not found)"))</f>
        <v/>
      </c>
      <c r="E585" s="30"/>
      <c r="F585" s="33" t="str">
        <f>IF(E585="","",IFERROR(INDEX(Vendor_Register!$B$5:$B$205,MATCH(E585,Vendor_Register!$A$5:$A$205,0)),"(not in register)"))</f>
        <v/>
      </c>
      <c r="G585" s="33" t="str">
        <f>IF(E585="","",IFERROR(INDEX(Vendor_Register!$E$5:$E$205,MATCH(E585,Vendor_Register!$A$5:$A$205,0)),"(not in register)"))</f>
        <v/>
      </c>
      <c r="H585" s="30"/>
      <c r="I585" s="30"/>
      <c r="J585" s="30"/>
      <c r="K585" s="30"/>
      <c r="L585" s="30"/>
      <c r="M585" s="34"/>
      <c r="N585" s="30"/>
      <c r="O585" s="35" t="str">
        <f>IF(NOT(ISNUMBER(M585)),"",IFERROR(IF(L585="EUR",M585,IF(L585="IRR",M585/INDEX('Assumptions &amp; FX Reference'!$C$5:$C$25,MATCH(H585,'Assumptions &amp; FX Reference'!$A$5:$A$25,0)),IF(L585="USD",M585*INDEX('Assumptions &amp; FX Reference'!$B$5:$B$25,MATCH(H585,'Assumptions &amp; FX Reference'!$A$5:$A$25,0))/INDEX('Assumptions &amp; FX Reference'!$C$5:$C$25,MATCH(H585,'Assumptions &amp; FX Reference'!$A$5:$A$25,0)),""))),"(FX missing)"))</f>
        <v/>
      </c>
      <c r="P585" s="30"/>
      <c r="Q585" s="30"/>
      <c r="R585" s="30"/>
      <c r="S585" s="30"/>
      <c r="T585" s="30"/>
      <c r="U585" s="30"/>
      <c r="V585" s="30"/>
    </row>
    <row r="586" spans="1:22">
      <c r="A586" s="30"/>
      <c r="B586" s="30"/>
      <c r="C586" s="33" t="str">
        <f>IF(B586="","",IFERROR(INDEX('Master Database'!$D$5:$D$600,MATCH(B586,'Master Database'!$A$5:$A$600,0)),"(row not found)"))</f>
        <v/>
      </c>
      <c r="D586" s="33" t="str">
        <f>IF(B586="","",IFERROR(INDEX('Master Database'!$B$5:$B$600,MATCH(B586,'Master Database'!$A$5:$A$600,0)),"(row not found)"))</f>
        <v/>
      </c>
      <c r="E586" s="30"/>
      <c r="F586" s="33" t="str">
        <f>IF(E586="","",IFERROR(INDEX(Vendor_Register!$B$5:$B$205,MATCH(E586,Vendor_Register!$A$5:$A$205,0)),"(not in register)"))</f>
        <v/>
      </c>
      <c r="G586" s="33" t="str">
        <f>IF(E586="","",IFERROR(INDEX(Vendor_Register!$E$5:$E$205,MATCH(E586,Vendor_Register!$A$5:$A$205,0)),"(not in register)"))</f>
        <v/>
      </c>
      <c r="H586" s="30"/>
      <c r="I586" s="30"/>
      <c r="J586" s="30"/>
      <c r="K586" s="30"/>
      <c r="L586" s="30"/>
      <c r="M586" s="34"/>
      <c r="N586" s="30"/>
      <c r="O586" s="35" t="str">
        <f>IF(NOT(ISNUMBER(M586)),"",IFERROR(IF(L586="EUR",M586,IF(L586="IRR",M586/INDEX('Assumptions &amp; FX Reference'!$C$5:$C$25,MATCH(H586,'Assumptions &amp; FX Reference'!$A$5:$A$25,0)),IF(L586="USD",M586*INDEX('Assumptions &amp; FX Reference'!$B$5:$B$25,MATCH(H586,'Assumptions &amp; FX Reference'!$A$5:$A$25,0))/INDEX('Assumptions &amp; FX Reference'!$C$5:$C$25,MATCH(H586,'Assumptions &amp; FX Reference'!$A$5:$A$25,0)),""))),"(FX missing)"))</f>
        <v/>
      </c>
      <c r="P586" s="30"/>
      <c r="Q586" s="30"/>
      <c r="R586" s="30"/>
      <c r="S586" s="30"/>
      <c r="T586" s="30"/>
      <c r="U586" s="30"/>
      <c r="V586" s="30"/>
    </row>
    <row r="587" spans="1:22">
      <c r="A587" s="30"/>
      <c r="B587" s="30"/>
      <c r="C587" s="33" t="str">
        <f>IF(B587="","",IFERROR(INDEX('Master Database'!$D$5:$D$600,MATCH(B587,'Master Database'!$A$5:$A$600,0)),"(row not found)"))</f>
        <v/>
      </c>
      <c r="D587" s="33" t="str">
        <f>IF(B587="","",IFERROR(INDEX('Master Database'!$B$5:$B$600,MATCH(B587,'Master Database'!$A$5:$A$600,0)),"(row not found)"))</f>
        <v/>
      </c>
      <c r="E587" s="30"/>
      <c r="F587" s="33" t="str">
        <f>IF(E587="","",IFERROR(INDEX(Vendor_Register!$B$5:$B$205,MATCH(E587,Vendor_Register!$A$5:$A$205,0)),"(not in register)"))</f>
        <v/>
      </c>
      <c r="G587" s="33" t="str">
        <f>IF(E587="","",IFERROR(INDEX(Vendor_Register!$E$5:$E$205,MATCH(E587,Vendor_Register!$A$5:$A$205,0)),"(not in register)"))</f>
        <v/>
      </c>
      <c r="H587" s="30"/>
      <c r="I587" s="30"/>
      <c r="J587" s="30"/>
      <c r="K587" s="30"/>
      <c r="L587" s="30"/>
      <c r="M587" s="34"/>
      <c r="N587" s="30"/>
      <c r="O587" s="35" t="str">
        <f>IF(NOT(ISNUMBER(M587)),"",IFERROR(IF(L587="EUR",M587,IF(L587="IRR",M587/INDEX('Assumptions &amp; FX Reference'!$C$5:$C$25,MATCH(H587,'Assumptions &amp; FX Reference'!$A$5:$A$25,0)),IF(L587="USD",M587*INDEX('Assumptions &amp; FX Reference'!$B$5:$B$25,MATCH(H587,'Assumptions &amp; FX Reference'!$A$5:$A$25,0))/INDEX('Assumptions &amp; FX Reference'!$C$5:$C$25,MATCH(H587,'Assumptions &amp; FX Reference'!$A$5:$A$25,0)),""))),"(FX missing)"))</f>
        <v/>
      </c>
      <c r="P587" s="30"/>
      <c r="Q587" s="30"/>
      <c r="R587" s="30"/>
      <c r="S587" s="30"/>
      <c r="T587" s="30"/>
      <c r="U587" s="30"/>
      <c r="V587" s="30"/>
    </row>
    <row r="588" spans="1:22">
      <c r="A588" s="30"/>
      <c r="B588" s="30"/>
      <c r="C588" s="33" t="str">
        <f>IF(B588="","",IFERROR(INDEX('Master Database'!$D$5:$D$600,MATCH(B588,'Master Database'!$A$5:$A$600,0)),"(row not found)"))</f>
        <v/>
      </c>
      <c r="D588" s="33" t="str">
        <f>IF(B588="","",IFERROR(INDEX('Master Database'!$B$5:$B$600,MATCH(B588,'Master Database'!$A$5:$A$600,0)),"(row not found)"))</f>
        <v/>
      </c>
      <c r="E588" s="30"/>
      <c r="F588" s="33" t="str">
        <f>IF(E588="","",IFERROR(INDEX(Vendor_Register!$B$5:$B$205,MATCH(E588,Vendor_Register!$A$5:$A$205,0)),"(not in register)"))</f>
        <v/>
      </c>
      <c r="G588" s="33" t="str">
        <f>IF(E588="","",IFERROR(INDEX(Vendor_Register!$E$5:$E$205,MATCH(E588,Vendor_Register!$A$5:$A$205,0)),"(not in register)"))</f>
        <v/>
      </c>
      <c r="H588" s="30"/>
      <c r="I588" s="30"/>
      <c r="J588" s="30"/>
      <c r="K588" s="30"/>
      <c r="L588" s="30"/>
      <c r="M588" s="34"/>
      <c r="N588" s="30"/>
      <c r="O588" s="35" t="str">
        <f>IF(NOT(ISNUMBER(M588)),"",IFERROR(IF(L588="EUR",M588,IF(L588="IRR",M588/INDEX('Assumptions &amp; FX Reference'!$C$5:$C$25,MATCH(H588,'Assumptions &amp; FX Reference'!$A$5:$A$25,0)),IF(L588="USD",M588*INDEX('Assumptions &amp; FX Reference'!$B$5:$B$25,MATCH(H588,'Assumptions &amp; FX Reference'!$A$5:$A$25,0))/INDEX('Assumptions &amp; FX Reference'!$C$5:$C$25,MATCH(H588,'Assumptions &amp; FX Reference'!$A$5:$A$25,0)),""))),"(FX missing)"))</f>
        <v/>
      </c>
      <c r="P588" s="30"/>
      <c r="Q588" s="30"/>
      <c r="R588" s="30"/>
      <c r="S588" s="30"/>
      <c r="T588" s="30"/>
      <c r="U588" s="30"/>
      <c r="V588" s="30"/>
    </row>
    <row r="589" spans="1:22">
      <c r="A589" s="30"/>
      <c r="B589" s="30"/>
      <c r="C589" s="33" t="str">
        <f>IF(B589="","",IFERROR(INDEX('Master Database'!$D$5:$D$600,MATCH(B589,'Master Database'!$A$5:$A$600,0)),"(row not found)"))</f>
        <v/>
      </c>
      <c r="D589" s="33" t="str">
        <f>IF(B589="","",IFERROR(INDEX('Master Database'!$B$5:$B$600,MATCH(B589,'Master Database'!$A$5:$A$600,0)),"(row not found)"))</f>
        <v/>
      </c>
      <c r="E589" s="30"/>
      <c r="F589" s="33" t="str">
        <f>IF(E589="","",IFERROR(INDEX(Vendor_Register!$B$5:$B$205,MATCH(E589,Vendor_Register!$A$5:$A$205,0)),"(not in register)"))</f>
        <v/>
      </c>
      <c r="G589" s="33" t="str">
        <f>IF(E589="","",IFERROR(INDEX(Vendor_Register!$E$5:$E$205,MATCH(E589,Vendor_Register!$A$5:$A$205,0)),"(not in register)"))</f>
        <v/>
      </c>
      <c r="H589" s="30"/>
      <c r="I589" s="30"/>
      <c r="J589" s="30"/>
      <c r="K589" s="30"/>
      <c r="L589" s="30"/>
      <c r="M589" s="34"/>
      <c r="N589" s="30"/>
      <c r="O589" s="35" t="str">
        <f>IF(NOT(ISNUMBER(M589)),"",IFERROR(IF(L589="EUR",M589,IF(L589="IRR",M589/INDEX('Assumptions &amp; FX Reference'!$C$5:$C$25,MATCH(H589,'Assumptions &amp; FX Reference'!$A$5:$A$25,0)),IF(L589="USD",M589*INDEX('Assumptions &amp; FX Reference'!$B$5:$B$25,MATCH(H589,'Assumptions &amp; FX Reference'!$A$5:$A$25,0))/INDEX('Assumptions &amp; FX Reference'!$C$5:$C$25,MATCH(H589,'Assumptions &amp; FX Reference'!$A$5:$A$25,0)),""))),"(FX missing)"))</f>
        <v/>
      </c>
      <c r="P589" s="30"/>
      <c r="Q589" s="30"/>
      <c r="R589" s="30"/>
      <c r="S589" s="30"/>
      <c r="T589" s="30"/>
      <c r="U589" s="30"/>
      <c r="V589" s="30"/>
    </row>
    <row r="590" spans="1:22">
      <c r="A590" s="30"/>
      <c r="B590" s="30"/>
      <c r="C590" s="33" t="str">
        <f>IF(B590="","",IFERROR(INDEX('Master Database'!$D$5:$D$600,MATCH(B590,'Master Database'!$A$5:$A$600,0)),"(row not found)"))</f>
        <v/>
      </c>
      <c r="D590" s="33" t="str">
        <f>IF(B590="","",IFERROR(INDEX('Master Database'!$B$5:$B$600,MATCH(B590,'Master Database'!$A$5:$A$600,0)),"(row not found)"))</f>
        <v/>
      </c>
      <c r="E590" s="30"/>
      <c r="F590" s="33" t="str">
        <f>IF(E590="","",IFERROR(INDEX(Vendor_Register!$B$5:$B$205,MATCH(E590,Vendor_Register!$A$5:$A$205,0)),"(not in register)"))</f>
        <v/>
      </c>
      <c r="G590" s="33" t="str">
        <f>IF(E590="","",IFERROR(INDEX(Vendor_Register!$E$5:$E$205,MATCH(E590,Vendor_Register!$A$5:$A$205,0)),"(not in register)"))</f>
        <v/>
      </c>
      <c r="H590" s="30"/>
      <c r="I590" s="30"/>
      <c r="J590" s="30"/>
      <c r="K590" s="30"/>
      <c r="L590" s="30"/>
      <c r="M590" s="34"/>
      <c r="N590" s="30"/>
      <c r="O590" s="35" t="str">
        <f>IF(NOT(ISNUMBER(M590)),"",IFERROR(IF(L590="EUR",M590,IF(L590="IRR",M590/INDEX('Assumptions &amp; FX Reference'!$C$5:$C$25,MATCH(H590,'Assumptions &amp; FX Reference'!$A$5:$A$25,0)),IF(L590="USD",M590*INDEX('Assumptions &amp; FX Reference'!$B$5:$B$25,MATCH(H590,'Assumptions &amp; FX Reference'!$A$5:$A$25,0))/INDEX('Assumptions &amp; FX Reference'!$C$5:$C$25,MATCH(H590,'Assumptions &amp; FX Reference'!$A$5:$A$25,0)),""))),"(FX missing)"))</f>
        <v/>
      </c>
      <c r="P590" s="30"/>
      <c r="Q590" s="30"/>
      <c r="R590" s="30"/>
      <c r="S590" s="30"/>
      <c r="T590" s="30"/>
      <c r="U590" s="30"/>
      <c r="V590" s="30"/>
    </row>
    <row r="591" spans="1:22">
      <c r="A591" s="30"/>
      <c r="B591" s="30"/>
      <c r="C591" s="33" t="str">
        <f>IF(B591="","",IFERROR(INDEX('Master Database'!$D$5:$D$600,MATCH(B591,'Master Database'!$A$5:$A$600,0)),"(row not found)"))</f>
        <v/>
      </c>
      <c r="D591" s="33" t="str">
        <f>IF(B591="","",IFERROR(INDEX('Master Database'!$B$5:$B$600,MATCH(B591,'Master Database'!$A$5:$A$600,0)),"(row not found)"))</f>
        <v/>
      </c>
      <c r="E591" s="30"/>
      <c r="F591" s="33" t="str">
        <f>IF(E591="","",IFERROR(INDEX(Vendor_Register!$B$5:$B$205,MATCH(E591,Vendor_Register!$A$5:$A$205,0)),"(not in register)"))</f>
        <v/>
      </c>
      <c r="G591" s="33" t="str">
        <f>IF(E591="","",IFERROR(INDEX(Vendor_Register!$E$5:$E$205,MATCH(E591,Vendor_Register!$A$5:$A$205,0)),"(not in register)"))</f>
        <v/>
      </c>
      <c r="H591" s="30"/>
      <c r="I591" s="30"/>
      <c r="J591" s="30"/>
      <c r="K591" s="30"/>
      <c r="L591" s="30"/>
      <c r="M591" s="34"/>
      <c r="N591" s="30"/>
      <c r="O591" s="35" t="str">
        <f>IF(NOT(ISNUMBER(M591)),"",IFERROR(IF(L591="EUR",M591,IF(L591="IRR",M591/INDEX('Assumptions &amp; FX Reference'!$C$5:$C$25,MATCH(H591,'Assumptions &amp; FX Reference'!$A$5:$A$25,0)),IF(L591="USD",M591*INDEX('Assumptions &amp; FX Reference'!$B$5:$B$25,MATCH(H591,'Assumptions &amp; FX Reference'!$A$5:$A$25,0))/INDEX('Assumptions &amp; FX Reference'!$C$5:$C$25,MATCH(H591,'Assumptions &amp; FX Reference'!$A$5:$A$25,0)),""))),"(FX missing)"))</f>
        <v/>
      </c>
      <c r="P591" s="30"/>
      <c r="Q591" s="30"/>
      <c r="R591" s="30"/>
      <c r="S591" s="30"/>
      <c r="T591" s="30"/>
      <c r="U591" s="30"/>
      <c r="V591" s="30"/>
    </row>
    <row r="592" spans="1:22">
      <c r="A592" s="30"/>
      <c r="B592" s="30"/>
      <c r="C592" s="33" t="str">
        <f>IF(B592="","",IFERROR(INDEX('Master Database'!$D$5:$D$600,MATCH(B592,'Master Database'!$A$5:$A$600,0)),"(row not found)"))</f>
        <v/>
      </c>
      <c r="D592" s="33" t="str">
        <f>IF(B592="","",IFERROR(INDEX('Master Database'!$B$5:$B$600,MATCH(B592,'Master Database'!$A$5:$A$600,0)),"(row not found)"))</f>
        <v/>
      </c>
      <c r="E592" s="30"/>
      <c r="F592" s="33" t="str">
        <f>IF(E592="","",IFERROR(INDEX(Vendor_Register!$B$5:$B$205,MATCH(E592,Vendor_Register!$A$5:$A$205,0)),"(not in register)"))</f>
        <v/>
      </c>
      <c r="G592" s="33" t="str">
        <f>IF(E592="","",IFERROR(INDEX(Vendor_Register!$E$5:$E$205,MATCH(E592,Vendor_Register!$A$5:$A$205,0)),"(not in register)"))</f>
        <v/>
      </c>
      <c r="H592" s="30"/>
      <c r="I592" s="30"/>
      <c r="J592" s="30"/>
      <c r="K592" s="30"/>
      <c r="L592" s="30"/>
      <c r="M592" s="34"/>
      <c r="N592" s="30"/>
      <c r="O592" s="35" t="str">
        <f>IF(NOT(ISNUMBER(M592)),"",IFERROR(IF(L592="EUR",M592,IF(L592="IRR",M592/INDEX('Assumptions &amp; FX Reference'!$C$5:$C$25,MATCH(H592,'Assumptions &amp; FX Reference'!$A$5:$A$25,0)),IF(L592="USD",M592*INDEX('Assumptions &amp; FX Reference'!$B$5:$B$25,MATCH(H592,'Assumptions &amp; FX Reference'!$A$5:$A$25,0))/INDEX('Assumptions &amp; FX Reference'!$C$5:$C$25,MATCH(H592,'Assumptions &amp; FX Reference'!$A$5:$A$25,0)),""))),"(FX missing)"))</f>
        <v/>
      </c>
      <c r="P592" s="30"/>
      <c r="Q592" s="30"/>
      <c r="R592" s="30"/>
      <c r="S592" s="30"/>
      <c r="T592" s="30"/>
      <c r="U592" s="30"/>
      <c r="V592" s="30"/>
    </row>
    <row r="593" spans="1:22">
      <c r="A593" s="30"/>
      <c r="B593" s="30"/>
      <c r="C593" s="33" t="str">
        <f>IF(B593="","",IFERROR(INDEX('Master Database'!$D$5:$D$600,MATCH(B593,'Master Database'!$A$5:$A$600,0)),"(row not found)"))</f>
        <v/>
      </c>
      <c r="D593" s="33" t="str">
        <f>IF(B593="","",IFERROR(INDEX('Master Database'!$B$5:$B$600,MATCH(B593,'Master Database'!$A$5:$A$600,0)),"(row not found)"))</f>
        <v/>
      </c>
      <c r="E593" s="30"/>
      <c r="F593" s="33" t="str">
        <f>IF(E593="","",IFERROR(INDEX(Vendor_Register!$B$5:$B$205,MATCH(E593,Vendor_Register!$A$5:$A$205,0)),"(not in register)"))</f>
        <v/>
      </c>
      <c r="G593" s="33" t="str">
        <f>IF(E593="","",IFERROR(INDEX(Vendor_Register!$E$5:$E$205,MATCH(E593,Vendor_Register!$A$5:$A$205,0)),"(not in register)"))</f>
        <v/>
      </c>
      <c r="H593" s="30"/>
      <c r="I593" s="30"/>
      <c r="J593" s="30"/>
      <c r="K593" s="30"/>
      <c r="L593" s="30"/>
      <c r="M593" s="34"/>
      <c r="N593" s="30"/>
      <c r="O593" s="35" t="str">
        <f>IF(NOT(ISNUMBER(M593)),"",IFERROR(IF(L593="EUR",M593,IF(L593="IRR",M593/INDEX('Assumptions &amp; FX Reference'!$C$5:$C$25,MATCH(H593,'Assumptions &amp; FX Reference'!$A$5:$A$25,0)),IF(L593="USD",M593*INDEX('Assumptions &amp; FX Reference'!$B$5:$B$25,MATCH(H593,'Assumptions &amp; FX Reference'!$A$5:$A$25,0))/INDEX('Assumptions &amp; FX Reference'!$C$5:$C$25,MATCH(H593,'Assumptions &amp; FX Reference'!$A$5:$A$25,0)),""))),"(FX missing)"))</f>
        <v/>
      </c>
      <c r="P593" s="30"/>
      <c r="Q593" s="30"/>
      <c r="R593" s="30"/>
      <c r="S593" s="30"/>
      <c r="T593" s="30"/>
      <c r="U593" s="30"/>
      <c r="V593" s="30"/>
    </row>
    <row r="594" spans="1:22">
      <c r="A594" s="30"/>
      <c r="B594" s="30"/>
      <c r="C594" s="33" t="str">
        <f>IF(B594="","",IFERROR(INDEX('Master Database'!$D$5:$D$600,MATCH(B594,'Master Database'!$A$5:$A$600,0)),"(row not found)"))</f>
        <v/>
      </c>
      <c r="D594" s="33" t="str">
        <f>IF(B594="","",IFERROR(INDEX('Master Database'!$B$5:$B$600,MATCH(B594,'Master Database'!$A$5:$A$600,0)),"(row not found)"))</f>
        <v/>
      </c>
      <c r="E594" s="30"/>
      <c r="F594" s="33" t="str">
        <f>IF(E594="","",IFERROR(INDEX(Vendor_Register!$B$5:$B$205,MATCH(E594,Vendor_Register!$A$5:$A$205,0)),"(not in register)"))</f>
        <v/>
      </c>
      <c r="G594" s="33" t="str">
        <f>IF(E594="","",IFERROR(INDEX(Vendor_Register!$E$5:$E$205,MATCH(E594,Vendor_Register!$A$5:$A$205,0)),"(not in register)"))</f>
        <v/>
      </c>
      <c r="H594" s="30"/>
      <c r="I594" s="30"/>
      <c r="J594" s="30"/>
      <c r="K594" s="30"/>
      <c r="L594" s="30"/>
      <c r="M594" s="34"/>
      <c r="N594" s="30"/>
      <c r="O594" s="35" t="str">
        <f>IF(NOT(ISNUMBER(M594)),"",IFERROR(IF(L594="EUR",M594,IF(L594="IRR",M594/INDEX('Assumptions &amp; FX Reference'!$C$5:$C$25,MATCH(H594,'Assumptions &amp; FX Reference'!$A$5:$A$25,0)),IF(L594="USD",M594*INDEX('Assumptions &amp; FX Reference'!$B$5:$B$25,MATCH(H594,'Assumptions &amp; FX Reference'!$A$5:$A$25,0))/INDEX('Assumptions &amp; FX Reference'!$C$5:$C$25,MATCH(H594,'Assumptions &amp; FX Reference'!$A$5:$A$25,0)),""))),"(FX missing)"))</f>
        <v/>
      </c>
      <c r="P594" s="30"/>
      <c r="Q594" s="30"/>
      <c r="R594" s="30"/>
      <c r="S594" s="30"/>
      <c r="T594" s="30"/>
      <c r="U594" s="30"/>
      <c r="V594" s="30"/>
    </row>
    <row r="595" spans="1:22">
      <c r="A595" s="30"/>
      <c r="B595" s="30"/>
      <c r="C595" s="33" t="str">
        <f>IF(B595="","",IFERROR(INDEX('Master Database'!$D$5:$D$600,MATCH(B595,'Master Database'!$A$5:$A$600,0)),"(row not found)"))</f>
        <v/>
      </c>
      <c r="D595" s="33" t="str">
        <f>IF(B595="","",IFERROR(INDEX('Master Database'!$B$5:$B$600,MATCH(B595,'Master Database'!$A$5:$A$600,0)),"(row not found)"))</f>
        <v/>
      </c>
      <c r="E595" s="30"/>
      <c r="F595" s="33" t="str">
        <f>IF(E595="","",IFERROR(INDEX(Vendor_Register!$B$5:$B$205,MATCH(E595,Vendor_Register!$A$5:$A$205,0)),"(not in register)"))</f>
        <v/>
      </c>
      <c r="G595" s="33" t="str">
        <f>IF(E595="","",IFERROR(INDEX(Vendor_Register!$E$5:$E$205,MATCH(E595,Vendor_Register!$A$5:$A$205,0)),"(not in register)"))</f>
        <v/>
      </c>
      <c r="H595" s="30"/>
      <c r="I595" s="30"/>
      <c r="J595" s="30"/>
      <c r="K595" s="30"/>
      <c r="L595" s="30"/>
      <c r="M595" s="34"/>
      <c r="N595" s="30"/>
      <c r="O595" s="35" t="str">
        <f>IF(NOT(ISNUMBER(M595)),"",IFERROR(IF(L595="EUR",M595,IF(L595="IRR",M595/INDEX('Assumptions &amp; FX Reference'!$C$5:$C$25,MATCH(H595,'Assumptions &amp; FX Reference'!$A$5:$A$25,0)),IF(L595="USD",M595*INDEX('Assumptions &amp; FX Reference'!$B$5:$B$25,MATCH(H595,'Assumptions &amp; FX Reference'!$A$5:$A$25,0))/INDEX('Assumptions &amp; FX Reference'!$C$5:$C$25,MATCH(H595,'Assumptions &amp; FX Reference'!$A$5:$A$25,0)),""))),"(FX missing)"))</f>
        <v/>
      </c>
      <c r="P595" s="30"/>
      <c r="Q595" s="30"/>
      <c r="R595" s="30"/>
      <c r="S595" s="30"/>
      <c r="T595" s="30"/>
      <c r="U595" s="30"/>
      <c r="V595" s="30"/>
    </row>
    <row r="596" spans="1:22">
      <c r="A596" s="30"/>
      <c r="B596" s="30"/>
      <c r="C596" s="33" t="str">
        <f>IF(B596="","",IFERROR(INDEX('Master Database'!$D$5:$D$600,MATCH(B596,'Master Database'!$A$5:$A$600,0)),"(row not found)"))</f>
        <v/>
      </c>
      <c r="D596" s="33" t="str">
        <f>IF(B596="","",IFERROR(INDEX('Master Database'!$B$5:$B$600,MATCH(B596,'Master Database'!$A$5:$A$600,0)),"(row not found)"))</f>
        <v/>
      </c>
      <c r="E596" s="30"/>
      <c r="F596" s="33" t="str">
        <f>IF(E596="","",IFERROR(INDEX(Vendor_Register!$B$5:$B$205,MATCH(E596,Vendor_Register!$A$5:$A$205,0)),"(not in register)"))</f>
        <v/>
      </c>
      <c r="G596" s="33" t="str">
        <f>IF(E596="","",IFERROR(INDEX(Vendor_Register!$E$5:$E$205,MATCH(E596,Vendor_Register!$A$5:$A$205,0)),"(not in register)"))</f>
        <v/>
      </c>
      <c r="H596" s="30"/>
      <c r="I596" s="30"/>
      <c r="J596" s="30"/>
      <c r="K596" s="30"/>
      <c r="L596" s="30"/>
      <c r="M596" s="34"/>
      <c r="N596" s="30"/>
      <c r="O596" s="35" t="str">
        <f>IF(NOT(ISNUMBER(M596)),"",IFERROR(IF(L596="EUR",M596,IF(L596="IRR",M596/INDEX('Assumptions &amp; FX Reference'!$C$5:$C$25,MATCH(H596,'Assumptions &amp; FX Reference'!$A$5:$A$25,0)),IF(L596="USD",M596*INDEX('Assumptions &amp; FX Reference'!$B$5:$B$25,MATCH(H596,'Assumptions &amp; FX Reference'!$A$5:$A$25,0))/INDEX('Assumptions &amp; FX Reference'!$C$5:$C$25,MATCH(H596,'Assumptions &amp; FX Reference'!$A$5:$A$25,0)),""))),"(FX missing)"))</f>
        <v/>
      </c>
      <c r="P596" s="30"/>
      <c r="Q596" s="30"/>
      <c r="R596" s="30"/>
      <c r="S596" s="30"/>
      <c r="T596" s="30"/>
      <c r="U596" s="30"/>
      <c r="V596" s="30"/>
    </row>
    <row r="597" spans="1:22">
      <c r="A597" s="30"/>
      <c r="B597" s="30"/>
      <c r="C597" s="33" t="str">
        <f>IF(B597="","",IFERROR(INDEX('Master Database'!$D$5:$D$600,MATCH(B597,'Master Database'!$A$5:$A$600,0)),"(row not found)"))</f>
        <v/>
      </c>
      <c r="D597" s="33" t="str">
        <f>IF(B597="","",IFERROR(INDEX('Master Database'!$B$5:$B$600,MATCH(B597,'Master Database'!$A$5:$A$600,0)),"(row not found)"))</f>
        <v/>
      </c>
      <c r="E597" s="30"/>
      <c r="F597" s="33" t="str">
        <f>IF(E597="","",IFERROR(INDEX(Vendor_Register!$B$5:$B$205,MATCH(E597,Vendor_Register!$A$5:$A$205,0)),"(not in register)"))</f>
        <v/>
      </c>
      <c r="G597" s="33" t="str">
        <f>IF(E597="","",IFERROR(INDEX(Vendor_Register!$E$5:$E$205,MATCH(E597,Vendor_Register!$A$5:$A$205,0)),"(not in register)"))</f>
        <v/>
      </c>
      <c r="H597" s="30"/>
      <c r="I597" s="30"/>
      <c r="J597" s="30"/>
      <c r="K597" s="30"/>
      <c r="L597" s="30"/>
      <c r="M597" s="34"/>
      <c r="N597" s="30"/>
      <c r="O597" s="35" t="str">
        <f>IF(NOT(ISNUMBER(M597)),"",IFERROR(IF(L597="EUR",M597,IF(L597="IRR",M597/INDEX('Assumptions &amp; FX Reference'!$C$5:$C$25,MATCH(H597,'Assumptions &amp; FX Reference'!$A$5:$A$25,0)),IF(L597="USD",M597*INDEX('Assumptions &amp; FX Reference'!$B$5:$B$25,MATCH(H597,'Assumptions &amp; FX Reference'!$A$5:$A$25,0))/INDEX('Assumptions &amp; FX Reference'!$C$5:$C$25,MATCH(H597,'Assumptions &amp; FX Reference'!$A$5:$A$25,0)),""))),"(FX missing)"))</f>
        <v/>
      </c>
      <c r="P597" s="30"/>
      <c r="Q597" s="30"/>
      <c r="R597" s="30"/>
      <c r="S597" s="30"/>
      <c r="T597" s="30"/>
      <c r="U597" s="30"/>
      <c r="V597" s="30"/>
    </row>
    <row r="598" spans="1:22">
      <c r="A598" s="30"/>
      <c r="B598" s="30"/>
      <c r="C598" s="33" t="str">
        <f>IF(B598="","",IFERROR(INDEX('Master Database'!$D$5:$D$600,MATCH(B598,'Master Database'!$A$5:$A$600,0)),"(row not found)"))</f>
        <v/>
      </c>
      <c r="D598" s="33" t="str">
        <f>IF(B598="","",IFERROR(INDEX('Master Database'!$B$5:$B$600,MATCH(B598,'Master Database'!$A$5:$A$600,0)),"(row not found)"))</f>
        <v/>
      </c>
      <c r="E598" s="30"/>
      <c r="F598" s="33" t="str">
        <f>IF(E598="","",IFERROR(INDEX(Vendor_Register!$B$5:$B$205,MATCH(E598,Vendor_Register!$A$5:$A$205,0)),"(not in register)"))</f>
        <v/>
      </c>
      <c r="G598" s="33" t="str">
        <f>IF(E598="","",IFERROR(INDEX(Vendor_Register!$E$5:$E$205,MATCH(E598,Vendor_Register!$A$5:$A$205,0)),"(not in register)"))</f>
        <v/>
      </c>
      <c r="H598" s="30"/>
      <c r="I598" s="30"/>
      <c r="J598" s="30"/>
      <c r="K598" s="30"/>
      <c r="L598" s="30"/>
      <c r="M598" s="34"/>
      <c r="N598" s="30"/>
      <c r="O598" s="35" t="str">
        <f>IF(NOT(ISNUMBER(M598)),"",IFERROR(IF(L598="EUR",M598,IF(L598="IRR",M598/INDEX('Assumptions &amp; FX Reference'!$C$5:$C$25,MATCH(H598,'Assumptions &amp; FX Reference'!$A$5:$A$25,0)),IF(L598="USD",M598*INDEX('Assumptions &amp; FX Reference'!$B$5:$B$25,MATCH(H598,'Assumptions &amp; FX Reference'!$A$5:$A$25,0))/INDEX('Assumptions &amp; FX Reference'!$C$5:$C$25,MATCH(H598,'Assumptions &amp; FX Reference'!$A$5:$A$25,0)),""))),"(FX missing)"))</f>
        <v/>
      </c>
      <c r="P598" s="30"/>
      <c r="Q598" s="30"/>
      <c r="R598" s="30"/>
      <c r="S598" s="30"/>
      <c r="T598" s="30"/>
      <c r="U598" s="30"/>
      <c r="V598" s="30"/>
    </row>
    <row r="599" spans="1:22">
      <c r="A599" s="30"/>
      <c r="B599" s="30"/>
      <c r="C599" s="33" t="str">
        <f>IF(B599="","",IFERROR(INDEX('Master Database'!$D$5:$D$600,MATCH(B599,'Master Database'!$A$5:$A$600,0)),"(row not found)"))</f>
        <v/>
      </c>
      <c r="D599" s="33" t="str">
        <f>IF(B599="","",IFERROR(INDEX('Master Database'!$B$5:$B$600,MATCH(B599,'Master Database'!$A$5:$A$600,0)),"(row not found)"))</f>
        <v/>
      </c>
      <c r="E599" s="30"/>
      <c r="F599" s="33" t="str">
        <f>IF(E599="","",IFERROR(INDEX(Vendor_Register!$B$5:$B$205,MATCH(E599,Vendor_Register!$A$5:$A$205,0)),"(not in register)"))</f>
        <v/>
      </c>
      <c r="G599" s="33" t="str">
        <f>IF(E599="","",IFERROR(INDEX(Vendor_Register!$E$5:$E$205,MATCH(E599,Vendor_Register!$A$5:$A$205,0)),"(not in register)"))</f>
        <v/>
      </c>
      <c r="H599" s="30"/>
      <c r="I599" s="30"/>
      <c r="J599" s="30"/>
      <c r="K599" s="30"/>
      <c r="L599" s="30"/>
      <c r="M599" s="34"/>
      <c r="N599" s="30"/>
      <c r="O599" s="35" t="str">
        <f>IF(NOT(ISNUMBER(M599)),"",IFERROR(IF(L599="EUR",M599,IF(L599="IRR",M599/INDEX('Assumptions &amp; FX Reference'!$C$5:$C$25,MATCH(H599,'Assumptions &amp; FX Reference'!$A$5:$A$25,0)),IF(L599="USD",M599*INDEX('Assumptions &amp; FX Reference'!$B$5:$B$25,MATCH(H599,'Assumptions &amp; FX Reference'!$A$5:$A$25,0))/INDEX('Assumptions &amp; FX Reference'!$C$5:$C$25,MATCH(H599,'Assumptions &amp; FX Reference'!$A$5:$A$25,0)),""))),"(FX missing)"))</f>
        <v/>
      </c>
      <c r="P599" s="30"/>
      <c r="Q599" s="30"/>
      <c r="R599" s="30"/>
      <c r="S599" s="30"/>
      <c r="T599" s="30"/>
      <c r="U599" s="30"/>
      <c r="V599" s="30"/>
    </row>
    <row r="600" spans="1:22">
      <c r="A600" s="30"/>
      <c r="B600" s="30"/>
      <c r="C600" s="33" t="str">
        <f>IF(B600="","",IFERROR(INDEX('Master Database'!$D$5:$D$600,MATCH(B600,'Master Database'!$A$5:$A$600,0)),"(row not found)"))</f>
        <v/>
      </c>
      <c r="D600" s="33" t="str">
        <f>IF(B600="","",IFERROR(INDEX('Master Database'!$B$5:$B$600,MATCH(B600,'Master Database'!$A$5:$A$600,0)),"(row not found)"))</f>
        <v/>
      </c>
      <c r="E600" s="30"/>
      <c r="F600" s="33" t="str">
        <f>IF(E600="","",IFERROR(INDEX(Vendor_Register!$B$5:$B$205,MATCH(E600,Vendor_Register!$A$5:$A$205,0)),"(not in register)"))</f>
        <v/>
      </c>
      <c r="G600" s="33" t="str">
        <f>IF(E600="","",IFERROR(INDEX(Vendor_Register!$E$5:$E$205,MATCH(E600,Vendor_Register!$A$5:$A$205,0)),"(not in register)"))</f>
        <v/>
      </c>
      <c r="H600" s="30"/>
      <c r="I600" s="30"/>
      <c r="J600" s="30"/>
      <c r="K600" s="30"/>
      <c r="L600" s="30"/>
      <c r="M600" s="34"/>
      <c r="N600" s="30"/>
      <c r="O600" s="35" t="str">
        <f>IF(NOT(ISNUMBER(M600)),"",IFERROR(IF(L600="EUR",M600,IF(L600="IRR",M600/INDEX('Assumptions &amp; FX Reference'!$C$5:$C$25,MATCH(H600,'Assumptions &amp; FX Reference'!$A$5:$A$25,0)),IF(L600="USD",M600*INDEX('Assumptions &amp; FX Reference'!$B$5:$B$25,MATCH(H600,'Assumptions &amp; FX Reference'!$A$5:$A$25,0))/INDEX('Assumptions &amp; FX Reference'!$C$5:$C$25,MATCH(H600,'Assumptions &amp; FX Reference'!$A$5:$A$25,0)),""))),"(FX missing)"))</f>
        <v/>
      </c>
      <c r="P600" s="30"/>
      <c r="Q600" s="30"/>
      <c r="R600" s="30"/>
      <c r="S600" s="30"/>
      <c r="T600" s="30"/>
      <c r="U600" s="30"/>
      <c r="V600" s="30"/>
    </row>
    <row r="601" spans="1:22">
      <c r="A601" s="30"/>
      <c r="B601" s="30"/>
      <c r="C601" s="33" t="str">
        <f>IF(B601="","",IFERROR(INDEX('Master Database'!$D$5:$D$600,MATCH(B601,'Master Database'!$A$5:$A$600,0)),"(row not found)"))</f>
        <v/>
      </c>
      <c r="D601" s="33" t="str">
        <f>IF(B601="","",IFERROR(INDEX('Master Database'!$B$5:$B$600,MATCH(B601,'Master Database'!$A$5:$A$600,0)),"(row not found)"))</f>
        <v/>
      </c>
      <c r="E601" s="30"/>
      <c r="F601" s="33" t="str">
        <f>IF(E601="","",IFERROR(INDEX(Vendor_Register!$B$5:$B$205,MATCH(E601,Vendor_Register!$A$5:$A$205,0)),"(not in register)"))</f>
        <v/>
      </c>
      <c r="G601" s="33" t="str">
        <f>IF(E601="","",IFERROR(INDEX(Vendor_Register!$E$5:$E$205,MATCH(E601,Vendor_Register!$A$5:$A$205,0)),"(not in register)"))</f>
        <v/>
      </c>
      <c r="H601" s="30"/>
      <c r="I601" s="30"/>
      <c r="J601" s="30"/>
      <c r="K601" s="30"/>
      <c r="L601" s="30"/>
      <c r="M601" s="34"/>
      <c r="N601" s="30"/>
      <c r="O601" s="35" t="str">
        <f>IF(NOT(ISNUMBER(M601)),"",IFERROR(IF(L601="EUR",M601,IF(L601="IRR",M601/INDEX('Assumptions &amp; FX Reference'!$C$5:$C$25,MATCH(H601,'Assumptions &amp; FX Reference'!$A$5:$A$25,0)),IF(L601="USD",M601*INDEX('Assumptions &amp; FX Reference'!$B$5:$B$25,MATCH(H601,'Assumptions &amp; FX Reference'!$A$5:$A$25,0))/INDEX('Assumptions &amp; FX Reference'!$C$5:$C$25,MATCH(H601,'Assumptions &amp; FX Reference'!$A$5:$A$25,0)),""))),"(FX missing)"))</f>
        <v/>
      </c>
      <c r="P601" s="30"/>
      <c r="Q601" s="30"/>
      <c r="R601" s="30"/>
      <c r="S601" s="30"/>
      <c r="T601" s="30"/>
      <c r="U601" s="30"/>
      <c r="V601" s="30"/>
    </row>
    <row r="602" spans="1:22">
      <c r="A602" s="30"/>
      <c r="B602" s="30"/>
      <c r="C602" s="33" t="str">
        <f>IF(B602="","",IFERROR(INDEX('Master Database'!$D$5:$D$600,MATCH(B602,'Master Database'!$A$5:$A$600,0)),"(row not found)"))</f>
        <v/>
      </c>
      <c r="D602" s="33" t="str">
        <f>IF(B602="","",IFERROR(INDEX('Master Database'!$B$5:$B$600,MATCH(B602,'Master Database'!$A$5:$A$600,0)),"(row not found)"))</f>
        <v/>
      </c>
      <c r="E602" s="30"/>
      <c r="F602" s="33" t="str">
        <f>IF(E602="","",IFERROR(INDEX(Vendor_Register!$B$5:$B$205,MATCH(E602,Vendor_Register!$A$5:$A$205,0)),"(not in register)"))</f>
        <v/>
      </c>
      <c r="G602" s="33" t="str">
        <f>IF(E602="","",IFERROR(INDEX(Vendor_Register!$E$5:$E$205,MATCH(E602,Vendor_Register!$A$5:$A$205,0)),"(not in register)"))</f>
        <v/>
      </c>
      <c r="H602" s="30"/>
      <c r="I602" s="30"/>
      <c r="J602" s="30"/>
      <c r="K602" s="30"/>
      <c r="L602" s="30"/>
      <c r="M602" s="34"/>
      <c r="N602" s="30"/>
      <c r="O602" s="35" t="str">
        <f>IF(NOT(ISNUMBER(M602)),"",IFERROR(IF(L602="EUR",M602,IF(L602="IRR",M602/INDEX('Assumptions &amp; FX Reference'!$C$5:$C$25,MATCH(H602,'Assumptions &amp; FX Reference'!$A$5:$A$25,0)),IF(L602="USD",M602*INDEX('Assumptions &amp; FX Reference'!$B$5:$B$25,MATCH(H602,'Assumptions &amp; FX Reference'!$A$5:$A$25,0))/INDEX('Assumptions &amp; FX Reference'!$C$5:$C$25,MATCH(H602,'Assumptions &amp; FX Reference'!$A$5:$A$25,0)),""))),"(FX missing)"))</f>
        <v/>
      </c>
      <c r="P602" s="30"/>
      <c r="Q602" s="30"/>
      <c r="R602" s="30"/>
      <c r="S602" s="30"/>
      <c r="T602" s="30"/>
      <c r="U602" s="30"/>
      <c r="V602" s="30"/>
    </row>
    <row r="603" spans="1:22">
      <c r="A603" s="30"/>
      <c r="B603" s="30"/>
      <c r="C603" s="33" t="str">
        <f>IF(B603="","",IFERROR(INDEX('Master Database'!$D$5:$D$600,MATCH(B603,'Master Database'!$A$5:$A$600,0)),"(row not found)"))</f>
        <v/>
      </c>
      <c r="D603" s="33" t="str">
        <f>IF(B603="","",IFERROR(INDEX('Master Database'!$B$5:$B$600,MATCH(B603,'Master Database'!$A$5:$A$600,0)),"(row not found)"))</f>
        <v/>
      </c>
      <c r="E603" s="30"/>
      <c r="F603" s="33" t="str">
        <f>IF(E603="","",IFERROR(INDEX(Vendor_Register!$B$5:$B$205,MATCH(E603,Vendor_Register!$A$5:$A$205,0)),"(not in register)"))</f>
        <v/>
      </c>
      <c r="G603" s="33" t="str">
        <f>IF(E603="","",IFERROR(INDEX(Vendor_Register!$E$5:$E$205,MATCH(E603,Vendor_Register!$A$5:$A$205,0)),"(not in register)"))</f>
        <v/>
      </c>
      <c r="H603" s="30"/>
      <c r="I603" s="30"/>
      <c r="J603" s="30"/>
      <c r="K603" s="30"/>
      <c r="L603" s="30"/>
      <c r="M603" s="34"/>
      <c r="N603" s="30"/>
      <c r="O603" s="35" t="str">
        <f>IF(NOT(ISNUMBER(M603)),"",IFERROR(IF(L603="EUR",M603,IF(L603="IRR",M603/INDEX('Assumptions &amp; FX Reference'!$C$5:$C$25,MATCH(H603,'Assumptions &amp; FX Reference'!$A$5:$A$25,0)),IF(L603="USD",M603*INDEX('Assumptions &amp; FX Reference'!$B$5:$B$25,MATCH(H603,'Assumptions &amp; FX Reference'!$A$5:$A$25,0))/INDEX('Assumptions &amp; FX Reference'!$C$5:$C$25,MATCH(H603,'Assumptions &amp; FX Reference'!$A$5:$A$25,0)),""))),"(FX missing)"))</f>
        <v/>
      </c>
      <c r="P603" s="30"/>
      <c r="Q603" s="30"/>
      <c r="R603" s="30"/>
      <c r="S603" s="30"/>
      <c r="T603" s="30"/>
      <c r="U603" s="30"/>
      <c r="V603" s="30"/>
    </row>
    <row r="604" spans="1:22">
      <c r="A604" s="30"/>
      <c r="B604" s="30"/>
      <c r="C604" s="33" t="str">
        <f>IF(B604="","",IFERROR(INDEX('Master Database'!$D$5:$D$600,MATCH(B604,'Master Database'!$A$5:$A$600,0)),"(row not found)"))</f>
        <v/>
      </c>
      <c r="D604" s="33" t="str">
        <f>IF(B604="","",IFERROR(INDEX('Master Database'!$B$5:$B$600,MATCH(B604,'Master Database'!$A$5:$A$600,0)),"(row not found)"))</f>
        <v/>
      </c>
      <c r="E604" s="30"/>
      <c r="F604" s="33" t="str">
        <f>IF(E604="","",IFERROR(INDEX(Vendor_Register!$B$5:$B$205,MATCH(E604,Vendor_Register!$A$5:$A$205,0)),"(not in register)"))</f>
        <v/>
      </c>
      <c r="G604" s="33" t="str">
        <f>IF(E604="","",IFERROR(INDEX(Vendor_Register!$E$5:$E$205,MATCH(E604,Vendor_Register!$A$5:$A$205,0)),"(not in register)"))</f>
        <v/>
      </c>
      <c r="H604" s="30"/>
      <c r="I604" s="30"/>
      <c r="J604" s="30"/>
      <c r="K604" s="30"/>
      <c r="L604" s="30"/>
      <c r="M604" s="34"/>
      <c r="N604" s="30"/>
      <c r="O604" s="35" t="str">
        <f>IF(NOT(ISNUMBER(M604)),"",IFERROR(IF(L604="EUR",M604,IF(L604="IRR",M604/INDEX('Assumptions &amp; FX Reference'!$C$5:$C$25,MATCH(H604,'Assumptions &amp; FX Reference'!$A$5:$A$25,0)),IF(L604="USD",M604*INDEX('Assumptions &amp; FX Reference'!$B$5:$B$25,MATCH(H604,'Assumptions &amp; FX Reference'!$A$5:$A$25,0))/INDEX('Assumptions &amp; FX Reference'!$C$5:$C$25,MATCH(H604,'Assumptions &amp; FX Reference'!$A$5:$A$25,0)),""))),"(FX missing)"))</f>
        <v/>
      </c>
      <c r="P604" s="30"/>
      <c r="Q604" s="30"/>
      <c r="R604" s="30"/>
      <c r="S604" s="30"/>
      <c r="T604" s="30"/>
      <c r="U604" s="30"/>
      <c r="V604" s="30"/>
    </row>
    <row r="605" spans="1:22">
      <c r="A605" s="30"/>
      <c r="B605" s="30"/>
      <c r="C605" s="33" t="str">
        <f>IF(B605="","",IFERROR(INDEX('Master Database'!$D$5:$D$600,MATCH(B605,'Master Database'!$A$5:$A$600,0)),"(row not found)"))</f>
        <v/>
      </c>
      <c r="D605" s="33" t="str">
        <f>IF(B605="","",IFERROR(INDEX('Master Database'!$B$5:$B$600,MATCH(B605,'Master Database'!$A$5:$A$600,0)),"(row not found)"))</f>
        <v/>
      </c>
      <c r="E605" s="30"/>
      <c r="F605" s="33" t="str">
        <f>IF(E605="","",IFERROR(INDEX(Vendor_Register!$B$5:$B$205,MATCH(E605,Vendor_Register!$A$5:$A$205,0)),"(not in register)"))</f>
        <v/>
      </c>
      <c r="G605" s="33" t="str">
        <f>IF(E605="","",IFERROR(INDEX(Vendor_Register!$E$5:$E$205,MATCH(E605,Vendor_Register!$A$5:$A$205,0)),"(not in register)"))</f>
        <v/>
      </c>
      <c r="H605" s="30"/>
      <c r="I605" s="30"/>
      <c r="J605" s="30"/>
      <c r="K605" s="30"/>
      <c r="L605" s="30"/>
      <c r="M605" s="34"/>
      <c r="N605" s="30"/>
      <c r="O605" s="35" t="str">
        <f>IF(NOT(ISNUMBER(M605)),"",IFERROR(IF(L605="EUR",M605,IF(L605="IRR",M605/INDEX('Assumptions &amp; FX Reference'!$C$5:$C$25,MATCH(H605,'Assumptions &amp; FX Reference'!$A$5:$A$25,0)),IF(L605="USD",M605*INDEX('Assumptions &amp; FX Reference'!$B$5:$B$25,MATCH(H605,'Assumptions &amp; FX Reference'!$A$5:$A$25,0))/INDEX('Assumptions &amp; FX Reference'!$C$5:$C$25,MATCH(H605,'Assumptions &amp; FX Reference'!$A$5:$A$25,0)),""))),"(FX missing)"))</f>
        <v/>
      </c>
      <c r="P605" s="30"/>
      <c r="Q605" s="30"/>
      <c r="R605" s="30"/>
      <c r="S605" s="30"/>
      <c r="T605" s="30"/>
      <c r="U605" s="30"/>
      <c r="V605" s="30"/>
    </row>
    <row r="606" spans="1:22">
      <c r="A606" s="30"/>
      <c r="B606" s="30"/>
      <c r="C606" s="33" t="str">
        <f>IF(B606="","",IFERROR(INDEX('Master Database'!$D$5:$D$600,MATCH(B606,'Master Database'!$A$5:$A$600,0)),"(row not found)"))</f>
        <v/>
      </c>
      <c r="D606" s="33" t="str">
        <f>IF(B606="","",IFERROR(INDEX('Master Database'!$B$5:$B$600,MATCH(B606,'Master Database'!$A$5:$A$600,0)),"(row not found)"))</f>
        <v/>
      </c>
      <c r="E606" s="30"/>
      <c r="F606" s="33" t="str">
        <f>IF(E606="","",IFERROR(INDEX(Vendor_Register!$B$5:$B$205,MATCH(E606,Vendor_Register!$A$5:$A$205,0)),"(not in register)"))</f>
        <v/>
      </c>
      <c r="G606" s="33" t="str">
        <f>IF(E606="","",IFERROR(INDEX(Vendor_Register!$E$5:$E$205,MATCH(E606,Vendor_Register!$A$5:$A$205,0)),"(not in register)"))</f>
        <v/>
      </c>
      <c r="H606" s="30"/>
      <c r="I606" s="30"/>
      <c r="J606" s="30"/>
      <c r="K606" s="30"/>
      <c r="L606" s="30"/>
      <c r="M606" s="34"/>
      <c r="N606" s="30"/>
      <c r="O606" s="35" t="str">
        <f>IF(NOT(ISNUMBER(M606)),"",IFERROR(IF(L606="EUR",M606,IF(L606="IRR",M606/INDEX('Assumptions &amp; FX Reference'!$C$5:$C$25,MATCH(H606,'Assumptions &amp; FX Reference'!$A$5:$A$25,0)),IF(L606="USD",M606*INDEX('Assumptions &amp; FX Reference'!$B$5:$B$25,MATCH(H606,'Assumptions &amp; FX Reference'!$A$5:$A$25,0))/INDEX('Assumptions &amp; FX Reference'!$C$5:$C$25,MATCH(H606,'Assumptions &amp; FX Reference'!$A$5:$A$25,0)),""))),"(FX missing)"))</f>
        <v/>
      </c>
      <c r="P606" s="30"/>
      <c r="Q606" s="30"/>
      <c r="R606" s="30"/>
      <c r="S606" s="30"/>
      <c r="T606" s="30"/>
      <c r="U606" s="30"/>
      <c r="V606" s="30"/>
    </row>
    <row r="607" spans="1:22">
      <c r="A607" s="30"/>
      <c r="B607" s="30"/>
      <c r="C607" s="33" t="str">
        <f>IF(B607="","",IFERROR(INDEX('Master Database'!$D$5:$D$600,MATCH(B607,'Master Database'!$A$5:$A$600,0)),"(row not found)"))</f>
        <v/>
      </c>
      <c r="D607" s="33" t="str">
        <f>IF(B607="","",IFERROR(INDEX('Master Database'!$B$5:$B$600,MATCH(B607,'Master Database'!$A$5:$A$600,0)),"(row not found)"))</f>
        <v/>
      </c>
      <c r="E607" s="30"/>
      <c r="F607" s="33" t="str">
        <f>IF(E607="","",IFERROR(INDEX(Vendor_Register!$B$5:$B$205,MATCH(E607,Vendor_Register!$A$5:$A$205,0)),"(not in register)"))</f>
        <v/>
      </c>
      <c r="G607" s="33" t="str">
        <f>IF(E607="","",IFERROR(INDEX(Vendor_Register!$E$5:$E$205,MATCH(E607,Vendor_Register!$A$5:$A$205,0)),"(not in register)"))</f>
        <v/>
      </c>
      <c r="H607" s="30"/>
      <c r="I607" s="30"/>
      <c r="J607" s="30"/>
      <c r="K607" s="30"/>
      <c r="L607" s="30"/>
      <c r="M607" s="34"/>
      <c r="N607" s="30"/>
      <c r="O607" s="35" t="str">
        <f>IF(NOT(ISNUMBER(M607)),"",IFERROR(IF(L607="EUR",M607,IF(L607="IRR",M607/INDEX('Assumptions &amp; FX Reference'!$C$5:$C$25,MATCH(H607,'Assumptions &amp; FX Reference'!$A$5:$A$25,0)),IF(L607="USD",M607*INDEX('Assumptions &amp; FX Reference'!$B$5:$B$25,MATCH(H607,'Assumptions &amp; FX Reference'!$A$5:$A$25,0))/INDEX('Assumptions &amp; FX Reference'!$C$5:$C$25,MATCH(H607,'Assumptions &amp; FX Reference'!$A$5:$A$25,0)),""))),"(FX missing)"))</f>
        <v/>
      </c>
      <c r="P607" s="30"/>
      <c r="Q607" s="30"/>
      <c r="R607" s="30"/>
      <c r="S607" s="30"/>
      <c r="T607" s="30"/>
      <c r="U607" s="30"/>
      <c r="V607" s="30"/>
    </row>
    <row r="608" spans="1:22">
      <c r="A608" s="30"/>
      <c r="B608" s="30"/>
      <c r="C608" s="33" t="str">
        <f>IF(B608="","",IFERROR(INDEX('Master Database'!$D$5:$D$600,MATCH(B608,'Master Database'!$A$5:$A$600,0)),"(row not found)"))</f>
        <v/>
      </c>
      <c r="D608" s="33" t="str">
        <f>IF(B608="","",IFERROR(INDEX('Master Database'!$B$5:$B$600,MATCH(B608,'Master Database'!$A$5:$A$600,0)),"(row not found)"))</f>
        <v/>
      </c>
      <c r="E608" s="30"/>
      <c r="F608" s="33" t="str">
        <f>IF(E608="","",IFERROR(INDEX(Vendor_Register!$B$5:$B$205,MATCH(E608,Vendor_Register!$A$5:$A$205,0)),"(not in register)"))</f>
        <v/>
      </c>
      <c r="G608" s="33" t="str">
        <f>IF(E608="","",IFERROR(INDEX(Vendor_Register!$E$5:$E$205,MATCH(E608,Vendor_Register!$A$5:$A$205,0)),"(not in register)"))</f>
        <v/>
      </c>
      <c r="H608" s="30"/>
      <c r="I608" s="30"/>
      <c r="J608" s="30"/>
      <c r="K608" s="30"/>
      <c r="L608" s="30"/>
      <c r="M608" s="34"/>
      <c r="N608" s="30"/>
      <c r="O608" s="35" t="str">
        <f>IF(NOT(ISNUMBER(M608)),"",IFERROR(IF(L608="EUR",M608,IF(L608="IRR",M608/INDEX('Assumptions &amp; FX Reference'!$C$5:$C$25,MATCH(H608,'Assumptions &amp; FX Reference'!$A$5:$A$25,0)),IF(L608="USD",M608*INDEX('Assumptions &amp; FX Reference'!$B$5:$B$25,MATCH(H608,'Assumptions &amp; FX Reference'!$A$5:$A$25,0))/INDEX('Assumptions &amp; FX Reference'!$C$5:$C$25,MATCH(H608,'Assumptions &amp; FX Reference'!$A$5:$A$25,0)),""))),"(FX missing)"))</f>
        <v/>
      </c>
      <c r="P608" s="30"/>
      <c r="Q608" s="30"/>
      <c r="R608" s="30"/>
      <c r="S608" s="30"/>
      <c r="T608" s="30"/>
      <c r="U608" s="30"/>
      <c r="V608" s="30"/>
    </row>
    <row r="609" spans="1:22">
      <c r="A609" s="30"/>
      <c r="B609" s="30"/>
      <c r="C609" s="33" t="str">
        <f>IF(B609="","",IFERROR(INDEX('Master Database'!$D$5:$D$600,MATCH(B609,'Master Database'!$A$5:$A$600,0)),"(row not found)"))</f>
        <v/>
      </c>
      <c r="D609" s="33" t="str">
        <f>IF(B609="","",IFERROR(INDEX('Master Database'!$B$5:$B$600,MATCH(B609,'Master Database'!$A$5:$A$600,0)),"(row not found)"))</f>
        <v/>
      </c>
      <c r="E609" s="30"/>
      <c r="F609" s="33" t="str">
        <f>IF(E609="","",IFERROR(INDEX(Vendor_Register!$B$5:$B$205,MATCH(E609,Vendor_Register!$A$5:$A$205,0)),"(not in register)"))</f>
        <v/>
      </c>
      <c r="G609" s="33" t="str">
        <f>IF(E609="","",IFERROR(INDEX(Vendor_Register!$E$5:$E$205,MATCH(E609,Vendor_Register!$A$5:$A$205,0)),"(not in register)"))</f>
        <v/>
      </c>
      <c r="H609" s="30"/>
      <c r="I609" s="30"/>
      <c r="J609" s="30"/>
      <c r="K609" s="30"/>
      <c r="L609" s="30"/>
      <c r="M609" s="34"/>
      <c r="N609" s="30"/>
      <c r="O609" s="35" t="str">
        <f>IF(NOT(ISNUMBER(M609)),"",IFERROR(IF(L609="EUR",M609,IF(L609="IRR",M609/INDEX('Assumptions &amp; FX Reference'!$C$5:$C$25,MATCH(H609,'Assumptions &amp; FX Reference'!$A$5:$A$25,0)),IF(L609="USD",M609*INDEX('Assumptions &amp; FX Reference'!$B$5:$B$25,MATCH(H609,'Assumptions &amp; FX Reference'!$A$5:$A$25,0))/INDEX('Assumptions &amp; FX Reference'!$C$5:$C$25,MATCH(H609,'Assumptions &amp; FX Reference'!$A$5:$A$25,0)),""))),"(FX missing)"))</f>
        <v/>
      </c>
      <c r="P609" s="30"/>
      <c r="Q609" s="30"/>
      <c r="R609" s="30"/>
      <c r="S609" s="30"/>
      <c r="T609" s="30"/>
      <c r="U609" s="30"/>
      <c r="V609" s="30"/>
    </row>
    <row r="610" spans="1:22">
      <c r="A610" s="30"/>
      <c r="B610" s="30"/>
      <c r="C610" s="33" t="str">
        <f>IF(B610="","",IFERROR(INDEX('Master Database'!$D$5:$D$600,MATCH(B610,'Master Database'!$A$5:$A$600,0)),"(row not found)"))</f>
        <v/>
      </c>
      <c r="D610" s="33" t="str">
        <f>IF(B610="","",IFERROR(INDEX('Master Database'!$B$5:$B$600,MATCH(B610,'Master Database'!$A$5:$A$600,0)),"(row not found)"))</f>
        <v/>
      </c>
      <c r="E610" s="30"/>
      <c r="F610" s="33" t="str">
        <f>IF(E610="","",IFERROR(INDEX(Vendor_Register!$B$5:$B$205,MATCH(E610,Vendor_Register!$A$5:$A$205,0)),"(not in register)"))</f>
        <v/>
      </c>
      <c r="G610" s="33" t="str">
        <f>IF(E610="","",IFERROR(INDEX(Vendor_Register!$E$5:$E$205,MATCH(E610,Vendor_Register!$A$5:$A$205,0)),"(not in register)"))</f>
        <v/>
      </c>
      <c r="H610" s="30"/>
      <c r="I610" s="30"/>
      <c r="J610" s="30"/>
      <c r="K610" s="30"/>
      <c r="L610" s="30"/>
      <c r="M610" s="34"/>
      <c r="N610" s="30"/>
      <c r="O610" s="35" t="str">
        <f>IF(NOT(ISNUMBER(M610)),"",IFERROR(IF(L610="EUR",M610,IF(L610="IRR",M610/INDEX('Assumptions &amp; FX Reference'!$C$5:$C$25,MATCH(H610,'Assumptions &amp; FX Reference'!$A$5:$A$25,0)),IF(L610="USD",M610*INDEX('Assumptions &amp; FX Reference'!$B$5:$B$25,MATCH(H610,'Assumptions &amp; FX Reference'!$A$5:$A$25,0))/INDEX('Assumptions &amp; FX Reference'!$C$5:$C$25,MATCH(H610,'Assumptions &amp; FX Reference'!$A$5:$A$25,0)),""))),"(FX missing)"))</f>
        <v/>
      </c>
      <c r="P610" s="30"/>
      <c r="Q610" s="30"/>
      <c r="R610" s="30"/>
      <c r="S610" s="30"/>
      <c r="T610" s="30"/>
      <c r="U610" s="30"/>
      <c r="V610" s="30"/>
    </row>
    <row r="611" spans="1:22">
      <c r="A611" s="30"/>
      <c r="B611" s="30"/>
      <c r="C611" s="33" t="str">
        <f>IF(B611="","",IFERROR(INDEX('Master Database'!$D$5:$D$600,MATCH(B611,'Master Database'!$A$5:$A$600,0)),"(row not found)"))</f>
        <v/>
      </c>
      <c r="D611" s="33" t="str">
        <f>IF(B611="","",IFERROR(INDEX('Master Database'!$B$5:$B$600,MATCH(B611,'Master Database'!$A$5:$A$600,0)),"(row not found)"))</f>
        <v/>
      </c>
      <c r="E611" s="30"/>
      <c r="F611" s="33" t="str">
        <f>IF(E611="","",IFERROR(INDEX(Vendor_Register!$B$5:$B$205,MATCH(E611,Vendor_Register!$A$5:$A$205,0)),"(not in register)"))</f>
        <v/>
      </c>
      <c r="G611" s="33" t="str">
        <f>IF(E611="","",IFERROR(INDEX(Vendor_Register!$E$5:$E$205,MATCH(E611,Vendor_Register!$A$5:$A$205,0)),"(not in register)"))</f>
        <v/>
      </c>
      <c r="H611" s="30"/>
      <c r="I611" s="30"/>
      <c r="J611" s="30"/>
      <c r="K611" s="30"/>
      <c r="L611" s="30"/>
      <c r="M611" s="34"/>
      <c r="N611" s="30"/>
      <c r="O611" s="35" t="str">
        <f>IF(NOT(ISNUMBER(M611)),"",IFERROR(IF(L611="EUR",M611,IF(L611="IRR",M611/INDEX('Assumptions &amp; FX Reference'!$C$5:$C$25,MATCH(H611,'Assumptions &amp; FX Reference'!$A$5:$A$25,0)),IF(L611="USD",M611*INDEX('Assumptions &amp; FX Reference'!$B$5:$B$25,MATCH(H611,'Assumptions &amp; FX Reference'!$A$5:$A$25,0))/INDEX('Assumptions &amp; FX Reference'!$C$5:$C$25,MATCH(H611,'Assumptions &amp; FX Reference'!$A$5:$A$25,0)),""))),"(FX missing)"))</f>
        <v/>
      </c>
      <c r="P611" s="30"/>
      <c r="Q611" s="30"/>
      <c r="R611" s="30"/>
      <c r="S611" s="30"/>
      <c r="T611" s="30"/>
      <c r="U611" s="30"/>
      <c r="V611" s="30"/>
    </row>
    <row r="612" spans="1:22">
      <c r="A612" s="30"/>
      <c r="B612" s="30"/>
      <c r="C612" s="33" t="str">
        <f>IF(B612="","",IFERROR(INDEX('Master Database'!$D$5:$D$600,MATCH(B612,'Master Database'!$A$5:$A$600,0)),"(row not found)"))</f>
        <v/>
      </c>
      <c r="D612" s="33" t="str">
        <f>IF(B612="","",IFERROR(INDEX('Master Database'!$B$5:$B$600,MATCH(B612,'Master Database'!$A$5:$A$600,0)),"(row not found)"))</f>
        <v/>
      </c>
      <c r="E612" s="30"/>
      <c r="F612" s="33" t="str">
        <f>IF(E612="","",IFERROR(INDEX(Vendor_Register!$B$5:$B$205,MATCH(E612,Vendor_Register!$A$5:$A$205,0)),"(not in register)"))</f>
        <v/>
      </c>
      <c r="G612" s="33" t="str">
        <f>IF(E612="","",IFERROR(INDEX(Vendor_Register!$E$5:$E$205,MATCH(E612,Vendor_Register!$A$5:$A$205,0)),"(not in register)"))</f>
        <v/>
      </c>
      <c r="H612" s="30"/>
      <c r="I612" s="30"/>
      <c r="J612" s="30"/>
      <c r="K612" s="30"/>
      <c r="L612" s="30"/>
      <c r="M612" s="34"/>
      <c r="N612" s="30"/>
      <c r="O612" s="35" t="str">
        <f>IF(NOT(ISNUMBER(M612)),"",IFERROR(IF(L612="EUR",M612,IF(L612="IRR",M612/INDEX('Assumptions &amp; FX Reference'!$C$5:$C$25,MATCH(H612,'Assumptions &amp; FX Reference'!$A$5:$A$25,0)),IF(L612="USD",M612*INDEX('Assumptions &amp; FX Reference'!$B$5:$B$25,MATCH(H612,'Assumptions &amp; FX Reference'!$A$5:$A$25,0))/INDEX('Assumptions &amp; FX Reference'!$C$5:$C$25,MATCH(H612,'Assumptions &amp; FX Reference'!$A$5:$A$25,0)),""))),"(FX missing)"))</f>
        <v/>
      </c>
      <c r="P612" s="30"/>
      <c r="Q612" s="30"/>
      <c r="R612" s="30"/>
      <c r="S612" s="30"/>
      <c r="T612" s="30"/>
      <c r="U612" s="30"/>
      <c r="V612" s="30"/>
    </row>
    <row r="613" spans="1:22">
      <c r="A613" s="30"/>
      <c r="B613" s="30"/>
      <c r="C613" s="33" t="str">
        <f>IF(B613="","",IFERROR(INDEX('Master Database'!$D$5:$D$600,MATCH(B613,'Master Database'!$A$5:$A$600,0)),"(row not found)"))</f>
        <v/>
      </c>
      <c r="D613" s="33" t="str">
        <f>IF(B613="","",IFERROR(INDEX('Master Database'!$B$5:$B$600,MATCH(B613,'Master Database'!$A$5:$A$600,0)),"(row not found)"))</f>
        <v/>
      </c>
      <c r="E613" s="30"/>
      <c r="F613" s="33" t="str">
        <f>IF(E613="","",IFERROR(INDEX(Vendor_Register!$B$5:$B$205,MATCH(E613,Vendor_Register!$A$5:$A$205,0)),"(not in register)"))</f>
        <v/>
      </c>
      <c r="G613" s="33" t="str">
        <f>IF(E613="","",IFERROR(INDEX(Vendor_Register!$E$5:$E$205,MATCH(E613,Vendor_Register!$A$5:$A$205,0)),"(not in register)"))</f>
        <v/>
      </c>
      <c r="H613" s="30"/>
      <c r="I613" s="30"/>
      <c r="J613" s="30"/>
      <c r="K613" s="30"/>
      <c r="L613" s="30"/>
      <c r="M613" s="34"/>
      <c r="N613" s="30"/>
      <c r="O613" s="35" t="str">
        <f>IF(NOT(ISNUMBER(M613)),"",IFERROR(IF(L613="EUR",M613,IF(L613="IRR",M613/INDEX('Assumptions &amp; FX Reference'!$C$5:$C$25,MATCH(H613,'Assumptions &amp; FX Reference'!$A$5:$A$25,0)),IF(L613="USD",M613*INDEX('Assumptions &amp; FX Reference'!$B$5:$B$25,MATCH(H613,'Assumptions &amp; FX Reference'!$A$5:$A$25,0))/INDEX('Assumptions &amp; FX Reference'!$C$5:$C$25,MATCH(H613,'Assumptions &amp; FX Reference'!$A$5:$A$25,0)),""))),"(FX missing)"))</f>
        <v/>
      </c>
      <c r="P613" s="30"/>
      <c r="Q613" s="30"/>
      <c r="R613" s="30"/>
      <c r="S613" s="30"/>
      <c r="T613" s="30"/>
      <c r="U613" s="30"/>
      <c r="V613" s="30"/>
    </row>
    <row r="614" spans="1:22">
      <c r="A614" s="30"/>
      <c r="B614" s="30"/>
      <c r="C614" s="33" t="str">
        <f>IF(B614="","",IFERROR(INDEX('Master Database'!$D$5:$D$600,MATCH(B614,'Master Database'!$A$5:$A$600,0)),"(row not found)"))</f>
        <v/>
      </c>
      <c r="D614" s="33" t="str">
        <f>IF(B614="","",IFERROR(INDEX('Master Database'!$B$5:$B$600,MATCH(B614,'Master Database'!$A$5:$A$600,0)),"(row not found)"))</f>
        <v/>
      </c>
      <c r="E614" s="30"/>
      <c r="F614" s="33" t="str">
        <f>IF(E614="","",IFERROR(INDEX(Vendor_Register!$B$5:$B$205,MATCH(E614,Vendor_Register!$A$5:$A$205,0)),"(not in register)"))</f>
        <v/>
      </c>
      <c r="G614" s="33" t="str">
        <f>IF(E614="","",IFERROR(INDEX(Vendor_Register!$E$5:$E$205,MATCH(E614,Vendor_Register!$A$5:$A$205,0)),"(not in register)"))</f>
        <v/>
      </c>
      <c r="H614" s="30"/>
      <c r="I614" s="30"/>
      <c r="J614" s="30"/>
      <c r="K614" s="30"/>
      <c r="L614" s="30"/>
      <c r="M614" s="34"/>
      <c r="N614" s="30"/>
      <c r="O614" s="35" t="str">
        <f>IF(NOT(ISNUMBER(M614)),"",IFERROR(IF(L614="EUR",M614,IF(L614="IRR",M614/INDEX('Assumptions &amp; FX Reference'!$C$5:$C$25,MATCH(H614,'Assumptions &amp; FX Reference'!$A$5:$A$25,0)),IF(L614="USD",M614*INDEX('Assumptions &amp; FX Reference'!$B$5:$B$25,MATCH(H614,'Assumptions &amp; FX Reference'!$A$5:$A$25,0))/INDEX('Assumptions &amp; FX Reference'!$C$5:$C$25,MATCH(H614,'Assumptions &amp; FX Reference'!$A$5:$A$25,0)),""))),"(FX missing)"))</f>
        <v/>
      </c>
      <c r="P614" s="30"/>
      <c r="Q614" s="30"/>
      <c r="R614" s="30"/>
      <c r="S614" s="30"/>
      <c r="T614" s="30"/>
      <c r="U614" s="30"/>
      <c r="V614" s="30"/>
    </row>
    <row r="615" spans="1:22">
      <c r="A615" s="30"/>
      <c r="B615" s="30"/>
      <c r="C615" s="33" t="str">
        <f>IF(B615="","",IFERROR(INDEX('Master Database'!$D$5:$D$600,MATCH(B615,'Master Database'!$A$5:$A$600,0)),"(row not found)"))</f>
        <v/>
      </c>
      <c r="D615" s="33" t="str">
        <f>IF(B615="","",IFERROR(INDEX('Master Database'!$B$5:$B$600,MATCH(B615,'Master Database'!$A$5:$A$600,0)),"(row not found)"))</f>
        <v/>
      </c>
      <c r="E615" s="30"/>
      <c r="F615" s="33" t="str">
        <f>IF(E615="","",IFERROR(INDEX(Vendor_Register!$B$5:$B$205,MATCH(E615,Vendor_Register!$A$5:$A$205,0)),"(not in register)"))</f>
        <v/>
      </c>
      <c r="G615" s="33" t="str">
        <f>IF(E615="","",IFERROR(INDEX(Vendor_Register!$E$5:$E$205,MATCH(E615,Vendor_Register!$A$5:$A$205,0)),"(not in register)"))</f>
        <v/>
      </c>
      <c r="H615" s="30"/>
      <c r="I615" s="30"/>
      <c r="J615" s="30"/>
      <c r="K615" s="30"/>
      <c r="L615" s="30"/>
      <c r="M615" s="34"/>
      <c r="N615" s="30"/>
      <c r="O615" s="35" t="str">
        <f>IF(NOT(ISNUMBER(M615)),"",IFERROR(IF(L615="EUR",M615,IF(L615="IRR",M615/INDEX('Assumptions &amp; FX Reference'!$C$5:$C$25,MATCH(H615,'Assumptions &amp; FX Reference'!$A$5:$A$25,0)),IF(L615="USD",M615*INDEX('Assumptions &amp; FX Reference'!$B$5:$B$25,MATCH(H615,'Assumptions &amp; FX Reference'!$A$5:$A$25,0))/INDEX('Assumptions &amp; FX Reference'!$C$5:$C$25,MATCH(H615,'Assumptions &amp; FX Reference'!$A$5:$A$25,0)),""))),"(FX missing)"))</f>
        <v/>
      </c>
      <c r="P615" s="30"/>
      <c r="Q615" s="30"/>
      <c r="R615" s="30"/>
      <c r="S615" s="30"/>
      <c r="T615" s="30"/>
      <c r="U615" s="30"/>
      <c r="V615" s="30"/>
    </row>
    <row r="616" spans="1:22">
      <c r="A616" s="30"/>
      <c r="B616" s="30"/>
      <c r="C616" s="33" t="str">
        <f>IF(B616="","",IFERROR(INDEX('Master Database'!$D$5:$D$600,MATCH(B616,'Master Database'!$A$5:$A$600,0)),"(row not found)"))</f>
        <v/>
      </c>
      <c r="D616" s="33" t="str">
        <f>IF(B616="","",IFERROR(INDEX('Master Database'!$B$5:$B$600,MATCH(B616,'Master Database'!$A$5:$A$600,0)),"(row not found)"))</f>
        <v/>
      </c>
      <c r="E616" s="30"/>
      <c r="F616" s="33" t="str">
        <f>IF(E616="","",IFERROR(INDEX(Vendor_Register!$B$5:$B$205,MATCH(E616,Vendor_Register!$A$5:$A$205,0)),"(not in register)"))</f>
        <v/>
      </c>
      <c r="G616" s="33" t="str">
        <f>IF(E616="","",IFERROR(INDEX(Vendor_Register!$E$5:$E$205,MATCH(E616,Vendor_Register!$A$5:$A$205,0)),"(not in register)"))</f>
        <v/>
      </c>
      <c r="H616" s="30"/>
      <c r="I616" s="30"/>
      <c r="J616" s="30"/>
      <c r="K616" s="30"/>
      <c r="L616" s="30"/>
      <c r="M616" s="34"/>
      <c r="N616" s="30"/>
      <c r="O616" s="35" t="str">
        <f>IF(NOT(ISNUMBER(M616)),"",IFERROR(IF(L616="EUR",M616,IF(L616="IRR",M616/INDEX('Assumptions &amp; FX Reference'!$C$5:$C$25,MATCH(H616,'Assumptions &amp; FX Reference'!$A$5:$A$25,0)),IF(L616="USD",M616*INDEX('Assumptions &amp; FX Reference'!$B$5:$B$25,MATCH(H616,'Assumptions &amp; FX Reference'!$A$5:$A$25,0))/INDEX('Assumptions &amp; FX Reference'!$C$5:$C$25,MATCH(H616,'Assumptions &amp; FX Reference'!$A$5:$A$25,0)),""))),"(FX missing)"))</f>
        <v/>
      </c>
      <c r="P616" s="30"/>
      <c r="Q616" s="30"/>
      <c r="R616" s="30"/>
      <c r="S616" s="30"/>
      <c r="T616" s="30"/>
      <c r="U616" s="30"/>
      <c r="V616" s="30"/>
    </row>
    <row r="617" spans="1:22">
      <c r="A617" s="30"/>
      <c r="B617" s="30"/>
      <c r="C617" s="33" t="str">
        <f>IF(B617="","",IFERROR(INDEX('Master Database'!$D$5:$D$600,MATCH(B617,'Master Database'!$A$5:$A$600,0)),"(row not found)"))</f>
        <v/>
      </c>
      <c r="D617" s="33" t="str">
        <f>IF(B617="","",IFERROR(INDEX('Master Database'!$B$5:$B$600,MATCH(B617,'Master Database'!$A$5:$A$600,0)),"(row not found)"))</f>
        <v/>
      </c>
      <c r="E617" s="30"/>
      <c r="F617" s="33" t="str">
        <f>IF(E617="","",IFERROR(INDEX(Vendor_Register!$B$5:$B$205,MATCH(E617,Vendor_Register!$A$5:$A$205,0)),"(not in register)"))</f>
        <v/>
      </c>
      <c r="G617" s="33" t="str">
        <f>IF(E617="","",IFERROR(INDEX(Vendor_Register!$E$5:$E$205,MATCH(E617,Vendor_Register!$A$5:$A$205,0)),"(not in register)"))</f>
        <v/>
      </c>
      <c r="H617" s="30"/>
      <c r="I617" s="30"/>
      <c r="J617" s="30"/>
      <c r="K617" s="30"/>
      <c r="L617" s="30"/>
      <c r="M617" s="34"/>
      <c r="N617" s="30"/>
      <c r="O617" s="35" t="str">
        <f>IF(NOT(ISNUMBER(M617)),"",IFERROR(IF(L617="EUR",M617,IF(L617="IRR",M617/INDEX('Assumptions &amp; FX Reference'!$C$5:$C$25,MATCH(H617,'Assumptions &amp; FX Reference'!$A$5:$A$25,0)),IF(L617="USD",M617*INDEX('Assumptions &amp; FX Reference'!$B$5:$B$25,MATCH(H617,'Assumptions &amp; FX Reference'!$A$5:$A$25,0))/INDEX('Assumptions &amp; FX Reference'!$C$5:$C$25,MATCH(H617,'Assumptions &amp; FX Reference'!$A$5:$A$25,0)),""))),"(FX missing)"))</f>
        <v/>
      </c>
      <c r="P617" s="30"/>
      <c r="Q617" s="30"/>
      <c r="R617" s="30"/>
      <c r="S617" s="30"/>
      <c r="T617" s="30"/>
      <c r="U617" s="30"/>
      <c r="V617" s="30"/>
    </row>
    <row r="618" spans="1:22">
      <c r="A618" s="30"/>
      <c r="B618" s="30"/>
      <c r="C618" s="33" t="str">
        <f>IF(B618="","",IFERROR(INDEX('Master Database'!$D$5:$D$600,MATCH(B618,'Master Database'!$A$5:$A$600,0)),"(row not found)"))</f>
        <v/>
      </c>
      <c r="D618" s="33" t="str">
        <f>IF(B618="","",IFERROR(INDEX('Master Database'!$B$5:$B$600,MATCH(B618,'Master Database'!$A$5:$A$600,0)),"(row not found)"))</f>
        <v/>
      </c>
      <c r="E618" s="30"/>
      <c r="F618" s="33" t="str">
        <f>IF(E618="","",IFERROR(INDEX(Vendor_Register!$B$5:$B$205,MATCH(E618,Vendor_Register!$A$5:$A$205,0)),"(not in register)"))</f>
        <v/>
      </c>
      <c r="G618" s="33" t="str">
        <f>IF(E618="","",IFERROR(INDEX(Vendor_Register!$E$5:$E$205,MATCH(E618,Vendor_Register!$A$5:$A$205,0)),"(not in register)"))</f>
        <v/>
      </c>
      <c r="H618" s="30"/>
      <c r="I618" s="30"/>
      <c r="J618" s="30"/>
      <c r="K618" s="30"/>
      <c r="L618" s="30"/>
      <c r="M618" s="34"/>
      <c r="N618" s="30"/>
      <c r="O618" s="35" t="str">
        <f>IF(NOT(ISNUMBER(M618)),"",IFERROR(IF(L618="EUR",M618,IF(L618="IRR",M618/INDEX('Assumptions &amp; FX Reference'!$C$5:$C$25,MATCH(H618,'Assumptions &amp; FX Reference'!$A$5:$A$25,0)),IF(L618="USD",M618*INDEX('Assumptions &amp; FX Reference'!$B$5:$B$25,MATCH(H618,'Assumptions &amp; FX Reference'!$A$5:$A$25,0))/INDEX('Assumptions &amp; FX Reference'!$C$5:$C$25,MATCH(H618,'Assumptions &amp; FX Reference'!$A$5:$A$25,0)),""))),"(FX missing)"))</f>
        <v/>
      </c>
      <c r="P618" s="30"/>
      <c r="Q618" s="30"/>
      <c r="R618" s="30"/>
      <c r="S618" s="30"/>
      <c r="T618" s="30"/>
      <c r="U618" s="30"/>
      <c r="V618" s="30"/>
    </row>
    <row r="619" spans="1:22">
      <c r="A619" s="30"/>
      <c r="B619" s="30"/>
      <c r="C619" s="33" t="str">
        <f>IF(B619="","",IFERROR(INDEX('Master Database'!$D$5:$D$600,MATCH(B619,'Master Database'!$A$5:$A$600,0)),"(row not found)"))</f>
        <v/>
      </c>
      <c r="D619" s="33" t="str">
        <f>IF(B619="","",IFERROR(INDEX('Master Database'!$B$5:$B$600,MATCH(B619,'Master Database'!$A$5:$A$600,0)),"(row not found)"))</f>
        <v/>
      </c>
      <c r="E619" s="30"/>
      <c r="F619" s="33" t="str">
        <f>IF(E619="","",IFERROR(INDEX(Vendor_Register!$B$5:$B$205,MATCH(E619,Vendor_Register!$A$5:$A$205,0)),"(not in register)"))</f>
        <v/>
      </c>
      <c r="G619" s="33" t="str">
        <f>IF(E619="","",IFERROR(INDEX(Vendor_Register!$E$5:$E$205,MATCH(E619,Vendor_Register!$A$5:$A$205,0)),"(not in register)"))</f>
        <v/>
      </c>
      <c r="H619" s="30"/>
      <c r="I619" s="30"/>
      <c r="J619" s="30"/>
      <c r="K619" s="30"/>
      <c r="L619" s="30"/>
      <c r="M619" s="34"/>
      <c r="N619" s="30"/>
      <c r="O619" s="35" t="str">
        <f>IF(NOT(ISNUMBER(M619)),"",IFERROR(IF(L619="EUR",M619,IF(L619="IRR",M619/INDEX('Assumptions &amp; FX Reference'!$C$5:$C$25,MATCH(H619,'Assumptions &amp; FX Reference'!$A$5:$A$25,0)),IF(L619="USD",M619*INDEX('Assumptions &amp; FX Reference'!$B$5:$B$25,MATCH(H619,'Assumptions &amp; FX Reference'!$A$5:$A$25,0))/INDEX('Assumptions &amp; FX Reference'!$C$5:$C$25,MATCH(H619,'Assumptions &amp; FX Reference'!$A$5:$A$25,0)),""))),"(FX missing)"))</f>
        <v/>
      </c>
      <c r="P619" s="30"/>
      <c r="Q619" s="30"/>
      <c r="R619" s="30"/>
      <c r="S619" s="30"/>
      <c r="T619" s="30"/>
      <c r="U619" s="30"/>
      <c r="V619" s="30"/>
    </row>
    <row r="620" spans="1:22">
      <c r="A620" s="30"/>
      <c r="B620" s="30"/>
      <c r="C620" s="33" t="str">
        <f>IF(B620="","",IFERROR(INDEX('Master Database'!$D$5:$D$600,MATCH(B620,'Master Database'!$A$5:$A$600,0)),"(row not found)"))</f>
        <v/>
      </c>
      <c r="D620" s="33" t="str">
        <f>IF(B620="","",IFERROR(INDEX('Master Database'!$B$5:$B$600,MATCH(B620,'Master Database'!$A$5:$A$600,0)),"(row not found)"))</f>
        <v/>
      </c>
      <c r="E620" s="30"/>
      <c r="F620" s="33" t="str">
        <f>IF(E620="","",IFERROR(INDEX(Vendor_Register!$B$5:$B$205,MATCH(E620,Vendor_Register!$A$5:$A$205,0)),"(not in register)"))</f>
        <v/>
      </c>
      <c r="G620" s="33" t="str">
        <f>IF(E620="","",IFERROR(INDEX(Vendor_Register!$E$5:$E$205,MATCH(E620,Vendor_Register!$A$5:$A$205,0)),"(not in register)"))</f>
        <v/>
      </c>
      <c r="H620" s="30"/>
      <c r="I620" s="30"/>
      <c r="J620" s="30"/>
      <c r="K620" s="30"/>
      <c r="L620" s="30"/>
      <c r="M620" s="34"/>
      <c r="N620" s="30"/>
      <c r="O620" s="35" t="str">
        <f>IF(NOT(ISNUMBER(M620)),"",IFERROR(IF(L620="EUR",M620,IF(L620="IRR",M620/INDEX('Assumptions &amp; FX Reference'!$C$5:$C$25,MATCH(H620,'Assumptions &amp; FX Reference'!$A$5:$A$25,0)),IF(L620="USD",M620*INDEX('Assumptions &amp; FX Reference'!$B$5:$B$25,MATCH(H620,'Assumptions &amp; FX Reference'!$A$5:$A$25,0))/INDEX('Assumptions &amp; FX Reference'!$C$5:$C$25,MATCH(H620,'Assumptions &amp; FX Reference'!$A$5:$A$25,0)),""))),"(FX missing)"))</f>
        <v/>
      </c>
      <c r="P620" s="30"/>
      <c r="Q620" s="30"/>
      <c r="R620" s="30"/>
      <c r="S620" s="30"/>
      <c r="T620" s="30"/>
      <c r="U620" s="30"/>
      <c r="V620" s="30"/>
    </row>
    <row r="621" spans="1:22">
      <c r="A621" s="30"/>
      <c r="B621" s="30"/>
      <c r="C621" s="33" t="str">
        <f>IF(B621="","",IFERROR(INDEX('Master Database'!$D$5:$D$600,MATCH(B621,'Master Database'!$A$5:$A$600,0)),"(row not found)"))</f>
        <v/>
      </c>
      <c r="D621" s="33" t="str">
        <f>IF(B621="","",IFERROR(INDEX('Master Database'!$B$5:$B$600,MATCH(B621,'Master Database'!$A$5:$A$600,0)),"(row not found)"))</f>
        <v/>
      </c>
      <c r="E621" s="30"/>
      <c r="F621" s="33" t="str">
        <f>IF(E621="","",IFERROR(INDEX(Vendor_Register!$B$5:$B$205,MATCH(E621,Vendor_Register!$A$5:$A$205,0)),"(not in register)"))</f>
        <v/>
      </c>
      <c r="G621" s="33" t="str">
        <f>IF(E621="","",IFERROR(INDEX(Vendor_Register!$E$5:$E$205,MATCH(E621,Vendor_Register!$A$5:$A$205,0)),"(not in register)"))</f>
        <v/>
      </c>
      <c r="H621" s="30"/>
      <c r="I621" s="30"/>
      <c r="J621" s="30"/>
      <c r="K621" s="30"/>
      <c r="L621" s="30"/>
      <c r="M621" s="34"/>
      <c r="N621" s="30"/>
      <c r="O621" s="35" t="str">
        <f>IF(NOT(ISNUMBER(M621)),"",IFERROR(IF(L621="EUR",M621,IF(L621="IRR",M621/INDEX('Assumptions &amp; FX Reference'!$C$5:$C$25,MATCH(H621,'Assumptions &amp; FX Reference'!$A$5:$A$25,0)),IF(L621="USD",M621*INDEX('Assumptions &amp; FX Reference'!$B$5:$B$25,MATCH(H621,'Assumptions &amp; FX Reference'!$A$5:$A$25,0))/INDEX('Assumptions &amp; FX Reference'!$C$5:$C$25,MATCH(H621,'Assumptions &amp; FX Reference'!$A$5:$A$25,0)),""))),"(FX missing)"))</f>
        <v/>
      </c>
      <c r="P621" s="30"/>
      <c r="Q621" s="30"/>
      <c r="R621" s="30"/>
      <c r="S621" s="30"/>
      <c r="T621" s="30"/>
      <c r="U621" s="30"/>
      <c r="V621" s="30"/>
    </row>
    <row r="622" spans="1:22">
      <c r="A622" s="30"/>
      <c r="B622" s="30"/>
      <c r="C622" s="33" t="str">
        <f>IF(B622="","",IFERROR(INDEX('Master Database'!$D$5:$D$600,MATCH(B622,'Master Database'!$A$5:$A$600,0)),"(row not found)"))</f>
        <v/>
      </c>
      <c r="D622" s="33" t="str">
        <f>IF(B622="","",IFERROR(INDEX('Master Database'!$B$5:$B$600,MATCH(B622,'Master Database'!$A$5:$A$600,0)),"(row not found)"))</f>
        <v/>
      </c>
      <c r="E622" s="30"/>
      <c r="F622" s="33" t="str">
        <f>IF(E622="","",IFERROR(INDEX(Vendor_Register!$B$5:$B$205,MATCH(E622,Vendor_Register!$A$5:$A$205,0)),"(not in register)"))</f>
        <v/>
      </c>
      <c r="G622" s="33" t="str">
        <f>IF(E622="","",IFERROR(INDEX(Vendor_Register!$E$5:$E$205,MATCH(E622,Vendor_Register!$A$5:$A$205,0)),"(not in register)"))</f>
        <v/>
      </c>
      <c r="H622" s="30"/>
      <c r="I622" s="30"/>
      <c r="J622" s="30"/>
      <c r="K622" s="30"/>
      <c r="L622" s="30"/>
      <c r="M622" s="34"/>
      <c r="N622" s="30"/>
      <c r="O622" s="35" t="str">
        <f>IF(NOT(ISNUMBER(M622)),"",IFERROR(IF(L622="EUR",M622,IF(L622="IRR",M622/INDEX('Assumptions &amp; FX Reference'!$C$5:$C$25,MATCH(H622,'Assumptions &amp; FX Reference'!$A$5:$A$25,0)),IF(L622="USD",M622*INDEX('Assumptions &amp; FX Reference'!$B$5:$B$25,MATCH(H622,'Assumptions &amp; FX Reference'!$A$5:$A$25,0))/INDEX('Assumptions &amp; FX Reference'!$C$5:$C$25,MATCH(H622,'Assumptions &amp; FX Reference'!$A$5:$A$25,0)),""))),"(FX missing)"))</f>
        <v/>
      </c>
      <c r="P622" s="30"/>
      <c r="Q622" s="30"/>
      <c r="R622" s="30"/>
      <c r="S622" s="30"/>
      <c r="T622" s="30"/>
      <c r="U622" s="30"/>
      <c r="V622" s="30"/>
    </row>
    <row r="623" spans="1:22">
      <c r="A623" s="30"/>
      <c r="B623" s="30"/>
      <c r="C623" s="33" t="str">
        <f>IF(B623="","",IFERROR(INDEX('Master Database'!$D$5:$D$600,MATCH(B623,'Master Database'!$A$5:$A$600,0)),"(row not found)"))</f>
        <v/>
      </c>
      <c r="D623" s="33" t="str">
        <f>IF(B623="","",IFERROR(INDEX('Master Database'!$B$5:$B$600,MATCH(B623,'Master Database'!$A$5:$A$600,0)),"(row not found)"))</f>
        <v/>
      </c>
      <c r="E623" s="30"/>
      <c r="F623" s="33" t="str">
        <f>IF(E623="","",IFERROR(INDEX(Vendor_Register!$B$5:$B$205,MATCH(E623,Vendor_Register!$A$5:$A$205,0)),"(not in register)"))</f>
        <v/>
      </c>
      <c r="G623" s="33" t="str">
        <f>IF(E623="","",IFERROR(INDEX(Vendor_Register!$E$5:$E$205,MATCH(E623,Vendor_Register!$A$5:$A$205,0)),"(not in register)"))</f>
        <v/>
      </c>
      <c r="H623" s="30"/>
      <c r="I623" s="30"/>
      <c r="J623" s="30"/>
      <c r="K623" s="30"/>
      <c r="L623" s="30"/>
      <c r="M623" s="34"/>
      <c r="N623" s="30"/>
      <c r="O623" s="35" t="str">
        <f>IF(NOT(ISNUMBER(M623)),"",IFERROR(IF(L623="EUR",M623,IF(L623="IRR",M623/INDEX('Assumptions &amp; FX Reference'!$C$5:$C$25,MATCH(H623,'Assumptions &amp; FX Reference'!$A$5:$A$25,0)),IF(L623="USD",M623*INDEX('Assumptions &amp; FX Reference'!$B$5:$B$25,MATCH(H623,'Assumptions &amp; FX Reference'!$A$5:$A$25,0))/INDEX('Assumptions &amp; FX Reference'!$C$5:$C$25,MATCH(H623,'Assumptions &amp; FX Reference'!$A$5:$A$25,0)),""))),"(FX missing)"))</f>
        <v/>
      </c>
      <c r="P623" s="30"/>
      <c r="Q623" s="30"/>
      <c r="R623" s="30"/>
      <c r="S623" s="30"/>
      <c r="T623" s="30"/>
      <c r="U623" s="30"/>
      <c r="V623" s="30"/>
    </row>
    <row r="624" spans="1:22">
      <c r="A624" s="30"/>
      <c r="B624" s="30"/>
      <c r="C624" s="33" t="str">
        <f>IF(B624="","",IFERROR(INDEX('Master Database'!$D$5:$D$600,MATCH(B624,'Master Database'!$A$5:$A$600,0)),"(row not found)"))</f>
        <v/>
      </c>
      <c r="D624" s="33" t="str">
        <f>IF(B624="","",IFERROR(INDEX('Master Database'!$B$5:$B$600,MATCH(B624,'Master Database'!$A$5:$A$600,0)),"(row not found)"))</f>
        <v/>
      </c>
      <c r="E624" s="30"/>
      <c r="F624" s="33" t="str">
        <f>IF(E624="","",IFERROR(INDEX(Vendor_Register!$B$5:$B$205,MATCH(E624,Vendor_Register!$A$5:$A$205,0)),"(not in register)"))</f>
        <v/>
      </c>
      <c r="G624" s="33" t="str">
        <f>IF(E624="","",IFERROR(INDEX(Vendor_Register!$E$5:$E$205,MATCH(E624,Vendor_Register!$A$5:$A$205,0)),"(not in register)"))</f>
        <v/>
      </c>
      <c r="H624" s="30"/>
      <c r="I624" s="30"/>
      <c r="J624" s="30"/>
      <c r="K624" s="30"/>
      <c r="L624" s="30"/>
      <c r="M624" s="34"/>
      <c r="N624" s="30"/>
      <c r="O624" s="35" t="str">
        <f>IF(NOT(ISNUMBER(M624)),"",IFERROR(IF(L624="EUR",M624,IF(L624="IRR",M624/INDEX('Assumptions &amp; FX Reference'!$C$5:$C$25,MATCH(H624,'Assumptions &amp; FX Reference'!$A$5:$A$25,0)),IF(L624="USD",M624*INDEX('Assumptions &amp; FX Reference'!$B$5:$B$25,MATCH(H624,'Assumptions &amp; FX Reference'!$A$5:$A$25,0))/INDEX('Assumptions &amp; FX Reference'!$C$5:$C$25,MATCH(H624,'Assumptions &amp; FX Reference'!$A$5:$A$25,0)),""))),"(FX missing)"))</f>
        <v/>
      </c>
      <c r="P624" s="30"/>
      <c r="Q624" s="30"/>
      <c r="R624" s="30"/>
      <c r="S624" s="30"/>
      <c r="T624" s="30"/>
      <c r="U624" s="30"/>
      <c r="V624" s="30"/>
    </row>
    <row r="625" spans="1:22">
      <c r="A625" s="30"/>
      <c r="B625" s="30"/>
      <c r="C625" s="33" t="str">
        <f>IF(B625="","",IFERROR(INDEX('Master Database'!$D$5:$D$600,MATCH(B625,'Master Database'!$A$5:$A$600,0)),"(row not found)"))</f>
        <v/>
      </c>
      <c r="D625" s="33" t="str">
        <f>IF(B625="","",IFERROR(INDEX('Master Database'!$B$5:$B$600,MATCH(B625,'Master Database'!$A$5:$A$600,0)),"(row not found)"))</f>
        <v/>
      </c>
      <c r="E625" s="30"/>
      <c r="F625" s="33" t="str">
        <f>IF(E625="","",IFERROR(INDEX(Vendor_Register!$B$5:$B$205,MATCH(E625,Vendor_Register!$A$5:$A$205,0)),"(not in register)"))</f>
        <v/>
      </c>
      <c r="G625" s="33" t="str">
        <f>IF(E625="","",IFERROR(INDEX(Vendor_Register!$E$5:$E$205,MATCH(E625,Vendor_Register!$A$5:$A$205,0)),"(not in register)"))</f>
        <v/>
      </c>
      <c r="H625" s="30"/>
      <c r="I625" s="30"/>
      <c r="J625" s="30"/>
      <c r="K625" s="30"/>
      <c r="L625" s="30"/>
      <c r="M625" s="34"/>
      <c r="N625" s="30"/>
      <c r="O625" s="35" t="str">
        <f>IF(NOT(ISNUMBER(M625)),"",IFERROR(IF(L625="EUR",M625,IF(L625="IRR",M625/INDEX('Assumptions &amp; FX Reference'!$C$5:$C$25,MATCH(H625,'Assumptions &amp; FX Reference'!$A$5:$A$25,0)),IF(L625="USD",M625*INDEX('Assumptions &amp; FX Reference'!$B$5:$B$25,MATCH(H625,'Assumptions &amp; FX Reference'!$A$5:$A$25,0))/INDEX('Assumptions &amp; FX Reference'!$C$5:$C$25,MATCH(H625,'Assumptions &amp; FX Reference'!$A$5:$A$25,0)),""))),"(FX missing)"))</f>
        <v/>
      </c>
      <c r="P625" s="30"/>
      <c r="Q625" s="30"/>
      <c r="R625" s="30"/>
      <c r="S625" s="30"/>
      <c r="T625" s="30"/>
      <c r="U625" s="30"/>
      <c r="V625" s="30"/>
    </row>
    <row r="626" spans="1:22">
      <c r="A626" s="30"/>
      <c r="B626" s="30"/>
      <c r="C626" s="33" t="str">
        <f>IF(B626="","",IFERROR(INDEX('Master Database'!$D$5:$D$600,MATCH(B626,'Master Database'!$A$5:$A$600,0)),"(row not found)"))</f>
        <v/>
      </c>
      <c r="D626" s="33" t="str">
        <f>IF(B626="","",IFERROR(INDEX('Master Database'!$B$5:$B$600,MATCH(B626,'Master Database'!$A$5:$A$600,0)),"(row not found)"))</f>
        <v/>
      </c>
      <c r="E626" s="30"/>
      <c r="F626" s="33" t="str">
        <f>IF(E626="","",IFERROR(INDEX(Vendor_Register!$B$5:$B$205,MATCH(E626,Vendor_Register!$A$5:$A$205,0)),"(not in register)"))</f>
        <v/>
      </c>
      <c r="G626" s="33" t="str">
        <f>IF(E626="","",IFERROR(INDEX(Vendor_Register!$E$5:$E$205,MATCH(E626,Vendor_Register!$A$5:$A$205,0)),"(not in register)"))</f>
        <v/>
      </c>
      <c r="H626" s="30"/>
      <c r="I626" s="30"/>
      <c r="J626" s="30"/>
      <c r="K626" s="30"/>
      <c r="L626" s="30"/>
      <c r="M626" s="34"/>
      <c r="N626" s="30"/>
      <c r="O626" s="35" t="str">
        <f>IF(NOT(ISNUMBER(M626)),"",IFERROR(IF(L626="EUR",M626,IF(L626="IRR",M626/INDEX('Assumptions &amp; FX Reference'!$C$5:$C$25,MATCH(H626,'Assumptions &amp; FX Reference'!$A$5:$A$25,0)),IF(L626="USD",M626*INDEX('Assumptions &amp; FX Reference'!$B$5:$B$25,MATCH(H626,'Assumptions &amp; FX Reference'!$A$5:$A$25,0))/INDEX('Assumptions &amp; FX Reference'!$C$5:$C$25,MATCH(H626,'Assumptions &amp; FX Reference'!$A$5:$A$25,0)),""))),"(FX missing)"))</f>
        <v/>
      </c>
      <c r="P626" s="30"/>
      <c r="Q626" s="30"/>
      <c r="R626" s="30"/>
      <c r="S626" s="30"/>
      <c r="T626" s="30"/>
      <c r="U626" s="30"/>
      <c r="V626" s="30"/>
    </row>
    <row r="627" spans="1:22">
      <c r="A627" s="30"/>
      <c r="B627" s="30"/>
      <c r="C627" s="33" t="str">
        <f>IF(B627="","",IFERROR(INDEX('Master Database'!$D$5:$D$600,MATCH(B627,'Master Database'!$A$5:$A$600,0)),"(row not found)"))</f>
        <v/>
      </c>
      <c r="D627" s="33" t="str">
        <f>IF(B627="","",IFERROR(INDEX('Master Database'!$B$5:$B$600,MATCH(B627,'Master Database'!$A$5:$A$600,0)),"(row not found)"))</f>
        <v/>
      </c>
      <c r="E627" s="30"/>
      <c r="F627" s="33" t="str">
        <f>IF(E627="","",IFERROR(INDEX(Vendor_Register!$B$5:$B$205,MATCH(E627,Vendor_Register!$A$5:$A$205,0)),"(not in register)"))</f>
        <v/>
      </c>
      <c r="G627" s="33" t="str">
        <f>IF(E627="","",IFERROR(INDEX(Vendor_Register!$E$5:$E$205,MATCH(E627,Vendor_Register!$A$5:$A$205,0)),"(not in register)"))</f>
        <v/>
      </c>
      <c r="H627" s="30"/>
      <c r="I627" s="30"/>
      <c r="J627" s="30"/>
      <c r="K627" s="30"/>
      <c r="L627" s="30"/>
      <c r="M627" s="34"/>
      <c r="N627" s="30"/>
      <c r="O627" s="35" t="str">
        <f>IF(NOT(ISNUMBER(M627)),"",IFERROR(IF(L627="EUR",M627,IF(L627="IRR",M627/INDEX('Assumptions &amp; FX Reference'!$C$5:$C$25,MATCH(H627,'Assumptions &amp; FX Reference'!$A$5:$A$25,0)),IF(L627="USD",M627*INDEX('Assumptions &amp; FX Reference'!$B$5:$B$25,MATCH(H627,'Assumptions &amp; FX Reference'!$A$5:$A$25,0))/INDEX('Assumptions &amp; FX Reference'!$C$5:$C$25,MATCH(H627,'Assumptions &amp; FX Reference'!$A$5:$A$25,0)),""))),"(FX missing)"))</f>
        <v/>
      </c>
      <c r="P627" s="30"/>
      <c r="Q627" s="30"/>
      <c r="R627" s="30"/>
      <c r="S627" s="30"/>
      <c r="T627" s="30"/>
      <c r="U627" s="30"/>
      <c r="V627" s="30"/>
    </row>
    <row r="628" spans="1:22">
      <c r="A628" s="30"/>
      <c r="B628" s="30"/>
      <c r="C628" s="33" t="str">
        <f>IF(B628="","",IFERROR(INDEX('Master Database'!$D$5:$D$600,MATCH(B628,'Master Database'!$A$5:$A$600,0)),"(row not found)"))</f>
        <v/>
      </c>
      <c r="D628" s="33" t="str">
        <f>IF(B628="","",IFERROR(INDEX('Master Database'!$B$5:$B$600,MATCH(B628,'Master Database'!$A$5:$A$600,0)),"(row not found)"))</f>
        <v/>
      </c>
      <c r="E628" s="30"/>
      <c r="F628" s="33" t="str">
        <f>IF(E628="","",IFERROR(INDEX(Vendor_Register!$B$5:$B$205,MATCH(E628,Vendor_Register!$A$5:$A$205,0)),"(not in register)"))</f>
        <v/>
      </c>
      <c r="G628" s="33" t="str">
        <f>IF(E628="","",IFERROR(INDEX(Vendor_Register!$E$5:$E$205,MATCH(E628,Vendor_Register!$A$5:$A$205,0)),"(not in register)"))</f>
        <v/>
      </c>
      <c r="H628" s="30"/>
      <c r="I628" s="30"/>
      <c r="J628" s="30"/>
      <c r="K628" s="30"/>
      <c r="L628" s="30"/>
      <c r="M628" s="34"/>
      <c r="N628" s="30"/>
      <c r="O628" s="35" t="str">
        <f>IF(NOT(ISNUMBER(M628)),"",IFERROR(IF(L628="EUR",M628,IF(L628="IRR",M628/INDEX('Assumptions &amp; FX Reference'!$C$5:$C$25,MATCH(H628,'Assumptions &amp; FX Reference'!$A$5:$A$25,0)),IF(L628="USD",M628*INDEX('Assumptions &amp; FX Reference'!$B$5:$B$25,MATCH(H628,'Assumptions &amp; FX Reference'!$A$5:$A$25,0))/INDEX('Assumptions &amp; FX Reference'!$C$5:$C$25,MATCH(H628,'Assumptions &amp; FX Reference'!$A$5:$A$25,0)),""))),"(FX missing)"))</f>
        <v/>
      </c>
      <c r="P628" s="30"/>
      <c r="Q628" s="30"/>
      <c r="R628" s="30"/>
      <c r="S628" s="30"/>
      <c r="T628" s="30"/>
      <c r="U628" s="30"/>
      <c r="V628" s="30"/>
    </row>
    <row r="629" spans="1:22">
      <c r="A629" s="30"/>
      <c r="B629" s="30"/>
      <c r="C629" s="33" t="str">
        <f>IF(B629="","",IFERROR(INDEX('Master Database'!$D$5:$D$600,MATCH(B629,'Master Database'!$A$5:$A$600,0)),"(row not found)"))</f>
        <v/>
      </c>
      <c r="D629" s="33" t="str">
        <f>IF(B629="","",IFERROR(INDEX('Master Database'!$B$5:$B$600,MATCH(B629,'Master Database'!$A$5:$A$600,0)),"(row not found)"))</f>
        <v/>
      </c>
      <c r="E629" s="30"/>
      <c r="F629" s="33" t="str">
        <f>IF(E629="","",IFERROR(INDEX(Vendor_Register!$B$5:$B$205,MATCH(E629,Vendor_Register!$A$5:$A$205,0)),"(not in register)"))</f>
        <v/>
      </c>
      <c r="G629" s="33" t="str">
        <f>IF(E629="","",IFERROR(INDEX(Vendor_Register!$E$5:$E$205,MATCH(E629,Vendor_Register!$A$5:$A$205,0)),"(not in register)"))</f>
        <v/>
      </c>
      <c r="H629" s="30"/>
      <c r="I629" s="30"/>
      <c r="J629" s="30"/>
      <c r="K629" s="30"/>
      <c r="L629" s="30"/>
      <c r="M629" s="34"/>
      <c r="N629" s="30"/>
      <c r="O629" s="35" t="str">
        <f>IF(NOT(ISNUMBER(M629)),"",IFERROR(IF(L629="EUR",M629,IF(L629="IRR",M629/INDEX('Assumptions &amp; FX Reference'!$C$5:$C$25,MATCH(H629,'Assumptions &amp; FX Reference'!$A$5:$A$25,0)),IF(L629="USD",M629*INDEX('Assumptions &amp; FX Reference'!$B$5:$B$25,MATCH(H629,'Assumptions &amp; FX Reference'!$A$5:$A$25,0))/INDEX('Assumptions &amp; FX Reference'!$C$5:$C$25,MATCH(H629,'Assumptions &amp; FX Reference'!$A$5:$A$25,0)),""))),"(FX missing)"))</f>
        <v/>
      </c>
      <c r="P629" s="30"/>
      <c r="Q629" s="30"/>
      <c r="R629" s="30"/>
      <c r="S629" s="30"/>
      <c r="T629" s="30"/>
      <c r="U629" s="30"/>
      <c r="V629" s="30"/>
    </row>
    <row r="630" spans="1:22">
      <c r="A630" s="30"/>
      <c r="B630" s="30"/>
      <c r="C630" s="33" t="str">
        <f>IF(B630="","",IFERROR(INDEX('Master Database'!$D$5:$D$600,MATCH(B630,'Master Database'!$A$5:$A$600,0)),"(row not found)"))</f>
        <v/>
      </c>
      <c r="D630" s="33" t="str">
        <f>IF(B630="","",IFERROR(INDEX('Master Database'!$B$5:$B$600,MATCH(B630,'Master Database'!$A$5:$A$600,0)),"(row not found)"))</f>
        <v/>
      </c>
      <c r="E630" s="30"/>
      <c r="F630" s="33" t="str">
        <f>IF(E630="","",IFERROR(INDEX(Vendor_Register!$B$5:$B$205,MATCH(E630,Vendor_Register!$A$5:$A$205,0)),"(not in register)"))</f>
        <v/>
      </c>
      <c r="G630" s="33" t="str">
        <f>IF(E630="","",IFERROR(INDEX(Vendor_Register!$E$5:$E$205,MATCH(E630,Vendor_Register!$A$5:$A$205,0)),"(not in register)"))</f>
        <v/>
      </c>
      <c r="H630" s="30"/>
      <c r="I630" s="30"/>
      <c r="J630" s="30"/>
      <c r="K630" s="30"/>
      <c r="L630" s="30"/>
      <c r="M630" s="34"/>
      <c r="N630" s="30"/>
      <c r="O630" s="35" t="str">
        <f>IF(NOT(ISNUMBER(M630)),"",IFERROR(IF(L630="EUR",M630,IF(L630="IRR",M630/INDEX('Assumptions &amp; FX Reference'!$C$5:$C$25,MATCH(H630,'Assumptions &amp; FX Reference'!$A$5:$A$25,0)),IF(L630="USD",M630*INDEX('Assumptions &amp; FX Reference'!$B$5:$B$25,MATCH(H630,'Assumptions &amp; FX Reference'!$A$5:$A$25,0))/INDEX('Assumptions &amp; FX Reference'!$C$5:$C$25,MATCH(H630,'Assumptions &amp; FX Reference'!$A$5:$A$25,0)),""))),"(FX missing)"))</f>
        <v/>
      </c>
      <c r="P630" s="30"/>
      <c r="Q630" s="30"/>
      <c r="R630" s="30"/>
      <c r="S630" s="30"/>
      <c r="T630" s="30"/>
      <c r="U630" s="30"/>
      <c r="V630" s="30"/>
    </row>
    <row r="631" spans="1:22">
      <c r="A631" s="30"/>
      <c r="B631" s="30"/>
      <c r="C631" s="33" t="str">
        <f>IF(B631="","",IFERROR(INDEX('Master Database'!$D$5:$D$600,MATCH(B631,'Master Database'!$A$5:$A$600,0)),"(row not found)"))</f>
        <v/>
      </c>
      <c r="D631" s="33" t="str">
        <f>IF(B631="","",IFERROR(INDEX('Master Database'!$B$5:$B$600,MATCH(B631,'Master Database'!$A$5:$A$600,0)),"(row not found)"))</f>
        <v/>
      </c>
      <c r="E631" s="30"/>
      <c r="F631" s="33" t="str">
        <f>IF(E631="","",IFERROR(INDEX(Vendor_Register!$B$5:$B$205,MATCH(E631,Vendor_Register!$A$5:$A$205,0)),"(not in register)"))</f>
        <v/>
      </c>
      <c r="G631" s="33" t="str">
        <f>IF(E631="","",IFERROR(INDEX(Vendor_Register!$E$5:$E$205,MATCH(E631,Vendor_Register!$A$5:$A$205,0)),"(not in register)"))</f>
        <v/>
      </c>
      <c r="H631" s="30"/>
      <c r="I631" s="30"/>
      <c r="J631" s="30"/>
      <c r="K631" s="30"/>
      <c r="L631" s="30"/>
      <c r="M631" s="34"/>
      <c r="N631" s="30"/>
      <c r="O631" s="35" t="str">
        <f>IF(NOT(ISNUMBER(M631)),"",IFERROR(IF(L631="EUR",M631,IF(L631="IRR",M631/INDEX('Assumptions &amp; FX Reference'!$C$5:$C$25,MATCH(H631,'Assumptions &amp; FX Reference'!$A$5:$A$25,0)),IF(L631="USD",M631*INDEX('Assumptions &amp; FX Reference'!$B$5:$B$25,MATCH(H631,'Assumptions &amp; FX Reference'!$A$5:$A$25,0))/INDEX('Assumptions &amp; FX Reference'!$C$5:$C$25,MATCH(H631,'Assumptions &amp; FX Reference'!$A$5:$A$25,0)),""))),"(FX missing)"))</f>
        <v/>
      </c>
      <c r="P631" s="30"/>
      <c r="Q631" s="30"/>
      <c r="R631" s="30"/>
      <c r="S631" s="30"/>
      <c r="T631" s="30"/>
      <c r="U631" s="30"/>
      <c r="V631" s="30"/>
    </row>
    <row r="632" spans="1:22">
      <c r="A632" s="30"/>
      <c r="B632" s="30"/>
      <c r="C632" s="33" t="str">
        <f>IF(B632="","",IFERROR(INDEX('Master Database'!$D$5:$D$600,MATCH(B632,'Master Database'!$A$5:$A$600,0)),"(row not found)"))</f>
        <v/>
      </c>
      <c r="D632" s="33" t="str">
        <f>IF(B632="","",IFERROR(INDEX('Master Database'!$B$5:$B$600,MATCH(B632,'Master Database'!$A$5:$A$600,0)),"(row not found)"))</f>
        <v/>
      </c>
      <c r="E632" s="30"/>
      <c r="F632" s="33" t="str">
        <f>IF(E632="","",IFERROR(INDEX(Vendor_Register!$B$5:$B$205,MATCH(E632,Vendor_Register!$A$5:$A$205,0)),"(not in register)"))</f>
        <v/>
      </c>
      <c r="G632" s="33" t="str">
        <f>IF(E632="","",IFERROR(INDEX(Vendor_Register!$E$5:$E$205,MATCH(E632,Vendor_Register!$A$5:$A$205,0)),"(not in register)"))</f>
        <v/>
      </c>
      <c r="H632" s="30"/>
      <c r="I632" s="30"/>
      <c r="J632" s="30"/>
      <c r="K632" s="30"/>
      <c r="L632" s="30"/>
      <c r="M632" s="34"/>
      <c r="N632" s="30"/>
      <c r="O632" s="35" t="str">
        <f>IF(NOT(ISNUMBER(M632)),"",IFERROR(IF(L632="EUR",M632,IF(L632="IRR",M632/INDEX('Assumptions &amp; FX Reference'!$C$5:$C$25,MATCH(H632,'Assumptions &amp; FX Reference'!$A$5:$A$25,0)),IF(L632="USD",M632*INDEX('Assumptions &amp; FX Reference'!$B$5:$B$25,MATCH(H632,'Assumptions &amp; FX Reference'!$A$5:$A$25,0))/INDEX('Assumptions &amp; FX Reference'!$C$5:$C$25,MATCH(H632,'Assumptions &amp; FX Reference'!$A$5:$A$25,0)),""))),"(FX missing)"))</f>
        <v/>
      </c>
      <c r="P632" s="30"/>
      <c r="Q632" s="30"/>
      <c r="R632" s="30"/>
      <c r="S632" s="30"/>
      <c r="T632" s="30"/>
      <c r="U632" s="30"/>
      <c r="V632" s="30"/>
    </row>
    <row r="633" spans="1:22">
      <c r="A633" s="30"/>
      <c r="B633" s="30"/>
      <c r="C633" s="33" t="str">
        <f>IF(B633="","",IFERROR(INDEX('Master Database'!$D$5:$D$600,MATCH(B633,'Master Database'!$A$5:$A$600,0)),"(row not found)"))</f>
        <v/>
      </c>
      <c r="D633" s="33" t="str">
        <f>IF(B633="","",IFERROR(INDEX('Master Database'!$B$5:$B$600,MATCH(B633,'Master Database'!$A$5:$A$600,0)),"(row not found)"))</f>
        <v/>
      </c>
      <c r="E633" s="30"/>
      <c r="F633" s="33" t="str">
        <f>IF(E633="","",IFERROR(INDEX(Vendor_Register!$B$5:$B$205,MATCH(E633,Vendor_Register!$A$5:$A$205,0)),"(not in register)"))</f>
        <v/>
      </c>
      <c r="G633" s="33" t="str">
        <f>IF(E633="","",IFERROR(INDEX(Vendor_Register!$E$5:$E$205,MATCH(E633,Vendor_Register!$A$5:$A$205,0)),"(not in register)"))</f>
        <v/>
      </c>
      <c r="H633" s="30"/>
      <c r="I633" s="30"/>
      <c r="J633" s="30"/>
      <c r="K633" s="30"/>
      <c r="L633" s="30"/>
      <c r="M633" s="34"/>
      <c r="N633" s="30"/>
      <c r="O633" s="35" t="str">
        <f>IF(NOT(ISNUMBER(M633)),"",IFERROR(IF(L633="EUR",M633,IF(L633="IRR",M633/INDEX('Assumptions &amp; FX Reference'!$C$5:$C$25,MATCH(H633,'Assumptions &amp; FX Reference'!$A$5:$A$25,0)),IF(L633="USD",M633*INDEX('Assumptions &amp; FX Reference'!$B$5:$B$25,MATCH(H633,'Assumptions &amp; FX Reference'!$A$5:$A$25,0))/INDEX('Assumptions &amp; FX Reference'!$C$5:$C$25,MATCH(H633,'Assumptions &amp; FX Reference'!$A$5:$A$25,0)),""))),"(FX missing)"))</f>
        <v/>
      </c>
      <c r="P633" s="30"/>
      <c r="Q633" s="30"/>
      <c r="R633" s="30"/>
      <c r="S633" s="30"/>
      <c r="T633" s="30"/>
      <c r="U633" s="30"/>
      <c r="V633" s="30"/>
    </row>
    <row r="634" spans="1:22">
      <c r="A634" s="30"/>
      <c r="B634" s="30"/>
      <c r="C634" s="33" t="str">
        <f>IF(B634="","",IFERROR(INDEX('Master Database'!$D$5:$D$600,MATCH(B634,'Master Database'!$A$5:$A$600,0)),"(row not found)"))</f>
        <v/>
      </c>
      <c r="D634" s="33" t="str">
        <f>IF(B634="","",IFERROR(INDEX('Master Database'!$B$5:$B$600,MATCH(B634,'Master Database'!$A$5:$A$600,0)),"(row not found)"))</f>
        <v/>
      </c>
      <c r="E634" s="30"/>
      <c r="F634" s="33" t="str">
        <f>IF(E634="","",IFERROR(INDEX(Vendor_Register!$B$5:$B$205,MATCH(E634,Vendor_Register!$A$5:$A$205,0)),"(not in register)"))</f>
        <v/>
      </c>
      <c r="G634" s="33" t="str">
        <f>IF(E634="","",IFERROR(INDEX(Vendor_Register!$E$5:$E$205,MATCH(E634,Vendor_Register!$A$5:$A$205,0)),"(not in register)"))</f>
        <v/>
      </c>
      <c r="H634" s="30"/>
      <c r="I634" s="30"/>
      <c r="J634" s="30"/>
      <c r="K634" s="30"/>
      <c r="L634" s="30"/>
      <c r="M634" s="34"/>
      <c r="N634" s="30"/>
      <c r="O634" s="35" t="str">
        <f>IF(NOT(ISNUMBER(M634)),"",IFERROR(IF(L634="EUR",M634,IF(L634="IRR",M634/INDEX('Assumptions &amp; FX Reference'!$C$5:$C$25,MATCH(H634,'Assumptions &amp; FX Reference'!$A$5:$A$25,0)),IF(L634="USD",M634*INDEX('Assumptions &amp; FX Reference'!$B$5:$B$25,MATCH(H634,'Assumptions &amp; FX Reference'!$A$5:$A$25,0))/INDEX('Assumptions &amp; FX Reference'!$C$5:$C$25,MATCH(H634,'Assumptions &amp; FX Reference'!$A$5:$A$25,0)),""))),"(FX missing)"))</f>
        <v/>
      </c>
      <c r="P634" s="30"/>
      <c r="Q634" s="30"/>
      <c r="R634" s="30"/>
      <c r="S634" s="30"/>
      <c r="T634" s="30"/>
      <c r="U634" s="30"/>
      <c r="V634" s="30"/>
    </row>
    <row r="635" spans="1:22">
      <c r="A635" s="30"/>
      <c r="B635" s="30"/>
      <c r="C635" s="33" t="str">
        <f>IF(B635="","",IFERROR(INDEX('Master Database'!$D$5:$D$600,MATCH(B635,'Master Database'!$A$5:$A$600,0)),"(row not found)"))</f>
        <v/>
      </c>
      <c r="D635" s="33" t="str">
        <f>IF(B635="","",IFERROR(INDEX('Master Database'!$B$5:$B$600,MATCH(B635,'Master Database'!$A$5:$A$600,0)),"(row not found)"))</f>
        <v/>
      </c>
      <c r="E635" s="30"/>
      <c r="F635" s="33" t="str">
        <f>IF(E635="","",IFERROR(INDEX(Vendor_Register!$B$5:$B$205,MATCH(E635,Vendor_Register!$A$5:$A$205,0)),"(not in register)"))</f>
        <v/>
      </c>
      <c r="G635" s="33" t="str">
        <f>IF(E635="","",IFERROR(INDEX(Vendor_Register!$E$5:$E$205,MATCH(E635,Vendor_Register!$A$5:$A$205,0)),"(not in register)"))</f>
        <v/>
      </c>
      <c r="H635" s="30"/>
      <c r="I635" s="30"/>
      <c r="J635" s="30"/>
      <c r="K635" s="30"/>
      <c r="L635" s="30"/>
      <c r="M635" s="34"/>
      <c r="N635" s="30"/>
      <c r="O635" s="35" t="str">
        <f>IF(NOT(ISNUMBER(M635)),"",IFERROR(IF(L635="EUR",M635,IF(L635="IRR",M635/INDEX('Assumptions &amp; FX Reference'!$C$5:$C$25,MATCH(H635,'Assumptions &amp; FX Reference'!$A$5:$A$25,0)),IF(L635="USD",M635*INDEX('Assumptions &amp; FX Reference'!$B$5:$B$25,MATCH(H635,'Assumptions &amp; FX Reference'!$A$5:$A$25,0))/INDEX('Assumptions &amp; FX Reference'!$C$5:$C$25,MATCH(H635,'Assumptions &amp; FX Reference'!$A$5:$A$25,0)),""))),"(FX missing)"))</f>
        <v/>
      </c>
      <c r="P635" s="30"/>
      <c r="Q635" s="30"/>
      <c r="R635" s="30"/>
      <c r="S635" s="30"/>
      <c r="T635" s="30"/>
      <c r="U635" s="30"/>
      <c r="V635" s="30"/>
    </row>
    <row r="636" spans="1:22">
      <c r="A636" s="30"/>
      <c r="B636" s="30"/>
      <c r="C636" s="33" t="str">
        <f>IF(B636="","",IFERROR(INDEX('Master Database'!$D$5:$D$600,MATCH(B636,'Master Database'!$A$5:$A$600,0)),"(row not found)"))</f>
        <v/>
      </c>
      <c r="D636" s="33" t="str">
        <f>IF(B636="","",IFERROR(INDEX('Master Database'!$B$5:$B$600,MATCH(B636,'Master Database'!$A$5:$A$600,0)),"(row not found)"))</f>
        <v/>
      </c>
      <c r="E636" s="30"/>
      <c r="F636" s="33" t="str">
        <f>IF(E636="","",IFERROR(INDEX(Vendor_Register!$B$5:$B$205,MATCH(E636,Vendor_Register!$A$5:$A$205,0)),"(not in register)"))</f>
        <v/>
      </c>
      <c r="G636" s="33" t="str">
        <f>IF(E636="","",IFERROR(INDEX(Vendor_Register!$E$5:$E$205,MATCH(E636,Vendor_Register!$A$5:$A$205,0)),"(not in register)"))</f>
        <v/>
      </c>
      <c r="H636" s="30"/>
      <c r="I636" s="30"/>
      <c r="J636" s="30"/>
      <c r="K636" s="30"/>
      <c r="L636" s="30"/>
      <c r="M636" s="34"/>
      <c r="N636" s="30"/>
      <c r="O636" s="35" t="str">
        <f>IF(NOT(ISNUMBER(M636)),"",IFERROR(IF(L636="EUR",M636,IF(L636="IRR",M636/INDEX('Assumptions &amp; FX Reference'!$C$5:$C$25,MATCH(H636,'Assumptions &amp; FX Reference'!$A$5:$A$25,0)),IF(L636="USD",M636*INDEX('Assumptions &amp; FX Reference'!$B$5:$B$25,MATCH(H636,'Assumptions &amp; FX Reference'!$A$5:$A$25,0))/INDEX('Assumptions &amp; FX Reference'!$C$5:$C$25,MATCH(H636,'Assumptions &amp; FX Reference'!$A$5:$A$25,0)),""))),"(FX missing)"))</f>
        <v/>
      </c>
      <c r="P636" s="30"/>
      <c r="Q636" s="30"/>
      <c r="R636" s="30"/>
      <c r="S636" s="30"/>
      <c r="T636" s="30"/>
      <c r="U636" s="30"/>
      <c r="V636" s="30"/>
    </row>
    <row r="637" spans="1:22">
      <c r="A637" s="30"/>
      <c r="B637" s="30"/>
      <c r="C637" s="33" t="str">
        <f>IF(B637="","",IFERROR(INDEX('Master Database'!$D$5:$D$600,MATCH(B637,'Master Database'!$A$5:$A$600,0)),"(row not found)"))</f>
        <v/>
      </c>
      <c r="D637" s="33" t="str">
        <f>IF(B637="","",IFERROR(INDEX('Master Database'!$B$5:$B$600,MATCH(B637,'Master Database'!$A$5:$A$600,0)),"(row not found)"))</f>
        <v/>
      </c>
      <c r="E637" s="30"/>
      <c r="F637" s="33" t="str">
        <f>IF(E637="","",IFERROR(INDEX(Vendor_Register!$B$5:$B$205,MATCH(E637,Vendor_Register!$A$5:$A$205,0)),"(not in register)"))</f>
        <v/>
      </c>
      <c r="G637" s="33" t="str">
        <f>IF(E637="","",IFERROR(INDEX(Vendor_Register!$E$5:$E$205,MATCH(E637,Vendor_Register!$A$5:$A$205,0)),"(not in register)"))</f>
        <v/>
      </c>
      <c r="H637" s="30"/>
      <c r="I637" s="30"/>
      <c r="J637" s="30"/>
      <c r="K637" s="30"/>
      <c r="L637" s="30"/>
      <c r="M637" s="34"/>
      <c r="N637" s="30"/>
      <c r="O637" s="35" t="str">
        <f>IF(NOT(ISNUMBER(M637)),"",IFERROR(IF(L637="EUR",M637,IF(L637="IRR",M637/INDEX('Assumptions &amp; FX Reference'!$C$5:$C$25,MATCH(H637,'Assumptions &amp; FX Reference'!$A$5:$A$25,0)),IF(L637="USD",M637*INDEX('Assumptions &amp; FX Reference'!$B$5:$B$25,MATCH(H637,'Assumptions &amp; FX Reference'!$A$5:$A$25,0))/INDEX('Assumptions &amp; FX Reference'!$C$5:$C$25,MATCH(H637,'Assumptions &amp; FX Reference'!$A$5:$A$25,0)),""))),"(FX missing)"))</f>
        <v/>
      </c>
      <c r="P637" s="30"/>
      <c r="Q637" s="30"/>
      <c r="R637" s="30"/>
      <c r="S637" s="30"/>
      <c r="T637" s="30"/>
      <c r="U637" s="30"/>
      <c r="V637" s="30"/>
    </row>
    <row r="638" spans="1:22">
      <c r="A638" s="30"/>
      <c r="B638" s="30"/>
      <c r="C638" s="33" t="str">
        <f>IF(B638="","",IFERROR(INDEX('Master Database'!$D$5:$D$600,MATCH(B638,'Master Database'!$A$5:$A$600,0)),"(row not found)"))</f>
        <v/>
      </c>
      <c r="D638" s="33" t="str">
        <f>IF(B638="","",IFERROR(INDEX('Master Database'!$B$5:$B$600,MATCH(B638,'Master Database'!$A$5:$A$600,0)),"(row not found)"))</f>
        <v/>
      </c>
      <c r="E638" s="30"/>
      <c r="F638" s="33" t="str">
        <f>IF(E638="","",IFERROR(INDEX(Vendor_Register!$B$5:$B$205,MATCH(E638,Vendor_Register!$A$5:$A$205,0)),"(not in register)"))</f>
        <v/>
      </c>
      <c r="G638" s="33" t="str">
        <f>IF(E638="","",IFERROR(INDEX(Vendor_Register!$E$5:$E$205,MATCH(E638,Vendor_Register!$A$5:$A$205,0)),"(not in register)"))</f>
        <v/>
      </c>
      <c r="H638" s="30"/>
      <c r="I638" s="30"/>
      <c r="J638" s="30"/>
      <c r="K638" s="30"/>
      <c r="L638" s="30"/>
      <c r="M638" s="34"/>
      <c r="N638" s="30"/>
      <c r="O638" s="35" t="str">
        <f>IF(NOT(ISNUMBER(M638)),"",IFERROR(IF(L638="EUR",M638,IF(L638="IRR",M638/INDEX('Assumptions &amp; FX Reference'!$C$5:$C$25,MATCH(H638,'Assumptions &amp; FX Reference'!$A$5:$A$25,0)),IF(L638="USD",M638*INDEX('Assumptions &amp; FX Reference'!$B$5:$B$25,MATCH(H638,'Assumptions &amp; FX Reference'!$A$5:$A$25,0))/INDEX('Assumptions &amp; FX Reference'!$C$5:$C$25,MATCH(H638,'Assumptions &amp; FX Reference'!$A$5:$A$25,0)),""))),"(FX missing)"))</f>
        <v/>
      </c>
      <c r="P638" s="30"/>
      <c r="Q638" s="30"/>
      <c r="R638" s="30"/>
      <c r="S638" s="30"/>
      <c r="T638" s="30"/>
      <c r="U638" s="30"/>
      <c r="V638" s="30"/>
    </row>
    <row r="639" spans="1:22">
      <c r="A639" s="30"/>
      <c r="B639" s="30"/>
      <c r="C639" s="33" t="str">
        <f>IF(B639="","",IFERROR(INDEX('Master Database'!$D$5:$D$600,MATCH(B639,'Master Database'!$A$5:$A$600,0)),"(row not found)"))</f>
        <v/>
      </c>
      <c r="D639" s="33" t="str">
        <f>IF(B639="","",IFERROR(INDEX('Master Database'!$B$5:$B$600,MATCH(B639,'Master Database'!$A$5:$A$600,0)),"(row not found)"))</f>
        <v/>
      </c>
      <c r="E639" s="30"/>
      <c r="F639" s="33" t="str">
        <f>IF(E639="","",IFERROR(INDEX(Vendor_Register!$B$5:$B$205,MATCH(E639,Vendor_Register!$A$5:$A$205,0)),"(not in register)"))</f>
        <v/>
      </c>
      <c r="G639" s="33" t="str">
        <f>IF(E639="","",IFERROR(INDEX(Vendor_Register!$E$5:$E$205,MATCH(E639,Vendor_Register!$A$5:$A$205,0)),"(not in register)"))</f>
        <v/>
      </c>
      <c r="H639" s="30"/>
      <c r="I639" s="30"/>
      <c r="J639" s="30"/>
      <c r="K639" s="30"/>
      <c r="L639" s="30"/>
      <c r="M639" s="34"/>
      <c r="N639" s="30"/>
      <c r="O639" s="35" t="str">
        <f>IF(NOT(ISNUMBER(M639)),"",IFERROR(IF(L639="EUR",M639,IF(L639="IRR",M639/INDEX('Assumptions &amp; FX Reference'!$C$5:$C$25,MATCH(H639,'Assumptions &amp; FX Reference'!$A$5:$A$25,0)),IF(L639="USD",M639*INDEX('Assumptions &amp; FX Reference'!$B$5:$B$25,MATCH(H639,'Assumptions &amp; FX Reference'!$A$5:$A$25,0))/INDEX('Assumptions &amp; FX Reference'!$C$5:$C$25,MATCH(H639,'Assumptions &amp; FX Reference'!$A$5:$A$25,0)),""))),"(FX missing)"))</f>
        <v/>
      </c>
      <c r="P639" s="30"/>
      <c r="Q639" s="30"/>
      <c r="R639" s="30"/>
      <c r="S639" s="30"/>
      <c r="T639" s="30"/>
      <c r="U639" s="30"/>
      <c r="V639" s="30"/>
    </row>
    <row r="640" spans="1:22">
      <c r="A640" s="30"/>
      <c r="B640" s="30"/>
      <c r="C640" s="33" t="str">
        <f>IF(B640="","",IFERROR(INDEX('Master Database'!$D$5:$D$600,MATCH(B640,'Master Database'!$A$5:$A$600,0)),"(row not found)"))</f>
        <v/>
      </c>
      <c r="D640" s="33" t="str">
        <f>IF(B640="","",IFERROR(INDEX('Master Database'!$B$5:$B$600,MATCH(B640,'Master Database'!$A$5:$A$600,0)),"(row not found)"))</f>
        <v/>
      </c>
      <c r="E640" s="30"/>
      <c r="F640" s="33" t="str">
        <f>IF(E640="","",IFERROR(INDEX(Vendor_Register!$B$5:$B$205,MATCH(E640,Vendor_Register!$A$5:$A$205,0)),"(not in register)"))</f>
        <v/>
      </c>
      <c r="G640" s="33" t="str">
        <f>IF(E640="","",IFERROR(INDEX(Vendor_Register!$E$5:$E$205,MATCH(E640,Vendor_Register!$A$5:$A$205,0)),"(not in register)"))</f>
        <v/>
      </c>
      <c r="H640" s="30"/>
      <c r="I640" s="30"/>
      <c r="J640" s="30"/>
      <c r="K640" s="30"/>
      <c r="L640" s="30"/>
      <c r="M640" s="34"/>
      <c r="N640" s="30"/>
      <c r="O640" s="35" t="str">
        <f>IF(NOT(ISNUMBER(M640)),"",IFERROR(IF(L640="EUR",M640,IF(L640="IRR",M640/INDEX('Assumptions &amp; FX Reference'!$C$5:$C$25,MATCH(H640,'Assumptions &amp; FX Reference'!$A$5:$A$25,0)),IF(L640="USD",M640*INDEX('Assumptions &amp; FX Reference'!$B$5:$B$25,MATCH(H640,'Assumptions &amp; FX Reference'!$A$5:$A$25,0))/INDEX('Assumptions &amp; FX Reference'!$C$5:$C$25,MATCH(H640,'Assumptions &amp; FX Reference'!$A$5:$A$25,0)),""))),"(FX missing)"))</f>
        <v/>
      </c>
      <c r="P640" s="30"/>
      <c r="Q640" s="30"/>
      <c r="R640" s="30"/>
      <c r="S640" s="30"/>
      <c r="T640" s="30"/>
      <c r="U640" s="30"/>
      <c r="V640" s="30"/>
    </row>
    <row r="641" spans="1:22">
      <c r="A641" s="30"/>
      <c r="B641" s="30"/>
      <c r="C641" s="33" t="str">
        <f>IF(B641="","",IFERROR(INDEX('Master Database'!$D$5:$D$600,MATCH(B641,'Master Database'!$A$5:$A$600,0)),"(row not found)"))</f>
        <v/>
      </c>
      <c r="D641" s="33" t="str">
        <f>IF(B641="","",IFERROR(INDEX('Master Database'!$B$5:$B$600,MATCH(B641,'Master Database'!$A$5:$A$600,0)),"(row not found)"))</f>
        <v/>
      </c>
      <c r="E641" s="30"/>
      <c r="F641" s="33" t="str">
        <f>IF(E641="","",IFERROR(INDEX(Vendor_Register!$B$5:$B$205,MATCH(E641,Vendor_Register!$A$5:$A$205,0)),"(not in register)"))</f>
        <v/>
      </c>
      <c r="G641" s="33" t="str">
        <f>IF(E641="","",IFERROR(INDEX(Vendor_Register!$E$5:$E$205,MATCH(E641,Vendor_Register!$A$5:$A$205,0)),"(not in register)"))</f>
        <v/>
      </c>
      <c r="H641" s="30"/>
      <c r="I641" s="30"/>
      <c r="J641" s="30"/>
      <c r="K641" s="30"/>
      <c r="L641" s="30"/>
      <c r="M641" s="34"/>
      <c r="N641" s="30"/>
      <c r="O641" s="35" t="str">
        <f>IF(NOT(ISNUMBER(M641)),"",IFERROR(IF(L641="EUR",M641,IF(L641="IRR",M641/INDEX('Assumptions &amp; FX Reference'!$C$5:$C$25,MATCH(H641,'Assumptions &amp; FX Reference'!$A$5:$A$25,0)),IF(L641="USD",M641*INDEX('Assumptions &amp; FX Reference'!$B$5:$B$25,MATCH(H641,'Assumptions &amp; FX Reference'!$A$5:$A$25,0))/INDEX('Assumptions &amp; FX Reference'!$C$5:$C$25,MATCH(H641,'Assumptions &amp; FX Reference'!$A$5:$A$25,0)),""))),"(FX missing)"))</f>
        <v/>
      </c>
      <c r="P641" s="30"/>
      <c r="Q641" s="30"/>
      <c r="R641" s="30"/>
      <c r="S641" s="30"/>
      <c r="T641" s="30"/>
      <c r="U641" s="30"/>
      <c r="V641" s="30"/>
    </row>
    <row r="642" spans="1:22">
      <c r="A642" s="30"/>
      <c r="B642" s="30"/>
      <c r="C642" s="33" t="str">
        <f>IF(B642="","",IFERROR(INDEX('Master Database'!$D$5:$D$600,MATCH(B642,'Master Database'!$A$5:$A$600,0)),"(row not found)"))</f>
        <v/>
      </c>
      <c r="D642" s="33" t="str">
        <f>IF(B642="","",IFERROR(INDEX('Master Database'!$B$5:$B$600,MATCH(B642,'Master Database'!$A$5:$A$600,0)),"(row not found)"))</f>
        <v/>
      </c>
      <c r="E642" s="30"/>
      <c r="F642" s="33" t="str">
        <f>IF(E642="","",IFERROR(INDEX(Vendor_Register!$B$5:$B$205,MATCH(E642,Vendor_Register!$A$5:$A$205,0)),"(not in register)"))</f>
        <v/>
      </c>
      <c r="G642" s="33" t="str">
        <f>IF(E642="","",IFERROR(INDEX(Vendor_Register!$E$5:$E$205,MATCH(E642,Vendor_Register!$A$5:$A$205,0)),"(not in register)"))</f>
        <v/>
      </c>
      <c r="H642" s="30"/>
      <c r="I642" s="30"/>
      <c r="J642" s="30"/>
      <c r="K642" s="30"/>
      <c r="L642" s="30"/>
      <c r="M642" s="34"/>
      <c r="N642" s="30"/>
      <c r="O642" s="35" t="str">
        <f>IF(NOT(ISNUMBER(M642)),"",IFERROR(IF(L642="EUR",M642,IF(L642="IRR",M642/INDEX('Assumptions &amp; FX Reference'!$C$5:$C$25,MATCH(H642,'Assumptions &amp; FX Reference'!$A$5:$A$25,0)),IF(L642="USD",M642*INDEX('Assumptions &amp; FX Reference'!$B$5:$B$25,MATCH(H642,'Assumptions &amp; FX Reference'!$A$5:$A$25,0))/INDEX('Assumptions &amp; FX Reference'!$C$5:$C$25,MATCH(H642,'Assumptions &amp; FX Reference'!$A$5:$A$25,0)),""))),"(FX missing)"))</f>
        <v/>
      </c>
      <c r="P642" s="30"/>
      <c r="Q642" s="30"/>
      <c r="R642" s="30"/>
      <c r="S642" s="30"/>
      <c r="T642" s="30"/>
      <c r="U642" s="30"/>
      <c r="V642" s="30"/>
    </row>
    <row r="643" spans="1:22">
      <c r="A643" s="30"/>
      <c r="B643" s="30"/>
      <c r="C643" s="33" t="str">
        <f>IF(B643="","",IFERROR(INDEX('Master Database'!$D$5:$D$600,MATCH(B643,'Master Database'!$A$5:$A$600,0)),"(row not found)"))</f>
        <v/>
      </c>
      <c r="D643" s="33" t="str">
        <f>IF(B643="","",IFERROR(INDEX('Master Database'!$B$5:$B$600,MATCH(B643,'Master Database'!$A$5:$A$600,0)),"(row not found)"))</f>
        <v/>
      </c>
      <c r="E643" s="30"/>
      <c r="F643" s="33" t="str">
        <f>IF(E643="","",IFERROR(INDEX(Vendor_Register!$B$5:$B$205,MATCH(E643,Vendor_Register!$A$5:$A$205,0)),"(not in register)"))</f>
        <v/>
      </c>
      <c r="G643" s="33" t="str">
        <f>IF(E643="","",IFERROR(INDEX(Vendor_Register!$E$5:$E$205,MATCH(E643,Vendor_Register!$A$5:$A$205,0)),"(not in register)"))</f>
        <v/>
      </c>
      <c r="H643" s="30"/>
      <c r="I643" s="30"/>
      <c r="J643" s="30"/>
      <c r="K643" s="30"/>
      <c r="L643" s="30"/>
      <c r="M643" s="34"/>
      <c r="N643" s="30"/>
      <c r="O643" s="35" t="str">
        <f>IF(NOT(ISNUMBER(M643)),"",IFERROR(IF(L643="EUR",M643,IF(L643="IRR",M643/INDEX('Assumptions &amp; FX Reference'!$C$5:$C$25,MATCH(H643,'Assumptions &amp; FX Reference'!$A$5:$A$25,0)),IF(L643="USD",M643*INDEX('Assumptions &amp; FX Reference'!$B$5:$B$25,MATCH(H643,'Assumptions &amp; FX Reference'!$A$5:$A$25,0))/INDEX('Assumptions &amp; FX Reference'!$C$5:$C$25,MATCH(H643,'Assumptions &amp; FX Reference'!$A$5:$A$25,0)),""))),"(FX missing)"))</f>
        <v/>
      </c>
      <c r="P643" s="30"/>
      <c r="Q643" s="30"/>
      <c r="R643" s="30"/>
      <c r="S643" s="30"/>
      <c r="T643" s="30"/>
      <c r="U643" s="30"/>
      <c r="V643" s="30"/>
    </row>
    <row r="644" spans="1:22">
      <c r="A644" s="30"/>
      <c r="B644" s="30"/>
      <c r="C644" s="33" t="str">
        <f>IF(B644="","",IFERROR(INDEX('Master Database'!$D$5:$D$600,MATCH(B644,'Master Database'!$A$5:$A$600,0)),"(row not found)"))</f>
        <v/>
      </c>
      <c r="D644" s="33" t="str">
        <f>IF(B644="","",IFERROR(INDEX('Master Database'!$B$5:$B$600,MATCH(B644,'Master Database'!$A$5:$A$600,0)),"(row not found)"))</f>
        <v/>
      </c>
      <c r="E644" s="30"/>
      <c r="F644" s="33" t="str">
        <f>IF(E644="","",IFERROR(INDEX(Vendor_Register!$B$5:$B$205,MATCH(E644,Vendor_Register!$A$5:$A$205,0)),"(not in register)"))</f>
        <v/>
      </c>
      <c r="G644" s="33" t="str">
        <f>IF(E644="","",IFERROR(INDEX(Vendor_Register!$E$5:$E$205,MATCH(E644,Vendor_Register!$A$5:$A$205,0)),"(not in register)"))</f>
        <v/>
      </c>
      <c r="H644" s="30"/>
      <c r="I644" s="30"/>
      <c r="J644" s="30"/>
      <c r="K644" s="30"/>
      <c r="L644" s="30"/>
      <c r="M644" s="34"/>
      <c r="N644" s="30"/>
      <c r="O644" s="35" t="str">
        <f>IF(NOT(ISNUMBER(M644)),"",IFERROR(IF(L644="EUR",M644,IF(L644="IRR",M644/INDEX('Assumptions &amp; FX Reference'!$C$5:$C$25,MATCH(H644,'Assumptions &amp; FX Reference'!$A$5:$A$25,0)),IF(L644="USD",M644*INDEX('Assumptions &amp; FX Reference'!$B$5:$B$25,MATCH(H644,'Assumptions &amp; FX Reference'!$A$5:$A$25,0))/INDEX('Assumptions &amp; FX Reference'!$C$5:$C$25,MATCH(H644,'Assumptions &amp; FX Reference'!$A$5:$A$25,0)),""))),"(FX missing)"))</f>
        <v/>
      </c>
      <c r="P644" s="30"/>
      <c r="Q644" s="30"/>
      <c r="R644" s="30"/>
      <c r="S644" s="30"/>
      <c r="T644" s="30"/>
      <c r="U644" s="30"/>
      <c r="V644" s="30"/>
    </row>
    <row r="645" spans="1:22">
      <c r="A645" s="30"/>
      <c r="B645" s="30"/>
      <c r="C645" s="33" t="str">
        <f>IF(B645="","",IFERROR(INDEX('Master Database'!$D$5:$D$600,MATCH(B645,'Master Database'!$A$5:$A$600,0)),"(row not found)"))</f>
        <v/>
      </c>
      <c r="D645" s="33" t="str">
        <f>IF(B645="","",IFERROR(INDEX('Master Database'!$B$5:$B$600,MATCH(B645,'Master Database'!$A$5:$A$600,0)),"(row not found)"))</f>
        <v/>
      </c>
      <c r="E645" s="30"/>
      <c r="F645" s="33" t="str">
        <f>IF(E645="","",IFERROR(INDEX(Vendor_Register!$B$5:$B$205,MATCH(E645,Vendor_Register!$A$5:$A$205,0)),"(not in register)"))</f>
        <v/>
      </c>
      <c r="G645" s="33" t="str">
        <f>IF(E645="","",IFERROR(INDEX(Vendor_Register!$E$5:$E$205,MATCH(E645,Vendor_Register!$A$5:$A$205,0)),"(not in register)"))</f>
        <v/>
      </c>
      <c r="H645" s="30"/>
      <c r="I645" s="30"/>
      <c r="J645" s="30"/>
      <c r="K645" s="30"/>
      <c r="L645" s="30"/>
      <c r="M645" s="34"/>
      <c r="N645" s="30"/>
      <c r="O645" s="35" t="str">
        <f>IF(NOT(ISNUMBER(M645)),"",IFERROR(IF(L645="EUR",M645,IF(L645="IRR",M645/INDEX('Assumptions &amp; FX Reference'!$C$5:$C$25,MATCH(H645,'Assumptions &amp; FX Reference'!$A$5:$A$25,0)),IF(L645="USD",M645*INDEX('Assumptions &amp; FX Reference'!$B$5:$B$25,MATCH(H645,'Assumptions &amp; FX Reference'!$A$5:$A$25,0))/INDEX('Assumptions &amp; FX Reference'!$C$5:$C$25,MATCH(H645,'Assumptions &amp; FX Reference'!$A$5:$A$25,0)),""))),"(FX missing)"))</f>
        <v/>
      </c>
      <c r="P645" s="30"/>
      <c r="Q645" s="30"/>
      <c r="R645" s="30"/>
      <c r="S645" s="30"/>
      <c r="T645" s="30"/>
      <c r="U645" s="30"/>
      <c r="V645" s="30"/>
    </row>
    <row r="646" spans="1:22">
      <c r="A646" s="30"/>
      <c r="B646" s="30"/>
      <c r="C646" s="33" t="str">
        <f>IF(B646="","",IFERROR(INDEX('Master Database'!$D$5:$D$600,MATCH(B646,'Master Database'!$A$5:$A$600,0)),"(row not found)"))</f>
        <v/>
      </c>
      <c r="D646" s="33" t="str">
        <f>IF(B646="","",IFERROR(INDEX('Master Database'!$B$5:$B$600,MATCH(B646,'Master Database'!$A$5:$A$600,0)),"(row not found)"))</f>
        <v/>
      </c>
      <c r="E646" s="30"/>
      <c r="F646" s="33" t="str">
        <f>IF(E646="","",IFERROR(INDEX(Vendor_Register!$B$5:$B$205,MATCH(E646,Vendor_Register!$A$5:$A$205,0)),"(not in register)"))</f>
        <v/>
      </c>
      <c r="G646" s="33" t="str">
        <f>IF(E646="","",IFERROR(INDEX(Vendor_Register!$E$5:$E$205,MATCH(E646,Vendor_Register!$A$5:$A$205,0)),"(not in register)"))</f>
        <v/>
      </c>
      <c r="H646" s="30"/>
      <c r="I646" s="30"/>
      <c r="J646" s="30"/>
      <c r="K646" s="30"/>
      <c r="L646" s="30"/>
      <c r="M646" s="34"/>
      <c r="N646" s="30"/>
      <c r="O646" s="35" t="str">
        <f>IF(NOT(ISNUMBER(M646)),"",IFERROR(IF(L646="EUR",M646,IF(L646="IRR",M646/INDEX('Assumptions &amp; FX Reference'!$C$5:$C$25,MATCH(H646,'Assumptions &amp; FX Reference'!$A$5:$A$25,0)),IF(L646="USD",M646*INDEX('Assumptions &amp; FX Reference'!$B$5:$B$25,MATCH(H646,'Assumptions &amp; FX Reference'!$A$5:$A$25,0))/INDEX('Assumptions &amp; FX Reference'!$C$5:$C$25,MATCH(H646,'Assumptions &amp; FX Reference'!$A$5:$A$25,0)),""))),"(FX missing)"))</f>
        <v/>
      </c>
      <c r="P646" s="30"/>
      <c r="Q646" s="30"/>
      <c r="R646" s="30"/>
      <c r="S646" s="30"/>
      <c r="T646" s="30"/>
      <c r="U646" s="30"/>
      <c r="V646" s="30"/>
    </row>
    <row r="647" spans="1:22">
      <c r="A647" s="30"/>
      <c r="B647" s="30"/>
      <c r="C647" s="33" t="str">
        <f>IF(B647="","",IFERROR(INDEX('Master Database'!$D$5:$D$600,MATCH(B647,'Master Database'!$A$5:$A$600,0)),"(row not found)"))</f>
        <v/>
      </c>
      <c r="D647" s="33" t="str">
        <f>IF(B647="","",IFERROR(INDEX('Master Database'!$B$5:$B$600,MATCH(B647,'Master Database'!$A$5:$A$600,0)),"(row not found)"))</f>
        <v/>
      </c>
      <c r="E647" s="30"/>
      <c r="F647" s="33" t="str">
        <f>IF(E647="","",IFERROR(INDEX(Vendor_Register!$B$5:$B$205,MATCH(E647,Vendor_Register!$A$5:$A$205,0)),"(not in register)"))</f>
        <v/>
      </c>
      <c r="G647" s="33" t="str">
        <f>IF(E647="","",IFERROR(INDEX(Vendor_Register!$E$5:$E$205,MATCH(E647,Vendor_Register!$A$5:$A$205,0)),"(not in register)"))</f>
        <v/>
      </c>
      <c r="H647" s="30"/>
      <c r="I647" s="30"/>
      <c r="J647" s="30"/>
      <c r="K647" s="30"/>
      <c r="L647" s="30"/>
      <c r="M647" s="34"/>
      <c r="N647" s="30"/>
      <c r="O647" s="35" t="str">
        <f>IF(NOT(ISNUMBER(M647)),"",IFERROR(IF(L647="EUR",M647,IF(L647="IRR",M647/INDEX('Assumptions &amp; FX Reference'!$C$5:$C$25,MATCH(H647,'Assumptions &amp; FX Reference'!$A$5:$A$25,0)),IF(L647="USD",M647*INDEX('Assumptions &amp; FX Reference'!$B$5:$B$25,MATCH(H647,'Assumptions &amp; FX Reference'!$A$5:$A$25,0))/INDEX('Assumptions &amp; FX Reference'!$C$5:$C$25,MATCH(H647,'Assumptions &amp; FX Reference'!$A$5:$A$25,0)),""))),"(FX missing)"))</f>
        <v/>
      </c>
      <c r="P647" s="30"/>
      <c r="Q647" s="30"/>
      <c r="R647" s="30"/>
      <c r="S647" s="30"/>
      <c r="T647" s="30"/>
      <c r="U647" s="30"/>
      <c r="V647" s="30"/>
    </row>
    <row r="648" spans="1:22">
      <c r="A648" s="30"/>
      <c r="B648" s="30"/>
      <c r="C648" s="33" t="str">
        <f>IF(B648="","",IFERROR(INDEX('Master Database'!$D$5:$D$600,MATCH(B648,'Master Database'!$A$5:$A$600,0)),"(row not found)"))</f>
        <v/>
      </c>
      <c r="D648" s="33" t="str">
        <f>IF(B648="","",IFERROR(INDEX('Master Database'!$B$5:$B$600,MATCH(B648,'Master Database'!$A$5:$A$600,0)),"(row not found)"))</f>
        <v/>
      </c>
      <c r="E648" s="30"/>
      <c r="F648" s="33" t="str">
        <f>IF(E648="","",IFERROR(INDEX(Vendor_Register!$B$5:$B$205,MATCH(E648,Vendor_Register!$A$5:$A$205,0)),"(not in register)"))</f>
        <v/>
      </c>
      <c r="G648" s="33" t="str">
        <f>IF(E648="","",IFERROR(INDEX(Vendor_Register!$E$5:$E$205,MATCH(E648,Vendor_Register!$A$5:$A$205,0)),"(not in register)"))</f>
        <v/>
      </c>
      <c r="H648" s="30"/>
      <c r="I648" s="30"/>
      <c r="J648" s="30"/>
      <c r="K648" s="30"/>
      <c r="L648" s="30"/>
      <c r="M648" s="34"/>
      <c r="N648" s="30"/>
      <c r="O648" s="35" t="str">
        <f>IF(NOT(ISNUMBER(M648)),"",IFERROR(IF(L648="EUR",M648,IF(L648="IRR",M648/INDEX('Assumptions &amp; FX Reference'!$C$5:$C$25,MATCH(H648,'Assumptions &amp; FX Reference'!$A$5:$A$25,0)),IF(L648="USD",M648*INDEX('Assumptions &amp; FX Reference'!$B$5:$B$25,MATCH(H648,'Assumptions &amp; FX Reference'!$A$5:$A$25,0))/INDEX('Assumptions &amp; FX Reference'!$C$5:$C$25,MATCH(H648,'Assumptions &amp; FX Reference'!$A$5:$A$25,0)),""))),"(FX missing)"))</f>
        <v/>
      </c>
      <c r="P648" s="30"/>
      <c r="Q648" s="30"/>
      <c r="R648" s="30"/>
      <c r="S648" s="30"/>
      <c r="T648" s="30"/>
      <c r="U648" s="30"/>
      <c r="V648" s="30"/>
    </row>
    <row r="649" spans="1:22">
      <c r="A649" s="30"/>
      <c r="B649" s="30"/>
      <c r="C649" s="33" t="str">
        <f>IF(B649="","",IFERROR(INDEX('Master Database'!$D$5:$D$600,MATCH(B649,'Master Database'!$A$5:$A$600,0)),"(row not found)"))</f>
        <v/>
      </c>
      <c r="D649" s="33" t="str">
        <f>IF(B649="","",IFERROR(INDEX('Master Database'!$B$5:$B$600,MATCH(B649,'Master Database'!$A$5:$A$600,0)),"(row not found)"))</f>
        <v/>
      </c>
      <c r="E649" s="30"/>
      <c r="F649" s="33" t="str">
        <f>IF(E649="","",IFERROR(INDEX(Vendor_Register!$B$5:$B$205,MATCH(E649,Vendor_Register!$A$5:$A$205,0)),"(not in register)"))</f>
        <v/>
      </c>
      <c r="G649" s="33" t="str">
        <f>IF(E649="","",IFERROR(INDEX(Vendor_Register!$E$5:$E$205,MATCH(E649,Vendor_Register!$A$5:$A$205,0)),"(not in register)"))</f>
        <v/>
      </c>
      <c r="H649" s="30"/>
      <c r="I649" s="30"/>
      <c r="J649" s="30"/>
      <c r="K649" s="30"/>
      <c r="L649" s="30"/>
      <c r="M649" s="34"/>
      <c r="N649" s="30"/>
      <c r="O649" s="35" t="str">
        <f>IF(NOT(ISNUMBER(M649)),"",IFERROR(IF(L649="EUR",M649,IF(L649="IRR",M649/INDEX('Assumptions &amp; FX Reference'!$C$5:$C$25,MATCH(H649,'Assumptions &amp; FX Reference'!$A$5:$A$25,0)),IF(L649="USD",M649*INDEX('Assumptions &amp; FX Reference'!$B$5:$B$25,MATCH(H649,'Assumptions &amp; FX Reference'!$A$5:$A$25,0))/INDEX('Assumptions &amp; FX Reference'!$C$5:$C$25,MATCH(H649,'Assumptions &amp; FX Reference'!$A$5:$A$25,0)),""))),"(FX missing)"))</f>
        <v/>
      </c>
      <c r="P649" s="30"/>
      <c r="Q649" s="30"/>
      <c r="R649" s="30"/>
      <c r="S649" s="30"/>
      <c r="T649" s="30"/>
      <c r="U649" s="30"/>
      <c r="V649" s="30"/>
    </row>
    <row r="650" spans="1:22">
      <c r="A650" s="30"/>
      <c r="B650" s="30"/>
      <c r="C650" s="33" t="str">
        <f>IF(B650="","",IFERROR(INDEX('Master Database'!$D$5:$D$600,MATCH(B650,'Master Database'!$A$5:$A$600,0)),"(row not found)"))</f>
        <v/>
      </c>
      <c r="D650" s="33" t="str">
        <f>IF(B650="","",IFERROR(INDEX('Master Database'!$B$5:$B$600,MATCH(B650,'Master Database'!$A$5:$A$600,0)),"(row not found)"))</f>
        <v/>
      </c>
      <c r="E650" s="30"/>
      <c r="F650" s="33" t="str">
        <f>IF(E650="","",IFERROR(INDEX(Vendor_Register!$B$5:$B$205,MATCH(E650,Vendor_Register!$A$5:$A$205,0)),"(not in register)"))</f>
        <v/>
      </c>
      <c r="G650" s="33" t="str">
        <f>IF(E650="","",IFERROR(INDEX(Vendor_Register!$E$5:$E$205,MATCH(E650,Vendor_Register!$A$5:$A$205,0)),"(not in register)"))</f>
        <v/>
      </c>
      <c r="H650" s="30"/>
      <c r="I650" s="30"/>
      <c r="J650" s="30"/>
      <c r="K650" s="30"/>
      <c r="L650" s="30"/>
      <c r="M650" s="34"/>
      <c r="N650" s="30"/>
      <c r="O650" s="35" t="str">
        <f>IF(NOT(ISNUMBER(M650)),"",IFERROR(IF(L650="EUR",M650,IF(L650="IRR",M650/INDEX('Assumptions &amp; FX Reference'!$C$5:$C$25,MATCH(H650,'Assumptions &amp; FX Reference'!$A$5:$A$25,0)),IF(L650="USD",M650*INDEX('Assumptions &amp; FX Reference'!$B$5:$B$25,MATCH(H650,'Assumptions &amp; FX Reference'!$A$5:$A$25,0))/INDEX('Assumptions &amp; FX Reference'!$C$5:$C$25,MATCH(H650,'Assumptions &amp; FX Reference'!$A$5:$A$25,0)),""))),"(FX missing)"))</f>
        <v/>
      </c>
      <c r="P650" s="30"/>
      <c r="Q650" s="30"/>
      <c r="R650" s="30"/>
      <c r="S650" s="30"/>
      <c r="T650" s="30"/>
      <c r="U650" s="30"/>
      <c r="V650" s="30"/>
    </row>
    <row r="651" spans="1:22">
      <c r="A651" s="30"/>
      <c r="B651" s="30"/>
      <c r="C651" s="33" t="str">
        <f>IF(B651="","",IFERROR(INDEX('Master Database'!$D$5:$D$600,MATCH(B651,'Master Database'!$A$5:$A$600,0)),"(row not found)"))</f>
        <v/>
      </c>
      <c r="D651" s="33" t="str">
        <f>IF(B651="","",IFERROR(INDEX('Master Database'!$B$5:$B$600,MATCH(B651,'Master Database'!$A$5:$A$600,0)),"(row not found)"))</f>
        <v/>
      </c>
      <c r="E651" s="30"/>
      <c r="F651" s="33" t="str">
        <f>IF(E651="","",IFERROR(INDEX(Vendor_Register!$B$5:$B$205,MATCH(E651,Vendor_Register!$A$5:$A$205,0)),"(not in register)"))</f>
        <v/>
      </c>
      <c r="G651" s="33" t="str">
        <f>IF(E651="","",IFERROR(INDEX(Vendor_Register!$E$5:$E$205,MATCH(E651,Vendor_Register!$A$5:$A$205,0)),"(not in register)"))</f>
        <v/>
      </c>
      <c r="H651" s="30"/>
      <c r="I651" s="30"/>
      <c r="J651" s="30"/>
      <c r="K651" s="30"/>
      <c r="L651" s="30"/>
      <c r="M651" s="34"/>
      <c r="N651" s="30"/>
      <c r="O651" s="35" t="str">
        <f>IF(NOT(ISNUMBER(M651)),"",IFERROR(IF(L651="EUR",M651,IF(L651="IRR",M651/INDEX('Assumptions &amp; FX Reference'!$C$5:$C$25,MATCH(H651,'Assumptions &amp; FX Reference'!$A$5:$A$25,0)),IF(L651="USD",M651*INDEX('Assumptions &amp; FX Reference'!$B$5:$B$25,MATCH(H651,'Assumptions &amp; FX Reference'!$A$5:$A$25,0))/INDEX('Assumptions &amp; FX Reference'!$C$5:$C$25,MATCH(H651,'Assumptions &amp; FX Reference'!$A$5:$A$25,0)),""))),"(FX missing)"))</f>
        <v/>
      </c>
      <c r="P651" s="30"/>
      <c r="Q651" s="30"/>
      <c r="R651" s="30"/>
      <c r="S651" s="30"/>
      <c r="T651" s="30"/>
      <c r="U651" s="30"/>
      <c r="V651" s="30"/>
    </row>
    <row r="652" spans="1:22">
      <c r="A652" s="30"/>
      <c r="B652" s="30"/>
      <c r="C652" s="33" t="str">
        <f>IF(B652="","",IFERROR(INDEX('Master Database'!$D$5:$D$600,MATCH(B652,'Master Database'!$A$5:$A$600,0)),"(row not found)"))</f>
        <v/>
      </c>
      <c r="D652" s="33" t="str">
        <f>IF(B652="","",IFERROR(INDEX('Master Database'!$B$5:$B$600,MATCH(B652,'Master Database'!$A$5:$A$600,0)),"(row not found)"))</f>
        <v/>
      </c>
      <c r="E652" s="30"/>
      <c r="F652" s="33" t="str">
        <f>IF(E652="","",IFERROR(INDEX(Vendor_Register!$B$5:$B$205,MATCH(E652,Vendor_Register!$A$5:$A$205,0)),"(not in register)"))</f>
        <v/>
      </c>
      <c r="G652" s="33" t="str">
        <f>IF(E652="","",IFERROR(INDEX(Vendor_Register!$E$5:$E$205,MATCH(E652,Vendor_Register!$A$5:$A$205,0)),"(not in register)"))</f>
        <v/>
      </c>
      <c r="H652" s="30"/>
      <c r="I652" s="30"/>
      <c r="J652" s="30"/>
      <c r="K652" s="30"/>
      <c r="L652" s="30"/>
      <c r="M652" s="34"/>
      <c r="N652" s="30"/>
      <c r="O652" s="35" t="str">
        <f>IF(NOT(ISNUMBER(M652)),"",IFERROR(IF(L652="EUR",M652,IF(L652="IRR",M652/INDEX('Assumptions &amp; FX Reference'!$C$5:$C$25,MATCH(H652,'Assumptions &amp; FX Reference'!$A$5:$A$25,0)),IF(L652="USD",M652*INDEX('Assumptions &amp; FX Reference'!$B$5:$B$25,MATCH(H652,'Assumptions &amp; FX Reference'!$A$5:$A$25,0))/INDEX('Assumptions &amp; FX Reference'!$C$5:$C$25,MATCH(H652,'Assumptions &amp; FX Reference'!$A$5:$A$25,0)),""))),"(FX missing)"))</f>
        <v/>
      </c>
      <c r="P652" s="30"/>
      <c r="Q652" s="30"/>
      <c r="R652" s="30"/>
      <c r="S652" s="30"/>
      <c r="T652" s="30"/>
      <c r="U652" s="30"/>
      <c r="V652" s="30"/>
    </row>
    <row r="653" spans="1:22">
      <c r="A653" s="30"/>
      <c r="B653" s="30"/>
      <c r="C653" s="33" t="str">
        <f>IF(B653="","",IFERROR(INDEX('Master Database'!$D$5:$D$600,MATCH(B653,'Master Database'!$A$5:$A$600,0)),"(row not found)"))</f>
        <v/>
      </c>
      <c r="D653" s="33" t="str">
        <f>IF(B653="","",IFERROR(INDEX('Master Database'!$B$5:$B$600,MATCH(B653,'Master Database'!$A$5:$A$600,0)),"(row not found)"))</f>
        <v/>
      </c>
      <c r="E653" s="30"/>
      <c r="F653" s="33" t="str">
        <f>IF(E653="","",IFERROR(INDEX(Vendor_Register!$B$5:$B$205,MATCH(E653,Vendor_Register!$A$5:$A$205,0)),"(not in register)"))</f>
        <v/>
      </c>
      <c r="G653" s="33" t="str">
        <f>IF(E653="","",IFERROR(INDEX(Vendor_Register!$E$5:$E$205,MATCH(E653,Vendor_Register!$A$5:$A$205,0)),"(not in register)"))</f>
        <v/>
      </c>
      <c r="H653" s="30"/>
      <c r="I653" s="30"/>
      <c r="J653" s="30"/>
      <c r="K653" s="30"/>
      <c r="L653" s="30"/>
      <c r="M653" s="34"/>
      <c r="N653" s="30"/>
      <c r="O653" s="35" t="str">
        <f>IF(NOT(ISNUMBER(M653)),"",IFERROR(IF(L653="EUR",M653,IF(L653="IRR",M653/INDEX('Assumptions &amp; FX Reference'!$C$5:$C$25,MATCH(H653,'Assumptions &amp; FX Reference'!$A$5:$A$25,0)),IF(L653="USD",M653*INDEX('Assumptions &amp; FX Reference'!$B$5:$B$25,MATCH(H653,'Assumptions &amp; FX Reference'!$A$5:$A$25,0))/INDEX('Assumptions &amp; FX Reference'!$C$5:$C$25,MATCH(H653,'Assumptions &amp; FX Reference'!$A$5:$A$25,0)),""))),"(FX missing)"))</f>
        <v/>
      </c>
      <c r="P653" s="30"/>
      <c r="Q653" s="30"/>
      <c r="R653" s="30"/>
      <c r="S653" s="30"/>
      <c r="T653" s="30"/>
      <c r="U653" s="30"/>
      <c r="V653" s="30"/>
    </row>
    <row r="654" spans="1:22">
      <c r="A654" s="30"/>
      <c r="B654" s="30"/>
      <c r="C654" s="33" t="str">
        <f>IF(B654="","",IFERROR(INDEX('Master Database'!$D$5:$D$600,MATCH(B654,'Master Database'!$A$5:$A$600,0)),"(row not found)"))</f>
        <v/>
      </c>
      <c r="D654" s="33" t="str">
        <f>IF(B654="","",IFERROR(INDEX('Master Database'!$B$5:$B$600,MATCH(B654,'Master Database'!$A$5:$A$600,0)),"(row not found)"))</f>
        <v/>
      </c>
      <c r="E654" s="30"/>
      <c r="F654" s="33" t="str">
        <f>IF(E654="","",IFERROR(INDEX(Vendor_Register!$B$5:$B$205,MATCH(E654,Vendor_Register!$A$5:$A$205,0)),"(not in register)"))</f>
        <v/>
      </c>
      <c r="G654" s="33" t="str">
        <f>IF(E654="","",IFERROR(INDEX(Vendor_Register!$E$5:$E$205,MATCH(E654,Vendor_Register!$A$5:$A$205,0)),"(not in register)"))</f>
        <v/>
      </c>
      <c r="H654" s="30"/>
      <c r="I654" s="30"/>
      <c r="J654" s="30"/>
      <c r="K654" s="30"/>
      <c r="L654" s="30"/>
      <c r="M654" s="34"/>
      <c r="N654" s="30"/>
      <c r="O654" s="35" t="str">
        <f>IF(NOT(ISNUMBER(M654)),"",IFERROR(IF(L654="EUR",M654,IF(L654="IRR",M654/INDEX('Assumptions &amp; FX Reference'!$C$5:$C$25,MATCH(H654,'Assumptions &amp; FX Reference'!$A$5:$A$25,0)),IF(L654="USD",M654*INDEX('Assumptions &amp; FX Reference'!$B$5:$B$25,MATCH(H654,'Assumptions &amp; FX Reference'!$A$5:$A$25,0))/INDEX('Assumptions &amp; FX Reference'!$C$5:$C$25,MATCH(H654,'Assumptions &amp; FX Reference'!$A$5:$A$25,0)),""))),"(FX missing)"))</f>
        <v/>
      </c>
      <c r="P654" s="30"/>
      <c r="Q654" s="30"/>
      <c r="R654" s="30"/>
      <c r="S654" s="30"/>
      <c r="T654" s="30"/>
      <c r="U654" s="30"/>
      <c r="V654" s="30"/>
    </row>
    <row r="655" spans="1:22">
      <c r="A655" s="30"/>
      <c r="B655" s="30"/>
      <c r="C655" s="33" t="str">
        <f>IF(B655="","",IFERROR(INDEX('Master Database'!$D$5:$D$600,MATCH(B655,'Master Database'!$A$5:$A$600,0)),"(row not found)"))</f>
        <v/>
      </c>
      <c r="D655" s="33" t="str">
        <f>IF(B655="","",IFERROR(INDEX('Master Database'!$B$5:$B$600,MATCH(B655,'Master Database'!$A$5:$A$600,0)),"(row not found)"))</f>
        <v/>
      </c>
      <c r="E655" s="30"/>
      <c r="F655" s="33" t="str">
        <f>IF(E655="","",IFERROR(INDEX(Vendor_Register!$B$5:$B$205,MATCH(E655,Vendor_Register!$A$5:$A$205,0)),"(not in register)"))</f>
        <v/>
      </c>
      <c r="G655" s="33" t="str">
        <f>IF(E655="","",IFERROR(INDEX(Vendor_Register!$E$5:$E$205,MATCH(E655,Vendor_Register!$A$5:$A$205,0)),"(not in register)"))</f>
        <v/>
      </c>
      <c r="H655" s="30"/>
      <c r="I655" s="30"/>
      <c r="J655" s="30"/>
      <c r="K655" s="30"/>
      <c r="L655" s="30"/>
      <c r="M655" s="34"/>
      <c r="N655" s="30"/>
      <c r="O655" s="35" t="str">
        <f>IF(NOT(ISNUMBER(M655)),"",IFERROR(IF(L655="EUR",M655,IF(L655="IRR",M655/INDEX('Assumptions &amp; FX Reference'!$C$5:$C$25,MATCH(H655,'Assumptions &amp; FX Reference'!$A$5:$A$25,0)),IF(L655="USD",M655*INDEX('Assumptions &amp; FX Reference'!$B$5:$B$25,MATCH(H655,'Assumptions &amp; FX Reference'!$A$5:$A$25,0))/INDEX('Assumptions &amp; FX Reference'!$C$5:$C$25,MATCH(H655,'Assumptions &amp; FX Reference'!$A$5:$A$25,0)),""))),"(FX missing)"))</f>
        <v/>
      </c>
      <c r="P655" s="30"/>
      <c r="Q655" s="30"/>
      <c r="R655" s="30"/>
      <c r="S655" s="30"/>
      <c r="T655" s="30"/>
      <c r="U655" s="30"/>
      <c r="V655" s="30"/>
    </row>
    <row r="656" spans="1:22">
      <c r="A656" s="30"/>
      <c r="B656" s="30"/>
      <c r="C656" s="33" t="str">
        <f>IF(B656="","",IFERROR(INDEX('Master Database'!$D$5:$D$600,MATCH(B656,'Master Database'!$A$5:$A$600,0)),"(row not found)"))</f>
        <v/>
      </c>
      <c r="D656" s="33" t="str">
        <f>IF(B656="","",IFERROR(INDEX('Master Database'!$B$5:$B$600,MATCH(B656,'Master Database'!$A$5:$A$600,0)),"(row not found)"))</f>
        <v/>
      </c>
      <c r="E656" s="30"/>
      <c r="F656" s="33" t="str">
        <f>IF(E656="","",IFERROR(INDEX(Vendor_Register!$B$5:$B$205,MATCH(E656,Vendor_Register!$A$5:$A$205,0)),"(not in register)"))</f>
        <v/>
      </c>
      <c r="G656" s="33" t="str">
        <f>IF(E656="","",IFERROR(INDEX(Vendor_Register!$E$5:$E$205,MATCH(E656,Vendor_Register!$A$5:$A$205,0)),"(not in register)"))</f>
        <v/>
      </c>
      <c r="H656" s="30"/>
      <c r="I656" s="30"/>
      <c r="J656" s="30"/>
      <c r="K656" s="30"/>
      <c r="L656" s="30"/>
      <c r="M656" s="34"/>
      <c r="N656" s="30"/>
      <c r="O656" s="35" t="str">
        <f>IF(NOT(ISNUMBER(M656)),"",IFERROR(IF(L656="EUR",M656,IF(L656="IRR",M656/INDEX('Assumptions &amp; FX Reference'!$C$5:$C$25,MATCH(H656,'Assumptions &amp; FX Reference'!$A$5:$A$25,0)),IF(L656="USD",M656*INDEX('Assumptions &amp; FX Reference'!$B$5:$B$25,MATCH(H656,'Assumptions &amp; FX Reference'!$A$5:$A$25,0))/INDEX('Assumptions &amp; FX Reference'!$C$5:$C$25,MATCH(H656,'Assumptions &amp; FX Reference'!$A$5:$A$25,0)),""))),"(FX missing)"))</f>
        <v/>
      </c>
      <c r="P656" s="30"/>
      <c r="Q656" s="30"/>
      <c r="R656" s="30"/>
      <c r="S656" s="30"/>
      <c r="T656" s="30"/>
      <c r="U656" s="30"/>
      <c r="V656" s="30"/>
    </row>
    <row r="657" spans="1:22">
      <c r="A657" s="30"/>
      <c r="B657" s="30"/>
      <c r="C657" s="33" t="str">
        <f>IF(B657="","",IFERROR(INDEX('Master Database'!$D$5:$D$600,MATCH(B657,'Master Database'!$A$5:$A$600,0)),"(row not found)"))</f>
        <v/>
      </c>
      <c r="D657" s="33" t="str">
        <f>IF(B657="","",IFERROR(INDEX('Master Database'!$B$5:$B$600,MATCH(B657,'Master Database'!$A$5:$A$600,0)),"(row not found)"))</f>
        <v/>
      </c>
      <c r="E657" s="30"/>
      <c r="F657" s="33" t="str">
        <f>IF(E657="","",IFERROR(INDEX(Vendor_Register!$B$5:$B$205,MATCH(E657,Vendor_Register!$A$5:$A$205,0)),"(not in register)"))</f>
        <v/>
      </c>
      <c r="G657" s="33" t="str">
        <f>IF(E657="","",IFERROR(INDEX(Vendor_Register!$E$5:$E$205,MATCH(E657,Vendor_Register!$A$5:$A$205,0)),"(not in register)"))</f>
        <v/>
      </c>
      <c r="H657" s="30"/>
      <c r="I657" s="30"/>
      <c r="J657" s="30"/>
      <c r="K657" s="30"/>
      <c r="L657" s="30"/>
      <c r="M657" s="34"/>
      <c r="N657" s="30"/>
      <c r="O657" s="35" t="str">
        <f>IF(NOT(ISNUMBER(M657)),"",IFERROR(IF(L657="EUR",M657,IF(L657="IRR",M657/INDEX('Assumptions &amp; FX Reference'!$C$5:$C$25,MATCH(H657,'Assumptions &amp; FX Reference'!$A$5:$A$25,0)),IF(L657="USD",M657*INDEX('Assumptions &amp; FX Reference'!$B$5:$B$25,MATCH(H657,'Assumptions &amp; FX Reference'!$A$5:$A$25,0))/INDEX('Assumptions &amp; FX Reference'!$C$5:$C$25,MATCH(H657,'Assumptions &amp; FX Reference'!$A$5:$A$25,0)),""))),"(FX missing)"))</f>
        <v/>
      </c>
      <c r="P657" s="30"/>
      <c r="Q657" s="30"/>
      <c r="R657" s="30"/>
      <c r="S657" s="30"/>
      <c r="T657" s="30"/>
      <c r="U657" s="30"/>
      <c r="V657" s="30"/>
    </row>
    <row r="658" spans="1:22">
      <c r="A658" s="30"/>
      <c r="B658" s="30"/>
      <c r="C658" s="33" t="str">
        <f>IF(B658="","",IFERROR(INDEX('Master Database'!$D$5:$D$600,MATCH(B658,'Master Database'!$A$5:$A$600,0)),"(row not found)"))</f>
        <v/>
      </c>
      <c r="D658" s="33" t="str">
        <f>IF(B658="","",IFERROR(INDEX('Master Database'!$B$5:$B$600,MATCH(B658,'Master Database'!$A$5:$A$600,0)),"(row not found)"))</f>
        <v/>
      </c>
      <c r="E658" s="30"/>
      <c r="F658" s="33" t="str">
        <f>IF(E658="","",IFERROR(INDEX(Vendor_Register!$B$5:$B$205,MATCH(E658,Vendor_Register!$A$5:$A$205,0)),"(not in register)"))</f>
        <v/>
      </c>
      <c r="G658" s="33" t="str">
        <f>IF(E658="","",IFERROR(INDEX(Vendor_Register!$E$5:$E$205,MATCH(E658,Vendor_Register!$A$5:$A$205,0)),"(not in register)"))</f>
        <v/>
      </c>
      <c r="H658" s="30"/>
      <c r="I658" s="30"/>
      <c r="J658" s="30"/>
      <c r="K658" s="30"/>
      <c r="L658" s="30"/>
      <c r="M658" s="34"/>
      <c r="N658" s="30"/>
      <c r="O658" s="35" t="str">
        <f>IF(NOT(ISNUMBER(M658)),"",IFERROR(IF(L658="EUR",M658,IF(L658="IRR",M658/INDEX('Assumptions &amp; FX Reference'!$C$5:$C$25,MATCH(H658,'Assumptions &amp; FX Reference'!$A$5:$A$25,0)),IF(L658="USD",M658*INDEX('Assumptions &amp; FX Reference'!$B$5:$B$25,MATCH(H658,'Assumptions &amp; FX Reference'!$A$5:$A$25,0))/INDEX('Assumptions &amp; FX Reference'!$C$5:$C$25,MATCH(H658,'Assumptions &amp; FX Reference'!$A$5:$A$25,0)),""))),"(FX missing)"))</f>
        <v/>
      </c>
      <c r="P658" s="30"/>
      <c r="Q658" s="30"/>
      <c r="R658" s="30"/>
      <c r="S658" s="30"/>
      <c r="T658" s="30"/>
      <c r="U658" s="30"/>
      <c r="V658" s="30"/>
    </row>
    <row r="659" spans="1:22">
      <c r="A659" s="30"/>
      <c r="B659" s="30"/>
      <c r="C659" s="33" t="str">
        <f>IF(B659="","",IFERROR(INDEX('Master Database'!$D$5:$D$600,MATCH(B659,'Master Database'!$A$5:$A$600,0)),"(row not found)"))</f>
        <v/>
      </c>
      <c r="D659" s="33" t="str">
        <f>IF(B659="","",IFERROR(INDEX('Master Database'!$B$5:$B$600,MATCH(B659,'Master Database'!$A$5:$A$600,0)),"(row not found)"))</f>
        <v/>
      </c>
      <c r="E659" s="30"/>
      <c r="F659" s="33" t="str">
        <f>IF(E659="","",IFERROR(INDEX(Vendor_Register!$B$5:$B$205,MATCH(E659,Vendor_Register!$A$5:$A$205,0)),"(not in register)"))</f>
        <v/>
      </c>
      <c r="G659" s="33" t="str">
        <f>IF(E659="","",IFERROR(INDEX(Vendor_Register!$E$5:$E$205,MATCH(E659,Vendor_Register!$A$5:$A$205,0)),"(not in register)"))</f>
        <v/>
      </c>
      <c r="H659" s="30"/>
      <c r="I659" s="30"/>
      <c r="J659" s="30"/>
      <c r="K659" s="30"/>
      <c r="L659" s="30"/>
      <c r="M659" s="34"/>
      <c r="N659" s="30"/>
      <c r="O659" s="35" t="str">
        <f>IF(NOT(ISNUMBER(M659)),"",IFERROR(IF(L659="EUR",M659,IF(L659="IRR",M659/INDEX('Assumptions &amp; FX Reference'!$C$5:$C$25,MATCH(H659,'Assumptions &amp; FX Reference'!$A$5:$A$25,0)),IF(L659="USD",M659*INDEX('Assumptions &amp; FX Reference'!$B$5:$B$25,MATCH(H659,'Assumptions &amp; FX Reference'!$A$5:$A$25,0))/INDEX('Assumptions &amp; FX Reference'!$C$5:$C$25,MATCH(H659,'Assumptions &amp; FX Reference'!$A$5:$A$25,0)),""))),"(FX missing)"))</f>
        <v/>
      </c>
      <c r="P659" s="30"/>
      <c r="Q659" s="30"/>
      <c r="R659" s="30"/>
      <c r="S659" s="30"/>
      <c r="T659" s="30"/>
      <c r="U659" s="30"/>
      <c r="V659" s="30"/>
    </row>
    <row r="660" spans="1:22">
      <c r="A660" s="30"/>
      <c r="B660" s="30"/>
      <c r="C660" s="33" t="str">
        <f>IF(B660="","",IFERROR(INDEX('Master Database'!$D$5:$D$600,MATCH(B660,'Master Database'!$A$5:$A$600,0)),"(row not found)"))</f>
        <v/>
      </c>
      <c r="D660" s="33" t="str">
        <f>IF(B660="","",IFERROR(INDEX('Master Database'!$B$5:$B$600,MATCH(B660,'Master Database'!$A$5:$A$600,0)),"(row not found)"))</f>
        <v/>
      </c>
      <c r="E660" s="30"/>
      <c r="F660" s="33" t="str">
        <f>IF(E660="","",IFERROR(INDEX(Vendor_Register!$B$5:$B$205,MATCH(E660,Vendor_Register!$A$5:$A$205,0)),"(not in register)"))</f>
        <v/>
      </c>
      <c r="G660" s="33" t="str">
        <f>IF(E660="","",IFERROR(INDEX(Vendor_Register!$E$5:$E$205,MATCH(E660,Vendor_Register!$A$5:$A$205,0)),"(not in register)"))</f>
        <v/>
      </c>
      <c r="H660" s="30"/>
      <c r="I660" s="30"/>
      <c r="J660" s="30"/>
      <c r="K660" s="30"/>
      <c r="L660" s="30"/>
      <c r="M660" s="34"/>
      <c r="N660" s="30"/>
      <c r="O660" s="35" t="str">
        <f>IF(NOT(ISNUMBER(M660)),"",IFERROR(IF(L660="EUR",M660,IF(L660="IRR",M660/INDEX('Assumptions &amp; FX Reference'!$C$5:$C$25,MATCH(H660,'Assumptions &amp; FX Reference'!$A$5:$A$25,0)),IF(L660="USD",M660*INDEX('Assumptions &amp; FX Reference'!$B$5:$B$25,MATCH(H660,'Assumptions &amp; FX Reference'!$A$5:$A$25,0))/INDEX('Assumptions &amp; FX Reference'!$C$5:$C$25,MATCH(H660,'Assumptions &amp; FX Reference'!$A$5:$A$25,0)),""))),"(FX missing)"))</f>
        <v/>
      </c>
      <c r="P660" s="30"/>
      <c r="Q660" s="30"/>
      <c r="R660" s="30"/>
      <c r="S660" s="30"/>
      <c r="T660" s="30"/>
      <c r="U660" s="30"/>
      <c r="V660" s="30"/>
    </row>
    <row r="661" spans="1:22">
      <c r="A661" s="30"/>
      <c r="B661" s="30"/>
      <c r="C661" s="33" t="str">
        <f>IF(B661="","",IFERROR(INDEX('Master Database'!$D$5:$D$600,MATCH(B661,'Master Database'!$A$5:$A$600,0)),"(row not found)"))</f>
        <v/>
      </c>
      <c r="D661" s="33" t="str">
        <f>IF(B661="","",IFERROR(INDEX('Master Database'!$B$5:$B$600,MATCH(B661,'Master Database'!$A$5:$A$600,0)),"(row not found)"))</f>
        <v/>
      </c>
      <c r="E661" s="30"/>
      <c r="F661" s="33" t="str">
        <f>IF(E661="","",IFERROR(INDEX(Vendor_Register!$B$5:$B$205,MATCH(E661,Vendor_Register!$A$5:$A$205,0)),"(not in register)"))</f>
        <v/>
      </c>
      <c r="G661" s="33" t="str">
        <f>IF(E661="","",IFERROR(INDEX(Vendor_Register!$E$5:$E$205,MATCH(E661,Vendor_Register!$A$5:$A$205,0)),"(not in register)"))</f>
        <v/>
      </c>
      <c r="H661" s="30"/>
      <c r="I661" s="30"/>
      <c r="J661" s="30"/>
      <c r="K661" s="30"/>
      <c r="L661" s="30"/>
      <c r="M661" s="34"/>
      <c r="N661" s="30"/>
      <c r="O661" s="35" t="str">
        <f>IF(NOT(ISNUMBER(M661)),"",IFERROR(IF(L661="EUR",M661,IF(L661="IRR",M661/INDEX('Assumptions &amp; FX Reference'!$C$5:$C$25,MATCH(H661,'Assumptions &amp; FX Reference'!$A$5:$A$25,0)),IF(L661="USD",M661*INDEX('Assumptions &amp; FX Reference'!$B$5:$B$25,MATCH(H661,'Assumptions &amp; FX Reference'!$A$5:$A$25,0))/INDEX('Assumptions &amp; FX Reference'!$C$5:$C$25,MATCH(H661,'Assumptions &amp; FX Reference'!$A$5:$A$25,0)),""))),"(FX missing)"))</f>
        <v/>
      </c>
      <c r="P661" s="30"/>
      <c r="Q661" s="30"/>
      <c r="R661" s="30"/>
      <c r="S661" s="30"/>
      <c r="T661" s="30"/>
      <c r="U661" s="30"/>
      <c r="V661" s="30"/>
    </row>
    <row r="662" spans="1:22">
      <c r="A662" s="30"/>
      <c r="B662" s="30"/>
      <c r="C662" s="33" t="str">
        <f>IF(B662="","",IFERROR(INDEX('Master Database'!$D$5:$D$600,MATCH(B662,'Master Database'!$A$5:$A$600,0)),"(row not found)"))</f>
        <v/>
      </c>
      <c r="D662" s="33" t="str">
        <f>IF(B662="","",IFERROR(INDEX('Master Database'!$B$5:$B$600,MATCH(B662,'Master Database'!$A$5:$A$600,0)),"(row not found)"))</f>
        <v/>
      </c>
      <c r="E662" s="30"/>
      <c r="F662" s="33" t="str">
        <f>IF(E662="","",IFERROR(INDEX(Vendor_Register!$B$5:$B$205,MATCH(E662,Vendor_Register!$A$5:$A$205,0)),"(not in register)"))</f>
        <v/>
      </c>
      <c r="G662" s="33" t="str">
        <f>IF(E662="","",IFERROR(INDEX(Vendor_Register!$E$5:$E$205,MATCH(E662,Vendor_Register!$A$5:$A$205,0)),"(not in register)"))</f>
        <v/>
      </c>
      <c r="H662" s="30"/>
      <c r="I662" s="30"/>
      <c r="J662" s="30"/>
      <c r="K662" s="30"/>
      <c r="L662" s="30"/>
      <c r="M662" s="34"/>
      <c r="N662" s="30"/>
      <c r="O662" s="35" t="str">
        <f>IF(NOT(ISNUMBER(M662)),"",IFERROR(IF(L662="EUR",M662,IF(L662="IRR",M662/INDEX('Assumptions &amp; FX Reference'!$C$5:$C$25,MATCH(H662,'Assumptions &amp; FX Reference'!$A$5:$A$25,0)),IF(L662="USD",M662*INDEX('Assumptions &amp; FX Reference'!$B$5:$B$25,MATCH(H662,'Assumptions &amp; FX Reference'!$A$5:$A$25,0))/INDEX('Assumptions &amp; FX Reference'!$C$5:$C$25,MATCH(H662,'Assumptions &amp; FX Reference'!$A$5:$A$25,0)),""))),"(FX missing)"))</f>
        <v/>
      </c>
      <c r="P662" s="30"/>
      <c r="Q662" s="30"/>
      <c r="R662" s="30"/>
      <c r="S662" s="30"/>
      <c r="T662" s="30"/>
      <c r="U662" s="30"/>
      <c r="V662" s="30"/>
    </row>
    <row r="663" spans="1:22">
      <c r="A663" s="30"/>
      <c r="B663" s="30"/>
      <c r="C663" s="33" t="str">
        <f>IF(B663="","",IFERROR(INDEX('Master Database'!$D$5:$D$600,MATCH(B663,'Master Database'!$A$5:$A$600,0)),"(row not found)"))</f>
        <v/>
      </c>
      <c r="D663" s="33" t="str">
        <f>IF(B663="","",IFERROR(INDEX('Master Database'!$B$5:$B$600,MATCH(B663,'Master Database'!$A$5:$A$600,0)),"(row not found)"))</f>
        <v/>
      </c>
      <c r="E663" s="30"/>
      <c r="F663" s="33" t="str">
        <f>IF(E663="","",IFERROR(INDEX(Vendor_Register!$B$5:$B$205,MATCH(E663,Vendor_Register!$A$5:$A$205,0)),"(not in register)"))</f>
        <v/>
      </c>
      <c r="G663" s="33" t="str">
        <f>IF(E663="","",IFERROR(INDEX(Vendor_Register!$E$5:$E$205,MATCH(E663,Vendor_Register!$A$5:$A$205,0)),"(not in register)"))</f>
        <v/>
      </c>
      <c r="H663" s="30"/>
      <c r="I663" s="30"/>
      <c r="J663" s="30"/>
      <c r="K663" s="30"/>
      <c r="L663" s="30"/>
      <c r="M663" s="34"/>
      <c r="N663" s="30"/>
      <c r="O663" s="35" t="str">
        <f>IF(NOT(ISNUMBER(M663)),"",IFERROR(IF(L663="EUR",M663,IF(L663="IRR",M663/INDEX('Assumptions &amp; FX Reference'!$C$5:$C$25,MATCH(H663,'Assumptions &amp; FX Reference'!$A$5:$A$25,0)),IF(L663="USD",M663*INDEX('Assumptions &amp; FX Reference'!$B$5:$B$25,MATCH(H663,'Assumptions &amp; FX Reference'!$A$5:$A$25,0))/INDEX('Assumptions &amp; FX Reference'!$C$5:$C$25,MATCH(H663,'Assumptions &amp; FX Reference'!$A$5:$A$25,0)),""))),"(FX missing)"))</f>
        <v/>
      </c>
      <c r="P663" s="30"/>
      <c r="Q663" s="30"/>
      <c r="R663" s="30"/>
      <c r="S663" s="30"/>
      <c r="T663" s="30"/>
      <c r="U663" s="30"/>
      <c r="V663" s="30"/>
    </row>
    <row r="664" spans="1:22">
      <c r="A664" s="30"/>
      <c r="B664" s="30"/>
      <c r="C664" s="33" t="str">
        <f>IF(B664="","",IFERROR(INDEX('Master Database'!$D$5:$D$600,MATCH(B664,'Master Database'!$A$5:$A$600,0)),"(row not found)"))</f>
        <v/>
      </c>
      <c r="D664" s="33" t="str">
        <f>IF(B664="","",IFERROR(INDEX('Master Database'!$B$5:$B$600,MATCH(B664,'Master Database'!$A$5:$A$600,0)),"(row not found)"))</f>
        <v/>
      </c>
      <c r="E664" s="30"/>
      <c r="F664" s="33" t="str">
        <f>IF(E664="","",IFERROR(INDEX(Vendor_Register!$B$5:$B$205,MATCH(E664,Vendor_Register!$A$5:$A$205,0)),"(not in register)"))</f>
        <v/>
      </c>
      <c r="G664" s="33" t="str">
        <f>IF(E664="","",IFERROR(INDEX(Vendor_Register!$E$5:$E$205,MATCH(E664,Vendor_Register!$A$5:$A$205,0)),"(not in register)"))</f>
        <v/>
      </c>
      <c r="H664" s="30"/>
      <c r="I664" s="30"/>
      <c r="J664" s="30"/>
      <c r="K664" s="30"/>
      <c r="L664" s="30"/>
      <c r="M664" s="34"/>
      <c r="N664" s="30"/>
      <c r="O664" s="35" t="str">
        <f>IF(NOT(ISNUMBER(M664)),"",IFERROR(IF(L664="EUR",M664,IF(L664="IRR",M664/INDEX('Assumptions &amp; FX Reference'!$C$5:$C$25,MATCH(H664,'Assumptions &amp; FX Reference'!$A$5:$A$25,0)),IF(L664="USD",M664*INDEX('Assumptions &amp; FX Reference'!$B$5:$B$25,MATCH(H664,'Assumptions &amp; FX Reference'!$A$5:$A$25,0))/INDEX('Assumptions &amp; FX Reference'!$C$5:$C$25,MATCH(H664,'Assumptions &amp; FX Reference'!$A$5:$A$25,0)),""))),"(FX missing)"))</f>
        <v/>
      </c>
      <c r="P664" s="30"/>
      <c r="Q664" s="30"/>
      <c r="R664" s="30"/>
      <c r="S664" s="30"/>
      <c r="T664" s="30"/>
      <c r="U664" s="30"/>
      <c r="V664" s="30"/>
    </row>
    <row r="665" spans="1:22">
      <c r="A665" s="30"/>
      <c r="B665" s="30"/>
      <c r="C665" s="33" t="str">
        <f>IF(B665="","",IFERROR(INDEX('Master Database'!$D$5:$D$600,MATCH(B665,'Master Database'!$A$5:$A$600,0)),"(row not found)"))</f>
        <v/>
      </c>
      <c r="D665" s="33" t="str">
        <f>IF(B665="","",IFERROR(INDEX('Master Database'!$B$5:$B$600,MATCH(B665,'Master Database'!$A$5:$A$600,0)),"(row not found)"))</f>
        <v/>
      </c>
      <c r="E665" s="30"/>
      <c r="F665" s="33" t="str">
        <f>IF(E665="","",IFERROR(INDEX(Vendor_Register!$B$5:$B$205,MATCH(E665,Vendor_Register!$A$5:$A$205,0)),"(not in register)"))</f>
        <v/>
      </c>
      <c r="G665" s="33" t="str">
        <f>IF(E665="","",IFERROR(INDEX(Vendor_Register!$E$5:$E$205,MATCH(E665,Vendor_Register!$A$5:$A$205,0)),"(not in register)"))</f>
        <v/>
      </c>
      <c r="H665" s="30"/>
      <c r="I665" s="30"/>
      <c r="J665" s="30"/>
      <c r="K665" s="30"/>
      <c r="L665" s="30"/>
      <c r="M665" s="34"/>
      <c r="N665" s="30"/>
      <c r="O665" s="35" t="str">
        <f>IF(NOT(ISNUMBER(M665)),"",IFERROR(IF(L665="EUR",M665,IF(L665="IRR",M665/INDEX('Assumptions &amp; FX Reference'!$C$5:$C$25,MATCH(H665,'Assumptions &amp; FX Reference'!$A$5:$A$25,0)),IF(L665="USD",M665*INDEX('Assumptions &amp; FX Reference'!$B$5:$B$25,MATCH(H665,'Assumptions &amp; FX Reference'!$A$5:$A$25,0))/INDEX('Assumptions &amp; FX Reference'!$C$5:$C$25,MATCH(H665,'Assumptions &amp; FX Reference'!$A$5:$A$25,0)),""))),"(FX missing)"))</f>
        <v/>
      </c>
      <c r="P665" s="30"/>
      <c r="Q665" s="30"/>
      <c r="R665" s="30"/>
      <c r="S665" s="30"/>
      <c r="T665" s="30"/>
      <c r="U665" s="30"/>
      <c r="V665" s="30"/>
    </row>
    <row r="666" spans="1:22">
      <c r="A666" s="30"/>
      <c r="B666" s="30"/>
      <c r="C666" s="33" t="str">
        <f>IF(B666="","",IFERROR(INDEX('Master Database'!$D$5:$D$600,MATCH(B666,'Master Database'!$A$5:$A$600,0)),"(row not found)"))</f>
        <v/>
      </c>
      <c r="D666" s="33" t="str">
        <f>IF(B666="","",IFERROR(INDEX('Master Database'!$B$5:$B$600,MATCH(B666,'Master Database'!$A$5:$A$600,0)),"(row not found)"))</f>
        <v/>
      </c>
      <c r="E666" s="30"/>
      <c r="F666" s="33" t="str">
        <f>IF(E666="","",IFERROR(INDEX(Vendor_Register!$B$5:$B$205,MATCH(E666,Vendor_Register!$A$5:$A$205,0)),"(not in register)"))</f>
        <v/>
      </c>
      <c r="G666" s="33" t="str">
        <f>IF(E666="","",IFERROR(INDEX(Vendor_Register!$E$5:$E$205,MATCH(E666,Vendor_Register!$A$5:$A$205,0)),"(not in register)"))</f>
        <v/>
      </c>
      <c r="H666" s="30"/>
      <c r="I666" s="30"/>
      <c r="J666" s="30"/>
      <c r="K666" s="30"/>
      <c r="L666" s="30"/>
      <c r="M666" s="34"/>
      <c r="N666" s="30"/>
      <c r="O666" s="35" t="str">
        <f>IF(NOT(ISNUMBER(M666)),"",IFERROR(IF(L666="EUR",M666,IF(L666="IRR",M666/INDEX('Assumptions &amp; FX Reference'!$C$5:$C$25,MATCH(H666,'Assumptions &amp; FX Reference'!$A$5:$A$25,0)),IF(L666="USD",M666*INDEX('Assumptions &amp; FX Reference'!$B$5:$B$25,MATCH(H666,'Assumptions &amp; FX Reference'!$A$5:$A$25,0))/INDEX('Assumptions &amp; FX Reference'!$C$5:$C$25,MATCH(H666,'Assumptions &amp; FX Reference'!$A$5:$A$25,0)),""))),"(FX missing)"))</f>
        <v/>
      </c>
      <c r="P666" s="30"/>
      <c r="Q666" s="30"/>
      <c r="R666" s="30"/>
      <c r="S666" s="30"/>
      <c r="T666" s="30"/>
      <c r="U666" s="30"/>
      <c r="V666" s="30"/>
    </row>
    <row r="667" spans="1:22">
      <c r="A667" s="30"/>
      <c r="B667" s="30"/>
      <c r="C667" s="33" t="str">
        <f>IF(B667="","",IFERROR(INDEX('Master Database'!$D$5:$D$600,MATCH(B667,'Master Database'!$A$5:$A$600,0)),"(row not found)"))</f>
        <v/>
      </c>
      <c r="D667" s="33" t="str">
        <f>IF(B667="","",IFERROR(INDEX('Master Database'!$B$5:$B$600,MATCH(B667,'Master Database'!$A$5:$A$600,0)),"(row not found)"))</f>
        <v/>
      </c>
      <c r="E667" s="30"/>
      <c r="F667" s="33" t="str">
        <f>IF(E667="","",IFERROR(INDEX(Vendor_Register!$B$5:$B$205,MATCH(E667,Vendor_Register!$A$5:$A$205,0)),"(not in register)"))</f>
        <v/>
      </c>
      <c r="G667" s="33" t="str">
        <f>IF(E667="","",IFERROR(INDEX(Vendor_Register!$E$5:$E$205,MATCH(E667,Vendor_Register!$A$5:$A$205,0)),"(not in register)"))</f>
        <v/>
      </c>
      <c r="H667" s="30"/>
      <c r="I667" s="30"/>
      <c r="J667" s="30"/>
      <c r="K667" s="30"/>
      <c r="L667" s="30"/>
      <c r="M667" s="34"/>
      <c r="N667" s="30"/>
      <c r="O667" s="35" t="str">
        <f>IF(NOT(ISNUMBER(M667)),"",IFERROR(IF(L667="EUR",M667,IF(L667="IRR",M667/INDEX('Assumptions &amp; FX Reference'!$C$5:$C$25,MATCH(H667,'Assumptions &amp; FX Reference'!$A$5:$A$25,0)),IF(L667="USD",M667*INDEX('Assumptions &amp; FX Reference'!$B$5:$B$25,MATCH(H667,'Assumptions &amp; FX Reference'!$A$5:$A$25,0))/INDEX('Assumptions &amp; FX Reference'!$C$5:$C$25,MATCH(H667,'Assumptions &amp; FX Reference'!$A$5:$A$25,0)),""))),"(FX missing)"))</f>
        <v/>
      </c>
      <c r="P667" s="30"/>
      <c r="Q667" s="30"/>
      <c r="R667" s="30"/>
      <c r="S667" s="30"/>
      <c r="T667" s="30"/>
      <c r="U667" s="30"/>
      <c r="V667" s="30"/>
    </row>
    <row r="668" spans="1:22">
      <c r="A668" s="30"/>
      <c r="B668" s="30"/>
      <c r="C668" s="33" t="str">
        <f>IF(B668="","",IFERROR(INDEX('Master Database'!$D$5:$D$600,MATCH(B668,'Master Database'!$A$5:$A$600,0)),"(row not found)"))</f>
        <v/>
      </c>
      <c r="D668" s="33" t="str">
        <f>IF(B668="","",IFERROR(INDEX('Master Database'!$B$5:$B$600,MATCH(B668,'Master Database'!$A$5:$A$600,0)),"(row not found)"))</f>
        <v/>
      </c>
      <c r="E668" s="30"/>
      <c r="F668" s="33" t="str">
        <f>IF(E668="","",IFERROR(INDEX(Vendor_Register!$B$5:$B$205,MATCH(E668,Vendor_Register!$A$5:$A$205,0)),"(not in register)"))</f>
        <v/>
      </c>
      <c r="G668" s="33" t="str">
        <f>IF(E668="","",IFERROR(INDEX(Vendor_Register!$E$5:$E$205,MATCH(E668,Vendor_Register!$A$5:$A$205,0)),"(not in register)"))</f>
        <v/>
      </c>
      <c r="H668" s="30"/>
      <c r="I668" s="30"/>
      <c r="J668" s="30"/>
      <c r="K668" s="30"/>
      <c r="L668" s="30"/>
      <c r="M668" s="34"/>
      <c r="N668" s="30"/>
      <c r="O668" s="35" t="str">
        <f>IF(NOT(ISNUMBER(M668)),"",IFERROR(IF(L668="EUR",M668,IF(L668="IRR",M668/INDEX('Assumptions &amp; FX Reference'!$C$5:$C$25,MATCH(H668,'Assumptions &amp; FX Reference'!$A$5:$A$25,0)),IF(L668="USD",M668*INDEX('Assumptions &amp; FX Reference'!$B$5:$B$25,MATCH(H668,'Assumptions &amp; FX Reference'!$A$5:$A$25,0))/INDEX('Assumptions &amp; FX Reference'!$C$5:$C$25,MATCH(H668,'Assumptions &amp; FX Reference'!$A$5:$A$25,0)),""))),"(FX missing)"))</f>
        <v/>
      </c>
      <c r="P668" s="30"/>
      <c r="Q668" s="30"/>
      <c r="R668" s="30"/>
      <c r="S668" s="30"/>
      <c r="T668" s="30"/>
      <c r="U668" s="30"/>
      <c r="V668" s="30"/>
    </row>
    <row r="669" spans="1:22">
      <c r="A669" s="30"/>
      <c r="B669" s="30"/>
      <c r="C669" s="33" t="str">
        <f>IF(B669="","",IFERROR(INDEX('Master Database'!$D$5:$D$600,MATCH(B669,'Master Database'!$A$5:$A$600,0)),"(row not found)"))</f>
        <v/>
      </c>
      <c r="D669" s="33" t="str">
        <f>IF(B669="","",IFERROR(INDEX('Master Database'!$B$5:$B$600,MATCH(B669,'Master Database'!$A$5:$A$600,0)),"(row not found)"))</f>
        <v/>
      </c>
      <c r="E669" s="30"/>
      <c r="F669" s="33" t="str">
        <f>IF(E669="","",IFERROR(INDEX(Vendor_Register!$B$5:$B$205,MATCH(E669,Vendor_Register!$A$5:$A$205,0)),"(not in register)"))</f>
        <v/>
      </c>
      <c r="G669" s="33" t="str">
        <f>IF(E669="","",IFERROR(INDEX(Vendor_Register!$E$5:$E$205,MATCH(E669,Vendor_Register!$A$5:$A$205,0)),"(not in register)"))</f>
        <v/>
      </c>
      <c r="H669" s="30"/>
      <c r="I669" s="30"/>
      <c r="J669" s="30"/>
      <c r="K669" s="30"/>
      <c r="L669" s="30"/>
      <c r="M669" s="34"/>
      <c r="N669" s="30"/>
      <c r="O669" s="35" t="str">
        <f>IF(NOT(ISNUMBER(M669)),"",IFERROR(IF(L669="EUR",M669,IF(L669="IRR",M669/INDEX('Assumptions &amp; FX Reference'!$C$5:$C$25,MATCH(H669,'Assumptions &amp; FX Reference'!$A$5:$A$25,0)),IF(L669="USD",M669*INDEX('Assumptions &amp; FX Reference'!$B$5:$B$25,MATCH(H669,'Assumptions &amp; FX Reference'!$A$5:$A$25,0))/INDEX('Assumptions &amp; FX Reference'!$C$5:$C$25,MATCH(H669,'Assumptions &amp; FX Reference'!$A$5:$A$25,0)),""))),"(FX missing)"))</f>
        <v/>
      </c>
      <c r="P669" s="30"/>
      <c r="Q669" s="30"/>
      <c r="R669" s="30"/>
      <c r="S669" s="30"/>
      <c r="T669" s="30"/>
      <c r="U669" s="30"/>
      <c r="V669" s="30"/>
    </row>
    <row r="670" spans="1:22">
      <c r="A670" s="30"/>
      <c r="B670" s="30"/>
      <c r="C670" s="33" t="str">
        <f>IF(B670="","",IFERROR(INDEX('Master Database'!$D$5:$D$600,MATCH(B670,'Master Database'!$A$5:$A$600,0)),"(row not found)"))</f>
        <v/>
      </c>
      <c r="D670" s="33" t="str">
        <f>IF(B670="","",IFERROR(INDEX('Master Database'!$B$5:$B$600,MATCH(B670,'Master Database'!$A$5:$A$600,0)),"(row not found)"))</f>
        <v/>
      </c>
      <c r="E670" s="30"/>
      <c r="F670" s="33" t="str">
        <f>IF(E670="","",IFERROR(INDEX(Vendor_Register!$B$5:$B$205,MATCH(E670,Vendor_Register!$A$5:$A$205,0)),"(not in register)"))</f>
        <v/>
      </c>
      <c r="G670" s="33" t="str">
        <f>IF(E670="","",IFERROR(INDEX(Vendor_Register!$E$5:$E$205,MATCH(E670,Vendor_Register!$A$5:$A$205,0)),"(not in register)"))</f>
        <v/>
      </c>
      <c r="H670" s="30"/>
      <c r="I670" s="30"/>
      <c r="J670" s="30"/>
      <c r="K670" s="30"/>
      <c r="L670" s="30"/>
      <c r="M670" s="34"/>
      <c r="N670" s="30"/>
      <c r="O670" s="35" t="str">
        <f>IF(NOT(ISNUMBER(M670)),"",IFERROR(IF(L670="EUR",M670,IF(L670="IRR",M670/INDEX('Assumptions &amp; FX Reference'!$C$5:$C$25,MATCH(H670,'Assumptions &amp; FX Reference'!$A$5:$A$25,0)),IF(L670="USD",M670*INDEX('Assumptions &amp; FX Reference'!$B$5:$B$25,MATCH(H670,'Assumptions &amp; FX Reference'!$A$5:$A$25,0))/INDEX('Assumptions &amp; FX Reference'!$C$5:$C$25,MATCH(H670,'Assumptions &amp; FX Reference'!$A$5:$A$25,0)),""))),"(FX missing)"))</f>
        <v/>
      </c>
      <c r="P670" s="30"/>
      <c r="Q670" s="30"/>
      <c r="R670" s="30"/>
      <c r="S670" s="30"/>
      <c r="T670" s="30"/>
      <c r="U670" s="30"/>
      <c r="V670" s="30"/>
    </row>
    <row r="671" spans="1:22">
      <c r="A671" s="30"/>
      <c r="B671" s="30"/>
      <c r="C671" s="33" t="str">
        <f>IF(B671="","",IFERROR(INDEX('Master Database'!$D$5:$D$600,MATCH(B671,'Master Database'!$A$5:$A$600,0)),"(row not found)"))</f>
        <v/>
      </c>
      <c r="D671" s="33" t="str">
        <f>IF(B671="","",IFERROR(INDEX('Master Database'!$B$5:$B$600,MATCH(B671,'Master Database'!$A$5:$A$600,0)),"(row not found)"))</f>
        <v/>
      </c>
      <c r="E671" s="30"/>
      <c r="F671" s="33" t="str">
        <f>IF(E671="","",IFERROR(INDEX(Vendor_Register!$B$5:$B$205,MATCH(E671,Vendor_Register!$A$5:$A$205,0)),"(not in register)"))</f>
        <v/>
      </c>
      <c r="G671" s="33" t="str">
        <f>IF(E671="","",IFERROR(INDEX(Vendor_Register!$E$5:$E$205,MATCH(E671,Vendor_Register!$A$5:$A$205,0)),"(not in register)"))</f>
        <v/>
      </c>
      <c r="H671" s="30"/>
      <c r="I671" s="30"/>
      <c r="J671" s="30"/>
      <c r="K671" s="30"/>
      <c r="L671" s="30"/>
      <c r="M671" s="34"/>
      <c r="N671" s="30"/>
      <c r="O671" s="35" t="str">
        <f>IF(NOT(ISNUMBER(M671)),"",IFERROR(IF(L671="EUR",M671,IF(L671="IRR",M671/INDEX('Assumptions &amp; FX Reference'!$C$5:$C$25,MATCH(H671,'Assumptions &amp; FX Reference'!$A$5:$A$25,0)),IF(L671="USD",M671*INDEX('Assumptions &amp; FX Reference'!$B$5:$B$25,MATCH(H671,'Assumptions &amp; FX Reference'!$A$5:$A$25,0))/INDEX('Assumptions &amp; FX Reference'!$C$5:$C$25,MATCH(H671,'Assumptions &amp; FX Reference'!$A$5:$A$25,0)),""))),"(FX missing)"))</f>
        <v/>
      </c>
      <c r="P671" s="30"/>
      <c r="Q671" s="30"/>
      <c r="R671" s="30"/>
      <c r="S671" s="30"/>
      <c r="T671" s="30"/>
      <c r="U671" s="30"/>
      <c r="V671" s="30"/>
    </row>
    <row r="672" spans="1:22">
      <c r="A672" s="30"/>
      <c r="B672" s="30"/>
      <c r="C672" s="33" t="str">
        <f>IF(B672="","",IFERROR(INDEX('Master Database'!$D$5:$D$600,MATCH(B672,'Master Database'!$A$5:$A$600,0)),"(row not found)"))</f>
        <v/>
      </c>
      <c r="D672" s="33" t="str">
        <f>IF(B672="","",IFERROR(INDEX('Master Database'!$B$5:$B$600,MATCH(B672,'Master Database'!$A$5:$A$600,0)),"(row not found)"))</f>
        <v/>
      </c>
      <c r="E672" s="30"/>
      <c r="F672" s="33" t="str">
        <f>IF(E672="","",IFERROR(INDEX(Vendor_Register!$B$5:$B$205,MATCH(E672,Vendor_Register!$A$5:$A$205,0)),"(not in register)"))</f>
        <v/>
      </c>
      <c r="G672" s="33" t="str">
        <f>IF(E672="","",IFERROR(INDEX(Vendor_Register!$E$5:$E$205,MATCH(E672,Vendor_Register!$A$5:$A$205,0)),"(not in register)"))</f>
        <v/>
      </c>
      <c r="H672" s="30"/>
      <c r="I672" s="30"/>
      <c r="J672" s="30"/>
      <c r="K672" s="30"/>
      <c r="L672" s="30"/>
      <c r="M672" s="34"/>
      <c r="N672" s="30"/>
      <c r="O672" s="35" t="str">
        <f>IF(NOT(ISNUMBER(M672)),"",IFERROR(IF(L672="EUR",M672,IF(L672="IRR",M672/INDEX('Assumptions &amp; FX Reference'!$C$5:$C$25,MATCH(H672,'Assumptions &amp; FX Reference'!$A$5:$A$25,0)),IF(L672="USD",M672*INDEX('Assumptions &amp; FX Reference'!$B$5:$B$25,MATCH(H672,'Assumptions &amp; FX Reference'!$A$5:$A$25,0))/INDEX('Assumptions &amp; FX Reference'!$C$5:$C$25,MATCH(H672,'Assumptions &amp; FX Reference'!$A$5:$A$25,0)),""))),"(FX missing)"))</f>
        <v/>
      </c>
      <c r="P672" s="30"/>
      <c r="Q672" s="30"/>
      <c r="R672" s="30"/>
      <c r="S672" s="30"/>
      <c r="T672" s="30"/>
      <c r="U672" s="30"/>
      <c r="V672" s="30"/>
    </row>
    <row r="673" spans="1:22">
      <c r="A673" s="30"/>
      <c r="B673" s="30"/>
      <c r="C673" s="33" t="str">
        <f>IF(B673="","",IFERROR(INDEX('Master Database'!$D$5:$D$600,MATCH(B673,'Master Database'!$A$5:$A$600,0)),"(row not found)"))</f>
        <v/>
      </c>
      <c r="D673" s="33" t="str">
        <f>IF(B673="","",IFERROR(INDEX('Master Database'!$B$5:$B$600,MATCH(B673,'Master Database'!$A$5:$A$600,0)),"(row not found)"))</f>
        <v/>
      </c>
      <c r="E673" s="30"/>
      <c r="F673" s="33" t="str">
        <f>IF(E673="","",IFERROR(INDEX(Vendor_Register!$B$5:$B$205,MATCH(E673,Vendor_Register!$A$5:$A$205,0)),"(not in register)"))</f>
        <v/>
      </c>
      <c r="G673" s="33" t="str">
        <f>IF(E673="","",IFERROR(INDEX(Vendor_Register!$E$5:$E$205,MATCH(E673,Vendor_Register!$A$5:$A$205,0)),"(not in register)"))</f>
        <v/>
      </c>
      <c r="H673" s="30"/>
      <c r="I673" s="30"/>
      <c r="J673" s="30"/>
      <c r="K673" s="30"/>
      <c r="L673" s="30"/>
      <c r="M673" s="34"/>
      <c r="N673" s="30"/>
      <c r="O673" s="35" t="str">
        <f>IF(NOT(ISNUMBER(M673)),"",IFERROR(IF(L673="EUR",M673,IF(L673="IRR",M673/INDEX('Assumptions &amp; FX Reference'!$C$5:$C$25,MATCH(H673,'Assumptions &amp; FX Reference'!$A$5:$A$25,0)),IF(L673="USD",M673*INDEX('Assumptions &amp; FX Reference'!$B$5:$B$25,MATCH(H673,'Assumptions &amp; FX Reference'!$A$5:$A$25,0))/INDEX('Assumptions &amp; FX Reference'!$C$5:$C$25,MATCH(H673,'Assumptions &amp; FX Reference'!$A$5:$A$25,0)),""))),"(FX missing)"))</f>
        <v/>
      </c>
      <c r="P673" s="30"/>
      <c r="Q673" s="30"/>
      <c r="R673" s="30"/>
      <c r="S673" s="30"/>
      <c r="T673" s="30"/>
      <c r="U673" s="30"/>
      <c r="V673" s="30"/>
    </row>
    <row r="674" spans="1:22">
      <c r="A674" s="30"/>
      <c r="B674" s="30"/>
      <c r="C674" s="33" t="str">
        <f>IF(B674="","",IFERROR(INDEX('Master Database'!$D$5:$D$600,MATCH(B674,'Master Database'!$A$5:$A$600,0)),"(row not found)"))</f>
        <v/>
      </c>
      <c r="D674" s="33" t="str">
        <f>IF(B674="","",IFERROR(INDEX('Master Database'!$B$5:$B$600,MATCH(B674,'Master Database'!$A$5:$A$600,0)),"(row not found)"))</f>
        <v/>
      </c>
      <c r="E674" s="30"/>
      <c r="F674" s="33" t="str">
        <f>IF(E674="","",IFERROR(INDEX(Vendor_Register!$B$5:$B$205,MATCH(E674,Vendor_Register!$A$5:$A$205,0)),"(not in register)"))</f>
        <v/>
      </c>
      <c r="G674" s="33" t="str">
        <f>IF(E674="","",IFERROR(INDEX(Vendor_Register!$E$5:$E$205,MATCH(E674,Vendor_Register!$A$5:$A$205,0)),"(not in register)"))</f>
        <v/>
      </c>
      <c r="H674" s="30"/>
      <c r="I674" s="30"/>
      <c r="J674" s="30"/>
      <c r="K674" s="30"/>
      <c r="L674" s="30"/>
      <c r="M674" s="34"/>
      <c r="N674" s="30"/>
      <c r="O674" s="35" t="str">
        <f>IF(NOT(ISNUMBER(M674)),"",IFERROR(IF(L674="EUR",M674,IF(L674="IRR",M674/INDEX('Assumptions &amp; FX Reference'!$C$5:$C$25,MATCH(H674,'Assumptions &amp; FX Reference'!$A$5:$A$25,0)),IF(L674="USD",M674*INDEX('Assumptions &amp; FX Reference'!$B$5:$B$25,MATCH(H674,'Assumptions &amp; FX Reference'!$A$5:$A$25,0))/INDEX('Assumptions &amp; FX Reference'!$C$5:$C$25,MATCH(H674,'Assumptions &amp; FX Reference'!$A$5:$A$25,0)),""))),"(FX missing)"))</f>
        <v/>
      </c>
      <c r="P674" s="30"/>
      <c r="Q674" s="30"/>
      <c r="R674" s="30"/>
      <c r="S674" s="30"/>
      <c r="T674" s="30"/>
      <c r="U674" s="30"/>
      <c r="V674" s="30"/>
    </row>
    <row r="675" spans="1:22">
      <c r="A675" s="30"/>
      <c r="B675" s="30"/>
      <c r="C675" s="33" t="str">
        <f>IF(B675="","",IFERROR(INDEX('Master Database'!$D$5:$D$600,MATCH(B675,'Master Database'!$A$5:$A$600,0)),"(row not found)"))</f>
        <v/>
      </c>
      <c r="D675" s="33" t="str">
        <f>IF(B675="","",IFERROR(INDEX('Master Database'!$B$5:$B$600,MATCH(B675,'Master Database'!$A$5:$A$600,0)),"(row not found)"))</f>
        <v/>
      </c>
      <c r="E675" s="30"/>
      <c r="F675" s="33" t="str">
        <f>IF(E675="","",IFERROR(INDEX(Vendor_Register!$B$5:$B$205,MATCH(E675,Vendor_Register!$A$5:$A$205,0)),"(not in register)"))</f>
        <v/>
      </c>
      <c r="G675" s="33" t="str">
        <f>IF(E675="","",IFERROR(INDEX(Vendor_Register!$E$5:$E$205,MATCH(E675,Vendor_Register!$A$5:$A$205,0)),"(not in register)"))</f>
        <v/>
      </c>
      <c r="H675" s="30"/>
      <c r="I675" s="30"/>
      <c r="J675" s="30"/>
      <c r="K675" s="30"/>
      <c r="L675" s="30"/>
      <c r="M675" s="34"/>
      <c r="N675" s="30"/>
      <c r="O675" s="35" t="str">
        <f>IF(NOT(ISNUMBER(M675)),"",IFERROR(IF(L675="EUR",M675,IF(L675="IRR",M675/INDEX('Assumptions &amp; FX Reference'!$C$5:$C$25,MATCH(H675,'Assumptions &amp; FX Reference'!$A$5:$A$25,0)),IF(L675="USD",M675*INDEX('Assumptions &amp; FX Reference'!$B$5:$B$25,MATCH(H675,'Assumptions &amp; FX Reference'!$A$5:$A$25,0))/INDEX('Assumptions &amp; FX Reference'!$C$5:$C$25,MATCH(H675,'Assumptions &amp; FX Reference'!$A$5:$A$25,0)),""))),"(FX missing)"))</f>
        <v/>
      </c>
      <c r="P675" s="30"/>
      <c r="Q675" s="30"/>
      <c r="R675" s="30"/>
      <c r="S675" s="30"/>
      <c r="T675" s="30"/>
      <c r="U675" s="30"/>
      <c r="V675" s="30"/>
    </row>
    <row r="676" spans="1:22">
      <c r="A676" s="30"/>
      <c r="B676" s="30"/>
      <c r="C676" s="33" t="str">
        <f>IF(B676="","",IFERROR(INDEX('Master Database'!$D$5:$D$600,MATCH(B676,'Master Database'!$A$5:$A$600,0)),"(row not found)"))</f>
        <v/>
      </c>
      <c r="D676" s="33" t="str">
        <f>IF(B676="","",IFERROR(INDEX('Master Database'!$B$5:$B$600,MATCH(B676,'Master Database'!$A$5:$A$600,0)),"(row not found)"))</f>
        <v/>
      </c>
      <c r="E676" s="30"/>
      <c r="F676" s="33" t="str">
        <f>IF(E676="","",IFERROR(INDEX(Vendor_Register!$B$5:$B$205,MATCH(E676,Vendor_Register!$A$5:$A$205,0)),"(not in register)"))</f>
        <v/>
      </c>
      <c r="G676" s="33" t="str">
        <f>IF(E676="","",IFERROR(INDEX(Vendor_Register!$E$5:$E$205,MATCH(E676,Vendor_Register!$A$5:$A$205,0)),"(not in register)"))</f>
        <v/>
      </c>
      <c r="H676" s="30"/>
      <c r="I676" s="30"/>
      <c r="J676" s="30"/>
      <c r="K676" s="30"/>
      <c r="L676" s="30"/>
      <c r="M676" s="34"/>
      <c r="N676" s="30"/>
      <c r="O676" s="35" t="str">
        <f>IF(NOT(ISNUMBER(M676)),"",IFERROR(IF(L676="EUR",M676,IF(L676="IRR",M676/INDEX('Assumptions &amp; FX Reference'!$C$5:$C$25,MATCH(H676,'Assumptions &amp; FX Reference'!$A$5:$A$25,0)),IF(L676="USD",M676*INDEX('Assumptions &amp; FX Reference'!$B$5:$B$25,MATCH(H676,'Assumptions &amp; FX Reference'!$A$5:$A$25,0))/INDEX('Assumptions &amp; FX Reference'!$C$5:$C$25,MATCH(H676,'Assumptions &amp; FX Reference'!$A$5:$A$25,0)),""))),"(FX missing)"))</f>
        <v/>
      </c>
      <c r="P676" s="30"/>
      <c r="Q676" s="30"/>
      <c r="R676" s="30"/>
      <c r="S676" s="30"/>
      <c r="T676" s="30"/>
      <c r="U676" s="30"/>
      <c r="V676" s="30"/>
    </row>
    <row r="677" spans="1:22">
      <c r="A677" s="30"/>
      <c r="B677" s="30"/>
      <c r="C677" s="33" t="str">
        <f>IF(B677="","",IFERROR(INDEX('Master Database'!$D$5:$D$600,MATCH(B677,'Master Database'!$A$5:$A$600,0)),"(row not found)"))</f>
        <v/>
      </c>
      <c r="D677" s="33" t="str">
        <f>IF(B677="","",IFERROR(INDEX('Master Database'!$B$5:$B$600,MATCH(B677,'Master Database'!$A$5:$A$600,0)),"(row not found)"))</f>
        <v/>
      </c>
      <c r="E677" s="30"/>
      <c r="F677" s="33" t="str">
        <f>IF(E677="","",IFERROR(INDEX(Vendor_Register!$B$5:$B$205,MATCH(E677,Vendor_Register!$A$5:$A$205,0)),"(not in register)"))</f>
        <v/>
      </c>
      <c r="G677" s="33" t="str">
        <f>IF(E677="","",IFERROR(INDEX(Vendor_Register!$E$5:$E$205,MATCH(E677,Vendor_Register!$A$5:$A$205,0)),"(not in register)"))</f>
        <v/>
      </c>
      <c r="H677" s="30"/>
      <c r="I677" s="30"/>
      <c r="J677" s="30"/>
      <c r="K677" s="30"/>
      <c r="L677" s="30"/>
      <c r="M677" s="34"/>
      <c r="N677" s="30"/>
      <c r="O677" s="35" t="str">
        <f>IF(NOT(ISNUMBER(M677)),"",IFERROR(IF(L677="EUR",M677,IF(L677="IRR",M677/INDEX('Assumptions &amp; FX Reference'!$C$5:$C$25,MATCH(H677,'Assumptions &amp; FX Reference'!$A$5:$A$25,0)),IF(L677="USD",M677*INDEX('Assumptions &amp; FX Reference'!$B$5:$B$25,MATCH(H677,'Assumptions &amp; FX Reference'!$A$5:$A$25,0))/INDEX('Assumptions &amp; FX Reference'!$C$5:$C$25,MATCH(H677,'Assumptions &amp; FX Reference'!$A$5:$A$25,0)),""))),"(FX missing)"))</f>
        <v/>
      </c>
      <c r="P677" s="30"/>
      <c r="Q677" s="30"/>
      <c r="R677" s="30"/>
      <c r="S677" s="30"/>
      <c r="T677" s="30"/>
      <c r="U677" s="30"/>
      <c r="V677" s="30"/>
    </row>
    <row r="678" spans="1:22">
      <c r="A678" s="30"/>
      <c r="B678" s="30"/>
      <c r="C678" s="33" t="str">
        <f>IF(B678="","",IFERROR(INDEX('Master Database'!$D$5:$D$600,MATCH(B678,'Master Database'!$A$5:$A$600,0)),"(row not found)"))</f>
        <v/>
      </c>
      <c r="D678" s="33" t="str">
        <f>IF(B678="","",IFERROR(INDEX('Master Database'!$B$5:$B$600,MATCH(B678,'Master Database'!$A$5:$A$600,0)),"(row not found)"))</f>
        <v/>
      </c>
      <c r="E678" s="30"/>
      <c r="F678" s="33" t="str">
        <f>IF(E678="","",IFERROR(INDEX(Vendor_Register!$B$5:$B$205,MATCH(E678,Vendor_Register!$A$5:$A$205,0)),"(not in register)"))</f>
        <v/>
      </c>
      <c r="G678" s="33" t="str">
        <f>IF(E678="","",IFERROR(INDEX(Vendor_Register!$E$5:$E$205,MATCH(E678,Vendor_Register!$A$5:$A$205,0)),"(not in register)"))</f>
        <v/>
      </c>
      <c r="H678" s="30"/>
      <c r="I678" s="30"/>
      <c r="J678" s="30"/>
      <c r="K678" s="30"/>
      <c r="L678" s="30"/>
      <c r="M678" s="34"/>
      <c r="N678" s="30"/>
      <c r="O678" s="35" t="str">
        <f>IF(NOT(ISNUMBER(M678)),"",IFERROR(IF(L678="EUR",M678,IF(L678="IRR",M678/INDEX('Assumptions &amp; FX Reference'!$C$5:$C$25,MATCH(H678,'Assumptions &amp; FX Reference'!$A$5:$A$25,0)),IF(L678="USD",M678*INDEX('Assumptions &amp; FX Reference'!$B$5:$B$25,MATCH(H678,'Assumptions &amp; FX Reference'!$A$5:$A$25,0))/INDEX('Assumptions &amp; FX Reference'!$C$5:$C$25,MATCH(H678,'Assumptions &amp; FX Reference'!$A$5:$A$25,0)),""))),"(FX missing)"))</f>
        <v/>
      </c>
      <c r="P678" s="30"/>
      <c r="Q678" s="30"/>
      <c r="R678" s="30"/>
      <c r="S678" s="30"/>
      <c r="T678" s="30"/>
      <c r="U678" s="30"/>
      <c r="V678" s="30"/>
    </row>
    <row r="679" spans="1:22">
      <c r="A679" s="30"/>
      <c r="B679" s="30"/>
      <c r="C679" s="33" t="str">
        <f>IF(B679="","",IFERROR(INDEX('Master Database'!$D$5:$D$600,MATCH(B679,'Master Database'!$A$5:$A$600,0)),"(row not found)"))</f>
        <v/>
      </c>
      <c r="D679" s="33" t="str">
        <f>IF(B679="","",IFERROR(INDEX('Master Database'!$B$5:$B$600,MATCH(B679,'Master Database'!$A$5:$A$600,0)),"(row not found)"))</f>
        <v/>
      </c>
      <c r="E679" s="30"/>
      <c r="F679" s="33" t="str">
        <f>IF(E679="","",IFERROR(INDEX(Vendor_Register!$B$5:$B$205,MATCH(E679,Vendor_Register!$A$5:$A$205,0)),"(not in register)"))</f>
        <v/>
      </c>
      <c r="G679" s="33" t="str">
        <f>IF(E679="","",IFERROR(INDEX(Vendor_Register!$E$5:$E$205,MATCH(E679,Vendor_Register!$A$5:$A$205,0)),"(not in register)"))</f>
        <v/>
      </c>
      <c r="H679" s="30"/>
      <c r="I679" s="30"/>
      <c r="J679" s="30"/>
      <c r="K679" s="30"/>
      <c r="L679" s="30"/>
      <c r="M679" s="34"/>
      <c r="N679" s="30"/>
      <c r="O679" s="35" t="str">
        <f>IF(NOT(ISNUMBER(M679)),"",IFERROR(IF(L679="EUR",M679,IF(L679="IRR",M679/INDEX('Assumptions &amp; FX Reference'!$C$5:$C$25,MATCH(H679,'Assumptions &amp; FX Reference'!$A$5:$A$25,0)),IF(L679="USD",M679*INDEX('Assumptions &amp; FX Reference'!$B$5:$B$25,MATCH(H679,'Assumptions &amp; FX Reference'!$A$5:$A$25,0))/INDEX('Assumptions &amp; FX Reference'!$C$5:$C$25,MATCH(H679,'Assumptions &amp; FX Reference'!$A$5:$A$25,0)),""))),"(FX missing)"))</f>
        <v/>
      </c>
      <c r="P679" s="30"/>
      <c r="Q679" s="30"/>
      <c r="R679" s="30"/>
      <c r="S679" s="30"/>
      <c r="T679" s="30"/>
      <c r="U679" s="30"/>
      <c r="V679" s="30"/>
    </row>
    <row r="680" spans="1:22">
      <c r="A680" s="30"/>
      <c r="B680" s="30"/>
      <c r="C680" s="33" t="str">
        <f>IF(B680="","",IFERROR(INDEX('Master Database'!$D$5:$D$600,MATCH(B680,'Master Database'!$A$5:$A$600,0)),"(row not found)"))</f>
        <v/>
      </c>
      <c r="D680" s="33" t="str">
        <f>IF(B680="","",IFERROR(INDEX('Master Database'!$B$5:$B$600,MATCH(B680,'Master Database'!$A$5:$A$600,0)),"(row not found)"))</f>
        <v/>
      </c>
      <c r="E680" s="30"/>
      <c r="F680" s="33" t="str">
        <f>IF(E680="","",IFERROR(INDEX(Vendor_Register!$B$5:$B$205,MATCH(E680,Vendor_Register!$A$5:$A$205,0)),"(not in register)"))</f>
        <v/>
      </c>
      <c r="G680" s="33" t="str">
        <f>IF(E680="","",IFERROR(INDEX(Vendor_Register!$E$5:$E$205,MATCH(E680,Vendor_Register!$A$5:$A$205,0)),"(not in register)"))</f>
        <v/>
      </c>
      <c r="H680" s="30"/>
      <c r="I680" s="30"/>
      <c r="J680" s="30"/>
      <c r="K680" s="30"/>
      <c r="L680" s="30"/>
      <c r="M680" s="34"/>
      <c r="N680" s="30"/>
      <c r="O680" s="35" t="str">
        <f>IF(NOT(ISNUMBER(M680)),"",IFERROR(IF(L680="EUR",M680,IF(L680="IRR",M680/INDEX('Assumptions &amp; FX Reference'!$C$5:$C$25,MATCH(H680,'Assumptions &amp; FX Reference'!$A$5:$A$25,0)),IF(L680="USD",M680*INDEX('Assumptions &amp; FX Reference'!$B$5:$B$25,MATCH(H680,'Assumptions &amp; FX Reference'!$A$5:$A$25,0))/INDEX('Assumptions &amp; FX Reference'!$C$5:$C$25,MATCH(H680,'Assumptions &amp; FX Reference'!$A$5:$A$25,0)),""))),"(FX missing)"))</f>
        <v/>
      </c>
      <c r="P680" s="30"/>
      <c r="Q680" s="30"/>
      <c r="R680" s="30"/>
      <c r="S680" s="30"/>
      <c r="T680" s="30"/>
      <c r="U680" s="30"/>
      <c r="V680" s="30"/>
    </row>
    <row r="681" spans="1:22">
      <c r="A681" s="30"/>
      <c r="B681" s="30"/>
      <c r="C681" s="33" t="str">
        <f>IF(B681="","",IFERROR(INDEX('Master Database'!$D$5:$D$600,MATCH(B681,'Master Database'!$A$5:$A$600,0)),"(row not found)"))</f>
        <v/>
      </c>
      <c r="D681" s="33" t="str">
        <f>IF(B681="","",IFERROR(INDEX('Master Database'!$B$5:$B$600,MATCH(B681,'Master Database'!$A$5:$A$600,0)),"(row not found)"))</f>
        <v/>
      </c>
      <c r="E681" s="30"/>
      <c r="F681" s="33" t="str">
        <f>IF(E681="","",IFERROR(INDEX(Vendor_Register!$B$5:$B$205,MATCH(E681,Vendor_Register!$A$5:$A$205,0)),"(not in register)"))</f>
        <v/>
      </c>
      <c r="G681" s="33" t="str">
        <f>IF(E681="","",IFERROR(INDEX(Vendor_Register!$E$5:$E$205,MATCH(E681,Vendor_Register!$A$5:$A$205,0)),"(not in register)"))</f>
        <v/>
      </c>
      <c r="H681" s="30"/>
      <c r="I681" s="30"/>
      <c r="J681" s="30"/>
      <c r="K681" s="30"/>
      <c r="L681" s="30"/>
      <c r="M681" s="34"/>
      <c r="N681" s="30"/>
      <c r="O681" s="35" t="str">
        <f>IF(NOT(ISNUMBER(M681)),"",IFERROR(IF(L681="EUR",M681,IF(L681="IRR",M681/INDEX('Assumptions &amp; FX Reference'!$C$5:$C$25,MATCH(H681,'Assumptions &amp; FX Reference'!$A$5:$A$25,0)),IF(L681="USD",M681*INDEX('Assumptions &amp; FX Reference'!$B$5:$B$25,MATCH(H681,'Assumptions &amp; FX Reference'!$A$5:$A$25,0))/INDEX('Assumptions &amp; FX Reference'!$C$5:$C$25,MATCH(H681,'Assumptions &amp; FX Reference'!$A$5:$A$25,0)),""))),"(FX missing)"))</f>
        <v/>
      </c>
      <c r="P681" s="30"/>
      <c r="Q681" s="30"/>
      <c r="R681" s="30"/>
      <c r="S681" s="30"/>
      <c r="T681" s="30"/>
      <c r="U681" s="30"/>
      <c r="V681" s="30"/>
    </row>
    <row r="682" spans="1:22">
      <c r="A682" s="30"/>
      <c r="B682" s="30"/>
      <c r="C682" s="33" t="str">
        <f>IF(B682="","",IFERROR(INDEX('Master Database'!$D$5:$D$600,MATCH(B682,'Master Database'!$A$5:$A$600,0)),"(row not found)"))</f>
        <v/>
      </c>
      <c r="D682" s="33" t="str">
        <f>IF(B682="","",IFERROR(INDEX('Master Database'!$B$5:$B$600,MATCH(B682,'Master Database'!$A$5:$A$600,0)),"(row not found)"))</f>
        <v/>
      </c>
      <c r="E682" s="30"/>
      <c r="F682" s="33" t="str">
        <f>IF(E682="","",IFERROR(INDEX(Vendor_Register!$B$5:$B$205,MATCH(E682,Vendor_Register!$A$5:$A$205,0)),"(not in register)"))</f>
        <v/>
      </c>
      <c r="G682" s="33" t="str">
        <f>IF(E682="","",IFERROR(INDEX(Vendor_Register!$E$5:$E$205,MATCH(E682,Vendor_Register!$A$5:$A$205,0)),"(not in register)"))</f>
        <v/>
      </c>
      <c r="H682" s="30"/>
      <c r="I682" s="30"/>
      <c r="J682" s="30"/>
      <c r="K682" s="30"/>
      <c r="L682" s="30"/>
      <c r="M682" s="34"/>
      <c r="N682" s="30"/>
      <c r="O682" s="35" t="str">
        <f>IF(NOT(ISNUMBER(M682)),"",IFERROR(IF(L682="EUR",M682,IF(L682="IRR",M682/INDEX('Assumptions &amp; FX Reference'!$C$5:$C$25,MATCH(H682,'Assumptions &amp; FX Reference'!$A$5:$A$25,0)),IF(L682="USD",M682*INDEX('Assumptions &amp; FX Reference'!$B$5:$B$25,MATCH(H682,'Assumptions &amp; FX Reference'!$A$5:$A$25,0))/INDEX('Assumptions &amp; FX Reference'!$C$5:$C$25,MATCH(H682,'Assumptions &amp; FX Reference'!$A$5:$A$25,0)),""))),"(FX missing)"))</f>
        <v/>
      </c>
      <c r="P682" s="30"/>
      <c r="Q682" s="30"/>
      <c r="R682" s="30"/>
      <c r="S682" s="30"/>
      <c r="T682" s="30"/>
      <c r="U682" s="30"/>
      <c r="V682" s="30"/>
    </row>
    <row r="683" spans="1:22">
      <c r="A683" s="30"/>
      <c r="B683" s="30"/>
      <c r="C683" s="33" t="str">
        <f>IF(B683="","",IFERROR(INDEX('Master Database'!$D$5:$D$600,MATCH(B683,'Master Database'!$A$5:$A$600,0)),"(row not found)"))</f>
        <v/>
      </c>
      <c r="D683" s="33" t="str">
        <f>IF(B683="","",IFERROR(INDEX('Master Database'!$B$5:$B$600,MATCH(B683,'Master Database'!$A$5:$A$600,0)),"(row not found)"))</f>
        <v/>
      </c>
      <c r="E683" s="30"/>
      <c r="F683" s="33" t="str">
        <f>IF(E683="","",IFERROR(INDEX(Vendor_Register!$B$5:$B$205,MATCH(E683,Vendor_Register!$A$5:$A$205,0)),"(not in register)"))</f>
        <v/>
      </c>
      <c r="G683" s="33" t="str">
        <f>IF(E683="","",IFERROR(INDEX(Vendor_Register!$E$5:$E$205,MATCH(E683,Vendor_Register!$A$5:$A$205,0)),"(not in register)"))</f>
        <v/>
      </c>
      <c r="H683" s="30"/>
      <c r="I683" s="30"/>
      <c r="J683" s="30"/>
      <c r="K683" s="30"/>
      <c r="L683" s="30"/>
      <c r="M683" s="34"/>
      <c r="N683" s="30"/>
      <c r="O683" s="35" t="str">
        <f>IF(NOT(ISNUMBER(M683)),"",IFERROR(IF(L683="EUR",M683,IF(L683="IRR",M683/INDEX('Assumptions &amp; FX Reference'!$C$5:$C$25,MATCH(H683,'Assumptions &amp; FX Reference'!$A$5:$A$25,0)),IF(L683="USD",M683*INDEX('Assumptions &amp; FX Reference'!$B$5:$B$25,MATCH(H683,'Assumptions &amp; FX Reference'!$A$5:$A$25,0))/INDEX('Assumptions &amp; FX Reference'!$C$5:$C$25,MATCH(H683,'Assumptions &amp; FX Reference'!$A$5:$A$25,0)),""))),"(FX missing)"))</f>
        <v/>
      </c>
      <c r="P683" s="30"/>
      <c r="Q683" s="30"/>
      <c r="R683" s="30"/>
      <c r="S683" s="30"/>
      <c r="T683" s="30"/>
      <c r="U683" s="30"/>
      <c r="V683" s="30"/>
    </row>
    <row r="684" spans="1:22">
      <c r="A684" s="30"/>
      <c r="B684" s="30"/>
      <c r="C684" s="33" t="str">
        <f>IF(B684="","",IFERROR(INDEX('Master Database'!$D$5:$D$600,MATCH(B684,'Master Database'!$A$5:$A$600,0)),"(row not found)"))</f>
        <v/>
      </c>
      <c r="D684" s="33" t="str">
        <f>IF(B684="","",IFERROR(INDEX('Master Database'!$B$5:$B$600,MATCH(B684,'Master Database'!$A$5:$A$600,0)),"(row not found)"))</f>
        <v/>
      </c>
      <c r="E684" s="30"/>
      <c r="F684" s="33" t="str">
        <f>IF(E684="","",IFERROR(INDEX(Vendor_Register!$B$5:$B$205,MATCH(E684,Vendor_Register!$A$5:$A$205,0)),"(not in register)"))</f>
        <v/>
      </c>
      <c r="G684" s="33" t="str">
        <f>IF(E684="","",IFERROR(INDEX(Vendor_Register!$E$5:$E$205,MATCH(E684,Vendor_Register!$A$5:$A$205,0)),"(not in register)"))</f>
        <v/>
      </c>
      <c r="H684" s="30"/>
      <c r="I684" s="30"/>
      <c r="J684" s="30"/>
      <c r="K684" s="30"/>
      <c r="L684" s="30"/>
      <c r="M684" s="34"/>
      <c r="N684" s="30"/>
      <c r="O684" s="35" t="str">
        <f>IF(NOT(ISNUMBER(M684)),"",IFERROR(IF(L684="EUR",M684,IF(L684="IRR",M684/INDEX('Assumptions &amp; FX Reference'!$C$5:$C$25,MATCH(H684,'Assumptions &amp; FX Reference'!$A$5:$A$25,0)),IF(L684="USD",M684*INDEX('Assumptions &amp; FX Reference'!$B$5:$B$25,MATCH(H684,'Assumptions &amp; FX Reference'!$A$5:$A$25,0))/INDEX('Assumptions &amp; FX Reference'!$C$5:$C$25,MATCH(H684,'Assumptions &amp; FX Reference'!$A$5:$A$25,0)),""))),"(FX missing)"))</f>
        <v/>
      </c>
      <c r="P684" s="30"/>
      <c r="Q684" s="30"/>
      <c r="R684" s="30"/>
      <c r="S684" s="30"/>
      <c r="T684" s="30"/>
      <c r="U684" s="30"/>
      <c r="V684" s="30"/>
    </row>
    <row r="685" spans="1:22">
      <c r="A685" s="30"/>
      <c r="B685" s="30"/>
      <c r="C685" s="33" t="str">
        <f>IF(B685="","",IFERROR(INDEX('Master Database'!$D$5:$D$600,MATCH(B685,'Master Database'!$A$5:$A$600,0)),"(row not found)"))</f>
        <v/>
      </c>
      <c r="D685" s="33" t="str">
        <f>IF(B685="","",IFERROR(INDEX('Master Database'!$B$5:$B$600,MATCH(B685,'Master Database'!$A$5:$A$600,0)),"(row not found)"))</f>
        <v/>
      </c>
      <c r="E685" s="30"/>
      <c r="F685" s="33" t="str">
        <f>IF(E685="","",IFERROR(INDEX(Vendor_Register!$B$5:$B$205,MATCH(E685,Vendor_Register!$A$5:$A$205,0)),"(not in register)"))</f>
        <v/>
      </c>
      <c r="G685" s="33" t="str">
        <f>IF(E685="","",IFERROR(INDEX(Vendor_Register!$E$5:$E$205,MATCH(E685,Vendor_Register!$A$5:$A$205,0)),"(not in register)"))</f>
        <v/>
      </c>
      <c r="H685" s="30"/>
      <c r="I685" s="30"/>
      <c r="J685" s="30"/>
      <c r="K685" s="30"/>
      <c r="L685" s="30"/>
      <c r="M685" s="34"/>
      <c r="N685" s="30"/>
      <c r="O685" s="35" t="str">
        <f>IF(NOT(ISNUMBER(M685)),"",IFERROR(IF(L685="EUR",M685,IF(L685="IRR",M685/INDEX('Assumptions &amp; FX Reference'!$C$5:$C$25,MATCH(H685,'Assumptions &amp; FX Reference'!$A$5:$A$25,0)),IF(L685="USD",M685*INDEX('Assumptions &amp; FX Reference'!$B$5:$B$25,MATCH(H685,'Assumptions &amp; FX Reference'!$A$5:$A$25,0))/INDEX('Assumptions &amp; FX Reference'!$C$5:$C$25,MATCH(H685,'Assumptions &amp; FX Reference'!$A$5:$A$25,0)),""))),"(FX missing)"))</f>
        <v/>
      </c>
      <c r="P685" s="30"/>
      <c r="Q685" s="30"/>
      <c r="R685" s="30"/>
      <c r="S685" s="30"/>
      <c r="T685" s="30"/>
      <c r="U685" s="30"/>
      <c r="V685" s="30"/>
    </row>
    <row r="686" spans="1:22">
      <c r="A686" s="30"/>
      <c r="B686" s="30"/>
      <c r="C686" s="33" t="str">
        <f>IF(B686="","",IFERROR(INDEX('Master Database'!$D$5:$D$600,MATCH(B686,'Master Database'!$A$5:$A$600,0)),"(row not found)"))</f>
        <v/>
      </c>
      <c r="D686" s="33" t="str">
        <f>IF(B686="","",IFERROR(INDEX('Master Database'!$B$5:$B$600,MATCH(B686,'Master Database'!$A$5:$A$600,0)),"(row not found)"))</f>
        <v/>
      </c>
      <c r="E686" s="30"/>
      <c r="F686" s="33" t="str">
        <f>IF(E686="","",IFERROR(INDEX(Vendor_Register!$B$5:$B$205,MATCH(E686,Vendor_Register!$A$5:$A$205,0)),"(not in register)"))</f>
        <v/>
      </c>
      <c r="G686" s="33" t="str">
        <f>IF(E686="","",IFERROR(INDEX(Vendor_Register!$E$5:$E$205,MATCH(E686,Vendor_Register!$A$5:$A$205,0)),"(not in register)"))</f>
        <v/>
      </c>
      <c r="H686" s="30"/>
      <c r="I686" s="30"/>
      <c r="J686" s="30"/>
      <c r="K686" s="30"/>
      <c r="L686" s="30"/>
      <c r="M686" s="34"/>
      <c r="N686" s="30"/>
      <c r="O686" s="35" t="str">
        <f>IF(NOT(ISNUMBER(M686)),"",IFERROR(IF(L686="EUR",M686,IF(L686="IRR",M686/INDEX('Assumptions &amp; FX Reference'!$C$5:$C$25,MATCH(H686,'Assumptions &amp; FX Reference'!$A$5:$A$25,0)),IF(L686="USD",M686*INDEX('Assumptions &amp; FX Reference'!$B$5:$B$25,MATCH(H686,'Assumptions &amp; FX Reference'!$A$5:$A$25,0))/INDEX('Assumptions &amp; FX Reference'!$C$5:$C$25,MATCH(H686,'Assumptions &amp; FX Reference'!$A$5:$A$25,0)),""))),"(FX missing)"))</f>
        <v/>
      </c>
      <c r="P686" s="30"/>
      <c r="Q686" s="30"/>
      <c r="R686" s="30"/>
      <c r="S686" s="30"/>
      <c r="T686" s="30"/>
      <c r="U686" s="30"/>
      <c r="V686" s="30"/>
    </row>
    <row r="687" spans="1:22">
      <c r="A687" s="30"/>
      <c r="B687" s="30"/>
      <c r="C687" s="33" t="str">
        <f>IF(B687="","",IFERROR(INDEX('Master Database'!$D$5:$D$600,MATCH(B687,'Master Database'!$A$5:$A$600,0)),"(row not found)"))</f>
        <v/>
      </c>
      <c r="D687" s="33" t="str">
        <f>IF(B687="","",IFERROR(INDEX('Master Database'!$B$5:$B$600,MATCH(B687,'Master Database'!$A$5:$A$600,0)),"(row not found)"))</f>
        <v/>
      </c>
      <c r="E687" s="30"/>
      <c r="F687" s="33" t="str">
        <f>IF(E687="","",IFERROR(INDEX(Vendor_Register!$B$5:$B$205,MATCH(E687,Vendor_Register!$A$5:$A$205,0)),"(not in register)"))</f>
        <v/>
      </c>
      <c r="G687" s="33" t="str">
        <f>IF(E687="","",IFERROR(INDEX(Vendor_Register!$E$5:$E$205,MATCH(E687,Vendor_Register!$A$5:$A$205,0)),"(not in register)"))</f>
        <v/>
      </c>
      <c r="H687" s="30"/>
      <c r="I687" s="30"/>
      <c r="J687" s="30"/>
      <c r="K687" s="30"/>
      <c r="L687" s="30"/>
      <c r="M687" s="34"/>
      <c r="N687" s="30"/>
      <c r="O687" s="35" t="str">
        <f>IF(NOT(ISNUMBER(M687)),"",IFERROR(IF(L687="EUR",M687,IF(L687="IRR",M687/INDEX('Assumptions &amp; FX Reference'!$C$5:$C$25,MATCH(H687,'Assumptions &amp; FX Reference'!$A$5:$A$25,0)),IF(L687="USD",M687*INDEX('Assumptions &amp; FX Reference'!$B$5:$B$25,MATCH(H687,'Assumptions &amp; FX Reference'!$A$5:$A$25,0))/INDEX('Assumptions &amp; FX Reference'!$C$5:$C$25,MATCH(H687,'Assumptions &amp; FX Reference'!$A$5:$A$25,0)),""))),"(FX missing)"))</f>
        <v/>
      </c>
      <c r="P687" s="30"/>
      <c r="Q687" s="30"/>
      <c r="R687" s="30"/>
      <c r="S687" s="30"/>
      <c r="T687" s="30"/>
      <c r="U687" s="30"/>
      <c r="V687" s="30"/>
    </row>
    <row r="688" spans="1:22">
      <c r="A688" s="30"/>
      <c r="B688" s="30"/>
      <c r="C688" s="33" t="str">
        <f>IF(B688="","",IFERROR(INDEX('Master Database'!$D$5:$D$600,MATCH(B688,'Master Database'!$A$5:$A$600,0)),"(row not found)"))</f>
        <v/>
      </c>
      <c r="D688" s="33" t="str">
        <f>IF(B688="","",IFERROR(INDEX('Master Database'!$B$5:$B$600,MATCH(B688,'Master Database'!$A$5:$A$600,0)),"(row not found)"))</f>
        <v/>
      </c>
      <c r="E688" s="30"/>
      <c r="F688" s="33" t="str">
        <f>IF(E688="","",IFERROR(INDEX(Vendor_Register!$B$5:$B$205,MATCH(E688,Vendor_Register!$A$5:$A$205,0)),"(not in register)"))</f>
        <v/>
      </c>
      <c r="G688" s="33" t="str">
        <f>IF(E688="","",IFERROR(INDEX(Vendor_Register!$E$5:$E$205,MATCH(E688,Vendor_Register!$A$5:$A$205,0)),"(not in register)"))</f>
        <v/>
      </c>
      <c r="H688" s="30"/>
      <c r="I688" s="30"/>
      <c r="J688" s="30"/>
      <c r="K688" s="30"/>
      <c r="L688" s="30"/>
      <c r="M688" s="34"/>
      <c r="N688" s="30"/>
      <c r="O688" s="35" t="str">
        <f>IF(NOT(ISNUMBER(M688)),"",IFERROR(IF(L688="EUR",M688,IF(L688="IRR",M688/INDEX('Assumptions &amp; FX Reference'!$C$5:$C$25,MATCH(H688,'Assumptions &amp; FX Reference'!$A$5:$A$25,0)),IF(L688="USD",M688*INDEX('Assumptions &amp; FX Reference'!$B$5:$B$25,MATCH(H688,'Assumptions &amp; FX Reference'!$A$5:$A$25,0))/INDEX('Assumptions &amp; FX Reference'!$C$5:$C$25,MATCH(H688,'Assumptions &amp; FX Reference'!$A$5:$A$25,0)),""))),"(FX missing)"))</f>
        <v/>
      </c>
      <c r="P688" s="30"/>
      <c r="Q688" s="30"/>
      <c r="R688" s="30"/>
      <c r="S688" s="30"/>
      <c r="T688" s="30"/>
      <c r="U688" s="30"/>
      <c r="V688" s="30"/>
    </row>
    <row r="689" spans="1:22">
      <c r="A689" s="30"/>
      <c r="B689" s="30"/>
      <c r="C689" s="33" t="str">
        <f>IF(B689="","",IFERROR(INDEX('Master Database'!$D$5:$D$600,MATCH(B689,'Master Database'!$A$5:$A$600,0)),"(row not found)"))</f>
        <v/>
      </c>
      <c r="D689" s="33" t="str">
        <f>IF(B689="","",IFERROR(INDEX('Master Database'!$B$5:$B$600,MATCH(B689,'Master Database'!$A$5:$A$600,0)),"(row not found)"))</f>
        <v/>
      </c>
      <c r="E689" s="30"/>
      <c r="F689" s="33" t="str">
        <f>IF(E689="","",IFERROR(INDEX(Vendor_Register!$B$5:$B$205,MATCH(E689,Vendor_Register!$A$5:$A$205,0)),"(not in register)"))</f>
        <v/>
      </c>
      <c r="G689" s="33" t="str">
        <f>IF(E689="","",IFERROR(INDEX(Vendor_Register!$E$5:$E$205,MATCH(E689,Vendor_Register!$A$5:$A$205,0)),"(not in register)"))</f>
        <v/>
      </c>
      <c r="H689" s="30"/>
      <c r="I689" s="30"/>
      <c r="J689" s="30"/>
      <c r="K689" s="30"/>
      <c r="L689" s="30"/>
      <c r="M689" s="34"/>
      <c r="N689" s="30"/>
      <c r="O689" s="35" t="str">
        <f>IF(NOT(ISNUMBER(M689)),"",IFERROR(IF(L689="EUR",M689,IF(L689="IRR",M689/INDEX('Assumptions &amp; FX Reference'!$C$5:$C$25,MATCH(H689,'Assumptions &amp; FX Reference'!$A$5:$A$25,0)),IF(L689="USD",M689*INDEX('Assumptions &amp; FX Reference'!$B$5:$B$25,MATCH(H689,'Assumptions &amp; FX Reference'!$A$5:$A$25,0))/INDEX('Assumptions &amp; FX Reference'!$C$5:$C$25,MATCH(H689,'Assumptions &amp; FX Reference'!$A$5:$A$25,0)),""))),"(FX missing)"))</f>
        <v/>
      </c>
      <c r="P689" s="30"/>
      <c r="Q689" s="30"/>
      <c r="R689" s="30"/>
      <c r="S689" s="30"/>
      <c r="T689" s="30"/>
      <c r="U689" s="30"/>
      <c r="V689" s="30"/>
    </row>
    <row r="690" spans="1:22">
      <c r="A690" s="30"/>
      <c r="B690" s="30"/>
      <c r="C690" s="33" t="str">
        <f>IF(B690="","",IFERROR(INDEX('Master Database'!$D$5:$D$600,MATCH(B690,'Master Database'!$A$5:$A$600,0)),"(row not found)"))</f>
        <v/>
      </c>
      <c r="D690" s="33" t="str">
        <f>IF(B690="","",IFERROR(INDEX('Master Database'!$B$5:$B$600,MATCH(B690,'Master Database'!$A$5:$A$600,0)),"(row not found)"))</f>
        <v/>
      </c>
      <c r="E690" s="30"/>
      <c r="F690" s="33" t="str">
        <f>IF(E690="","",IFERROR(INDEX(Vendor_Register!$B$5:$B$205,MATCH(E690,Vendor_Register!$A$5:$A$205,0)),"(not in register)"))</f>
        <v/>
      </c>
      <c r="G690" s="33" t="str">
        <f>IF(E690="","",IFERROR(INDEX(Vendor_Register!$E$5:$E$205,MATCH(E690,Vendor_Register!$A$5:$A$205,0)),"(not in register)"))</f>
        <v/>
      </c>
      <c r="H690" s="30"/>
      <c r="I690" s="30"/>
      <c r="J690" s="30"/>
      <c r="K690" s="30"/>
      <c r="L690" s="30"/>
      <c r="M690" s="34"/>
      <c r="N690" s="30"/>
      <c r="O690" s="35" t="str">
        <f>IF(NOT(ISNUMBER(M690)),"",IFERROR(IF(L690="EUR",M690,IF(L690="IRR",M690/INDEX('Assumptions &amp; FX Reference'!$C$5:$C$25,MATCH(H690,'Assumptions &amp; FX Reference'!$A$5:$A$25,0)),IF(L690="USD",M690*INDEX('Assumptions &amp; FX Reference'!$B$5:$B$25,MATCH(H690,'Assumptions &amp; FX Reference'!$A$5:$A$25,0))/INDEX('Assumptions &amp; FX Reference'!$C$5:$C$25,MATCH(H690,'Assumptions &amp; FX Reference'!$A$5:$A$25,0)),""))),"(FX missing)"))</f>
        <v/>
      </c>
      <c r="P690" s="30"/>
      <c r="Q690" s="30"/>
      <c r="R690" s="30"/>
      <c r="S690" s="30"/>
      <c r="T690" s="30"/>
      <c r="U690" s="30"/>
      <c r="V690" s="30"/>
    </row>
    <row r="691" spans="1:22">
      <c r="A691" s="30"/>
      <c r="B691" s="30"/>
      <c r="C691" s="33" t="str">
        <f>IF(B691="","",IFERROR(INDEX('Master Database'!$D$5:$D$600,MATCH(B691,'Master Database'!$A$5:$A$600,0)),"(row not found)"))</f>
        <v/>
      </c>
      <c r="D691" s="33" t="str">
        <f>IF(B691="","",IFERROR(INDEX('Master Database'!$B$5:$B$600,MATCH(B691,'Master Database'!$A$5:$A$600,0)),"(row not found)"))</f>
        <v/>
      </c>
      <c r="E691" s="30"/>
      <c r="F691" s="33" t="str">
        <f>IF(E691="","",IFERROR(INDEX(Vendor_Register!$B$5:$B$205,MATCH(E691,Vendor_Register!$A$5:$A$205,0)),"(not in register)"))</f>
        <v/>
      </c>
      <c r="G691" s="33" t="str">
        <f>IF(E691="","",IFERROR(INDEX(Vendor_Register!$E$5:$E$205,MATCH(E691,Vendor_Register!$A$5:$A$205,0)),"(not in register)"))</f>
        <v/>
      </c>
      <c r="H691" s="30"/>
      <c r="I691" s="30"/>
      <c r="J691" s="30"/>
      <c r="K691" s="30"/>
      <c r="L691" s="30"/>
      <c r="M691" s="34"/>
      <c r="N691" s="30"/>
      <c r="O691" s="35" t="str">
        <f>IF(NOT(ISNUMBER(M691)),"",IFERROR(IF(L691="EUR",M691,IF(L691="IRR",M691/INDEX('Assumptions &amp; FX Reference'!$C$5:$C$25,MATCH(H691,'Assumptions &amp; FX Reference'!$A$5:$A$25,0)),IF(L691="USD",M691*INDEX('Assumptions &amp; FX Reference'!$B$5:$B$25,MATCH(H691,'Assumptions &amp; FX Reference'!$A$5:$A$25,0))/INDEX('Assumptions &amp; FX Reference'!$C$5:$C$25,MATCH(H691,'Assumptions &amp; FX Reference'!$A$5:$A$25,0)),""))),"(FX missing)"))</f>
        <v/>
      </c>
      <c r="P691" s="30"/>
      <c r="Q691" s="30"/>
      <c r="R691" s="30"/>
      <c r="S691" s="30"/>
      <c r="T691" s="30"/>
      <c r="U691" s="30"/>
      <c r="V691" s="30"/>
    </row>
    <row r="692" spans="1:22">
      <c r="A692" s="30"/>
      <c r="B692" s="30"/>
      <c r="C692" s="33" t="str">
        <f>IF(B692="","",IFERROR(INDEX('Master Database'!$D$5:$D$600,MATCH(B692,'Master Database'!$A$5:$A$600,0)),"(row not found)"))</f>
        <v/>
      </c>
      <c r="D692" s="33" t="str">
        <f>IF(B692="","",IFERROR(INDEX('Master Database'!$B$5:$B$600,MATCH(B692,'Master Database'!$A$5:$A$600,0)),"(row not found)"))</f>
        <v/>
      </c>
      <c r="E692" s="30"/>
      <c r="F692" s="33" t="str">
        <f>IF(E692="","",IFERROR(INDEX(Vendor_Register!$B$5:$B$205,MATCH(E692,Vendor_Register!$A$5:$A$205,0)),"(not in register)"))</f>
        <v/>
      </c>
      <c r="G692" s="33" t="str">
        <f>IF(E692="","",IFERROR(INDEX(Vendor_Register!$E$5:$E$205,MATCH(E692,Vendor_Register!$A$5:$A$205,0)),"(not in register)"))</f>
        <v/>
      </c>
      <c r="H692" s="30"/>
      <c r="I692" s="30"/>
      <c r="J692" s="30"/>
      <c r="K692" s="30"/>
      <c r="L692" s="30"/>
      <c r="M692" s="34"/>
      <c r="N692" s="30"/>
      <c r="O692" s="35" t="str">
        <f>IF(NOT(ISNUMBER(M692)),"",IFERROR(IF(L692="EUR",M692,IF(L692="IRR",M692/INDEX('Assumptions &amp; FX Reference'!$C$5:$C$25,MATCH(H692,'Assumptions &amp; FX Reference'!$A$5:$A$25,0)),IF(L692="USD",M692*INDEX('Assumptions &amp; FX Reference'!$B$5:$B$25,MATCH(H692,'Assumptions &amp; FX Reference'!$A$5:$A$25,0))/INDEX('Assumptions &amp; FX Reference'!$C$5:$C$25,MATCH(H692,'Assumptions &amp; FX Reference'!$A$5:$A$25,0)),""))),"(FX missing)"))</f>
        <v/>
      </c>
      <c r="P692" s="30"/>
      <c r="Q692" s="30"/>
      <c r="R692" s="30"/>
      <c r="S692" s="30"/>
      <c r="T692" s="30"/>
      <c r="U692" s="30"/>
      <c r="V692" s="30"/>
    </row>
    <row r="693" spans="1:22">
      <c r="A693" s="30"/>
      <c r="B693" s="30"/>
      <c r="C693" s="33" t="str">
        <f>IF(B693="","",IFERROR(INDEX('Master Database'!$D$5:$D$600,MATCH(B693,'Master Database'!$A$5:$A$600,0)),"(row not found)"))</f>
        <v/>
      </c>
      <c r="D693" s="33" t="str">
        <f>IF(B693="","",IFERROR(INDEX('Master Database'!$B$5:$B$600,MATCH(B693,'Master Database'!$A$5:$A$600,0)),"(row not found)"))</f>
        <v/>
      </c>
      <c r="E693" s="30"/>
      <c r="F693" s="33" t="str">
        <f>IF(E693="","",IFERROR(INDEX(Vendor_Register!$B$5:$B$205,MATCH(E693,Vendor_Register!$A$5:$A$205,0)),"(not in register)"))</f>
        <v/>
      </c>
      <c r="G693" s="33" t="str">
        <f>IF(E693="","",IFERROR(INDEX(Vendor_Register!$E$5:$E$205,MATCH(E693,Vendor_Register!$A$5:$A$205,0)),"(not in register)"))</f>
        <v/>
      </c>
      <c r="H693" s="30"/>
      <c r="I693" s="30"/>
      <c r="J693" s="30"/>
      <c r="K693" s="30"/>
      <c r="L693" s="30"/>
      <c r="M693" s="34"/>
      <c r="N693" s="30"/>
      <c r="O693" s="35" t="str">
        <f>IF(NOT(ISNUMBER(M693)),"",IFERROR(IF(L693="EUR",M693,IF(L693="IRR",M693/INDEX('Assumptions &amp; FX Reference'!$C$5:$C$25,MATCH(H693,'Assumptions &amp; FX Reference'!$A$5:$A$25,0)),IF(L693="USD",M693*INDEX('Assumptions &amp; FX Reference'!$B$5:$B$25,MATCH(H693,'Assumptions &amp; FX Reference'!$A$5:$A$25,0))/INDEX('Assumptions &amp; FX Reference'!$C$5:$C$25,MATCH(H693,'Assumptions &amp; FX Reference'!$A$5:$A$25,0)),""))),"(FX missing)"))</f>
        <v/>
      </c>
      <c r="P693" s="30"/>
      <c r="Q693" s="30"/>
      <c r="R693" s="30"/>
      <c r="S693" s="30"/>
      <c r="T693" s="30"/>
      <c r="U693" s="30"/>
      <c r="V693" s="30"/>
    </row>
    <row r="694" spans="1:22">
      <c r="A694" s="30"/>
      <c r="B694" s="30"/>
      <c r="C694" s="33" t="str">
        <f>IF(B694="","",IFERROR(INDEX('Master Database'!$D$5:$D$600,MATCH(B694,'Master Database'!$A$5:$A$600,0)),"(row not found)"))</f>
        <v/>
      </c>
      <c r="D694" s="33" t="str">
        <f>IF(B694="","",IFERROR(INDEX('Master Database'!$B$5:$B$600,MATCH(B694,'Master Database'!$A$5:$A$600,0)),"(row not found)"))</f>
        <v/>
      </c>
      <c r="E694" s="30"/>
      <c r="F694" s="33" t="str">
        <f>IF(E694="","",IFERROR(INDEX(Vendor_Register!$B$5:$B$205,MATCH(E694,Vendor_Register!$A$5:$A$205,0)),"(not in register)"))</f>
        <v/>
      </c>
      <c r="G694" s="33" t="str">
        <f>IF(E694="","",IFERROR(INDEX(Vendor_Register!$E$5:$E$205,MATCH(E694,Vendor_Register!$A$5:$A$205,0)),"(not in register)"))</f>
        <v/>
      </c>
      <c r="H694" s="30"/>
      <c r="I694" s="30"/>
      <c r="J694" s="30"/>
      <c r="K694" s="30"/>
      <c r="L694" s="30"/>
      <c r="M694" s="34"/>
      <c r="N694" s="30"/>
      <c r="O694" s="35" t="str">
        <f>IF(NOT(ISNUMBER(M694)),"",IFERROR(IF(L694="EUR",M694,IF(L694="IRR",M694/INDEX('Assumptions &amp; FX Reference'!$C$5:$C$25,MATCH(H694,'Assumptions &amp; FX Reference'!$A$5:$A$25,0)),IF(L694="USD",M694*INDEX('Assumptions &amp; FX Reference'!$B$5:$B$25,MATCH(H694,'Assumptions &amp; FX Reference'!$A$5:$A$25,0))/INDEX('Assumptions &amp; FX Reference'!$C$5:$C$25,MATCH(H694,'Assumptions &amp; FX Reference'!$A$5:$A$25,0)),""))),"(FX missing)"))</f>
        <v/>
      </c>
      <c r="P694" s="30"/>
      <c r="Q694" s="30"/>
      <c r="R694" s="30"/>
      <c r="S694" s="30"/>
      <c r="T694" s="30"/>
      <c r="U694" s="30"/>
      <c r="V694" s="30"/>
    </row>
    <row r="695" spans="1:22">
      <c r="A695" s="30"/>
      <c r="B695" s="30"/>
      <c r="C695" s="33" t="str">
        <f>IF(B695="","",IFERROR(INDEX('Master Database'!$D$5:$D$600,MATCH(B695,'Master Database'!$A$5:$A$600,0)),"(row not found)"))</f>
        <v/>
      </c>
      <c r="D695" s="33" t="str">
        <f>IF(B695="","",IFERROR(INDEX('Master Database'!$B$5:$B$600,MATCH(B695,'Master Database'!$A$5:$A$600,0)),"(row not found)"))</f>
        <v/>
      </c>
      <c r="E695" s="30"/>
      <c r="F695" s="33" t="str">
        <f>IF(E695="","",IFERROR(INDEX(Vendor_Register!$B$5:$B$205,MATCH(E695,Vendor_Register!$A$5:$A$205,0)),"(not in register)"))</f>
        <v/>
      </c>
      <c r="G695" s="33" t="str">
        <f>IF(E695="","",IFERROR(INDEX(Vendor_Register!$E$5:$E$205,MATCH(E695,Vendor_Register!$A$5:$A$205,0)),"(not in register)"))</f>
        <v/>
      </c>
      <c r="H695" s="30"/>
      <c r="I695" s="30"/>
      <c r="J695" s="30"/>
      <c r="K695" s="30"/>
      <c r="L695" s="30"/>
      <c r="M695" s="34"/>
      <c r="N695" s="30"/>
      <c r="O695" s="35" t="str">
        <f>IF(NOT(ISNUMBER(M695)),"",IFERROR(IF(L695="EUR",M695,IF(L695="IRR",M695/INDEX('Assumptions &amp; FX Reference'!$C$5:$C$25,MATCH(H695,'Assumptions &amp; FX Reference'!$A$5:$A$25,0)),IF(L695="USD",M695*INDEX('Assumptions &amp; FX Reference'!$B$5:$B$25,MATCH(H695,'Assumptions &amp; FX Reference'!$A$5:$A$25,0))/INDEX('Assumptions &amp; FX Reference'!$C$5:$C$25,MATCH(H695,'Assumptions &amp; FX Reference'!$A$5:$A$25,0)),""))),"(FX missing)"))</f>
        <v/>
      </c>
      <c r="P695" s="30"/>
      <c r="Q695" s="30"/>
      <c r="R695" s="30"/>
      <c r="S695" s="30"/>
      <c r="T695" s="30"/>
      <c r="U695" s="30"/>
      <c r="V695" s="30"/>
    </row>
    <row r="696" spans="1:22">
      <c r="A696" s="30"/>
      <c r="B696" s="30"/>
      <c r="C696" s="33" t="str">
        <f>IF(B696="","",IFERROR(INDEX('Master Database'!$D$5:$D$600,MATCH(B696,'Master Database'!$A$5:$A$600,0)),"(row not found)"))</f>
        <v/>
      </c>
      <c r="D696" s="33" t="str">
        <f>IF(B696="","",IFERROR(INDEX('Master Database'!$B$5:$B$600,MATCH(B696,'Master Database'!$A$5:$A$600,0)),"(row not found)"))</f>
        <v/>
      </c>
      <c r="E696" s="30"/>
      <c r="F696" s="33" t="str">
        <f>IF(E696="","",IFERROR(INDEX(Vendor_Register!$B$5:$B$205,MATCH(E696,Vendor_Register!$A$5:$A$205,0)),"(not in register)"))</f>
        <v/>
      </c>
      <c r="G696" s="33" t="str">
        <f>IF(E696="","",IFERROR(INDEX(Vendor_Register!$E$5:$E$205,MATCH(E696,Vendor_Register!$A$5:$A$205,0)),"(not in register)"))</f>
        <v/>
      </c>
      <c r="H696" s="30"/>
      <c r="I696" s="30"/>
      <c r="J696" s="30"/>
      <c r="K696" s="30"/>
      <c r="L696" s="30"/>
      <c r="M696" s="34"/>
      <c r="N696" s="30"/>
      <c r="O696" s="35" t="str">
        <f>IF(NOT(ISNUMBER(M696)),"",IFERROR(IF(L696="EUR",M696,IF(L696="IRR",M696/INDEX('Assumptions &amp; FX Reference'!$C$5:$C$25,MATCH(H696,'Assumptions &amp; FX Reference'!$A$5:$A$25,0)),IF(L696="USD",M696*INDEX('Assumptions &amp; FX Reference'!$B$5:$B$25,MATCH(H696,'Assumptions &amp; FX Reference'!$A$5:$A$25,0))/INDEX('Assumptions &amp; FX Reference'!$C$5:$C$25,MATCH(H696,'Assumptions &amp; FX Reference'!$A$5:$A$25,0)),""))),"(FX missing)"))</f>
        <v/>
      </c>
      <c r="P696" s="30"/>
      <c r="Q696" s="30"/>
      <c r="R696" s="30"/>
      <c r="S696" s="30"/>
      <c r="T696" s="30"/>
      <c r="U696" s="30"/>
      <c r="V696" s="30"/>
    </row>
    <row r="697" spans="1:22">
      <c r="A697" s="30"/>
      <c r="B697" s="30"/>
      <c r="C697" s="33" t="str">
        <f>IF(B697="","",IFERROR(INDEX('Master Database'!$D$5:$D$600,MATCH(B697,'Master Database'!$A$5:$A$600,0)),"(row not found)"))</f>
        <v/>
      </c>
      <c r="D697" s="33" t="str">
        <f>IF(B697="","",IFERROR(INDEX('Master Database'!$B$5:$B$600,MATCH(B697,'Master Database'!$A$5:$A$600,0)),"(row not found)"))</f>
        <v/>
      </c>
      <c r="E697" s="30"/>
      <c r="F697" s="33" t="str">
        <f>IF(E697="","",IFERROR(INDEX(Vendor_Register!$B$5:$B$205,MATCH(E697,Vendor_Register!$A$5:$A$205,0)),"(not in register)"))</f>
        <v/>
      </c>
      <c r="G697" s="33" t="str">
        <f>IF(E697="","",IFERROR(INDEX(Vendor_Register!$E$5:$E$205,MATCH(E697,Vendor_Register!$A$5:$A$205,0)),"(not in register)"))</f>
        <v/>
      </c>
      <c r="H697" s="30"/>
      <c r="I697" s="30"/>
      <c r="J697" s="30"/>
      <c r="K697" s="30"/>
      <c r="L697" s="30"/>
      <c r="M697" s="34"/>
      <c r="N697" s="30"/>
      <c r="O697" s="35" t="str">
        <f>IF(NOT(ISNUMBER(M697)),"",IFERROR(IF(L697="EUR",M697,IF(L697="IRR",M697/INDEX('Assumptions &amp; FX Reference'!$C$5:$C$25,MATCH(H697,'Assumptions &amp; FX Reference'!$A$5:$A$25,0)),IF(L697="USD",M697*INDEX('Assumptions &amp; FX Reference'!$B$5:$B$25,MATCH(H697,'Assumptions &amp; FX Reference'!$A$5:$A$25,0))/INDEX('Assumptions &amp; FX Reference'!$C$5:$C$25,MATCH(H697,'Assumptions &amp; FX Reference'!$A$5:$A$25,0)),""))),"(FX missing)"))</f>
        <v/>
      </c>
      <c r="P697" s="30"/>
      <c r="Q697" s="30"/>
      <c r="R697" s="30"/>
      <c r="S697" s="30"/>
      <c r="T697" s="30"/>
      <c r="U697" s="30"/>
      <c r="V697" s="30"/>
    </row>
    <row r="698" spans="1:22">
      <c r="A698" s="30"/>
      <c r="B698" s="30"/>
      <c r="C698" s="33" t="str">
        <f>IF(B698="","",IFERROR(INDEX('Master Database'!$D$5:$D$600,MATCH(B698,'Master Database'!$A$5:$A$600,0)),"(row not found)"))</f>
        <v/>
      </c>
      <c r="D698" s="33" t="str">
        <f>IF(B698="","",IFERROR(INDEX('Master Database'!$B$5:$B$600,MATCH(B698,'Master Database'!$A$5:$A$600,0)),"(row not found)"))</f>
        <v/>
      </c>
      <c r="E698" s="30"/>
      <c r="F698" s="33" t="str">
        <f>IF(E698="","",IFERROR(INDEX(Vendor_Register!$B$5:$B$205,MATCH(E698,Vendor_Register!$A$5:$A$205,0)),"(not in register)"))</f>
        <v/>
      </c>
      <c r="G698" s="33" t="str">
        <f>IF(E698="","",IFERROR(INDEX(Vendor_Register!$E$5:$E$205,MATCH(E698,Vendor_Register!$A$5:$A$205,0)),"(not in register)"))</f>
        <v/>
      </c>
      <c r="H698" s="30"/>
      <c r="I698" s="30"/>
      <c r="J698" s="30"/>
      <c r="K698" s="30"/>
      <c r="L698" s="30"/>
      <c r="M698" s="34"/>
      <c r="N698" s="30"/>
      <c r="O698" s="35" t="str">
        <f>IF(NOT(ISNUMBER(M698)),"",IFERROR(IF(L698="EUR",M698,IF(L698="IRR",M698/INDEX('Assumptions &amp; FX Reference'!$C$5:$C$25,MATCH(H698,'Assumptions &amp; FX Reference'!$A$5:$A$25,0)),IF(L698="USD",M698*INDEX('Assumptions &amp; FX Reference'!$B$5:$B$25,MATCH(H698,'Assumptions &amp; FX Reference'!$A$5:$A$25,0))/INDEX('Assumptions &amp; FX Reference'!$C$5:$C$25,MATCH(H698,'Assumptions &amp; FX Reference'!$A$5:$A$25,0)),""))),"(FX missing)"))</f>
        <v/>
      </c>
      <c r="P698" s="30"/>
      <c r="Q698" s="30"/>
      <c r="R698" s="30"/>
      <c r="S698" s="30"/>
      <c r="T698" s="30"/>
      <c r="U698" s="30"/>
      <c r="V698" s="30"/>
    </row>
    <row r="699" spans="1:22">
      <c r="A699" s="30"/>
      <c r="B699" s="30"/>
      <c r="C699" s="33" t="str">
        <f>IF(B699="","",IFERROR(INDEX('Master Database'!$D$5:$D$600,MATCH(B699,'Master Database'!$A$5:$A$600,0)),"(row not found)"))</f>
        <v/>
      </c>
      <c r="D699" s="33" t="str">
        <f>IF(B699="","",IFERROR(INDEX('Master Database'!$B$5:$B$600,MATCH(B699,'Master Database'!$A$5:$A$600,0)),"(row not found)"))</f>
        <v/>
      </c>
      <c r="E699" s="30"/>
      <c r="F699" s="33" t="str">
        <f>IF(E699="","",IFERROR(INDEX(Vendor_Register!$B$5:$B$205,MATCH(E699,Vendor_Register!$A$5:$A$205,0)),"(not in register)"))</f>
        <v/>
      </c>
      <c r="G699" s="33" t="str">
        <f>IF(E699="","",IFERROR(INDEX(Vendor_Register!$E$5:$E$205,MATCH(E699,Vendor_Register!$A$5:$A$205,0)),"(not in register)"))</f>
        <v/>
      </c>
      <c r="H699" s="30"/>
      <c r="I699" s="30"/>
      <c r="J699" s="30"/>
      <c r="K699" s="30"/>
      <c r="L699" s="30"/>
      <c r="M699" s="34"/>
      <c r="N699" s="30"/>
      <c r="O699" s="35" t="str">
        <f>IF(NOT(ISNUMBER(M699)),"",IFERROR(IF(L699="EUR",M699,IF(L699="IRR",M699/INDEX('Assumptions &amp; FX Reference'!$C$5:$C$25,MATCH(H699,'Assumptions &amp; FX Reference'!$A$5:$A$25,0)),IF(L699="USD",M699*INDEX('Assumptions &amp; FX Reference'!$B$5:$B$25,MATCH(H699,'Assumptions &amp; FX Reference'!$A$5:$A$25,0))/INDEX('Assumptions &amp; FX Reference'!$C$5:$C$25,MATCH(H699,'Assumptions &amp; FX Reference'!$A$5:$A$25,0)),""))),"(FX missing)"))</f>
        <v/>
      </c>
      <c r="P699" s="30"/>
      <c r="Q699" s="30"/>
      <c r="R699" s="30"/>
      <c r="S699" s="30"/>
      <c r="T699" s="30"/>
      <c r="U699" s="30"/>
      <c r="V699" s="30"/>
    </row>
    <row r="700" spans="1:22">
      <c r="A700" s="30"/>
      <c r="B700" s="30"/>
      <c r="C700" s="33" t="str">
        <f>IF(B700="","",IFERROR(INDEX('Master Database'!$D$5:$D$600,MATCH(B700,'Master Database'!$A$5:$A$600,0)),"(row not found)"))</f>
        <v/>
      </c>
      <c r="D700" s="33" t="str">
        <f>IF(B700="","",IFERROR(INDEX('Master Database'!$B$5:$B$600,MATCH(B700,'Master Database'!$A$5:$A$600,0)),"(row not found)"))</f>
        <v/>
      </c>
      <c r="E700" s="30"/>
      <c r="F700" s="33" t="str">
        <f>IF(E700="","",IFERROR(INDEX(Vendor_Register!$B$5:$B$205,MATCH(E700,Vendor_Register!$A$5:$A$205,0)),"(not in register)"))</f>
        <v/>
      </c>
      <c r="G700" s="33" t="str">
        <f>IF(E700="","",IFERROR(INDEX(Vendor_Register!$E$5:$E$205,MATCH(E700,Vendor_Register!$A$5:$A$205,0)),"(not in register)"))</f>
        <v/>
      </c>
      <c r="H700" s="30"/>
      <c r="I700" s="30"/>
      <c r="J700" s="30"/>
      <c r="K700" s="30"/>
      <c r="L700" s="30"/>
      <c r="M700" s="34"/>
      <c r="N700" s="30"/>
      <c r="O700" s="35" t="str">
        <f>IF(NOT(ISNUMBER(M700)),"",IFERROR(IF(L700="EUR",M700,IF(L700="IRR",M700/INDEX('Assumptions &amp; FX Reference'!$C$5:$C$25,MATCH(H700,'Assumptions &amp; FX Reference'!$A$5:$A$25,0)),IF(L700="USD",M700*INDEX('Assumptions &amp; FX Reference'!$B$5:$B$25,MATCH(H700,'Assumptions &amp; FX Reference'!$A$5:$A$25,0))/INDEX('Assumptions &amp; FX Reference'!$C$5:$C$25,MATCH(H700,'Assumptions &amp; FX Reference'!$A$5:$A$25,0)),""))),"(FX missing)"))</f>
        <v/>
      </c>
      <c r="P700" s="30"/>
      <c r="Q700" s="30"/>
      <c r="R700" s="30"/>
      <c r="S700" s="30"/>
      <c r="T700" s="30"/>
      <c r="U700" s="30"/>
      <c r="V700" s="30"/>
    </row>
    <row r="701" spans="1:22">
      <c r="A701" s="30"/>
      <c r="B701" s="30"/>
      <c r="C701" s="33" t="str">
        <f>IF(B701="","",IFERROR(INDEX('Master Database'!$D$5:$D$600,MATCH(B701,'Master Database'!$A$5:$A$600,0)),"(row not found)"))</f>
        <v/>
      </c>
      <c r="D701" s="33" t="str">
        <f>IF(B701="","",IFERROR(INDEX('Master Database'!$B$5:$B$600,MATCH(B701,'Master Database'!$A$5:$A$600,0)),"(row not found)"))</f>
        <v/>
      </c>
      <c r="E701" s="30"/>
      <c r="F701" s="33" t="str">
        <f>IF(E701="","",IFERROR(INDEX(Vendor_Register!$B$5:$B$205,MATCH(E701,Vendor_Register!$A$5:$A$205,0)),"(not in register)"))</f>
        <v/>
      </c>
      <c r="G701" s="33" t="str">
        <f>IF(E701="","",IFERROR(INDEX(Vendor_Register!$E$5:$E$205,MATCH(E701,Vendor_Register!$A$5:$A$205,0)),"(not in register)"))</f>
        <v/>
      </c>
      <c r="H701" s="30"/>
      <c r="I701" s="30"/>
      <c r="J701" s="30"/>
      <c r="K701" s="30"/>
      <c r="L701" s="30"/>
      <c r="M701" s="34"/>
      <c r="N701" s="30"/>
      <c r="O701" s="35" t="str">
        <f>IF(NOT(ISNUMBER(M701)),"",IFERROR(IF(L701="EUR",M701,IF(L701="IRR",M701/INDEX('Assumptions &amp; FX Reference'!$C$5:$C$25,MATCH(H701,'Assumptions &amp; FX Reference'!$A$5:$A$25,0)),IF(L701="USD",M701*INDEX('Assumptions &amp; FX Reference'!$B$5:$B$25,MATCH(H701,'Assumptions &amp; FX Reference'!$A$5:$A$25,0))/INDEX('Assumptions &amp; FX Reference'!$C$5:$C$25,MATCH(H701,'Assumptions &amp; FX Reference'!$A$5:$A$25,0)),""))),"(FX missing)"))</f>
        <v/>
      </c>
      <c r="P701" s="30"/>
      <c r="Q701" s="30"/>
      <c r="R701" s="30"/>
      <c r="S701" s="30"/>
      <c r="T701" s="30"/>
      <c r="U701" s="30"/>
      <c r="V701" s="30"/>
    </row>
    <row r="702" spans="1:22">
      <c r="A702" s="30"/>
      <c r="B702" s="30"/>
      <c r="C702" s="33" t="str">
        <f>IF(B702="","",IFERROR(INDEX('Master Database'!$D$5:$D$600,MATCH(B702,'Master Database'!$A$5:$A$600,0)),"(row not found)"))</f>
        <v/>
      </c>
      <c r="D702" s="33" t="str">
        <f>IF(B702="","",IFERROR(INDEX('Master Database'!$B$5:$B$600,MATCH(B702,'Master Database'!$A$5:$A$600,0)),"(row not found)"))</f>
        <v/>
      </c>
      <c r="E702" s="30"/>
      <c r="F702" s="33" t="str">
        <f>IF(E702="","",IFERROR(INDEX(Vendor_Register!$B$5:$B$205,MATCH(E702,Vendor_Register!$A$5:$A$205,0)),"(not in register)"))</f>
        <v/>
      </c>
      <c r="G702" s="33" t="str">
        <f>IF(E702="","",IFERROR(INDEX(Vendor_Register!$E$5:$E$205,MATCH(E702,Vendor_Register!$A$5:$A$205,0)),"(not in register)"))</f>
        <v/>
      </c>
      <c r="H702" s="30"/>
      <c r="I702" s="30"/>
      <c r="J702" s="30"/>
      <c r="K702" s="30"/>
      <c r="L702" s="30"/>
      <c r="M702" s="34"/>
      <c r="N702" s="30"/>
      <c r="O702" s="35" t="str">
        <f>IF(NOT(ISNUMBER(M702)),"",IFERROR(IF(L702="EUR",M702,IF(L702="IRR",M702/INDEX('Assumptions &amp; FX Reference'!$C$5:$C$25,MATCH(H702,'Assumptions &amp; FX Reference'!$A$5:$A$25,0)),IF(L702="USD",M702*INDEX('Assumptions &amp; FX Reference'!$B$5:$B$25,MATCH(H702,'Assumptions &amp; FX Reference'!$A$5:$A$25,0))/INDEX('Assumptions &amp; FX Reference'!$C$5:$C$25,MATCH(H702,'Assumptions &amp; FX Reference'!$A$5:$A$25,0)),""))),"(FX missing)"))</f>
        <v/>
      </c>
      <c r="P702" s="30"/>
      <c r="Q702" s="30"/>
      <c r="R702" s="30"/>
      <c r="S702" s="30"/>
      <c r="T702" s="30"/>
      <c r="U702" s="30"/>
      <c r="V702" s="30"/>
    </row>
    <row r="703" spans="1:22">
      <c r="A703" s="30"/>
      <c r="B703" s="30"/>
      <c r="C703" s="33" t="str">
        <f>IF(B703="","",IFERROR(INDEX('Master Database'!$D$5:$D$600,MATCH(B703,'Master Database'!$A$5:$A$600,0)),"(row not found)"))</f>
        <v/>
      </c>
      <c r="D703" s="33" t="str">
        <f>IF(B703="","",IFERROR(INDEX('Master Database'!$B$5:$B$600,MATCH(B703,'Master Database'!$A$5:$A$600,0)),"(row not found)"))</f>
        <v/>
      </c>
      <c r="E703" s="30"/>
      <c r="F703" s="33" t="str">
        <f>IF(E703="","",IFERROR(INDEX(Vendor_Register!$B$5:$B$205,MATCH(E703,Vendor_Register!$A$5:$A$205,0)),"(not in register)"))</f>
        <v/>
      </c>
      <c r="G703" s="33" t="str">
        <f>IF(E703="","",IFERROR(INDEX(Vendor_Register!$E$5:$E$205,MATCH(E703,Vendor_Register!$A$5:$A$205,0)),"(not in register)"))</f>
        <v/>
      </c>
      <c r="H703" s="30"/>
      <c r="I703" s="30"/>
      <c r="J703" s="30"/>
      <c r="K703" s="30"/>
      <c r="L703" s="30"/>
      <c r="M703" s="34"/>
      <c r="N703" s="30"/>
      <c r="O703" s="35" t="str">
        <f>IF(NOT(ISNUMBER(M703)),"",IFERROR(IF(L703="EUR",M703,IF(L703="IRR",M703/INDEX('Assumptions &amp; FX Reference'!$C$5:$C$25,MATCH(H703,'Assumptions &amp; FX Reference'!$A$5:$A$25,0)),IF(L703="USD",M703*INDEX('Assumptions &amp; FX Reference'!$B$5:$B$25,MATCH(H703,'Assumptions &amp; FX Reference'!$A$5:$A$25,0))/INDEX('Assumptions &amp; FX Reference'!$C$5:$C$25,MATCH(H703,'Assumptions &amp; FX Reference'!$A$5:$A$25,0)),""))),"(FX missing)"))</f>
        <v/>
      </c>
      <c r="P703" s="30"/>
      <c r="Q703" s="30"/>
      <c r="R703" s="30"/>
      <c r="S703" s="30"/>
      <c r="T703" s="30"/>
      <c r="U703" s="30"/>
      <c r="V703" s="30"/>
    </row>
    <row r="704" spans="1:22">
      <c r="A704" s="30"/>
      <c r="B704" s="30"/>
      <c r="C704" s="33" t="str">
        <f>IF(B704="","",IFERROR(INDEX('Master Database'!$D$5:$D$600,MATCH(B704,'Master Database'!$A$5:$A$600,0)),"(row not found)"))</f>
        <v/>
      </c>
      <c r="D704" s="33" t="str">
        <f>IF(B704="","",IFERROR(INDEX('Master Database'!$B$5:$B$600,MATCH(B704,'Master Database'!$A$5:$A$600,0)),"(row not found)"))</f>
        <v/>
      </c>
      <c r="E704" s="30"/>
      <c r="F704" s="33" t="str">
        <f>IF(E704="","",IFERROR(INDEX(Vendor_Register!$B$5:$B$205,MATCH(E704,Vendor_Register!$A$5:$A$205,0)),"(not in register)"))</f>
        <v/>
      </c>
      <c r="G704" s="33" t="str">
        <f>IF(E704="","",IFERROR(INDEX(Vendor_Register!$E$5:$E$205,MATCH(E704,Vendor_Register!$A$5:$A$205,0)),"(not in register)"))</f>
        <v/>
      </c>
      <c r="H704" s="30"/>
      <c r="I704" s="30"/>
      <c r="J704" s="30"/>
      <c r="K704" s="30"/>
      <c r="L704" s="30"/>
      <c r="M704" s="34"/>
      <c r="N704" s="30"/>
      <c r="O704" s="35" t="str">
        <f>IF(NOT(ISNUMBER(M704)),"",IFERROR(IF(L704="EUR",M704,IF(L704="IRR",M704/INDEX('Assumptions &amp; FX Reference'!$C$5:$C$25,MATCH(H704,'Assumptions &amp; FX Reference'!$A$5:$A$25,0)),IF(L704="USD",M704*INDEX('Assumptions &amp; FX Reference'!$B$5:$B$25,MATCH(H704,'Assumptions &amp; FX Reference'!$A$5:$A$25,0))/INDEX('Assumptions &amp; FX Reference'!$C$5:$C$25,MATCH(H704,'Assumptions &amp; FX Reference'!$A$5:$A$25,0)),""))),"(FX missing)"))</f>
        <v/>
      </c>
      <c r="P704" s="30"/>
      <c r="Q704" s="30"/>
      <c r="R704" s="30"/>
      <c r="S704" s="30"/>
      <c r="T704" s="30"/>
      <c r="U704" s="30"/>
      <c r="V704" s="30"/>
    </row>
    <row r="705" spans="1:22">
      <c r="A705" s="30"/>
      <c r="B705" s="30"/>
      <c r="C705" s="33" t="str">
        <f>IF(B705="","",IFERROR(INDEX('Master Database'!$D$5:$D$600,MATCH(B705,'Master Database'!$A$5:$A$600,0)),"(row not found)"))</f>
        <v/>
      </c>
      <c r="D705" s="33" t="str">
        <f>IF(B705="","",IFERROR(INDEX('Master Database'!$B$5:$B$600,MATCH(B705,'Master Database'!$A$5:$A$600,0)),"(row not found)"))</f>
        <v/>
      </c>
      <c r="E705" s="30"/>
      <c r="F705" s="33" t="str">
        <f>IF(E705="","",IFERROR(INDEX(Vendor_Register!$B$5:$B$205,MATCH(E705,Vendor_Register!$A$5:$A$205,0)),"(not in register)"))</f>
        <v/>
      </c>
      <c r="G705" s="33" t="str">
        <f>IF(E705="","",IFERROR(INDEX(Vendor_Register!$E$5:$E$205,MATCH(E705,Vendor_Register!$A$5:$A$205,0)),"(not in register)"))</f>
        <v/>
      </c>
      <c r="H705" s="30"/>
      <c r="I705" s="30"/>
      <c r="J705" s="30"/>
      <c r="K705" s="30"/>
      <c r="L705" s="30"/>
      <c r="M705" s="34"/>
      <c r="N705" s="30"/>
      <c r="O705" s="35" t="str">
        <f>IF(NOT(ISNUMBER(M705)),"",IFERROR(IF(L705="EUR",M705,IF(L705="IRR",M705/INDEX('Assumptions &amp; FX Reference'!$C$5:$C$25,MATCH(H705,'Assumptions &amp; FX Reference'!$A$5:$A$25,0)),IF(L705="USD",M705*INDEX('Assumptions &amp; FX Reference'!$B$5:$B$25,MATCH(H705,'Assumptions &amp; FX Reference'!$A$5:$A$25,0))/INDEX('Assumptions &amp; FX Reference'!$C$5:$C$25,MATCH(H705,'Assumptions &amp; FX Reference'!$A$5:$A$25,0)),""))),"(FX missing)"))</f>
        <v/>
      </c>
      <c r="P705" s="30"/>
      <c r="Q705" s="30"/>
      <c r="R705" s="30"/>
      <c r="S705" s="30"/>
      <c r="T705" s="30"/>
      <c r="U705" s="30"/>
      <c r="V705" s="30"/>
    </row>
    <row r="706" spans="1:22">
      <c r="A706" s="30"/>
      <c r="B706" s="30"/>
      <c r="C706" s="33" t="str">
        <f>IF(B706="","",IFERROR(INDEX('Master Database'!$D$5:$D$600,MATCH(B706,'Master Database'!$A$5:$A$600,0)),"(row not found)"))</f>
        <v/>
      </c>
      <c r="D706" s="33" t="str">
        <f>IF(B706="","",IFERROR(INDEX('Master Database'!$B$5:$B$600,MATCH(B706,'Master Database'!$A$5:$A$600,0)),"(row not found)"))</f>
        <v/>
      </c>
      <c r="E706" s="30"/>
      <c r="F706" s="33" t="str">
        <f>IF(E706="","",IFERROR(INDEX(Vendor_Register!$B$5:$B$205,MATCH(E706,Vendor_Register!$A$5:$A$205,0)),"(not in register)"))</f>
        <v/>
      </c>
      <c r="G706" s="33" t="str">
        <f>IF(E706="","",IFERROR(INDEX(Vendor_Register!$E$5:$E$205,MATCH(E706,Vendor_Register!$A$5:$A$205,0)),"(not in register)"))</f>
        <v/>
      </c>
      <c r="H706" s="30"/>
      <c r="I706" s="30"/>
      <c r="J706" s="30"/>
      <c r="K706" s="30"/>
      <c r="L706" s="30"/>
      <c r="M706" s="34"/>
      <c r="N706" s="30"/>
      <c r="O706" s="35" t="str">
        <f>IF(NOT(ISNUMBER(M706)),"",IFERROR(IF(L706="EUR",M706,IF(L706="IRR",M706/INDEX('Assumptions &amp; FX Reference'!$C$5:$C$25,MATCH(H706,'Assumptions &amp; FX Reference'!$A$5:$A$25,0)),IF(L706="USD",M706*INDEX('Assumptions &amp; FX Reference'!$B$5:$B$25,MATCH(H706,'Assumptions &amp; FX Reference'!$A$5:$A$25,0))/INDEX('Assumptions &amp; FX Reference'!$C$5:$C$25,MATCH(H706,'Assumptions &amp; FX Reference'!$A$5:$A$25,0)),""))),"(FX missing)"))</f>
        <v/>
      </c>
      <c r="P706" s="30"/>
      <c r="Q706" s="30"/>
      <c r="R706" s="30"/>
      <c r="S706" s="30"/>
      <c r="T706" s="30"/>
      <c r="U706" s="30"/>
      <c r="V706" s="30"/>
    </row>
    <row r="707" spans="1:22">
      <c r="A707" s="30"/>
      <c r="B707" s="30"/>
      <c r="C707" s="33" t="str">
        <f>IF(B707="","",IFERROR(INDEX('Master Database'!$D$5:$D$600,MATCH(B707,'Master Database'!$A$5:$A$600,0)),"(row not found)"))</f>
        <v/>
      </c>
      <c r="D707" s="33" t="str">
        <f>IF(B707="","",IFERROR(INDEX('Master Database'!$B$5:$B$600,MATCH(B707,'Master Database'!$A$5:$A$600,0)),"(row not found)"))</f>
        <v/>
      </c>
      <c r="E707" s="30"/>
      <c r="F707" s="33" t="str">
        <f>IF(E707="","",IFERROR(INDEX(Vendor_Register!$B$5:$B$205,MATCH(E707,Vendor_Register!$A$5:$A$205,0)),"(not in register)"))</f>
        <v/>
      </c>
      <c r="G707" s="33" t="str">
        <f>IF(E707="","",IFERROR(INDEX(Vendor_Register!$E$5:$E$205,MATCH(E707,Vendor_Register!$A$5:$A$205,0)),"(not in register)"))</f>
        <v/>
      </c>
      <c r="H707" s="30"/>
      <c r="I707" s="30"/>
      <c r="J707" s="30"/>
      <c r="K707" s="30"/>
      <c r="L707" s="30"/>
      <c r="M707" s="34"/>
      <c r="N707" s="30"/>
      <c r="O707" s="35" t="str">
        <f>IF(NOT(ISNUMBER(M707)),"",IFERROR(IF(L707="EUR",M707,IF(L707="IRR",M707/INDEX('Assumptions &amp; FX Reference'!$C$5:$C$25,MATCH(H707,'Assumptions &amp; FX Reference'!$A$5:$A$25,0)),IF(L707="USD",M707*INDEX('Assumptions &amp; FX Reference'!$B$5:$B$25,MATCH(H707,'Assumptions &amp; FX Reference'!$A$5:$A$25,0))/INDEX('Assumptions &amp; FX Reference'!$C$5:$C$25,MATCH(H707,'Assumptions &amp; FX Reference'!$A$5:$A$25,0)),""))),"(FX missing)"))</f>
        <v/>
      </c>
      <c r="P707" s="30"/>
      <c r="Q707" s="30"/>
      <c r="R707" s="30"/>
      <c r="S707" s="30"/>
      <c r="T707" s="30"/>
      <c r="U707" s="30"/>
      <c r="V707" s="30"/>
    </row>
    <row r="708" spans="1:22">
      <c r="A708" s="30"/>
      <c r="B708" s="30"/>
      <c r="C708" s="33" t="str">
        <f>IF(B708="","",IFERROR(INDEX('Master Database'!$D$5:$D$600,MATCH(B708,'Master Database'!$A$5:$A$600,0)),"(row not found)"))</f>
        <v/>
      </c>
      <c r="D708" s="33" t="str">
        <f>IF(B708="","",IFERROR(INDEX('Master Database'!$B$5:$B$600,MATCH(B708,'Master Database'!$A$5:$A$600,0)),"(row not found)"))</f>
        <v/>
      </c>
      <c r="E708" s="30"/>
      <c r="F708" s="33" t="str">
        <f>IF(E708="","",IFERROR(INDEX(Vendor_Register!$B$5:$B$205,MATCH(E708,Vendor_Register!$A$5:$A$205,0)),"(not in register)"))</f>
        <v/>
      </c>
      <c r="G708" s="33" t="str">
        <f>IF(E708="","",IFERROR(INDEX(Vendor_Register!$E$5:$E$205,MATCH(E708,Vendor_Register!$A$5:$A$205,0)),"(not in register)"))</f>
        <v/>
      </c>
      <c r="H708" s="30"/>
      <c r="I708" s="30"/>
      <c r="J708" s="30"/>
      <c r="K708" s="30"/>
      <c r="L708" s="30"/>
      <c r="M708" s="34"/>
      <c r="N708" s="30"/>
      <c r="O708" s="35" t="str">
        <f>IF(NOT(ISNUMBER(M708)),"",IFERROR(IF(L708="EUR",M708,IF(L708="IRR",M708/INDEX('Assumptions &amp; FX Reference'!$C$5:$C$25,MATCH(H708,'Assumptions &amp; FX Reference'!$A$5:$A$25,0)),IF(L708="USD",M708*INDEX('Assumptions &amp; FX Reference'!$B$5:$B$25,MATCH(H708,'Assumptions &amp; FX Reference'!$A$5:$A$25,0))/INDEX('Assumptions &amp; FX Reference'!$C$5:$C$25,MATCH(H708,'Assumptions &amp; FX Reference'!$A$5:$A$25,0)),""))),"(FX missing)"))</f>
        <v/>
      </c>
      <c r="P708" s="30"/>
      <c r="Q708" s="30"/>
      <c r="R708" s="30"/>
      <c r="S708" s="30"/>
      <c r="T708" s="30"/>
      <c r="U708" s="30"/>
      <c r="V708" s="30"/>
    </row>
    <row r="709" spans="1:22">
      <c r="A709" s="30"/>
      <c r="B709" s="30"/>
      <c r="C709" s="33" t="str">
        <f>IF(B709="","",IFERROR(INDEX('Master Database'!$D$5:$D$600,MATCH(B709,'Master Database'!$A$5:$A$600,0)),"(row not found)"))</f>
        <v/>
      </c>
      <c r="D709" s="33" t="str">
        <f>IF(B709="","",IFERROR(INDEX('Master Database'!$B$5:$B$600,MATCH(B709,'Master Database'!$A$5:$A$600,0)),"(row not found)"))</f>
        <v/>
      </c>
      <c r="E709" s="30"/>
      <c r="F709" s="33" t="str">
        <f>IF(E709="","",IFERROR(INDEX(Vendor_Register!$B$5:$B$205,MATCH(E709,Vendor_Register!$A$5:$A$205,0)),"(not in register)"))</f>
        <v/>
      </c>
      <c r="G709" s="33" t="str">
        <f>IF(E709="","",IFERROR(INDEX(Vendor_Register!$E$5:$E$205,MATCH(E709,Vendor_Register!$A$5:$A$205,0)),"(not in register)"))</f>
        <v/>
      </c>
      <c r="H709" s="30"/>
      <c r="I709" s="30"/>
      <c r="J709" s="30"/>
      <c r="K709" s="30"/>
      <c r="L709" s="30"/>
      <c r="M709" s="34"/>
      <c r="N709" s="30"/>
      <c r="O709" s="35" t="str">
        <f>IF(NOT(ISNUMBER(M709)),"",IFERROR(IF(L709="EUR",M709,IF(L709="IRR",M709/INDEX('Assumptions &amp; FX Reference'!$C$5:$C$25,MATCH(H709,'Assumptions &amp; FX Reference'!$A$5:$A$25,0)),IF(L709="USD",M709*INDEX('Assumptions &amp; FX Reference'!$B$5:$B$25,MATCH(H709,'Assumptions &amp; FX Reference'!$A$5:$A$25,0))/INDEX('Assumptions &amp; FX Reference'!$C$5:$C$25,MATCH(H709,'Assumptions &amp; FX Reference'!$A$5:$A$25,0)),""))),"(FX missing)"))</f>
        <v/>
      </c>
      <c r="P709" s="30"/>
      <c r="Q709" s="30"/>
      <c r="R709" s="30"/>
      <c r="S709" s="30"/>
      <c r="T709" s="30"/>
      <c r="U709" s="30"/>
      <c r="V709" s="30"/>
    </row>
    <row r="710" spans="1:22">
      <c r="A710" s="30"/>
      <c r="B710" s="30"/>
      <c r="C710" s="33" t="str">
        <f>IF(B710="","",IFERROR(INDEX('Master Database'!$D$5:$D$600,MATCH(B710,'Master Database'!$A$5:$A$600,0)),"(row not found)"))</f>
        <v/>
      </c>
      <c r="D710" s="33" t="str">
        <f>IF(B710="","",IFERROR(INDEX('Master Database'!$B$5:$B$600,MATCH(B710,'Master Database'!$A$5:$A$600,0)),"(row not found)"))</f>
        <v/>
      </c>
      <c r="E710" s="30"/>
      <c r="F710" s="33" t="str">
        <f>IF(E710="","",IFERROR(INDEX(Vendor_Register!$B$5:$B$205,MATCH(E710,Vendor_Register!$A$5:$A$205,0)),"(not in register)"))</f>
        <v/>
      </c>
      <c r="G710" s="33" t="str">
        <f>IF(E710="","",IFERROR(INDEX(Vendor_Register!$E$5:$E$205,MATCH(E710,Vendor_Register!$A$5:$A$205,0)),"(not in register)"))</f>
        <v/>
      </c>
      <c r="H710" s="30"/>
      <c r="I710" s="30"/>
      <c r="J710" s="30"/>
      <c r="K710" s="30"/>
      <c r="L710" s="30"/>
      <c r="M710" s="34"/>
      <c r="N710" s="30"/>
      <c r="O710" s="35" t="str">
        <f>IF(NOT(ISNUMBER(M710)),"",IFERROR(IF(L710="EUR",M710,IF(L710="IRR",M710/INDEX('Assumptions &amp; FX Reference'!$C$5:$C$25,MATCH(H710,'Assumptions &amp; FX Reference'!$A$5:$A$25,0)),IF(L710="USD",M710*INDEX('Assumptions &amp; FX Reference'!$B$5:$B$25,MATCH(H710,'Assumptions &amp; FX Reference'!$A$5:$A$25,0))/INDEX('Assumptions &amp; FX Reference'!$C$5:$C$25,MATCH(H710,'Assumptions &amp; FX Reference'!$A$5:$A$25,0)),""))),"(FX missing)"))</f>
        <v/>
      </c>
      <c r="P710" s="30"/>
      <c r="Q710" s="30"/>
      <c r="R710" s="30"/>
      <c r="S710" s="30"/>
      <c r="T710" s="30"/>
      <c r="U710" s="30"/>
      <c r="V710" s="30"/>
    </row>
    <row r="711" spans="1:22">
      <c r="A711" s="30"/>
      <c r="B711" s="30"/>
      <c r="C711" s="33" t="str">
        <f>IF(B711="","",IFERROR(INDEX('Master Database'!$D$5:$D$600,MATCH(B711,'Master Database'!$A$5:$A$600,0)),"(row not found)"))</f>
        <v/>
      </c>
      <c r="D711" s="33" t="str">
        <f>IF(B711="","",IFERROR(INDEX('Master Database'!$B$5:$B$600,MATCH(B711,'Master Database'!$A$5:$A$600,0)),"(row not found)"))</f>
        <v/>
      </c>
      <c r="E711" s="30"/>
      <c r="F711" s="33" t="str">
        <f>IF(E711="","",IFERROR(INDEX(Vendor_Register!$B$5:$B$205,MATCH(E711,Vendor_Register!$A$5:$A$205,0)),"(not in register)"))</f>
        <v/>
      </c>
      <c r="G711" s="33" t="str">
        <f>IF(E711="","",IFERROR(INDEX(Vendor_Register!$E$5:$E$205,MATCH(E711,Vendor_Register!$A$5:$A$205,0)),"(not in register)"))</f>
        <v/>
      </c>
      <c r="H711" s="30"/>
      <c r="I711" s="30"/>
      <c r="J711" s="30"/>
      <c r="K711" s="30"/>
      <c r="L711" s="30"/>
      <c r="M711" s="34"/>
      <c r="N711" s="30"/>
      <c r="O711" s="35" t="str">
        <f>IF(NOT(ISNUMBER(M711)),"",IFERROR(IF(L711="EUR",M711,IF(L711="IRR",M711/INDEX('Assumptions &amp; FX Reference'!$C$5:$C$25,MATCH(H711,'Assumptions &amp; FX Reference'!$A$5:$A$25,0)),IF(L711="USD",M711*INDEX('Assumptions &amp; FX Reference'!$B$5:$B$25,MATCH(H711,'Assumptions &amp; FX Reference'!$A$5:$A$25,0))/INDEX('Assumptions &amp; FX Reference'!$C$5:$C$25,MATCH(H711,'Assumptions &amp; FX Reference'!$A$5:$A$25,0)),""))),"(FX missing)"))</f>
        <v/>
      </c>
      <c r="P711" s="30"/>
      <c r="Q711" s="30"/>
      <c r="R711" s="30"/>
      <c r="S711" s="30"/>
      <c r="T711" s="30"/>
      <c r="U711" s="30"/>
      <c r="V711" s="30"/>
    </row>
    <row r="712" spans="1:22">
      <c r="A712" s="30"/>
      <c r="B712" s="30"/>
      <c r="C712" s="33" t="str">
        <f>IF(B712="","",IFERROR(INDEX('Master Database'!$D$5:$D$600,MATCH(B712,'Master Database'!$A$5:$A$600,0)),"(row not found)"))</f>
        <v/>
      </c>
      <c r="D712" s="33" t="str">
        <f>IF(B712="","",IFERROR(INDEX('Master Database'!$B$5:$B$600,MATCH(B712,'Master Database'!$A$5:$A$600,0)),"(row not found)"))</f>
        <v/>
      </c>
      <c r="E712" s="30"/>
      <c r="F712" s="33" t="str">
        <f>IF(E712="","",IFERROR(INDEX(Vendor_Register!$B$5:$B$205,MATCH(E712,Vendor_Register!$A$5:$A$205,0)),"(not in register)"))</f>
        <v/>
      </c>
      <c r="G712" s="33" t="str">
        <f>IF(E712="","",IFERROR(INDEX(Vendor_Register!$E$5:$E$205,MATCH(E712,Vendor_Register!$A$5:$A$205,0)),"(not in register)"))</f>
        <v/>
      </c>
      <c r="H712" s="30"/>
      <c r="I712" s="30"/>
      <c r="J712" s="30"/>
      <c r="K712" s="30"/>
      <c r="L712" s="30"/>
      <c r="M712" s="34"/>
      <c r="N712" s="30"/>
      <c r="O712" s="35" t="str">
        <f>IF(NOT(ISNUMBER(M712)),"",IFERROR(IF(L712="EUR",M712,IF(L712="IRR",M712/INDEX('Assumptions &amp; FX Reference'!$C$5:$C$25,MATCH(H712,'Assumptions &amp; FX Reference'!$A$5:$A$25,0)),IF(L712="USD",M712*INDEX('Assumptions &amp; FX Reference'!$B$5:$B$25,MATCH(H712,'Assumptions &amp; FX Reference'!$A$5:$A$25,0))/INDEX('Assumptions &amp; FX Reference'!$C$5:$C$25,MATCH(H712,'Assumptions &amp; FX Reference'!$A$5:$A$25,0)),""))),"(FX missing)"))</f>
        <v/>
      </c>
      <c r="P712" s="30"/>
      <c r="Q712" s="30"/>
      <c r="R712" s="30"/>
      <c r="S712" s="30"/>
      <c r="T712" s="30"/>
      <c r="U712" s="30"/>
      <c r="V712" s="30"/>
    </row>
    <row r="713" spans="1:22">
      <c r="A713" s="30"/>
      <c r="B713" s="30"/>
      <c r="C713" s="33" t="str">
        <f>IF(B713="","",IFERROR(INDEX('Master Database'!$D$5:$D$600,MATCH(B713,'Master Database'!$A$5:$A$600,0)),"(row not found)"))</f>
        <v/>
      </c>
      <c r="D713" s="33" t="str">
        <f>IF(B713="","",IFERROR(INDEX('Master Database'!$B$5:$B$600,MATCH(B713,'Master Database'!$A$5:$A$600,0)),"(row not found)"))</f>
        <v/>
      </c>
      <c r="E713" s="30"/>
      <c r="F713" s="33" t="str">
        <f>IF(E713="","",IFERROR(INDEX(Vendor_Register!$B$5:$B$205,MATCH(E713,Vendor_Register!$A$5:$A$205,0)),"(not in register)"))</f>
        <v/>
      </c>
      <c r="G713" s="33" t="str">
        <f>IF(E713="","",IFERROR(INDEX(Vendor_Register!$E$5:$E$205,MATCH(E713,Vendor_Register!$A$5:$A$205,0)),"(not in register)"))</f>
        <v/>
      </c>
      <c r="H713" s="30"/>
      <c r="I713" s="30"/>
      <c r="J713" s="30"/>
      <c r="K713" s="30"/>
      <c r="L713" s="30"/>
      <c r="M713" s="34"/>
      <c r="N713" s="30"/>
      <c r="O713" s="35" t="str">
        <f>IF(NOT(ISNUMBER(M713)),"",IFERROR(IF(L713="EUR",M713,IF(L713="IRR",M713/INDEX('Assumptions &amp; FX Reference'!$C$5:$C$25,MATCH(H713,'Assumptions &amp; FX Reference'!$A$5:$A$25,0)),IF(L713="USD",M713*INDEX('Assumptions &amp; FX Reference'!$B$5:$B$25,MATCH(H713,'Assumptions &amp; FX Reference'!$A$5:$A$25,0))/INDEX('Assumptions &amp; FX Reference'!$C$5:$C$25,MATCH(H713,'Assumptions &amp; FX Reference'!$A$5:$A$25,0)),""))),"(FX missing)"))</f>
        <v/>
      </c>
      <c r="P713" s="30"/>
      <c r="Q713" s="30"/>
      <c r="R713" s="30"/>
      <c r="S713" s="30"/>
      <c r="T713" s="30"/>
      <c r="U713" s="30"/>
      <c r="V713" s="30"/>
    </row>
    <row r="714" spans="1:22">
      <c r="A714" s="30"/>
      <c r="B714" s="30"/>
      <c r="C714" s="33" t="str">
        <f>IF(B714="","",IFERROR(INDEX('Master Database'!$D$5:$D$600,MATCH(B714,'Master Database'!$A$5:$A$600,0)),"(row not found)"))</f>
        <v/>
      </c>
      <c r="D714" s="33" t="str">
        <f>IF(B714="","",IFERROR(INDEX('Master Database'!$B$5:$B$600,MATCH(B714,'Master Database'!$A$5:$A$600,0)),"(row not found)"))</f>
        <v/>
      </c>
      <c r="E714" s="30"/>
      <c r="F714" s="33" t="str">
        <f>IF(E714="","",IFERROR(INDEX(Vendor_Register!$B$5:$B$205,MATCH(E714,Vendor_Register!$A$5:$A$205,0)),"(not in register)"))</f>
        <v/>
      </c>
      <c r="G714" s="33" t="str">
        <f>IF(E714="","",IFERROR(INDEX(Vendor_Register!$E$5:$E$205,MATCH(E714,Vendor_Register!$A$5:$A$205,0)),"(not in register)"))</f>
        <v/>
      </c>
      <c r="H714" s="30"/>
      <c r="I714" s="30"/>
      <c r="J714" s="30"/>
      <c r="K714" s="30"/>
      <c r="L714" s="30"/>
      <c r="M714" s="34"/>
      <c r="N714" s="30"/>
      <c r="O714" s="35" t="str">
        <f>IF(NOT(ISNUMBER(M714)),"",IFERROR(IF(L714="EUR",M714,IF(L714="IRR",M714/INDEX('Assumptions &amp; FX Reference'!$C$5:$C$25,MATCH(H714,'Assumptions &amp; FX Reference'!$A$5:$A$25,0)),IF(L714="USD",M714*INDEX('Assumptions &amp; FX Reference'!$B$5:$B$25,MATCH(H714,'Assumptions &amp; FX Reference'!$A$5:$A$25,0))/INDEX('Assumptions &amp; FX Reference'!$C$5:$C$25,MATCH(H714,'Assumptions &amp; FX Reference'!$A$5:$A$25,0)),""))),"(FX missing)"))</f>
        <v/>
      </c>
      <c r="P714" s="30"/>
      <c r="Q714" s="30"/>
      <c r="R714" s="30"/>
      <c r="S714" s="30"/>
      <c r="T714" s="30"/>
      <c r="U714" s="30"/>
      <c r="V714" s="30"/>
    </row>
    <row r="715" spans="1:22">
      <c r="A715" s="30"/>
      <c r="B715" s="30"/>
      <c r="C715" s="33" t="str">
        <f>IF(B715="","",IFERROR(INDEX('Master Database'!$D$5:$D$600,MATCH(B715,'Master Database'!$A$5:$A$600,0)),"(row not found)"))</f>
        <v/>
      </c>
      <c r="D715" s="33" t="str">
        <f>IF(B715="","",IFERROR(INDEX('Master Database'!$B$5:$B$600,MATCH(B715,'Master Database'!$A$5:$A$600,0)),"(row not found)"))</f>
        <v/>
      </c>
      <c r="E715" s="30"/>
      <c r="F715" s="33" t="str">
        <f>IF(E715="","",IFERROR(INDEX(Vendor_Register!$B$5:$B$205,MATCH(E715,Vendor_Register!$A$5:$A$205,0)),"(not in register)"))</f>
        <v/>
      </c>
      <c r="G715" s="33" t="str">
        <f>IF(E715="","",IFERROR(INDEX(Vendor_Register!$E$5:$E$205,MATCH(E715,Vendor_Register!$A$5:$A$205,0)),"(not in register)"))</f>
        <v/>
      </c>
      <c r="H715" s="30"/>
      <c r="I715" s="30"/>
      <c r="J715" s="30"/>
      <c r="K715" s="30"/>
      <c r="L715" s="30"/>
      <c r="M715" s="34"/>
      <c r="N715" s="30"/>
      <c r="O715" s="35" t="str">
        <f>IF(NOT(ISNUMBER(M715)),"",IFERROR(IF(L715="EUR",M715,IF(L715="IRR",M715/INDEX('Assumptions &amp; FX Reference'!$C$5:$C$25,MATCH(H715,'Assumptions &amp; FX Reference'!$A$5:$A$25,0)),IF(L715="USD",M715*INDEX('Assumptions &amp; FX Reference'!$B$5:$B$25,MATCH(H715,'Assumptions &amp; FX Reference'!$A$5:$A$25,0))/INDEX('Assumptions &amp; FX Reference'!$C$5:$C$25,MATCH(H715,'Assumptions &amp; FX Reference'!$A$5:$A$25,0)),""))),"(FX missing)"))</f>
        <v/>
      </c>
      <c r="P715" s="30"/>
      <c r="Q715" s="30"/>
      <c r="R715" s="30"/>
      <c r="S715" s="30"/>
      <c r="T715" s="30"/>
      <c r="U715" s="30"/>
      <c r="V715" s="30"/>
    </row>
    <row r="716" spans="1:22">
      <c r="A716" s="30"/>
      <c r="B716" s="30"/>
      <c r="C716" s="33" t="str">
        <f>IF(B716="","",IFERROR(INDEX('Master Database'!$D$5:$D$600,MATCH(B716,'Master Database'!$A$5:$A$600,0)),"(row not found)"))</f>
        <v/>
      </c>
      <c r="D716" s="33" t="str">
        <f>IF(B716="","",IFERROR(INDEX('Master Database'!$B$5:$B$600,MATCH(B716,'Master Database'!$A$5:$A$600,0)),"(row not found)"))</f>
        <v/>
      </c>
      <c r="E716" s="30"/>
      <c r="F716" s="33" t="str">
        <f>IF(E716="","",IFERROR(INDEX(Vendor_Register!$B$5:$B$205,MATCH(E716,Vendor_Register!$A$5:$A$205,0)),"(not in register)"))</f>
        <v/>
      </c>
      <c r="G716" s="33" t="str">
        <f>IF(E716="","",IFERROR(INDEX(Vendor_Register!$E$5:$E$205,MATCH(E716,Vendor_Register!$A$5:$A$205,0)),"(not in register)"))</f>
        <v/>
      </c>
      <c r="H716" s="30"/>
      <c r="I716" s="30"/>
      <c r="J716" s="30"/>
      <c r="K716" s="30"/>
      <c r="L716" s="30"/>
      <c r="M716" s="34"/>
      <c r="N716" s="30"/>
      <c r="O716" s="35" t="str">
        <f>IF(NOT(ISNUMBER(M716)),"",IFERROR(IF(L716="EUR",M716,IF(L716="IRR",M716/INDEX('Assumptions &amp; FX Reference'!$C$5:$C$25,MATCH(H716,'Assumptions &amp; FX Reference'!$A$5:$A$25,0)),IF(L716="USD",M716*INDEX('Assumptions &amp; FX Reference'!$B$5:$B$25,MATCH(H716,'Assumptions &amp; FX Reference'!$A$5:$A$25,0))/INDEX('Assumptions &amp; FX Reference'!$C$5:$C$25,MATCH(H716,'Assumptions &amp; FX Reference'!$A$5:$A$25,0)),""))),"(FX missing)"))</f>
        <v/>
      </c>
      <c r="P716" s="30"/>
      <c r="Q716" s="30"/>
      <c r="R716" s="30"/>
      <c r="S716" s="30"/>
      <c r="T716" s="30"/>
      <c r="U716" s="30"/>
      <c r="V716" s="30"/>
    </row>
    <row r="717" spans="1:22">
      <c r="A717" s="30"/>
      <c r="B717" s="30"/>
      <c r="C717" s="33" t="str">
        <f>IF(B717="","",IFERROR(INDEX('Master Database'!$D$5:$D$600,MATCH(B717,'Master Database'!$A$5:$A$600,0)),"(row not found)"))</f>
        <v/>
      </c>
      <c r="D717" s="33" t="str">
        <f>IF(B717="","",IFERROR(INDEX('Master Database'!$B$5:$B$600,MATCH(B717,'Master Database'!$A$5:$A$600,0)),"(row not found)"))</f>
        <v/>
      </c>
      <c r="E717" s="30"/>
      <c r="F717" s="33" t="str">
        <f>IF(E717="","",IFERROR(INDEX(Vendor_Register!$B$5:$B$205,MATCH(E717,Vendor_Register!$A$5:$A$205,0)),"(not in register)"))</f>
        <v/>
      </c>
      <c r="G717" s="33" t="str">
        <f>IF(E717="","",IFERROR(INDEX(Vendor_Register!$E$5:$E$205,MATCH(E717,Vendor_Register!$A$5:$A$205,0)),"(not in register)"))</f>
        <v/>
      </c>
      <c r="H717" s="30"/>
      <c r="I717" s="30"/>
      <c r="J717" s="30"/>
      <c r="K717" s="30"/>
      <c r="L717" s="30"/>
      <c r="M717" s="34"/>
      <c r="N717" s="30"/>
      <c r="O717" s="35" t="str">
        <f>IF(NOT(ISNUMBER(M717)),"",IFERROR(IF(L717="EUR",M717,IF(L717="IRR",M717/INDEX('Assumptions &amp; FX Reference'!$C$5:$C$25,MATCH(H717,'Assumptions &amp; FX Reference'!$A$5:$A$25,0)),IF(L717="USD",M717*INDEX('Assumptions &amp; FX Reference'!$B$5:$B$25,MATCH(H717,'Assumptions &amp; FX Reference'!$A$5:$A$25,0))/INDEX('Assumptions &amp; FX Reference'!$C$5:$C$25,MATCH(H717,'Assumptions &amp; FX Reference'!$A$5:$A$25,0)),""))),"(FX missing)"))</f>
        <v/>
      </c>
      <c r="P717" s="30"/>
      <c r="Q717" s="30"/>
      <c r="R717" s="30"/>
      <c r="S717" s="30"/>
      <c r="T717" s="30"/>
      <c r="U717" s="30"/>
      <c r="V717" s="30"/>
    </row>
    <row r="718" spans="1:22">
      <c r="A718" s="30"/>
      <c r="B718" s="30"/>
      <c r="C718" s="33" t="str">
        <f>IF(B718="","",IFERROR(INDEX('Master Database'!$D$5:$D$600,MATCH(B718,'Master Database'!$A$5:$A$600,0)),"(row not found)"))</f>
        <v/>
      </c>
      <c r="D718" s="33" t="str">
        <f>IF(B718="","",IFERROR(INDEX('Master Database'!$B$5:$B$600,MATCH(B718,'Master Database'!$A$5:$A$600,0)),"(row not found)"))</f>
        <v/>
      </c>
      <c r="E718" s="30"/>
      <c r="F718" s="33" t="str">
        <f>IF(E718="","",IFERROR(INDEX(Vendor_Register!$B$5:$B$205,MATCH(E718,Vendor_Register!$A$5:$A$205,0)),"(not in register)"))</f>
        <v/>
      </c>
      <c r="G718" s="33" t="str">
        <f>IF(E718="","",IFERROR(INDEX(Vendor_Register!$E$5:$E$205,MATCH(E718,Vendor_Register!$A$5:$A$205,0)),"(not in register)"))</f>
        <v/>
      </c>
      <c r="H718" s="30"/>
      <c r="I718" s="30"/>
      <c r="J718" s="30"/>
      <c r="K718" s="30"/>
      <c r="L718" s="30"/>
      <c r="M718" s="34"/>
      <c r="N718" s="30"/>
      <c r="O718" s="35" t="str">
        <f>IF(NOT(ISNUMBER(M718)),"",IFERROR(IF(L718="EUR",M718,IF(L718="IRR",M718/INDEX('Assumptions &amp; FX Reference'!$C$5:$C$25,MATCH(H718,'Assumptions &amp; FX Reference'!$A$5:$A$25,0)),IF(L718="USD",M718*INDEX('Assumptions &amp; FX Reference'!$B$5:$B$25,MATCH(H718,'Assumptions &amp; FX Reference'!$A$5:$A$25,0))/INDEX('Assumptions &amp; FX Reference'!$C$5:$C$25,MATCH(H718,'Assumptions &amp; FX Reference'!$A$5:$A$25,0)),""))),"(FX missing)"))</f>
        <v/>
      </c>
      <c r="P718" s="30"/>
      <c r="Q718" s="30"/>
      <c r="R718" s="30"/>
      <c r="S718" s="30"/>
      <c r="T718" s="30"/>
      <c r="U718" s="30"/>
      <c r="V718" s="30"/>
    </row>
    <row r="719" spans="1:22">
      <c r="A719" s="30"/>
      <c r="B719" s="30"/>
      <c r="C719" s="33" t="str">
        <f>IF(B719="","",IFERROR(INDEX('Master Database'!$D$5:$D$600,MATCH(B719,'Master Database'!$A$5:$A$600,0)),"(row not found)"))</f>
        <v/>
      </c>
      <c r="D719" s="33" t="str">
        <f>IF(B719="","",IFERROR(INDEX('Master Database'!$B$5:$B$600,MATCH(B719,'Master Database'!$A$5:$A$600,0)),"(row not found)"))</f>
        <v/>
      </c>
      <c r="E719" s="30"/>
      <c r="F719" s="33" t="str">
        <f>IF(E719="","",IFERROR(INDEX(Vendor_Register!$B$5:$B$205,MATCH(E719,Vendor_Register!$A$5:$A$205,0)),"(not in register)"))</f>
        <v/>
      </c>
      <c r="G719" s="33" t="str">
        <f>IF(E719="","",IFERROR(INDEX(Vendor_Register!$E$5:$E$205,MATCH(E719,Vendor_Register!$A$5:$A$205,0)),"(not in register)"))</f>
        <v/>
      </c>
      <c r="H719" s="30"/>
      <c r="I719" s="30"/>
      <c r="J719" s="30"/>
      <c r="K719" s="30"/>
      <c r="L719" s="30"/>
      <c r="M719" s="34"/>
      <c r="N719" s="30"/>
      <c r="O719" s="35" t="str">
        <f>IF(NOT(ISNUMBER(M719)),"",IFERROR(IF(L719="EUR",M719,IF(L719="IRR",M719/INDEX('Assumptions &amp; FX Reference'!$C$5:$C$25,MATCH(H719,'Assumptions &amp; FX Reference'!$A$5:$A$25,0)),IF(L719="USD",M719*INDEX('Assumptions &amp; FX Reference'!$B$5:$B$25,MATCH(H719,'Assumptions &amp; FX Reference'!$A$5:$A$25,0))/INDEX('Assumptions &amp; FX Reference'!$C$5:$C$25,MATCH(H719,'Assumptions &amp; FX Reference'!$A$5:$A$25,0)),""))),"(FX missing)"))</f>
        <v/>
      </c>
      <c r="P719" s="30"/>
      <c r="Q719" s="30"/>
      <c r="R719" s="30"/>
      <c r="S719" s="30"/>
      <c r="T719" s="30"/>
      <c r="U719" s="30"/>
      <c r="V719" s="30"/>
    </row>
    <row r="720" spans="1:22">
      <c r="A720" s="30"/>
      <c r="B720" s="30"/>
      <c r="C720" s="33" t="str">
        <f>IF(B720="","",IFERROR(INDEX('Master Database'!$D$5:$D$600,MATCH(B720,'Master Database'!$A$5:$A$600,0)),"(row not found)"))</f>
        <v/>
      </c>
      <c r="D720" s="33" t="str">
        <f>IF(B720="","",IFERROR(INDEX('Master Database'!$B$5:$B$600,MATCH(B720,'Master Database'!$A$5:$A$600,0)),"(row not found)"))</f>
        <v/>
      </c>
      <c r="E720" s="30"/>
      <c r="F720" s="33" t="str">
        <f>IF(E720="","",IFERROR(INDEX(Vendor_Register!$B$5:$B$205,MATCH(E720,Vendor_Register!$A$5:$A$205,0)),"(not in register)"))</f>
        <v/>
      </c>
      <c r="G720" s="33" t="str">
        <f>IF(E720="","",IFERROR(INDEX(Vendor_Register!$E$5:$E$205,MATCH(E720,Vendor_Register!$A$5:$A$205,0)),"(not in register)"))</f>
        <v/>
      </c>
      <c r="H720" s="30"/>
      <c r="I720" s="30"/>
      <c r="J720" s="30"/>
      <c r="K720" s="30"/>
      <c r="L720" s="30"/>
      <c r="M720" s="34"/>
      <c r="N720" s="30"/>
      <c r="O720" s="35" t="str">
        <f>IF(NOT(ISNUMBER(M720)),"",IFERROR(IF(L720="EUR",M720,IF(L720="IRR",M720/INDEX('Assumptions &amp; FX Reference'!$C$5:$C$25,MATCH(H720,'Assumptions &amp; FX Reference'!$A$5:$A$25,0)),IF(L720="USD",M720*INDEX('Assumptions &amp; FX Reference'!$B$5:$B$25,MATCH(H720,'Assumptions &amp; FX Reference'!$A$5:$A$25,0))/INDEX('Assumptions &amp; FX Reference'!$C$5:$C$25,MATCH(H720,'Assumptions &amp; FX Reference'!$A$5:$A$25,0)),""))),"(FX missing)"))</f>
        <v/>
      </c>
      <c r="P720" s="30"/>
      <c r="Q720" s="30"/>
      <c r="R720" s="30"/>
      <c r="S720" s="30"/>
      <c r="T720" s="30"/>
      <c r="U720" s="30"/>
      <c r="V720" s="30"/>
    </row>
    <row r="721" spans="1:22">
      <c r="A721" s="30"/>
      <c r="B721" s="30"/>
      <c r="C721" s="33" t="str">
        <f>IF(B721="","",IFERROR(INDEX('Master Database'!$D$5:$D$600,MATCH(B721,'Master Database'!$A$5:$A$600,0)),"(row not found)"))</f>
        <v/>
      </c>
      <c r="D721" s="33" t="str">
        <f>IF(B721="","",IFERROR(INDEX('Master Database'!$B$5:$B$600,MATCH(B721,'Master Database'!$A$5:$A$600,0)),"(row not found)"))</f>
        <v/>
      </c>
      <c r="E721" s="30"/>
      <c r="F721" s="33" t="str">
        <f>IF(E721="","",IFERROR(INDEX(Vendor_Register!$B$5:$B$205,MATCH(E721,Vendor_Register!$A$5:$A$205,0)),"(not in register)"))</f>
        <v/>
      </c>
      <c r="G721" s="33" t="str">
        <f>IF(E721="","",IFERROR(INDEX(Vendor_Register!$E$5:$E$205,MATCH(E721,Vendor_Register!$A$5:$A$205,0)),"(not in register)"))</f>
        <v/>
      </c>
      <c r="H721" s="30"/>
      <c r="I721" s="30"/>
      <c r="J721" s="30"/>
      <c r="K721" s="30"/>
      <c r="L721" s="30"/>
      <c r="M721" s="34"/>
      <c r="N721" s="30"/>
      <c r="O721" s="35" t="str">
        <f>IF(NOT(ISNUMBER(M721)),"",IFERROR(IF(L721="EUR",M721,IF(L721="IRR",M721/INDEX('Assumptions &amp; FX Reference'!$C$5:$C$25,MATCH(H721,'Assumptions &amp; FX Reference'!$A$5:$A$25,0)),IF(L721="USD",M721*INDEX('Assumptions &amp; FX Reference'!$B$5:$B$25,MATCH(H721,'Assumptions &amp; FX Reference'!$A$5:$A$25,0))/INDEX('Assumptions &amp; FX Reference'!$C$5:$C$25,MATCH(H721,'Assumptions &amp; FX Reference'!$A$5:$A$25,0)),""))),"(FX missing)"))</f>
        <v/>
      </c>
      <c r="P721" s="30"/>
      <c r="Q721" s="30"/>
      <c r="R721" s="30"/>
      <c r="S721" s="30"/>
      <c r="T721" s="30"/>
      <c r="U721" s="30"/>
      <c r="V721" s="30"/>
    </row>
    <row r="722" spans="1:22">
      <c r="A722" s="30"/>
      <c r="B722" s="30"/>
      <c r="C722" s="33" t="str">
        <f>IF(B722="","",IFERROR(INDEX('Master Database'!$D$5:$D$600,MATCH(B722,'Master Database'!$A$5:$A$600,0)),"(row not found)"))</f>
        <v/>
      </c>
      <c r="D722" s="33" t="str">
        <f>IF(B722="","",IFERROR(INDEX('Master Database'!$B$5:$B$600,MATCH(B722,'Master Database'!$A$5:$A$600,0)),"(row not found)"))</f>
        <v/>
      </c>
      <c r="E722" s="30"/>
      <c r="F722" s="33" t="str">
        <f>IF(E722="","",IFERROR(INDEX(Vendor_Register!$B$5:$B$205,MATCH(E722,Vendor_Register!$A$5:$A$205,0)),"(not in register)"))</f>
        <v/>
      </c>
      <c r="G722" s="33" t="str">
        <f>IF(E722="","",IFERROR(INDEX(Vendor_Register!$E$5:$E$205,MATCH(E722,Vendor_Register!$A$5:$A$205,0)),"(not in register)"))</f>
        <v/>
      </c>
      <c r="H722" s="30"/>
      <c r="I722" s="30"/>
      <c r="J722" s="30"/>
      <c r="K722" s="30"/>
      <c r="L722" s="30"/>
      <c r="M722" s="34"/>
      <c r="N722" s="30"/>
      <c r="O722" s="35" t="str">
        <f>IF(NOT(ISNUMBER(M722)),"",IFERROR(IF(L722="EUR",M722,IF(L722="IRR",M722/INDEX('Assumptions &amp; FX Reference'!$C$5:$C$25,MATCH(H722,'Assumptions &amp; FX Reference'!$A$5:$A$25,0)),IF(L722="USD",M722*INDEX('Assumptions &amp; FX Reference'!$B$5:$B$25,MATCH(H722,'Assumptions &amp; FX Reference'!$A$5:$A$25,0))/INDEX('Assumptions &amp; FX Reference'!$C$5:$C$25,MATCH(H722,'Assumptions &amp; FX Reference'!$A$5:$A$25,0)),""))),"(FX missing)"))</f>
        <v/>
      </c>
      <c r="P722" s="30"/>
      <c r="Q722" s="30"/>
      <c r="R722" s="30"/>
      <c r="S722" s="30"/>
      <c r="T722" s="30"/>
      <c r="U722" s="30"/>
      <c r="V722" s="30"/>
    </row>
    <row r="723" spans="1:22">
      <c r="A723" s="30"/>
      <c r="B723" s="30"/>
      <c r="C723" s="33" t="str">
        <f>IF(B723="","",IFERROR(INDEX('Master Database'!$D$5:$D$600,MATCH(B723,'Master Database'!$A$5:$A$600,0)),"(row not found)"))</f>
        <v/>
      </c>
      <c r="D723" s="33" t="str">
        <f>IF(B723="","",IFERROR(INDEX('Master Database'!$B$5:$B$600,MATCH(B723,'Master Database'!$A$5:$A$600,0)),"(row not found)"))</f>
        <v/>
      </c>
      <c r="E723" s="30"/>
      <c r="F723" s="33" t="str">
        <f>IF(E723="","",IFERROR(INDEX(Vendor_Register!$B$5:$B$205,MATCH(E723,Vendor_Register!$A$5:$A$205,0)),"(not in register)"))</f>
        <v/>
      </c>
      <c r="G723" s="33" t="str">
        <f>IF(E723="","",IFERROR(INDEX(Vendor_Register!$E$5:$E$205,MATCH(E723,Vendor_Register!$A$5:$A$205,0)),"(not in register)"))</f>
        <v/>
      </c>
      <c r="H723" s="30"/>
      <c r="I723" s="30"/>
      <c r="J723" s="30"/>
      <c r="K723" s="30"/>
      <c r="L723" s="30"/>
      <c r="M723" s="34"/>
      <c r="N723" s="30"/>
      <c r="O723" s="35" t="str">
        <f>IF(NOT(ISNUMBER(M723)),"",IFERROR(IF(L723="EUR",M723,IF(L723="IRR",M723/INDEX('Assumptions &amp; FX Reference'!$C$5:$C$25,MATCH(H723,'Assumptions &amp; FX Reference'!$A$5:$A$25,0)),IF(L723="USD",M723*INDEX('Assumptions &amp; FX Reference'!$B$5:$B$25,MATCH(H723,'Assumptions &amp; FX Reference'!$A$5:$A$25,0))/INDEX('Assumptions &amp; FX Reference'!$C$5:$C$25,MATCH(H723,'Assumptions &amp; FX Reference'!$A$5:$A$25,0)),""))),"(FX missing)"))</f>
        <v/>
      </c>
      <c r="P723" s="30"/>
      <c r="Q723" s="30"/>
      <c r="R723" s="30"/>
      <c r="S723" s="30"/>
      <c r="T723" s="30"/>
      <c r="U723" s="30"/>
      <c r="V723" s="30"/>
    </row>
    <row r="724" spans="1:22">
      <c r="A724" s="30"/>
      <c r="B724" s="30"/>
      <c r="C724" s="33" t="str">
        <f>IF(B724="","",IFERROR(INDEX('Master Database'!$D$5:$D$600,MATCH(B724,'Master Database'!$A$5:$A$600,0)),"(row not found)"))</f>
        <v/>
      </c>
      <c r="D724" s="33" t="str">
        <f>IF(B724="","",IFERROR(INDEX('Master Database'!$B$5:$B$600,MATCH(B724,'Master Database'!$A$5:$A$600,0)),"(row not found)"))</f>
        <v/>
      </c>
      <c r="E724" s="30"/>
      <c r="F724" s="33" t="str">
        <f>IF(E724="","",IFERROR(INDEX(Vendor_Register!$B$5:$B$205,MATCH(E724,Vendor_Register!$A$5:$A$205,0)),"(not in register)"))</f>
        <v/>
      </c>
      <c r="G724" s="33" t="str">
        <f>IF(E724="","",IFERROR(INDEX(Vendor_Register!$E$5:$E$205,MATCH(E724,Vendor_Register!$A$5:$A$205,0)),"(not in register)"))</f>
        <v/>
      </c>
      <c r="H724" s="30"/>
      <c r="I724" s="30"/>
      <c r="J724" s="30"/>
      <c r="K724" s="30"/>
      <c r="L724" s="30"/>
      <c r="M724" s="34"/>
      <c r="N724" s="30"/>
      <c r="O724" s="35" t="str">
        <f>IF(NOT(ISNUMBER(M724)),"",IFERROR(IF(L724="EUR",M724,IF(L724="IRR",M724/INDEX('Assumptions &amp; FX Reference'!$C$5:$C$25,MATCH(H724,'Assumptions &amp; FX Reference'!$A$5:$A$25,0)),IF(L724="USD",M724*INDEX('Assumptions &amp; FX Reference'!$B$5:$B$25,MATCH(H724,'Assumptions &amp; FX Reference'!$A$5:$A$25,0))/INDEX('Assumptions &amp; FX Reference'!$C$5:$C$25,MATCH(H724,'Assumptions &amp; FX Reference'!$A$5:$A$25,0)),""))),"(FX missing)"))</f>
        <v/>
      </c>
      <c r="P724" s="30"/>
      <c r="Q724" s="30"/>
      <c r="R724" s="30"/>
      <c r="S724" s="30"/>
      <c r="T724" s="30"/>
      <c r="U724" s="30"/>
      <c r="V724" s="30"/>
    </row>
    <row r="725" spans="1:22">
      <c r="A725" s="30"/>
      <c r="B725" s="30"/>
      <c r="C725" s="33" t="str">
        <f>IF(B725="","",IFERROR(INDEX('Master Database'!$D$5:$D$600,MATCH(B725,'Master Database'!$A$5:$A$600,0)),"(row not found)"))</f>
        <v/>
      </c>
      <c r="D725" s="33" t="str">
        <f>IF(B725="","",IFERROR(INDEX('Master Database'!$B$5:$B$600,MATCH(B725,'Master Database'!$A$5:$A$600,0)),"(row not found)"))</f>
        <v/>
      </c>
      <c r="E725" s="30"/>
      <c r="F725" s="33" t="str">
        <f>IF(E725="","",IFERROR(INDEX(Vendor_Register!$B$5:$B$205,MATCH(E725,Vendor_Register!$A$5:$A$205,0)),"(not in register)"))</f>
        <v/>
      </c>
      <c r="G725" s="33" t="str">
        <f>IF(E725="","",IFERROR(INDEX(Vendor_Register!$E$5:$E$205,MATCH(E725,Vendor_Register!$A$5:$A$205,0)),"(not in register)"))</f>
        <v/>
      </c>
      <c r="H725" s="30"/>
      <c r="I725" s="30"/>
      <c r="J725" s="30"/>
      <c r="K725" s="30"/>
      <c r="L725" s="30"/>
      <c r="M725" s="34"/>
      <c r="N725" s="30"/>
      <c r="O725" s="35" t="str">
        <f>IF(NOT(ISNUMBER(M725)),"",IFERROR(IF(L725="EUR",M725,IF(L725="IRR",M725/INDEX('Assumptions &amp; FX Reference'!$C$5:$C$25,MATCH(H725,'Assumptions &amp; FX Reference'!$A$5:$A$25,0)),IF(L725="USD",M725*INDEX('Assumptions &amp; FX Reference'!$B$5:$B$25,MATCH(H725,'Assumptions &amp; FX Reference'!$A$5:$A$25,0))/INDEX('Assumptions &amp; FX Reference'!$C$5:$C$25,MATCH(H725,'Assumptions &amp; FX Reference'!$A$5:$A$25,0)),""))),"(FX missing)"))</f>
        <v/>
      </c>
      <c r="P725" s="30"/>
      <c r="Q725" s="30"/>
      <c r="R725" s="30"/>
      <c r="S725" s="30"/>
      <c r="T725" s="30"/>
      <c r="U725" s="30"/>
      <c r="V725" s="30"/>
    </row>
    <row r="726" spans="1:22">
      <c r="A726" s="30"/>
      <c r="B726" s="30"/>
      <c r="C726" s="33" t="str">
        <f>IF(B726="","",IFERROR(INDEX('Master Database'!$D$5:$D$600,MATCH(B726,'Master Database'!$A$5:$A$600,0)),"(row not found)"))</f>
        <v/>
      </c>
      <c r="D726" s="33" t="str">
        <f>IF(B726="","",IFERROR(INDEX('Master Database'!$B$5:$B$600,MATCH(B726,'Master Database'!$A$5:$A$600,0)),"(row not found)"))</f>
        <v/>
      </c>
      <c r="E726" s="30"/>
      <c r="F726" s="33" t="str">
        <f>IF(E726="","",IFERROR(INDEX(Vendor_Register!$B$5:$B$205,MATCH(E726,Vendor_Register!$A$5:$A$205,0)),"(not in register)"))</f>
        <v/>
      </c>
      <c r="G726" s="33" t="str">
        <f>IF(E726="","",IFERROR(INDEX(Vendor_Register!$E$5:$E$205,MATCH(E726,Vendor_Register!$A$5:$A$205,0)),"(not in register)"))</f>
        <v/>
      </c>
      <c r="H726" s="30"/>
      <c r="I726" s="30"/>
      <c r="J726" s="30"/>
      <c r="K726" s="30"/>
      <c r="L726" s="30"/>
      <c r="M726" s="34"/>
      <c r="N726" s="30"/>
      <c r="O726" s="35" t="str">
        <f>IF(NOT(ISNUMBER(M726)),"",IFERROR(IF(L726="EUR",M726,IF(L726="IRR",M726/INDEX('Assumptions &amp; FX Reference'!$C$5:$C$25,MATCH(H726,'Assumptions &amp; FX Reference'!$A$5:$A$25,0)),IF(L726="USD",M726*INDEX('Assumptions &amp; FX Reference'!$B$5:$B$25,MATCH(H726,'Assumptions &amp; FX Reference'!$A$5:$A$25,0))/INDEX('Assumptions &amp; FX Reference'!$C$5:$C$25,MATCH(H726,'Assumptions &amp; FX Reference'!$A$5:$A$25,0)),""))),"(FX missing)"))</f>
        <v/>
      </c>
      <c r="P726" s="30"/>
      <c r="Q726" s="30"/>
      <c r="R726" s="30"/>
      <c r="S726" s="30"/>
      <c r="T726" s="30"/>
      <c r="U726" s="30"/>
      <c r="V726" s="30"/>
    </row>
    <row r="727" spans="1:22">
      <c r="A727" s="30"/>
      <c r="B727" s="30"/>
      <c r="C727" s="33" t="str">
        <f>IF(B727="","",IFERROR(INDEX('Master Database'!$D$5:$D$600,MATCH(B727,'Master Database'!$A$5:$A$600,0)),"(row not found)"))</f>
        <v/>
      </c>
      <c r="D727" s="33" t="str">
        <f>IF(B727="","",IFERROR(INDEX('Master Database'!$B$5:$B$600,MATCH(B727,'Master Database'!$A$5:$A$600,0)),"(row not found)"))</f>
        <v/>
      </c>
      <c r="E727" s="30"/>
      <c r="F727" s="33" t="str">
        <f>IF(E727="","",IFERROR(INDEX(Vendor_Register!$B$5:$B$205,MATCH(E727,Vendor_Register!$A$5:$A$205,0)),"(not in register)"))</f>
        <v/>
      </c>
      <c r="G727" s="33" t="str">
        <f>IF(E727="","",IFERROR(INDEX(Vendor_Register!$E$5:$E$205,MATCH(E727,Vendor_Register!$A$5:$A$205,0)),"(not in register)"))</f>
        <v/>
      </c>
      <c r="H727" s="30"/>
      <c r="I727" s="30"/>
      <c r="J727" s="30"/>
      <c r="K727" s="30"/>
      <c r="L727" s="30"/>
      <c r="M727" s="34"/>
      <c r="N727" s="30"/>
      <c r="O727" s="35" t="str">
        <f>IF(NOT(ISNUMBER(M727)),"",IFERROR(IF(L727="EUR",M727,IF(L727="IRR",M727/INDEX('Assumptions &amp; FX Reference'!$C$5:$C$25,MATCH(H727,'Assumptions &amp; FX Reference'!$A$5:$A$25,0)),IF(L727="USD",M727*INDEX('Assumptions &amp; FX Reference'!$B$5:$B$25,MATCH(H727,'Assumptions &amp; FX Reference'!$A$5:$A$25,0))/INDEX('Assumptions &amp; FX Reference'!$C$5:$C$25,MATCH(H727,'Assumptions &amp; FX Reference'!$A$5:$A$25,0)),""))),"(FX missing)"))</f>
        <v/>
      </c>
      <c r="P727" s="30"/>
      <c r="Q727" s="30"/>
      <c r="R727" s="30"/>
      <c r="S727" s="30"/>
      <c r="T727" s="30"/>
      <c r="U727" s="30"/>
      <c r="V727" s="30"/>
    </row>
    <row r="728" spans="1:22">
      <c r="A728" s="30"/>
      <c r="B728" s="30"/>
      <c r="C728" s="33" t="str">
        <f>IF(B728="","",IFERROR(INDEX('Master Database'!$D$5:$D$600,MATCH(B728,'Master Database'!$A$5:$A$600,0)),"(row not found)"))</f>
        <v/>
      </c>
      <c r="D728" s="33" t="str">
        <f>IF(B728="","",IFERROR(INDEX('Master Database'!$B$5:$B$600,MATCH(B728,'Master Database'!$A$5:$A$600,0)),"(row not found)"))</f>
        <v/>
      </c>
      <c r="E728" s="30"/>
      <c r="F728" s="33" t="str">
        <f>IF(E728="","",IFERROR(INDEX(Vendor_Register!$B$5:$B$205,MATCH(E728,Vendor_Register!$A$5:$A$205,0)),"(not in register)"))</f>
        <v/>
      </c>
      <c r="G728" s="33" t="str">
        <f>IF(E728="","",IFERROR(INDEX(Vendor_Register!$E$5:$E$205,MATCH(E728,Vendor_Register!$A$5:$A$205,0)),"(not in register)"))</f>
        <v/>
      </c>
      <c r="H728" s="30"/>
      <c r="I728" s="30"/>
      <c r="J728" s="30"/>
      <c r="K728" s="30"/>
      <c r="L728" s="30"/>
      <c r="M728" s="34"/>
      <c r="N728" s="30"/>
      <c r="O728" s="35" t="str">
        <f>IF(NOT(ISNUMBER(M728)),"",IFERROR(IF(L728="EUR",M728,IF(L728="IRR",M728/INDEX('Assumptions &amp; FX Reference'!$C$5:$C$25,MATCH(H728,'Assumptions &amp; FX Reference'!$A$5:$A$25,0)),IF(L728="USD",M728*INDEX('Assumptions &amp; FX Reference'!$B$5:$B$25,MATCH(H728,'Assumptions &amp; FX Reference'!$A$5:$A$25,0))/INDEX('Assumptions &amp; FX Reference'!$C$5:$C$25,MATCH(H728,'Assumptions &amp; FX Reference'!$A$5:$A$25,0)),""))),"(FX missing)"))</f>
        <v/>
      </c>
      <c r="P728" s="30"/>
      <c r="Q728" s="30"/>
      <c r="R728" s="30"/>
      <c r="S728" s="30"/>
      <c r="T728" s="30"/>
      <c r="U728" s="30"/>
      <c r="V728" s="30"/>
    </row>
    <row r="729" spans="1:22">
      <c r="A729" s="30"/>
      <c r="B729" s="30"/>
      <c r="C729" s="33" t="str">
        <f>IF(B729="","",IFERROR(INDEX('Master Database'!$D$5:$D$600,MATCH(B729,'Master Database'!$A$5:$A$600,0)),"(row not found)"))</f>
        <v/>
      </c>
      <c r="D729" s="33" t="str">
        <f>IF(B729="","",IFERROR(INDEX('Master Database'!$B$5:$B$600,MATCH(B729,'Master Database'!$A$5:$A$600,0)),"(row not found)"))</f>
        <v/>
      </c>
      <c r="E729" s="30"/>
      <c r="F729" s="33" t="str">
        <f>IF(E729="","",IFERROR(INDEX(Vendor_Register!$B$5:$B$205,MATCH(E729,Vendor_Register!$A$5:$A$205,0)),"(not in register)"))</f>
        <v/>
      </c>
      <c r="G729" s="33" t="str">
        <f>IF(E729="","",IFERROR(INDEX(Vendor_Register!$E$5:$E$205,MATCH(E729,Vendor_Register!$A$5:$A$205,0)),"(not in register)"))</f>
        <v/>
      </c>
      <c r="H729" s="30"/>
      <c r="I729" s="30"/>
      <c r="J729" s="30"/>
      <c r="K729" s="30"/>
      <c r="L729" s="30"/>
      <c r="M729" s="34"/>
      <c r="N729" s="30"/>
      <c r="O729" s="35" t="str">
        <f>IF(NOT(ISNUMBER(M729)),"",IFERROR(IF(L729="EUR",M729,IF(L729="IRR",M729/INDEX('Assumptions &amp; FX Reference'!$C$5:$C$25,MATCH(H729,'Assumptions &amp; FX Reference'!$A$5:$A$25,0)),IF(L729="USD",M729*INDEX('Assumptions &amp; FX Reference'!$B$5:$B$25,MATCH(H729,'Assumptions &amp; FX Reference'!$A$5:$A$25,0))/INDEX('Assumptions &amp; FX Reference'!$C$5:$C$25,MATCH(H729,'Assumptions &amp; FX Reference'!$A$5:$A$25,0)),""))),"(FX missing)"))</f>
        <v/>
      </c>
      <c r="P729" s="30"/>
      <c r="Q729" s="30"/>
      <c r="R729" s="30"/>
      <c r="S729" s="30"/>
      <c r="T729" s="30"/>
      <c r="U729" s="30"/>
      <c r="V729" s="30"/>
    </row>
    <row r="730" spans="1:22">
      <c r="A730" s="30"/>
      <c r="B730" s="30"/>
      <c r="C730" s="33" t="str">
        <f>IF(B730="","",IFERROR(INDEX('Master Database'!$D$5:$D$600,MATCH(B730,'Master Database'!$A$5:$A$600,0)),"(row not found)"))</f>
        <v/>
      </c>
      <c r="D730" s="33" t="str">
        <f>IF(B730="","",IFERROR(INDEX('Master Database'!$B$5:$B$600,MATCH(B730,'Master Database'!$A$5:$A$600,0)),"(row not found)"))</f>
        <v/>
      </c>
      <c r="E730" s="30"/>
      <c r="F730" s="33" t="str">
        <f>IF(E730="","",IFERROR(INDEX(Vendor_Register!$B$5:$B$205,MATCH(E730,Vendor_Register!$A$5:$A$205,0)),"(not in register)"))</f>
        <v/>
      </c>
      <c r="G730" s="33" t="str">
        <f>IF(E730="","",IFERROR(INDEX(Vendor_Register!$E$5:$E$205,MATCH(E730,Vendor_Register!$A$5:$A$205,0)),"(not in register)"))</f>
        <v/>
      </c>
      <c r="H730" s="30"/>
      <c r="I730" s="30"/>
      <c r="J730" s="30"/>
      <c r="K730" s="30"/>
      <c r="L730" s="30"/>
      <c r="M730" s="34"/>
      <c r="N730" s="30"/>
      <c r="O730" s="35" t="str">
        <f>IF(NOT(ISNUMBER(M730)),"",IFERROR(IF(L730="EUR",M730,IF(L730="IRR",M730/INDEX('Assumptions &amp; FX Reference'!$C$5:$C$25,MATCH(H730,'Assumptions &amp; FX Reference'!$A$5:$A$25,0)),IF(L730="USD",M730*INDEX('Assumptions &amp; FX Reference'!$B$5:$B$25,MATCH(H730,'Assumptions &amp; FX Reference'!$A$5:$A$25,0))/INDEX('Assumptions &amp; FX Reference'!$C$5:$C$25,MATCH(H730,'Assumptions &amp; FX Reference'!$A$5:$A$25,0)),""))),"(FX missing)"))</f>
        <v/>
      </c>
      <c r="P730" s="30"/>
      <c r="Q730" s="30"/>
      <c r="R730" s="30"/>
      <c r="S730" s="30"/>
      <c r="T730" s="30"/>
      <c r="U730" s="30"/>
      <c r="V730" s="30"/>
    </row>
    <row r="731" spans="1:22">
      <c r="A731" s="30"/>
      <c r="B731" s="30"/>
      <c r="C731" s="33" t="str">
        <f>IF(B731="","",IFERROR(INDEX('Master Database'!$D$5:$D$600,MATCH(B731,'Master Database'!$A$5:$A$600,0)),"(row not found)"))</f>
        <v/>
      </c>
      <c r="D731" s="33" t="str">
        <f>IF(B731="","",IFERROR(INDEX('Master Database'!$B$5:$B$600,MATCH(B731,'Master Database'!$A$5:$A$600,0)),"(row not found)"))</f>
        <v/>
      </c>
      <c r="E731" s="30"/>
      <c r="F731" s="33" t="str">
        <f>IF(E731="","",IFERROR(INDEX(Vendor_Register!$B$5:$B$205,MATCH(E731,Vendor_Register!$A$5:$A$205,0)),"(not in register)"))</f>
        <v/>
      </c>
      <c r="G731" s="33" t="str">
        <f>IF(E731="","",IFERROR(INDEX(Vendor_Register!$E$5:$E$205,MATCH(E731,Vendor_Register!$A$5:$A$205,0)),"(not in register)"))</f>
        <v/>
      </c>
      <c r="H731" s="30"/>
      <c r="I731" s="30"/>
      <c r="J731" s="30"/>
      <c r="K731" s="30"/>
      <c r="L731" s="30"/>
      <c r="M731" s="34"/>
      <c r="N731" s="30"/>
      <c r="O731" s="35" t="str">
        <f>IF(NOT(ISNUMBER(M731)),"",IFERROR(IF(L731="EUR",M731,IF(L731="IRR",M731/INDEX('Assumptions &amp; FX Reference'!$C$5:$C$25,MATCH(H731,'Assumptions &amp; FX Reference'!$A$5:$A$25,0)),IF(L731="USD",M731*INDEX('Assumptions &amp; FX Reference'!$B$5:$B$25,MATCH(H731,'Assumptions &amp; FX Reference'!$A$5:$A$25,0))/INDEX('Assumptions &amp; FX Reference'!$C$5:$C$25,MATCH(H731,'Assumptions &amp; FX Reference'!$A$5:$A$25,0)),""))),"(FX missing)"))</f>
        <v/>
      </c>
      <c r="P731" s="30"/>
      <c r="Q731" s="30"/>
      <c r="R731" s="30"/>
      <c r="S731" s="30"/>
      <c r="T731" s="30"/>
      <c r="U731" s="30"/>
      <c r="V731" s="30"/>
    </row>
    <row r="732" spans="1:22">
      <c r="A732" s="30"/>
      <c r="B732" s="30"/>
      <c r="C732" s="33" t="str">
        <f>IF(B732="","",IFERROR(INDEX('Master Database'!$D$5:$D$600,MATCH(B732,'Master Database'!$A$5:$A$600,0)),"(row not found)"))</f>
        <v/>
      </c>
      <c r="D732" s="33" t="str">
        <f>IF(B732="","",IFERROR(INDEX('Master Database'!$B$5:$B$600,MATCH(B732,'Master Database'!$A$5:$A$600,0)),"(row not found)"))</f>
        <v/>
      </c>
      <c r="E732" s="30"/>
      <c r="F732" s="33" t="str">
        <f>IF(E732="","",IFERROR(INDEX(Vendor_Register!$B$5:$B$205,MATCH(E732,Vendor_Register!$A$5:$A$205,0)),"(not in register)"))</f>
        <v/>
      </c>
      <c r="G732" s="33" t="str">
        <f>IF(E732="","",IFERROR(INDEX(Vendor_Register!$E$5:$E$205,MATCH(E732,Vendor_Register!$A$5:$A$205,0)),"(not in register)"))</f>
        <v/>
      </c>
      <c r="H732" s="30"/>
      <c r="I732" s="30"/>
      <c r="J732" s="30"/>
      <c r="K732" s="30"/>
      <c r="L732" s="30"/>
      <c r="M732" s="34"/>
      <c r="N732" s="30"/>
      <c r="O732" s="35" t="str">
        <f>IF(NOT(ISNUMBER(M732)),"",IFERROR(IF(L732="EUR",M732,IF(L732="IRR",M732/INDEX('Assumptions &amp; FX Reference'!$C$5:$C$25,MATCH(H732,'Assumptions &amp; FX Reference'!$A$5:$A$25,0)),IF(L732="USD",M732*INDEX('Assumptions &amp; FX Reference'!$B$5:$B$25,MATCH(H732,'Assumptions &amp; FX Reference'!$A$5:$A$25,0))/INDEX('Assumptions &amp; FX Reference'!$C$5:$C$25,MATCH(H732,'Assumptions &amp; FX Reference'!$A$5:$A$25,0)),""))),"(FX missing)"))</f>
        <v/>
      </c>
      <c r="P732" s="30"/>
      <c r="Q732" s="30"/>
      <c r="R732" s="30"/>
      <c r="S732" s="30"/>
      <c r="T732" s="30"/>
      <c r="U732" s="30"/>
      <c r="V732" s="30"/>
    </row>
    <row r="733" spans="1:22">
      <c r="A733" s="30"/>
      <c r="B733" s="30"/>
      <c r="C733" s="33" t="str">
        <f>IF(B733="","",IFERROR(INDEX('Master Database'!$D$5:$D$600,MATCH(B733,'Master Database'!$A$5:$A$600,0)),"(row not found)"))</f>
        <v/>
      </c>
      <c r="D733" s="33" t="str">
        <f>IF(B733="","",IFERROR(INDEX('Master Database'!$B$5:$B$600,MATCH(B733,'Master Database'!$A$5:$A$600,0)),"(row not found)"))</f>
        <v/>
      </c>
      <c r="E733" s="30"/>
      <c r="F733" s="33" t="str">
        <f>IF(E733="","",IFERROR(INDEX(Vendor_Register!$B$5:$B$205,MATCH(E733,Vendor_Register!$A$5:$A$205,0)),"(not in register)"))</f>
        <v/>
      </c>
      <c r="G733" s="33" t="str">
        <f>IF(E733="","",IFERROR(INDEX(Vendor_Register!$E$5:$E$205,MATCH(E733,Vendor_Register!$A$5:$A$205,0)),"(not in register)"))</f>
        <v/>
      </c>
      <c r="H733" s="30"/>
      <c r="I733" s="30"/>
      <c r="J733" s="30"/>
      <c r="K733" s="30"/>
      <c r="L733" s="30"/>
      <c r="M733" s="34"/>
      <c r="N733" s="30"/>
      <c r="O733" s="35" t="str">
        <f>IF(NOT(ISNUMBER(M733)),"",IFERROR(IF(L733="EUR",M733,IF(L733="IRR",M733/INDEX('Assumptions &amp; FX Reference'!$C$5:$C$25,MATCH(H733,'Assumptions &amp; FX Reference'!$A$5:$A$25,0)),IF(L733="USD",M733*INDEX('Assumptions &amp; FX Reference'!$B$5:$B$25,MATCH(H733,'Assumptions &amp; FX Reference'!$A$5:$A$25,0))/INDEX('Assumptions &amp; FX Reference'!$C$5:$C$25,MATCH(H733,'Assumptions &amp; FX Reference'!$A$5:$A$25,0)),""))),"(FX missing)"))</f>
        <v/>
      </c>
      <c r="P733" s="30"/>
      <c r="Q733" s="30"/>
      <c r="R733" s="30"/>
      <c r="S733" s="30"/>
      <c r="T733" s="30"/>
      <c r="U733" s="30"/>
      <c r="V733" s="30"/>
    </row>
    <row r="734" spans="1:22">
      <c r="A734" s="30"/>
      <c r="B734" s="30"/>
      <c r="C734" s="33" t="str">
        <f>IF(B734="","",IFERROR(INDEX('Master Database'!$D$5:$D$600,MATCH(B734,'Master Database'!$A$5:$A$600,0)),"(row not found)"))</f>
        <v/>
      </c>
      <c r="D734" s="33" t="str">
        <f>IF(B734="","",IFERROR(INDEX('Master Database'!$B$5:$B$600,MATCH(B734,'Master Database'!$A$5:$A$600,0)),"(row not found)"))</f>
        <v/>
      </c>
      <c r="E734" s="30"/>
      <c r="F734" s="33" t="str">
        <f>IF(E734="","",IFERROR(INDEX(Vendor_Register!$B$5:$B$205,MATCH(E734,Vendor_Register!$A$5:$A$205,0)),"(not in register)"))</f>
        <v/>
      </c>
      <c r="G734" s="33" t="str">
        <f>IF(E734="","",IFERROR(INDEX(Vendor_Register!$E$5:$E$205,MATCH(E734,Vendor_Register!$A$5:$A$205,0)),"(not in register)"))</f>
        <v/>
      </c>
      <c r="H734" s="30"/>
      <c r="I734" s="30"/>
      <c r="J734" s="30"/>
      <c r="K734" s="30"/>
      <c r="L734" s="30"/>
      <c r="M734" s="34"/>
      <c r="N734" s="30"/>
      <c r="O734" s="35" t="str">
        <f>IF(NOT(ISNUMBER(M734)),"",IFERROR(IF(L734="EUR",M734,IF(L734="IRR",M734/INDEX('Assumptions &amp; FX Reference'!$C$5:$C$25,MATCH(H734,'Assumptions &amp; FX Reference'!$A$5:$A$25,0)),IF(L734="USD",M734*INDEX('Assumptions &amp; FX Reference'!$B$5:$B$25,MATCH(H734,'Assumptions &amp; FX Reference'!$A$5:$A$25,0))/INDEX('Assumptions &amp; FX Reference'!$C$5:$C$25,MATCH(H734,'Assumptions &amp; FX Reference'!$A$5:$A$25,0)),""))),"(FX missing)"))</f>
        <v/>
      </c>
      <c r="P734" s="30"/>
      <c r="Q734" s="30"/>
      <c r="R734" s="30"/>
      <c r="S734" s="30"/>
      <c r="T734" s="30"/>
      <c r="U734" s="30"/>
      <c r="V734" s="30"/>
    </row>
    <row r="735" spans="1:22">
      <c r="A735" s="30"/>
      <c r="B735" s="30"/>
      <c r="C735" s="33" t="str">
        <f>IF(B735="","",IFERROR(INDEX('Master Database'!$D$5:$D$600,MATCH(B735,'Master Database'!$A$5:$A$600,0)),"(row not found)"))</f>
        <v/>
      </c>
      <c r="D735" s="33" t="str">
        <f>IF(B735="","",IFERROR(INDEX('Master Database'!$B$5:$B$600,MATCH(B735,'Master Database'!$A$5:$A$600,0)),"(row not found)"))</f>
        <v/>
      </c>
      <c r="E735" s="30"/>
      <c r="F735" s="33" t="str">
        <f>IF(E735="","",IFERROR(INDEX(Vendor_Register!$B$5:$B$205,MATCH(E735,Vendor_Register!$A$5:$A$205,0)),"(not in register)"))</f>
        <v/>
      </c>
      <c r="G735" s="33" t="str">
        <f>IF(E735="","",IFERROR(INDEX(Vendor_Register!$E$5:$E$205,MATCH(E735,Vendor_Register!$A$5:$A$205,0)),"(not in register)"))</f>
        <v/>
      </c>
      <c r="H735" s="30"/>
      <c r="I735" s="30"/>
      <c r="J735" s="30"/>
      <c r="K735" s="30"/>
      <c r="L735" s="30"/>
      <c r="M735" s="34"/>
      <c r="N735" s="30"/>
      <c r="O735" s="35" t="str">
        <f>IF(NOT(ISNUMBER(M735)),"",IFERROR(IF(L735="EUR",M735,IF(L735="IRR",M735/INDEX('Assumptions &amp; FX Reference'!$C$5:$C$25,MATCH(H735,'Assumptions &amp; FX Reference'!$A$5:$A$25,0)),IF(L735="USD",M735*INDEX('Assumptions &amp; FX Reference'!$B$5:$B$25,MATCH(H735,'Assumptions &amp; FX Reference'!$A$5:$A$25,0))/INDEX('Assumptions &amp; FX Reference'!$C$5:$C$25,MATCH(H735,'Assumptions &amp; FX Reference'!$A$5:$A$25,0)),""))),"(FX missing)"))</f>
        <v/>
      </c>
      <c r="P735" s="30"/>
      <c r="Q735" s="30"/>
      <c r="R735" s="30"/>
      <c r="S735" s="30"/>
      <c r="T735" s="30"/>
      <c r="U735" s="30"/>
      <c r="V735" s="30"/>
    </row>
    <row r="736" spans="1:22">
      <c r="A736" s="30"/>
      <c r="B736" s="30"/>
      <c r="C736" s="33" t="str">
        <f>IF(B736="","",IFERROR(INDEX('Master Database'!$D$5:$D$600,MATCH(B736,'Master Database'!$A$5:$A$600,0)),"(row not found)"))</f>
        <v/>
      </c>
      <c r="D736" s="33" t="str">
        <f>IF(B736="","",IFERROR(INDEX('Master Database'!$B$5:$B$600,MATCH(B736,'Master Database'!$A$5:$A$600,0)),"(row not found)"))</f>
        <v/>
      </c>
      <c r="E736" s="30"/>
      <c r="F736" s="33" t="str">
        <f>IF(E736="","",IFERROR(INDEX(Vendor_Register!$B$5:$B$205,MATCH(E736,Vendor_Register!$A$5:$A$205,0)),"(not in register)"))</f>
        <v/>
      </c>
      <c r="G736" s="33" t="str">
        <f>IF(E736="","",IFERROR(INDEX(Vendor_Register!$E$5:$E$205,MATCH(E736,Vendor_Register!$A$5:$A$205,0)),"(not in register)"))</f>
        <v/>
      </c>
      <c r="H736" s="30"/>
      <c r="I736" s="30"/>
      <c r="J736" s="30"/>
      <c r="K736" s="30"/>
      <c r="L736" s="30"/>
      <c r="M736" s="34"/>
      <c r="N736" s="30"/>
      <c r="O736" s="35" t="str">
        <f>IF(NOT(ISNUMBER(M736)),"",IFERROR(IF(L736="EUR",M736,IF(L736="IRR",M736/INDEX('Assumptions &amp; FX Reference'!$C$5:$C$25,MATCH(H736,'Assumptions &amp; FX Reference'!$A$5:$A$25,0)),IF(L736="USD",M736*INDEX('Assumptions &amp; FX Reference'!$B$5:$B$25,MATCH(H736,'Assumptions &amp; FX Reference'!$A$5:$A$25,0))/INDEX('Assumptions &amp; FX Reference'!$C$5:$C$25,MATCH(H736,'Assumptions &amp; FX Reference'!$A$5:$A$25,0)),""))),"(FX missing)"))</f>
        <v/>
      </c>
      <c r="P736" s="30"/>
      <c r="Q736" s="30"/>
      <c r="R736" s="30"/>
      <c r="S736" s="30"/>
      <c r="T736" s="30"/>
      <c r="U736" s="30"/>
      <c r="V736" s="30"/>
    </row>
    <row r="737" spans="1:22">
      <c r="A737" s="30"/>
      <c r="B737" s="30"/>
      <c r="C737" s="33" t="str">
        <f>IF(B737="","",IFERROR(INDEX('Master Database'!$D$5:$D$600,MATCH(B737,'Master Database'!$A$5:$A$600,0)),"(row not found)"))</f>
        <v/>
      </c>
      <c r="D737" s="33" t="str">
        <f>IF(B737="","",IFERROR(INDEX('Master Database'!$B$5:$B$600,MATCH(B737,'Master Database'!$A$5:$A$600,0)),"(row not found)"))</f>
        <v/>
      </c>
      <c r="E737" s="30"/>
      <c r="F737" s="33" t="str">
        <f>IF(E737="","",IFERROR(INDEX(Vendor_Register!$B$5:$B$205,MATCH(E737,Vendor_Register!$A$5:$A$205,0)),"(not in register)"))</f>
        <v/>
      </c>
      <c r="G737" s="33" t="str">
        <f>IF(E737="","",IFERROR(INDEX(Vendor_Register!$E$5:$E$205,MATCH(E737,Vendor_Register!$A$5:$A$205,0)),"(not in register)"))</f>
        <v/>
      </c>
      <c r="H737" s="30"/>
      <c r="I737" s="30"/>
      <c r="J737" s="30"/>
      <c r="K737" s="30"/>
      <c r="L737" s="30"/>
      <c r="M737" s="34"/>
      <c r="N737" s="30"/>
      <c r="O737" s="35" t="str">
        <f>IF(NOT(ISNUMBER(M737)),"",IFERROR(IF(L737="EUR",M737,IF(L737="IRR",M737/INDEX('Assumptions &amp; FX Reference'!$C$5:$C$25,MATCH(H737,'Assumptions &amp; FX Reference'!$A$5:$A$25,0)),IF(L737="USD",M737*INDEX('Assumptions &amp; FX Reference'!$B$5:$B$25,MATCH(H737,'Assumptions &amp; FX Reference'!$A$5:$A$25,0))/INDEX('Assumptions &amp; FX Reference'!$C$5:$C$25,MATCH(H737,'Assumptions &amp; FX Reference'!$A$5:$A$25,0)),""))),"(FX missing)"))</f>
        <v/>
      </c>
      <c r="P737" s="30"/>
      <c r="Q737" s="30"/>
      <c r="R737" s="30"/>
      <c r="S737" s="30"/>
      <c r="T737" s="30"/>
      <c r="U737" s="30"/>
      <c r="V737" s="30"/>
    </row>
    <row r="738" spans="1:22">
      <c r="A738" s="30"/>
      <c r="B738" s="30"/>
      <c r="C738" s="33" t="str">
        <f>IF(B738="","",IFERROR(INDEX('Master Database'!$D$5:$D$600,MATCH(B738,'Master Database'!$A$5:$A$600,0)),"(row not found)"))</f>
        <v/>
      </c>
      <c r="D738" s="33" t="str">
        <f>IF(B738="","",IFERROR(INDEX('Master Database'!$B$5:$B$600,MATCH(B738,'Master Database'!$A$5:$A$600,0)),"(row not found)"))</f>
        <v/>
      </c>
      <c r="E738" s="30"/>
      <c r="F738" s="33" t="str">
        <f>IF(E738="","",IFERROR(INDEX(Vendor_Register!$B$5:$B$205,MATCH(E738,Vendor_Register!$A$5:$A$205,0)),"(not in register)"))</f>
        <v/>
      </c>
      <c r="G738" s="33" t="str">
        <f>IF(E738="","",IFERROR(INDEX(Vendor_Register!$E$5:$E$205,MATCH(E738,Vendor_Register!$A$5:$A$205,0)),"(not in register)"))</f>
        <v/>
      </c>
      <c r="H738" s="30"/>
      <c r="I738" s="30"/>
      <c r="J738" s="30"/>
      <c r="K738" s="30"/>
      <c r="L738" s="30"/>
      <c r="M738" s="34"/>
      <c r="N738" s="30"/>
      <c r="O738" s="35" t="str">
        <f>IF(NOT(ISNUMBER(M738)),"",IFERROR(IF(L738="EUR",M738,IF(L738="IRR",M738/INDEX('Assumptions &amp; FX Reference'!$C$5:$C$25,MATCH(H738,'Assumptions &amp; FX Reference'!$A$5:$A$25,0)),IF(L738="USD",M738*INDEX('Assumptions &amp; FX Reference'!$B$5:$B$25,MATCH(H738,'Assumptions &amp; FX Reference'!$A$5:$A$25,0))/INDEX('Assumptions &amp; FX Reference'!$C$5:$C$25,MATCH(H738,'Assumptions &amp; FX Reference'!$A$5:$A$25,0)),""))),"(FX missing)"))</f>
        <v/>
      </c>
      <c r="P738" s="30"/>
      <c r="Q738" s="30"/>
      <c r="R738" s="30"/>
      <c r="S738" s="30"/>
      <c r="T738" s="30"/>
      <c r="U738" s="30"/>
      <c r="V738" s="30"/>
    </row>
    <row r="739" spans="1:22">
      <c r="A739" s="30"/>
      <c r="B739" s="30"/>
      <c r="C739" s="33" t="str">
        <f>IF(B739="","",IFERROR(INDEX('Master Database'!$D$5:$D$600,MATCH(B739,'Master Database'!$A$5:$A$600,0)),"(row not found)"))</f>
        <v/>
      </c>
      <c r="D739" s="33" t="str">
        <f>IF(B739="","",IFERROR(INDEX('Master Database'!$B$5:$B$600,MATCH(B739,'Master Database'!$A$5:$A$600,0)),"(row not found)"))</f>
        <v/>
      </c>
      <c r="E739" s="30"/>
      <c r="F739" s="33" t="str">
        <f>IF(E739="","",IFERROR(INDEX(Vendor_Register!$B$5:$B$205,MATCH(E739,Vendor_Register!$A$5:$A$205,0)),"(not in register)"))</f>
        <v/>
      </c>
      <c r="G739" s="33" t="str">
        <f>IF(E739="","",IFERROR(INDEX(Vendor_Register!$E$5:$E$205,MATCH(E739,Vendor_Register!$A$5:$A$205,0)),"(not in register)"))</f>
        <v/>
      </c>
      <c r="H739" s="30"/>
      <c r="I739" s="30"/>
      <c r="J739" s="30"/>
      <c r="K739" s="30"/>
      <c r="L739" s="30"/>
      <c r="M739" s="34"/>
      <c r="N739" s="30"/>
      <c r="O739" s="35" t="str">
        <f>IF(NOT(ISNUMBER(M739)),"",IFERROR(IF(L739="EUR",M739,IF(L739="IRR",M739/INDEX('Assumptions &amp; FX Reference'!$C$5:$C$25,MATCH(H739,'Assumptions &amp; FX Reference'!$A$5:$A$25,0)),IF(L739="USD",M739*INDEX('Assumptions &amp; FX Reference'!$B$5:$B$25,MATCH(H739,'Assumptions &amp; FX Reference'!$A$5:$A$25,0))/INDEX('Assumptions &amp; FX Reference'!$C$5:$C$25,MATCH(H739,'Assumptions &amp; FX Reference'!$A$5:$A$25,0)),""))),"(FX missing)"))</f>
        <v/>
      </c>
      <c r="P739" s="30"/>
      <c r="Q739" s="30"/>
      <c r="R739" s="30"/>
      <c r="S739" s="30"/>
      <c r="T739" s="30"/>
      <c r="U739" s="30"/>
      <c r="V739" s="30"/>
    </row>
    <row r="740" spans="1:22">
      <c r="A740" s="30"/>
      <c r="B740" s="30"/>
      <c r="C740" s="33" t="str">
        <f>IF(B740="","",IFERROR(INDEX('Master Database'!$D$5:$D$600,MATCH(B740,'Master Database'!$A$5:$A$600,0)),"(row not found)"))</f>
        <v/>
      </c>
      <c r="D740" s="33" t="str">
        <f>IF(B740="","",IFERROR(INDEX('Master Database'!$B$5:$B$600,MATCH(B740,'Master Database'!$A$5:$A$600,0)),"(row not found)"))</f>
        <v/>
      </c>
      <c r="E740" s="30"/>
      <c r="F740" s="33" t="str">
        <f>IF(E740="","",IFERROR(INDEX(Vendor_Register!$B$5:$B$205,MATCH(E740,Vendor_Register!$A$5:$A$205,0)),"(not in register)"))</f>
        <v/>
      </c>
      <c r="G740" s="33" t="str">
        <f>IF(E740="","",IFERROR(INDEX(Vendor_Register!$E$5:$E$205,MATCH(E740,Vendor_Register!$A$5:$A$205,0)),"(not in register)"))</f>
        <v/>
      </c>
      <c r="H740" s="30"/>
      <c r="I740" s="30"/>
      <c r="J740" s="30"/>
      <c r="K740" s="30"/>
      <c r="L740" s="30"/>
      <c r="M740" s="34"/>
      <c r="N740" s="30"/>
      <c r="O740" s="35" t="str">
        <f>IF(NOT(ISNUMBER(M740)),"",IFERROR(IF(L740="EUR",M740,IF(L740="IRR",M740/INDEX('Assumptions &amp; FX Reference'!$C$5:$C$25,MATCH(H740,'Assumptions &amp; FX Reference'!$A$5:$A$25,0)),IF(L740="USD",M740*INDEX('Assumptions &amp; FX Reference'!$B$5:$B$25,MATCH(H740,'Assumptions &amp; FX Reference'!$A$5:$A$25,0))/INDEX('Assumptions &amp; FX Reference'!$C$5:$C$25,MATCH(H740,'Assumptions &amp; FX Reference'!$A$5:$A$25,0)),""))),"(FX missing)"))</f>
        <v/>
      </c>
      <c r="P740" s="30"/>
      <c r="Q740" s="30"/>
      <c r="R740" s="30"/>
      <c r="S740" s="30"/>
      <c r="T740" s="30"/>
      <c r="U740" s="30"/>
      <c r="V740" s="30"/>
    </row>
    <row r="741" spans="1:22">
      <c r="A741" s="30"/>
      <c r="B741" s="30"/>
      <c r="C741" s="33" t="str">
        <f>IF(B741="","",IFERROR(INDEX('Master Database'!$D$5:$D$600,MATCH(B741,'Master Database'!$A$5:$A$600,0)),"(row not found)"))</f>
        <v/>
      </c>
      <c r="D741" s="33" t="str">
        <f>IF(B741="","",IFERROR(INDEX('Master Database'!$B$5:$B$600,MATCH(B741,'Master Database'!$A$5:$A$600,0)),"(row not found)"))</f>
        <v/>
      </c>
      <c r="E741" s="30"/>
      <c r="F741" s="33" t="str">
        <f>IF(E741="","",IFERROR(INDEX(Vendor_Register!$B$5:$B$205,MATCH(E741,Vendor_Register!$A$5:$A$205,0)),"(not in register)"))</f>
        <v/>
      </c>
      <c r="G741" s="33" t="str">
        <f>IF(E741="","",IFERROR(INDEX(Vendor_Register!$E$5:$E$205,MATCH(E741,Vendor_Register!$A$5:$A$205,0)),"(not in register)"))</f>
        <v/>
      </c>
      <c r="H741" s="30"/>
      <c r="I741" s="30"/>
      <c r="J741" s="30"/>
      <c r="K741" s="30"/>
      <c r="L741" s="30"/>
      <c r="M741" s="34"/>
      <c r="N741" s="30"/>
      <c r="O741" s="35" t="str">
        <f>IF(NOT(ISNUMBER(M741)),"",IFERROR(IF(L741="EUR",M741,IF(L741="IRR",M741/INDEX('Assumptions &amp; FX Reference'!$C$5:$C$25,MATCH(H741,'Assumptions &amp; FX Reference'!$A$5:$A$25,0)),IF(L741="USD",M741*INDEX('Assumptions &amp; FX Reference'!$B$5:$B$25,MATCH(H741,'Assumptions &amp; FX Reference'!$A$5:$A$25,0))/INDEX('Assumptions &amp; FX Reference'!$C$5:$C$25,MATCH(H741,'Assumptions &amp; FX Reference'!$A$5:$A$25,0)),""))),"(FX missing)"))</f>
        <v/>
      </c>
      <c r="P741" s="30"/>
      <c r="Q741" s="30"/>
      <c r="R741" s="30"/>
      <c r="S741" s="30"/>
      <c r="T741" s="30"/>
      <c r="U741" s="30"/>
      <c r="V741" s="30"/>
    </row>
    <row r="742" spans="1:22">
      <c r="A742" s="30"/>
      <c r="B742" s="30"/>
      <c r="C742" s="33" t="str">
        <f>IF(B742="","",IFERROR(INDEX('Master Database'!$D$5:$D$600,MATCH(B742,'Master Database'!$A$5:$A$600,0)),"(row not found)"))</f>
        <v/>
      </c>
      <c r="D742" s="33" t="str">
        <f>IF(B742="","",IFERROR(INDEX('Master Database'!$B$5:$B$600,MATCH(B742,'Master Database'!$A$5:$A$600,0)),"(row not found)"))</f>
        <v/>
      </c>
      <c r="E742" s="30"/>
      <c r="F742" s="33" t="str">
        <f>IF(E742="","",IFERROR(INDEX(Vendor_Register!$B$5:$B$205,MATCH(E742,Vendor_Register!$A$5:$A$205,0)),"(not in register)"))</f>
        <v/>
      </c>
      <c r="G742" s="33" t="str">
        <f>IF(E742="","",IFERROR(INDEX(Vendor_Register!$E$5:$E$205,MATCH(E742,Vendor_Register!$A$5:$A$205,0)),"(not in register)"))</f>
        <v/>
      </c>
      <c r="H742" s="30"/>
      <c r="I742" s="30"/>
      <c r="J742" s="30"/>
      <c r="K742" s="30"/>
      <c r="L742" s="30"/>
      <c r="M742" s="34"/>
      <c r="N742" s="30"/>
      <c r="O742" s="35" t="str">
        <f>IF(NOT(ISNUMBER(M742)),"",IFERROR(IF(L742="EUR",M742,IF(L742="IRR",M742/INDEX('Assumptions &amp; FX Reference'!$C$5:$C$25,MATCH(H742,'Assumptions &amp; FX Reference'!$A$5:$A$25,0)),IF(L742="USD",M742*INDEX('Assumptions &amp; FX Reference'!$B$5:$B$25,MATCH(H742,'Assumptions &amp; FX Reference'!$A$5:$A$25,0))/INDEX('Assumptions &amp; FX Reference'!$C$5:$C$25,MATCH(H742,'Assumptions &amp; FX Reference'!$A$5:$A$25,0)),""))),"(FX missing)"))</f>
        <v/>
      </c>
      <c r="P742" s="30"/>
      <c r="Q742" s="30"/>
      <c r="R742" s="30"/>
      <c r="S742" s="30"/>
      <c r="T742" s="30"/>
      <c r="U742" s="30"/>
      <c r="V742" s="30"/>
    </row>
    <row r="743" spans="1:22">
      <c r="A743" s="30"/>
      <c r="B743" s="30"/>
      <c r="C743" s="33" t="str">
        <f>IF(B743="","",IFERROR(INDEX('Master Database'!$D$5:$D$600,MATCH(B743,'Master Database'!$A$5:$A$600,0)),"(row not found)"))</f>
        <v/>
      </c>
      <c r="D743" s="33" t="str">
        <f>IF(B743="","",IFERROR(INDEX('Master Database'!$B$5:$B$600,MATCH(B743,'Master Database'!$A$5:$A$600,0)),"(row not found)"))</f>
        <v/>
      </c>
      <c r="E743" s="30"/>
      <c r="F743" s="33" t="str">
        <f>IF(E743="","",IFERROR(INDEX(Vendor_Register!$B$5:$B$205,MATCH(E743,Vendor_Register!$A$5:$A$205,0)),"(not in register)"))</f>
        <v/>
      </c>
      <c r="G743" s="33" t="str">
        <f>IF(E743="","",IFERROR(INDEX(Vendor_Register!$E$5:$E$205,MATCH(E743,Vendor_Register!$A$5:$A$205,0)),"(not in register)"))</f>
        <v/>
      </c>
      <c r="H743" s="30"/>
      <c r="I743" s="30"/>
      <c r="J743" s="30"/>
      <c r="K743" s="30"/>
      <c r="L743" s="30"/>
      <c r="M743" s="34"/>
      <c r="N743" s="30"/>
      <c r="O743" s="35" t="str">
        <f>IF(NOT(ISNUMBER(M743)),"",IFERROR(IF(L743="EUR",M743,IF(L743="IRR",M743/INDEX('Assumptions &amp; FX Reference'!$C$5:$C$25,MATCH(H743,'Assumptions &amp; FX Reference'!$A$5:$A$25,0)),IF(L743="USD",M743*INDEX('Assumptions &amp; FX Reference'!$B$5:$B$25,MATCH(H743,'Assumptions &amp; FX Reference'!$A$5:$A$25,0))/INDEX('Assumptions &amp; FX Reference'!$C$5:$C$25,MATCH(H743,'Assumptions &amp; FX Reference'!$A$5:$A$25,0)),""))),"(FX missing)"))</f>
        <v/>
      </c>
      <c r="P743" s="30"/>
      <c r="Q743" s="30"/>
      <c r="R743" s="30"/>
      <c r="S743" s="30"/>
      <c r="T743" s="30"/>
      <c r="U743" s="30"/>
      <c r="V743" s="30"/>
    </row>
    <row r="744" spans="1:22">
      <c r="A744" s="30"/>
      <c r="B744" s="30"/>
      <c r="C744" s="33" t="str">
        <f>IF(B744="","",IFERROR(INDEX('Master Database'!$D$5:$D$600,MATCH(B744,'Master Database'!$A$5:$A$600,0)),"(row not found)"))</f>
        <v/>
      </c>
      <c r="D744" s="33" t="str">
        <f>IF(B744="","",IFERROR(INDEX('Master Database'!$B$5:$B$600,MATCH(B744,'Master Database'!$A$5:$A$600,0)),"(row not found)"))</f>
        <v/>
      </c>
      <c r="E744" s="30"/>
      <c r="F744" s="33" t="str">
        <f>IF(E744="","",IFERROR(INDEX(Vendor_Register!$B$5:$B$205,MATCH(E744,Vendor_Register!$A$5:$A$205,0)),"(not in register)"))</f>
        <v/>
      </c>
      <c r="G744" s="33" t="str">
        <f>IF(E744="","",IFERROR(INDEX(Vendor_Register!$E$5:$E$205,MATCH(E744,Vendor_Register!$A$5:$A$205,0)),"(not in register)"))</f>
        <v/>
      </c>
      <c r="H744" s="30"/>
      <c r="I744" s="30"/>
      <c r="J744" s="30"/>
      <c r="K744" s="30"/>
      <c r="L744" s="30"/>
      <c r="M744" s="34"/>
      <c r="N744" s="30"/>
      <c r="O744" s="35" t="str">
        <f>IF(NOT(ISNUMBER(M744)),"",IFERROR(IF(L744="EUR",M744,IF(L744="IRR",M744/INDEX('Assumptions &amp; FX Reference'!$C$5:$C$25,MATCH(H744,'Assumptions &amp; FX Reference'!$A$5:$A$25,0)),IF(L744="USD",M744*INDEX('Assumptions &amp; FX Reference'!$B$5:$B$25,MATCH(H744,'Assumptions &amp; FX Reference'!$A$5:$A$25,0))/INDEX('Assumptions &amp; FX Reference'!$C$5:$C$25,MATCH(H744,'Assumptions &amp; FX Reference'!$A$5:$A$25,0)),""))),"(FX missing)"))</f>
        <v/>
      </c>
      <c r="P744" s="30"/>
      <c r="Q744" s="30"/>
      <c r="R744" s="30"/>
      <c r="S744" s="30"/>
      <c r="T744" s="30"/>
      <c r="U744" s="30"/>
      <c r="V744" s="30"/>
    </row>
    <row r="745" spans="1:22">
      <c r="A745" s="30"/>
      <c r="B745" s="30"/>
      <c r="C745" s="33" t="str">
        <f>IF(B745="","",IFERROR(INDEX('Master Database'!$D$5:$D$600,MATCH(B745,'Master Database'!$A$5:$A$600,0)),"(row not found)"))</f>
        <v/>
      </c>
      <c r="D745" s="33" t="str">
        <f>IF(B745="","",IFERROR(INDEX('Master Database'!$B$5:$B$600,MATCH(B745,'Master Database'!$A$5:$A$600,0)),"(row not found)"))</f>
        <v/>
      </c>
      <c r="E745" s="30"/>
      <c r="F745" s="33" t="str">
        <f>IF(E745="","",IFERROR(INDEX(Vendor_Register!$B$5:$B$205,MATCH(E745,Vendor_Register!$A$5:$A$205,0)),"(not in register)"))</f>
        <v/>
      </c>
      <c r="G745" s="33" t="str">
        <f>IF(E745="","",IFERROR(INDEX(Vendor_Register!$E$5:$E$205,MATCH(E745,Vendor_Register!$A$5:$A$205,0)),"(not in register)"))</f>
        <v/>
      </c>
      <c r="H745" s="30"/>
      <c r="I745" s="30"/>
      <c r="J745" s="30"/>
      <c r="K745" s="30"/>
      <c r="L745" s="30"/>
      <c r="M745" s="34"/>
      <c r="N745" s="30"/>
      <c r="O745" s="35" t="str">
        <f>IF(NOT(ISNUMBER(M745)),"",IFERROR(IF(L745="EUR",M745,IF(L745="IRR",M745/INDEX('Assumptions &amp; FX Reference'!$C$5:$C$25,MATCH(H745,'Assumptions &amp; FX Reference'!$A$5:$A$25,0)),IF(L745="USD",M745*INDEX('Assumptions &amp; FX Reference'!$B$5:$B$25,MATCH(H745,'Assumptions &amp; FX Reference'!$A$5:$A$25,0))/INDEX('Assumptions &amp; FX Reference'!$C$5:$C$25,MATCH(H745,'Assumptions &amp; FX Reference'!$A$5:$A$25,0)),""))),"(FX missing)"))</f>
        <v/>
      </c>
      <c r="P745" s="30"/>
      <c r="Q745" s="30"/>
      <c r="R745" s="30"/>
      <c r="S745" s="30"/>
      <c r="T745" s="30"/>
      <c r="U745" s="30"/>
      <c r="V745" s="30"/>
    </row>
    <row r="746" spans="1:22">
      <c r="A746" s="30"/>
      <c r="B746" s="30"/>
      <c r="C746" s="33" t="str">
        <f>IF(B746="","",IFERROR(INDEX('Master Database'!$D$5:$D$600,MATCH(B746,'Master Database'!$A$5:$A$600,0)),"(row not found)"))</f>
        <v/>
      </c>
      <c r="D746" s="33" t="str">
        <f>IF(B746="","",IFERROR(INDEX('Master Database'!$B$5:$B$600,MATCH(B746,'Master Database'!$A$5:$A$600,0)),"(row not found)"))</f>
        <v/>
      </c>
      <c r="E746" s="30"/>
      <c r="F746" s="33" t="str">
        <f>IF(E746="","",IFERROR(INDEX(Vendor_Register!$B$5:$B$205,MATCH(E746,Vendor_Register!$A$5:$A$205,0)),"(not in register)"))</f>
        <v/>
      </c>
      <c r="G746" s="33" t="str">
        <f>IF(E746="","",IFERROR(INDEX(Vendor_Register!$E$5:$E$205,MATCH(E746,Vendor_Register!$A$5:$A$205,0)),"(not in register)"))</f>
        <v/>
      </c>
      <c r="H746" s="30"/>
      <c r="I746" s="30"/>
      <c r="J746" s="30"/>
      <c r="K746" s="30"/>
      <c r="L746" s="30"/>
      <c r="M746" s="34"/>
      <c r="N746" s="30"/>
      <c r="O746" s="35" t="str">
        <f>IF(NOT(ISNUMBER(M746)),"",IFERROR(IF(L746="EUR",M746,IF(L746="IRR",M746/INDEX('Assumptions &amp; FX Reference'!$C$5:$C$25,MATCH(H746,'Assumptions &amp; FX Reference'!$A$5:$A$25,0)),IF(L746="USD",M746*INDEX('Assumptions &amp; FX Reference'!$B$5:$B$25,MATCH(H746,'Assumptions &amp; FX Reference'!$A$5:$A$25,0))/INDEX('Assumptions &amp; FX Reference'!$C$5:$C$25,MATCH(H746,'Assumptions &amp; FX Reference'!$A$5:$A$25,0)),""))),"(FX missing)"))</f>
        <v/>
      </c>
      <c r="P746" s="30"/>
      <c r="Q746" s="30"/>
      <c r="R746" s="30"/>
      <c r="S746" s="30"/>
      <c r="T746" s="30"/>
      <c r="U746" s="30"/>
      <c r="V746" s="30"/>
    </row>
    <row r="747" spans="1:22">
      <c r="A747" s="30"/>
      <c r="B747" s="30"/>
      <c r="C747" s="33" t="str">
        <f>IF(B747="","",IFERROR(INDEX('Master Database'!$D$5:$D$600,MATCH(B747,'Master Database'!$A$5:$A$600,0)),"(row not found)"))</f>
        <v/>
      </c>
      <c r="D747" s="33" t="str">
        <f>IF(B747="","",IFERROR(INDEX('Master Database'!$B$5:$B$600,MATCH(B747,'Master Database'!$A$5:$A$600,0)),"(row not found)"))</f>
        <v/>
      </c>
      <c r="E747" s="30"/>
      <c r="F747" s="33" t="str">
        <f>IF(E747="","",IFERROR(INDEX(Vendor_Register!$B$5:$B$205,MATCH(E747,Vendor_Register!$A$5:$A$205,0)),"(not in register)"))</f>
        <v/>
      </c>
      <c r="G747" s="33" t="str">
        <f>IF(E747="","",IFERROR(INDEX(Vendor_Register!$E$5:$E$205,MATCH(E747,Vendor_Register!$A$5:$A$205,0)),"(not in register)"))</f>
        <v/>
      </c>
      <c r="H747" s="30"/>
      <c r="I747" s="30"/>
      <c r="J747" s="30"/>
      <c r="K747" s="30"/>
      <c r="L747" s="30"/>
      <c r="M747" s="34"/>
      <c r="N747" s="30"/>
      <c r="O747" s="35" t="str">
        <f>IF(NOT(ISNUMBER(M747)),"",IFERROR(IF(L747="EUR",M747,IF(L747="IRR",M747/INDEX('Assumptions &amp; FX Reference'!$C$5:$C$25,MATCH(H747,'Assumptions &amp; FX Reference'!$A$5:$A$25,0)),IF(L747="USD",M747*INDEX('Assumptions &amp; FX Reference'!$B$5:$B$25,MATCH(H747,'Assumptions &amp; FX Reference'!$A$5:$A$25,0))/INDEX('Assumptions &amp; FX Reference'!$C$5:$C$25,MATCH(H747,'Assumptions &amp; FX Reference'!$A$5:$A$25,0)),""))),"(FX missing)"))</f>
        <v/>
      </c>
      <c r="P747" s="30"/>
      <c r="Q747" s="30"/>
      <c r="R747" s="30"/>
      <c r="S747" s="30"/>
      <c r="T747" s="30"/>
      <c r="U747" s="30"/>
      <c r="V747" s="30"/>
    </row>
    <row r="748" spans="1:22">
      <c r="A748" s="30"/>
      <c r="B748" s="30"/>
      <c r="C748" s="33" t="str">
        <f>IF(B748="","",IFERROR(INDEX('Master Database'!$D$5:$D$600,MATCH(B748,'Master Database'!$A$5:$A$600,0)),"(row not found)"))</f>
        <v/>
      </c>
      <c r="D748" s="33" t="str">
        <f>IF(B748="","",IFERROR(INDEX('Master Database'!$B$5:$B$600,MATCH(B748,'Master Database'!$A$5:$A$600,0)),"(row not found)"))</f>
        <v/>
      </c>
      <c r="E748" s="30"/>
      <c r="F748" s="33" t="str">
        <f>IF(E748="","",IFERROR(INDEX(Vendor_Register!$B$5:$B$205,MATCH(E748,Vendor_Register!$A$5:$A$205,0)),"(not in register)"))</f>
        <v/>
      </c>
      <c r="G748" s="33" t="str">
        <f>IF(E748="","",IFERROR(INDEX(Vendor_Register!$E$5:$E$205,MATCH(E748,Vendor_Register!$A$5:$A$205,0)),"(not in register)"))</f>
        <v/>
      </c>
      <c r="H748" s="30"/>
      <c r="I748" s="30"/>
      <c r="J748" s="30"/>
      <c r="K748" s="30"/>
      <c r="L748" s="30"/>
      <c r="M748" s="34"/>
      <c r="N748" s="30"/>
      <c r="O748" s="35" t="str">
        <f>IF(NOT(ISNUMBER(M748)),"",IFERROR(IF(L748="EUR",M748,IF(L748="IRR",M748/INDEX('Assumptions &amp; FX Reference'!$C$5:$C$25,MATCH(H748,'Assumptions &amp; FX Reference'!$A$5:$A$25,0)),IF(L748="USD",M748*INDEX('Assumptions &amp; FX Reference'!$B$5:$B$25,MATCH(H748,'Assumptions &amp; FX Reference'!$A$5:$A$25,0))/INDEX('Assumptions &amp; FX Reference'!$C$5:$C$25,MATCH(H748,'Assumptions &amp; FX Reference'!$A$5:$A$25,0)),""))),"(FX missing)"))</f>
        <v/>
      </c>
      <c r="P748" s="30"/>
      <c r="Q748" s="30"/>
      <c r="R748" s="30"/>
      <c r="S748" s="30"/>
      <c r="T748" s="30"/>
      <c r="U748" s="30"/>
      <c r="V748" s="30"/>
    </row>
    <row r="749" spans="1:22">
      <c r="A749" s="30"/>
      <c r="B749" s="30"/>
      <c r="C749" s="33" t="str">
        <f>IF(B749="","",IFERROR(INDEX('Master Database'!$D$5:$D$600,MATCH(B749,'Master Database'!$A$5:$A$600,0)),"(row not found)"))</f>
        <v/>
      </c>
      <c r="D749" s="33" t="str">
        <f>IF(B749="","",IFERROR(INDEX('Master Database'!$B$5:$B$600,MATCH(B749,'Master Database'!$A$5:$A$600,0)),"(row not found)"))</f>
        <v/>
      </c>
      <c r="E749" s="30"/>
      <c r="F749" s="33" t="str">
        <f>IF(E749="","",IFERROR(INDEX(Vendor_Register!$B$5:$B$205,MATCH(E749,Vendor_Register!$A$5:$A$205,0)),"(not in register)"))</f>
        <v/>
      </c>
      <c r="G749" s="33" t="str">
        <f>IF(E749="","",IFERROR(INDEX(Vendor_Register!$E$5:$E$205,MATCH(E749,Vendor_Register!$A$5:$A$205,0)),"(not in register)"))</f>
        <v/>
      </c>
      <c r="H749" s="30"/>
      <c r="I749" s="30"/>
      <c r="J749" s="30"/>
      <c r="K749" s="30"/>
      <c r="L749" s="30"/>
      <c r="M749" s="34"/>
      <c r="N749" s="30"/>
      <c r="O749" s="35" t="str">
        <f>IF(NOT(ISNUMBER(M749)),"",IFERROR(IF(L749="EUR",M749,IF(L749="IRR",M749/INDEX('Assumptions &amp; FX Reference'!$C$5:$C$25,MATCH(H749,'Assumptions &amp; FX Reference'!$A$5:$A$25,0)),IF(L749="USD",M749*INDEX('Assumptions &amp; FX Reference'!$B$5:$B$25,MATCH(H749,'Assumptions &amp; FX Reference'!$A$5:$A$25,0))/INDEX('Assumptions &amp; FX Reference'!$C$5:$C$25,MATCH(H749,'Assumptions &amp; FX Reference'!$A$5:$A$25,0)),""))),"(FX missing)"))</f>
        <v/>
      </c>
      <c r="P749" s="30"/>
      <c r="Q749" s="30"/>
      <c r="R749" s="30"/>
      <c r="S749" s="30"/>
      <c r="T749" s="30"/>
      <c r="U749" s="30"/>
      <c r="V749" s="30"/>
    </row>
    <row r="750" spans="1:22">
      <c r="A750" s="30"/>
      <c r="B750" s="30"/>
      <c r="C750" s="33" t="str">
        <f>IF(B750="","",IFERROR(INDEX('Master Database'!$D$5:$D$600,MATCH(B750,'Master Database'!$A$5:$A$600,0)),"(row not found)"))</f>
        <v/>
      </c>
      <c r="D750" s="33" t="str">
        <f>IF(B750="","",IFERROR(INDEX('Master Database'!$B$5:$B$600,MATCH(B750,'Master Database'!$A$5:$A$600,0)),"(row not found)"))</f>
        <v/>
      </c>
      <c r="E750" s="30"/>
      <c r="F750" s="33" t="str">
        <f>IF(E750="","",IFERROR(INDEX(Vendor_Register!$B$5:$B$205,MATCH(E750,Vendor_Register!$A$5:$A$205,0)),"(not in register)"))</f>
        <v/>
      </c>
      <c r="G750" s="33" t="str">
        <f>IF(E750="","",IFERROR(INDEX(Vendor_Register!$E$5:$E$205,MATCH(E750,Vendor_Register!$A$5:$A$205,0)),"(not in register)"))</f>
        <v/>
      </c>
      <c r="H750" s="30"/>
      <c r="I750" s="30"/>
      <c r="J750" s="30"/>
      <c r="K750" s="30"/>
      <c r="L750" s="30"/>
      <c r="M750" s="34"/>
      <c r="N750" s="30"/>
      <c r="O750" s="35" t="str">
        <f>IF(NOT(ISNUMBER(M750)),"",IFERROR(IF(L750="EUR",M750,IF(L750="IRR",M750/INDEX('Assumptions &amp; FX Reference'!$C$5:$C$25,MATCH(H750,'Assumptions &amp; FX Reference'!$A$5:$A$25,0)),IF(L750="USD",M750*INDEX('Assumptions &amp; FX Reference'!$B$5:$B$25,MATCH(H750,'Assumptions &amp; FX Reference'!$A$5:$A$25,0))/INDEX('Assumptions &amp; FX Reference'!$C$5:$C$25,MATCH(H750,'Assumptions &amp; FX Reference'!$A$5:$A$25,0)),""))),"(FX missing)"))</f>
        <v/>
      </c>
      <c r="P750" s="30"/>
      <c r="Q750" s="30"/>
      <c r="R750" s="30"/>
      <c r="S750" s="30"/>
      <c r="T750" s="30"/>
      <c r="U750" s="30"/>
      <c r="V750" s="30"/>
    </row>
    <row r="751" spans="1:22">
      <c r="A751" s="30"/>
      <c r="B751" s="30"/>
      <c r="C751" s="33" t="str">
        <f>IF(B751="","",IFERROR(INDEX('Master Database'!$D$5:$D$600,MATCH(B751,'Master Database'!$A$5:$A$600,0)),"(row not found)"))</f>
        <v/>
      </c>
      <c r="D751" s="33" t="str">
        <f>IF(B751="","",IFERROR(INDEX('Master Database'!$B$5:$B$600,MATCH(B751,'Master Database'!$A$5:$A$600,0)),"(row not found)"))</f>
        <v/>
      </c>
      <c r="E751" s="30"/>
      <c r="F751" s="33" t="str">
        <f>IF(E751="","",IFERROR(INDEX(Vendor_Register!$B$5:$B$205,MATCH(E751,Vendor_Register!$A$5:$A$205,0)),"(not in register)"))</f>
        <v/>
      </c>
      <c r="G751" s="33" t="str">
        <f>IF(E751="","",IFERROR(INDEX(Vendor_Register!$E$5:$E$205,MATCH(E751,Vendor_Register!$A$5:$A$205,0)),"(not in register)"))</f>
        <v/>
      </c>
      <c r="H751" s="30"/>
      <c r="I751" s="30"/>
      <c r="J751" s="30"/>
      <c r="K751" s="30"/>
      <c r="L751" s="30"/>
      <c r="M751" s="34"/>
      <c r="N751" s="30"/>
      <c r="O751" s="35" t="str">
        <f>IF(NOT(ISNUMBER(M751)),"",IFERROR(IF(L751="EUR",M751,IF(L751="IRR",M751/INDEX('Assumptions &amp; FX Reference'!$C$5:$C$25,MATCH(H751,'Assumptions &amp; FX Reference'!$A$5:$A$25,0)),IF(L751="USD",M751*INDEX('Assumptions &amp; FX Reference'!$B$5:$B$25,MATCH(H751,'Assumptions &amp; FX Reference'!$A$5:$A$25,0))/INDEX('Assumptions &amp; FX Reference'!$C$5:$C$25,MATCH(H751,'Assumptions &amp; FX Reference'!$A$5:$A$25,0)),""))),"(FX missing)"))</f>
        <v/>
      </c>
      <c r="P751" s="30"/>
      <c r="Q751" s="30"/>
      <c r="R751" s="30"/>
      <c r="S751" s="30"/>
      <c r="T751" s="30"/>
      <c r="U751" s="30"/>
      <c r="V751" s="30"/>
    </row>
    <row r="752" spans="1:22">
      <c r="A752" s="30"/>
      <c r="B752" s="30"/>
      <c r="C752" s="33" t="str">
        <f>IF(B752="","",IFERROR(INDEX('Master Database'!$D$5:$D$600,MATCH(B752,'Master Database'!$A$5:$A$600,0)),"(row not found)"))</f>
        <v/>
      </c>
      <c r="D752" s="33" t="str">
        <f>IF(B752="","",IFERROR(INDEX('Master Database'!$B$5:$B$600,MATCH(B752,'Master Database'!$A$5:$A$600,0)),"(row not found)"))</f>
        <v/>
      </c>
      <c r="E752" s="30"/>
      <c r="F752" s="33" t="str">
        <f>IF(E752="","",IFERROR(INDEX(Vendor_Register!$B$5:$B$205,MATCH(E752,Vendor_Register!$A$5:$A$205,0)),"(not in register)"))</f>
        <v/>
      </c>
      <c r="G752" s="33" t="str">
        <f>IF(E752="","",IFERROR(INDEX(Vendor_Register!$E$5:$E$205,MATCH(E752,Vendor_Register!$A$5:$A$205,0)),"(not in register)"))</f>
        <v/>
      </c>
      <c r="H752" s="30"/>
      <c r="I752" s="30"/>
      <c r="J752" s="30"/>
      <c r="K752" s="30"/>
      <c r="L752" s="30"/>
      <c r="M752" s="34"/>
      <c r="N752" s="30"/>
      <c r="O752" s="35" t="str">
        <f>IF(NOT(ISNUMBER(M752)),"",IFERROR(IF(L752="EUR",M752,IF(L752="IRR",M752/INDEX('Assumptions &amp; FX Reference'!$C$5:$C$25,MATCH(H752,'Assumptions &amp; FX Reference'!$A$5:$A$25,0)),IF(L752="USD",M752*INDEX('Assumptions &amp; FX Reference'!$B$5:$B$25,MATCH(H752,'Assumptions &amp; FX Reference'!$A$5:$A$25,0))/INDEX('Assumptions &amp; FX Reference'!$C$5:$C$25,MATCH(H752,'Assumptions &amp; FX Reference'!$A$5:$A$25,0)),""))),"(FX missing)"))</f>
        <v/>
      </c>
      <c r="P752" s="30"/>
      <c r="Q752" s="30"/>
      <c r="R752" s="30"/>
      <c r="S752" s="30"/>
      <c r="T752" s="30"/>
      <c r="U752" s="30"/>
      <c r="V752" s="30"/>
    </row>
    <row r="753" spans="1:22">
      <c r="A753" s="30"/>
      <c r="B753" s="30"/>
      <c r="C753" s="33" t="str">
        <f>IF(B753="","",IFERROR(INDEX('Master Database'!$D$5:$D$600,MATCH(B753,'Master Database'!$A$5:$A$600,0)),"(row not found)"))</f>
        <v/>
      </c>
      <c r="D753" s="33" t="str">
        <f>IF(B753="","",IFERROR(INDEX('Master Database'!$B$5:$B$600,MATCH(B753,'Master Database'!$A$5:$A$600,0)),"(row not found)"))</f>
        <v/>
      </c>
      <c r="E753" s="30"/>
      <c r="F753" s="33" t="str">
        <f>IF(E753="","",IFERROR(INDEX(Vendor_Register!$B$5:$B$205,MATCH(E753,Vendor_Register!$A$5:$A$205,0)),"(not in register)"))</f>
        <v/>
      </c>
      <c r="G753" s="33" t="str">
        <f>IF(E753="","",IFERROR(INDEX(Vendor_Register!$E$5:$E$205,MATCH(E753,Vendor_Register!$A$5:$A$205,0)),"(not in register)"))</f>
        <v/>
      </c>
      <c r="H753" s="30"/>
      <c r="I753" s="30"/>
      <c r="J753" s="30"/>
      <c r="K753" s="30"/>
      <c r="L753" s="30"/>
      <c r="M753" s="34"/>
      <c r="N753" s="30"/>
      <c r="O753" s="35" t="str">
        <f>IF(NOT(ISNUMBER(M753)),"",IFERROR(IF(L753="EUR",M753,IF(L753="IRR",M753/INDEX('Assumptions &amp; FX Reference'!$C$5:$C$25,MATCH(H753,'Assumptions &amp; FX Reference'!$A$5:$A$25,0)),IF(L753="USD",M753*INDEX('Assumptions &amp; FX Reference'!$B$5:$B$25,MATCH(H753,'Assumptions &amp; FX Reference'!$A$5:$A$25,0))/INDEX('Assumptions &amp; FX Reference'!$C$5:$C$25,MATCH(H753,'Assumptions &amp; FX Reference'!$A$5:$A$25,0)),""))),"(FX missing)"))</f>
        <v/>
      </c>
      <c r="P753" s="30"/>
      <c r="Q753" s="30"/>
      <c r="R753" s="30"/>
      <c r="S753" s="30"/>
      <c r="T753" s="30"/>
      <c r="U753" s="30"/>
      <c r="V753" s="30"/>
    </row>
    <row r="754" spans="1:22">
      <c r="A754" s="30"/>
      <c r="B754" s="30"/>
      <c r="C754" s="33" t="str">
        <f>IF(B754="","",IFERROR(INDEX('Master Database'!$D$5:$D$600,MATCH(B754,'Master Database'!$A$5:$A$600,0)),"(row not found)"))</f>
        <v/>
      </c>
      <c r="D754" s="33" t="str">
        <f>IF(B754="","",IFERROR(INDEX('Master Database'!$B$5:$B$600,MATCH(B754,'Master Database'!$A$5:$A$600,0)),"(row not found)"))</f>
        <v/>
      </c>
      <c r="E754" s="30"/>
      <c r="F754" s="33" t="str">
        <f>IF(E754="","",IFERROR(INDEX(Vendor_Register!$B$5:$B$205,MATCH(E754,Vendor_Register!$A$5:$A$205,0)),"(not in register)"))</f>
        <v/>
      </c>
      <c r="G754" s="33" t="str">
        <f>IF(E754="","",IFERROR(INDEX(Vendor_Register!$E$5:$E$205,MATCH(E754,Vendor_Register!$A$5:$A$205,0)),"(not in register)"))</f>
        <v/>
      </c>
      <c r="H754" s="30"/>
      <c r="I754" s="30"/>
      <c r="J754" s="30"/>
      <c r="K754" s="30"/>
      <c r="L754" s="30"/>
      <c r="M754" s="34"/>
      <c r="N754" s="30"/>
      <c r="O754" s="35" t="str">
        <f>IF(NOT(ISNUMBER(M754)),"",IFERROR(IF(L754="EUR",M754,IF(L754="IRR",M754/INDEX('Assumptions &amp; FX Reference'!$C$5:$C$25,MATCH(H754,'Assumptions &amp; FX Reference'!$A$5:$A$25,0)),IF(L754="USD",M754*INDEX('Assumptions &amp; FX Reference'!$B$5:$B$25,MATCH(H754,'Assumptions &amp; FX Reference'!$A$5:$A$25,0))/INDEX('Assumptions &amp; FX Reference'!$C$5:$C$25,MATCH(H754,'Assumptions &amp; FX Reference'!$A$5:$A$25,0)),""))),"(FX missing)"))</f>
        <v/>
      </c>
      <c r="P754" s="30"/>
      <c r="Q754" s="30"/>
      <c r="R754" s="30"/>
      <c r="S754" s="30"/>
      <c r="T754" s="30"/>
      <c r="U754" s="30"/>
      <c r="V754" s="30"/>
    </row>
    <row r="755" spans="1:22">
      <c r="A755" s="30"/>
      <c r="B755" s="30"/>
      <c r="C755" s="33" t="str">
        <f>IF(B755="","",IFERROR(INDEX('Master Database'!$D$5:$D$600,MATCH(B755,'Master Database'!$A$5:$A$600,0)),"(row not found)"))</f>
        <v/>
      </c>
      <c r="D755" s="33" t="str">
        <f>IF(B755="","",IFERROR(INDEX('Master Database'!$B$5:$B$600,MATCH(B755,'Master Database'!$A$5:$A$600,0)),"(row not found)"))</f>
        <v/>
      </c>
      <c r="E755" s="30"/>
      <c r="F755" s="33" t="str">
        <f>IF(E755="","",IFERROR(INDEX(Vendor_Register!$B$5:$B$205,MATCH(E755,Vendor_Register!$A$5:$A$205,0)),"(not in register)"))</f>
        <v/>
      </c>
      <c r="G755" s="33" t="str">
        <f>IF(E755="","",IFERROR(INDEX(Vendor_Register!$E$5:$E$205,MATCH(E755,Vendor_Register!$A$5:$A$205,0)),"(not in register)"))</f>
        <v/>
      </c>
      <c r="H755" s="30"/>
      <c r="I755" s="30"/>
      <c r="J755" s="30"/>
      <c r="K755" s="30"/>
      <c r="L755" s="30"/>
      <c r="M755" s="34"/>
      <c r="N755" s="30"/>
      <c r="O755" s="35" t="str">
        <f>IF(NOT(ISNUMBER(M755)),"",IFERROR(IF(L755="EUR",M755,IF(L755="IRR",M755/INDEX('Assumptions &amp; FX Reference'!$C$5:$C$25,MATCH(H755,'Assumptions &amp; FX Reference'!$A$5:$A$25,0)),IF(L755="USD",M755*INDEX('Assumptions &amp; FX Reference'!$B$5:$B$25,MATCH(H755,'Assumptions &amp; FX Reference'!$A$5:$A$25,0))/INDEX('Assumptions &amp; FX Reference'!$C$5:$C$25,MATCH(H755,'Assumptions &amp; FX Reference'!$A$5:$A$25,0)),""))),"(FX missing)"))</f>
        <v/>
      </c>
      <c r="P755" s="30"/>
      <c r="Q755" s="30"/>
      <c r="R755" s="30"/>
      <c r="S755" s="30"/>
      <c r="T755" s="30"/>
      <c r="U755" s="30"/>
      <c r="V755" s="30"/>
    </row>
    <row r="756" spans="1:22">
      <c r="A756" s="30"/>
      <c r="B756" s="30"/>
      <c r="C756" s="33" t="str">
        <f>IF(B756="","",IFERROR(INDEX('Master Database'!$D$5:$D$600,MATCH(B756,'Master Database'!$A$5:$A$600,0)),"(row not found)"))</f>
        <v/>
      </c>
      <c r="D756" s="33" t="str">
        <f>IF(B756="","",IFERROR(INDEX('Master Database'!$B$5:$B$600,MATCH(B756,'Master Database'!$A$5:$A$600,0)),"(row not found)"))</f>
        <v/>
      </c>
      <c r="E756" s="30"/>
      <c r="F756" s="33" t="str">
        <f>IF(E756="","",IFERROR(INDEX(Vendor_Register!$B$5:$B$205,MATCH(E756,Vendor_Register!$A$5:$A$205,0)),"(not in register)"))</f>
        <v/>
      </c>
      <c r="G756" s="33" t="str">
        <f>IF(E756="","",IFERROR(INDEX(Vendor_Register!$E$5:$E$205,MATCH(E756,Vendor_Register!$A$5:$A$205,0)),"(not in register)"))</f>
        <v/>
      </c>
      <c r="H756" s="30"/>
      <c r="I756" s="30"/>
      <c r="J756" s="30"/>
      <c r="K756" s="30"/>
      <c r="L756" s="30"/>
      <c r="M756" s="34"/>
      <c r="N756" s="30"/>
      <c r="O756" s="35" t="str">
        <f>IF(NOT(ISNUMBER(M756)),"",IFERROR(IF(L756="EUR",M756,IF(L756="IRR",M756/INDEX('Assumptions &amp; FX Reference'!$C$5:$C$25,MATCH(H756,'Assumptions &amp; FX Reference'!$A$5:$A$25,0)),IF(L756="USD",M756*INDEX('Assumptions &amp; FX Reference'!$B$5:$B$25,MATCH(H756,'Assumptions &amp; FX Reference'!$A$5:$A$25,0))/INDEX('Assumptions &amp; FX Reference'!$C$5:$C$25,MATCH(H756,'Assumptions &amp; FX Reference'!$A$5:$A$25,0)),""))),"(FX missing)"))</f>
        <v/>
      </c>
      <c r="P756" s="30"/>
      <c r="Q756" s="30"/>
      <c r="R756" s="30"/>
      <c r="S756" s="30"/>
      <c r="T756" s="30"/>
      <c r="U756" s="30"/>
      <c r="V756" s="30"/>
    </row>
    <row r="757" spans="1:22">
      <c r="A757" s="30"/>
      <c r="B757" s="30"/>
      <c r="C757" s="33" t="str">
        <f>IF(B757="","",IFERROR(INDEX('Master Database'!$D$5:$D$600,MATCH(B757,'Master Database'!$A$5:$A$600,0)),"(row not found)"))</f>
        <v/>
      </c>
      <c r="D757" s="33" t="str">
        <f>IF(B757="","",IFERROR(INDEX('Master Database'!$B$5:$B$600,MATCH(B757,'Master Database'!$A$5:$A$600,0)),"(row not found)"))</f>
        <v/>
      </c>
      <c r="E757" s="30"/>
      <c r="F757" s="33" t="str">
        <f>IF(E757="","",IFERROR(INDEX(Vendor_Register!$B$5:$B$205,MATCH(E757,Vendor_Register!$A$5:$A$205,0)),"(not in register)"))</f>
        <v/>
      </c>
      <c r="G757" s="33" t="str">
        <f>IF(E757="","",IFERROR(INDEX(Vendor_Register!$E$5:$E$205,MATCH(E757,Vendor_Register!$A$5:$A$205,0)),"(not in register)"))</f>
        <v/>
      </c>
      <c r="H757" s="30"/>
      <c r="I757" s="30"/>
      <c r="J757" s="30"/>
      <c r="K757" s="30"/>
      <c r="L757" s="30"/>
      <c r="M757" s="34"/>
      <c r="N757" s="30"/>
      <c r="O757" s="35" t="str">
        <f>IF(NOT(ISNUMBER(M757)),"",IFERROR(IF(L757="EUR",M757,IF(L757="IRR",M757/INDEX('Assumptions &amp; FX Reference'!$C$5:$C$25,MATCH(H757,'Assumptions &amp; FX Reference'!$A$5:$A$25,0)),IF(L757="USD",M757*INDEX('Assumptions &amp; FX Reference'!$B$5:$B$25,MATCH(H757,'Assumptions &amp; FX Reference'!$A$5:$A$25,0))/INDEX('Assumptions &amp; FX Reference'!$C$5:$C$25,MATCH(H757,'Assumptions &amp; FX Reference'!$A$5:$A$25,0)),""))),"(FX missing)"))</f>
        <v/>
      </c>
      <c r="P757" s="30"/>
      <c r="Q757" s="30"/>
      <c r="R757" s="30"/>
      <c r="S757" s="30"/>
      <c r="T757" s="30"/>
      <c r="U757" s="30"/>
      <c r="V757" s="30"/>
    </row>
    <row r="758" spans="1:22">
      <c r="A758" s="30"/>
      <c r="B758" s="30"/>
      <c r="C758" s="33" t="str">
        <f>IF(B758="","",IFERROR(INDEX('Master Database'!$D$5:$D$600,MATCH(B758,'Master Database'!$A$5:$A$600,0)),"(row not found)"))</f>
        <v/>
      </c>
      <c r="D758" s="33" t="str">
        <f>IF(B758="","",IFERROR(INDEX('Master Database'!$B$5:$B$600,MATCH(B758,'Master Database'!$A$5:$A$600,0)),"(row not found)"))</f>
        <v/>
      </c>
      <c r="E758" s="30"/>
      <c r="F758" s="33" t="str">
        <f>IF(E758="","",IFERROR(INDEX(Vendor_Register!$B$5:$B$205,MATCH(E758,Vendor_Register!$A$5:$A$205,0)),"(not in register)"))</f>
        <v/>
      </c>
      <c r="G758" s="33" t="str">
        <f>IF(E758="","",IFERROR(INDEX(Vendor_Register!$E$5:$E$205,MATCH(E758,Vendor_Register!$A$5:$A$205,0)),"(not in register)"))</f>
        <v/>
      </c>
      <c r="H758" s="30"/>
      <c r="I758" s="30"/>
      <c r="J758" s="30"/>
      <c r="K758" s="30"/>
      <c r="L758" s="30"/>
      <c r="M758" s="34"/>
      <c r="N758" s="30"/>
      <c r="O758" s="35" t="str">
        <f>IF(NOT(ISNUMBER(M758)),"",IFERROR(IF(L758="EUR",M758,IF(L758="IRR",M758/INDEX('Assumptions &amp; FX Reference'!$C$5:$C$25,MATCH(H758,'Assumptions &amp; FX Reference'!$A$5:$A$25,0)),IF(L758="USD",M758*INDEX('Assumptions &amp; FX Reference'!$B$5:$B$25,MATCH(H758,'Assumptions &amp; FX Reference'!$A$5:$A$25,0))/INDEX('Assumptions &amp; FX Reference'!$C$5:$C$25,MATCH(H758,'Assumptions &amp; FX Reference'!$A$5:$A$25,0)),""))),"(FX missing)"))</f>
        <v/>
      </c>
      <c r="P758" s="30"/>
      <c r="Q758" s="30"/>
      <c r="R758" s="30"/>
      <c r="S758" s="30"/>
      <c r="T758" s="30"/>
      <c r="U758" s="30"/>
      <c r="V758" s="30"/>
    </row>
    <row r="759" spans="1:22">
      <c r="A759" s="30"/>
      <c r="B759" s="30"/>
      <c r="C759" s="33" t="str">
        <f>IF(B759="","",IFERROR(INDEX('Master Database'!$D$5:$D$600,MATCH(B759,'Master Database'!$A$5:$A$600,0)),"(row not found)"))</f>
        <v/>
      </c>
      <c r="D759" s="33" t="str">
        <f>IF(B759="","",IFERROR(INDEX('Master Database'!$B$5:$B$600,MATCH(B759,'Master Database'!$A$5:$A$600,0)),"(row not found)"))</f>
        <v/>
      </c>
      <c r="E759" s="30"/>
      <c r="F759" s="33" t="str">
        <f>IF(E759="","",IFERROR(INDEX(Vendor_Register!$B$5:$B$205,MATCH(E759,Vendor_Register!$A$5:$A$205,0)),"(not in register)"))</f>
        <v/>
      </c>
      <c r="G759" s="33" t="str">
        <f>IF(E759="","",IFERROR(INDEX(Vendor_Register!$E$5:$E$205,MATCH(E759,Vendor_Register!$A$5:$A$205,0)),"(not in register)"))</f>
        <v/>
      </c>
      <c r="H759" s="30"/>
      <c r="I759" s="30"/>
      <c r="J759" s="30"/>
      <c r="K759" s="30"/>
      <c r="L759" s="30"/>
      <c r="M759" s="34"/>
      <c r="N759" s="30"/>
      <c r="O759" s="35" t="str">
        <f>IF(NOT(ISNUMBER(M759)),"",IFERROR(IF(L759="EUR",M759,IF(L759="IRR",M759/INDEX('Assumptions &amp; FX Reference'!$C$5:$C$25,MATCH(H759,'Assumptions &amp; FX Reference'!$A$5:$A$25,0)),IF(L759="USD",M759*INDEX('Assumptions &amp; FX Reference'!$B$5:$B$25,MATCH(H759,'Assumptions &amp; FX Reference'!$A$5:$A$25,0))/INDEX('Assumptions &amp; FX Reference'!$C$5:$C$25,MATCH(H759,'Assumptions &amp; FX Reference'!$A$5:$A$25,0)),""))),"(FX missing)"))</f>
        <v/>
      </c>
      <c r="P759" s="30"/>
      <c r="Q759" s="30"/>
      <c r="R759" s="30"/>
      <c r="S759" s="30"/>
      <c r="T759" s="30"/>
      <c r="U759" s="30"/>
      <c r="V759" s="30"/>
    </row>
    <row r="760" spans="1:22">
      <c r="A760" s="30"/>
      <c r="B760" s="30"/>
      <c r="C760" s="33" t="str">
        <f>IF(B760="","",IFERROR(INDEX('Master Database'!$D$5:$D$600,MATCH(B760,'Master Database'!$A$5:$A$600,0)),"(row not found)"))</f>
        <v/>
      </c>
      <c r="D760" s="33" t="str">
        <f>IF(B760="","",IFERROR(INDEX('Master Database'!$B$5:$B$600,MATCH(B760,'Master Database'!$A$5:$A$600,0)),"(row not found)"))</f>
        <v/>
      </c>
      <c r="E760" s="30"/>
      <c r="F760" s="33" t="str">
        <f>IF(E760="","",IFERROR(INDEX(Vendor_Register!$B$5:$B$205,MATCH(E760,Vendor_Register!$A$5:$A$205,0)),"(not in register)"))</f>
        <v/>
      </c>
      <c r="G760" s="33" t="str">
        <f>IF(E760="","",IFERROR(INDEX(Vendor_Register!$E$5:$E$205,MATCH(E760,Vendor_Register!$A$5:$A$205,0)),"(not in register)"))</f>
        <v/>
      </c>
      <c r="H760" s="30"/>
      <c r="I760" s="30"/>
      <c r="J760" s="30"/>
      <c r="K760" s="30"/>
      <c r="L760" s="30"/>
      <c r="M760" s="34"/>
      <c r="N760" s="30"/>
      <c r="O760" s="35" t="str">
        <f>IF(NOT(ISNUMBER(M760)),"",IFERROR(IF(L760="EUR",M760,IF(L760="IRR",M760/INDEX('Assumptions &amp; FX Reference'!$C$5:$C$25,MATCH(H760,'Assumptions &amp; FX Reference'!$A$5:$A$25,0)),IF(L760="USD",M760*INDEX('Assumptions &amp; FX Reference'!$B$5:$B$25,MATCH(H760,'Assumptions &amp; FX Reference'!$A$5:$A$25,0))/INDEX('Assumptions &amp; FX Reference'!$C$5:$C$25,MATCH(H760,'Assumptions &amp; FX Reference'!$A$5:$A$25,0)),""))),"(FX missing)"))</f>
        <v/>
      </c>
      <c r="P760" s="30"/>
      <c r="Q760" s="30"/>
      <c r="R760" s="30"/>
      <c r="S760" s="30"/>
      <c r="T760" s="30"/>
      <c r="U760" s="30"/>
      <c r="V760" s="30"/>
    </row>
    <row r="761" spans="1:22">
      <c r="A761" s="30"/>
      <c r="B761" s="30"/>
      <c r="C761" s="33" t="str">
        <f>IF(B761="","",IFERROR(INDEX('Master Database'!$D$5:$D$600,MATCH(B761,'Master Database'!$A$5:$A$600,0)),"(row not found)"))</f>
        <v/>
      </c>
      <c r="D761" s="33" t="str">
        <f>IF(B761="","",IFERROR(INDEX('Master Database'!$B$5:$B$600,MATCH(B761,'Master Database'!$A$5:$A$600,0)),"(row not found)"))</f>
        <v/>
      </c>
      <c r="E761" s="30"/>
      <c r="F761" s="33" t="str">
        <f>IF(E761="","",IFERROR(INDEX(Vendor_Register!$B$5:$B$205,MATCH(E761,Vendor_Register!$A$5:$A$205,0)),"(not in register)"))</f>
        <v/>
      </c>
      <c r="G761" s="33" t="str">
        <f>IF(E761="","",IFERROR(INDEX(Vendor_Register!$E$5:$E$205,MATCH(E761,Vendor_Register!$A$5:$A$205,0)),"(not in register)"))</f>
        <v/>
      </c>
      <c r="H761" s="30"/>
      <c r="I761" s="30"/>
      <c r="J761" s="30"/>
      <c r="K761" s="30"/>
      <c r="L761" s="30"/>
      <c r="M761" s="34"/>
      <c r="N761" s="30"/>
      <c r="O761" s="35" t="str">
        <f>IF(NOT(ISNUMBER(M761)),"",IFERROR(IF(L761="EUR",M761,IF(L761="IRR",M761/INDEX('Assumptions &amp; FX Reference'!$C$5:$C$25,MATCH(H761,'Assumptions &amp; FX Reference'!$A$5:$A$25,0)),IF(L761="USD",M761*INDEX('Assumptions &amp; FX Reference'!$B$5:$B$25,MATCH(H761,'Assumptions &amp; FX Reference'!$A$5:$A$25,0))/INDEX('Assumptions &amp; FX Reference'!$C$5:$C$25,MATCH(H761,'Assumptions &amp; FX Reference'!$A$5:$A$25,0)),""))),"(FX missing)"))</f>
        <v/>
      </c>
      <c r="P761" s="30"/>
      <c r="Q761" s="30"/>
      <c r="R761" s="30"/>
      <c r="S761" s="30"/>
      <c r="T761" s="30"/>
      <c r="U761" s="30"/>
      <c r="V761" s="30"/>
    </row>
    <row r="762" spans="1:22">
      <c r="A762" s="30"/>
      <c r="B762" s="30"/>
      <c r="C762" s="33" t="str">
        <f>IF(B762="","",IFERROR(INDEX('Master Database'!$D$5:$D$600,MATCH(B762,'Master Database'!$A$5:$A$600,0)),"(row not found)"))</f>
        <v/>
      </c>
      <c r="D762" s="33" t="str">
        <f>IF(B762="","",IFERROR(INDEX('Master Database'!$B$5:$B$600,MATCH(B762,'Master Database'!$A$5:$A$600,0)),"(row not found)"))</f>
        <v/>
      </c>
      <c r="E762" s="30"/>
      <c r="F762" s="33" t="str">
        <f>IF(E762="","",IFERROR(INDEX(Vendor_Register!$B$5:$B$205,MATCH(E762,Vendor_Register!$A$5:$A$205,0)),"(not in register)"))</f>
        <v/>
      </c>
      <c r="G762" s="33" t="str">
        <f>IF(E762="","",IFERROR(INDEX(Vendor_Register!$E$5:$E$205,MATCH(E762,Vendor_Register!$A$5:$A$205,0)),"(not in register)"))</f>
        <v/>
      </c>
      <c r="H762" s="30"/>
      <c r="I762" s="30"/>
      <c r="J762" s="30"/>
      <c r="K762" s="30"/>
      <c r="L762" s="30"/>
      <c r="M762" s="34"/>
      <c r="N762" s="30"/>
      <c r="O762" s="35" t="str">
        <f>IF(NOT(ISNUMBER(M762)),"",IFERROR(IF(L762="EUR",M762,IF(L762="IRR",M762/INDEX('Assumptions &amp; FX Reference'!$C$5:$C$25,MATCH(H762,'Assumptions &amp; FX Reference'!$A$5:$A$25,0)),IF(L762="USD",M762*INDEX('Assumptions &amp; FX Reference'!$B$5:$B$25,MATCH(H762,'Assumptions &amp; FX Reference'!$A$5:$A$25,0))/INDEX('Assumptions &amp; FX Reference'!$C$5:$C$25,MATCH(H762,'Assumptions &amp; FX Reference'!$A$5:$A$25,0)),""))),"(FX missing)"))</f>
        <v/>
      </c>
      <c r="P762" s="30"/>
      <c r="Q762" s="30"/>
      <c r="R762" s="30"/>
      <c r="S762" s="30"/>
      <c r="T762" s="30"/>
      <c r="U762" s="30"/>
      <c r="V762" s="30"/>
    </row>
    <row r="763" spans="1:22">
      <c r="A763" s="30"/>
      <c r="B763" s="30"/>
      <c r="C763" s="33" t="str">
        <f>IF(B763="","",IFERROR(INDEX('Master Database'!$D$5:$D$600,MATCH(B763,'Master Database'!$A$5:$A$600,0)),"(row not found)"))</f>
        <v/>
      </c>
      <c r="D763" s="33" t="str">
        <f>IF(B763="","",IFERROR(INDEX('Master Database'!$B$5:$B$600,MATCH(B763,'Master Database'!$A$5:$A$600,0)),"(row not found)"))</f>
        <v/>
      </c>
      <c r="E763" s="30"/>
      <c r="F763" s="33" t="str">
        <f>IF(E763="","",IFERROR(INDEX(Vendor_Register!$B$5:$B$205,MATCH(E763,Vendor_Register!$A$5:$A$205,0)),"(not in register)"))</f>
        <v/>
      </c>
      <c r="G763" s="33" t="str">
        <f>IF(E763="","",IFERROR(INDEX(Vendor_Register!$E$5:$E$205,MATCH(E763,Vendor_Register!$A$5:$A$205,0)),"(not in register)"))</f>
        <v/>
      </c>
      <c r="H763" s="30"/>
      <c r="I763" s="30"/>
      <c r="J763" s="30"/>
      <c r="K763" s="30"/>
      <c r="L763" s="30"/>
      <c r="M763" s="34"/>
      <c r="N763" s="30"/>
      <c r="O763" s="35" t="str">
        <f>IF(NOT(ISNUMBER(M763)),"",IFERROR(IF(L763="EUR",M763,IF(L763="IRR",M763/INDEX('Assumptions &amp; FX Reference'!$C$5:$C$25,MATCH(H763,'Assumptions &amp; FX Reference'!$A$5:$A$25,0)),IF(L763="USD",M763*INDEX('Assumptions &amp; FX Reference'!$B$5:$B$25,MATCH(H763,'Assumptions &amp; FX Reference'!$A$5:$A$25,0))/INDEX('Assumptions &amp; FX Reference'!$C$5:$C$25,MATCH(H763,'Assumptions &amp; FX Reference'!$A$5:$A$25,0)),""))),"(FX missing)"))</f>
        <v/>
      </c>
      <c r="P763" s="30"/>
      <c r="Q763" s="30"/>
      <c r="R763" s="30"/>
      <c r="S763" s="30"/>
      <c r="T763" s="30"/>
      <c r="U763" s="30"/>
      <c r="V763" s="30"/>
    </row>
    <row r="764" spans="1:22">
      <c r="A764" s="30"/>
      <c r="B764" s="30"/>
      <c r="C764" s="33" t="str">
        <f>IF(B764="","",IFERROR(INDEX('Master Database'!$D$5:$D$600,MATCH(B764,'Master Database'!$A$5:$A$600,0)),"(row not found)"))</f>
        <v/>
      </c>
      <c r="D764" s="33" t="str">
        <f>IF(B764="","",IFERROR(INDEX('Master Database'!$B$5:$B$600,MATCH(B764,'Master Database'!$A$5:$A$600,0)),"(row not found)"))</f>
        <v/>
      </c>
      <c r="E764" s="30"/>
      <c r="F764" s="33" t="str">
        <f>IF(E764="","",IFERROR(INDEX(Vendor_Register!$B$5:$B$205,MATCH(E764,Vendor_Register!$A$5:$A$205,0)),"(not in register)"))</f>
        <v/>
      </c>
      <c r="G764" s="33" t="str">
        <f>IF(E764="","",IFERROR(INDEX(Vendor_Register!$E$5:$E$205,MATCH(E764,Vendor_Register!$A$5:$A$205,0)),"(not in register)"))</f>
        <v/>
      </c>
      <c r="H764" s="30"/>
      <c r="I764" s="30"/>
      <c r="J764" s="30"/>
      <c r="K764" s="30"/>
      <c r="L764" s="30"/>
      <c r="M764" s="34"/>
      <c r="N764" s="30"/>
      <c r="O764" s="35" t="str">
        <f>IF(NOT(ISNUMBER(M764)),"",IFERROR(IF(L764="EUR",M764,IF(L764="IRR",M764/INDEX('Assumptions &amp; FX Reference'!$C$5:$C$25,MATCH(H764,'Assumptions &amp; FX Reference'!$A$5:$A$25,0)),IF(L764="USD",M764*INDEX('Assumptions &amp; FX Reference'!$B$5:$B$25,MATCH(H764,'Assumptions &amp; FX Reference'!$A$5:$A$25,0))/INDEX('Assumptions &amp; FX Reference'!$C$5:$C$25,MATCH(H764,'Assumptions &amp; FX Reference'!$A$5:$A$25,0)),""))),"(FX missing)"))</f>
        <v/>
      </c>
      <c r="P764" s="30"/>
      <c r="Q764" s="30"/>
      <c r="R764" s="30"/>
      <c r="S764" s="30"/>
      <c r="T764" s="30"/>
      <c r="U764" s="30"/>
      <c r="V764" s="30"/>
    </row>
    <row r="765" spans="1:22">
      <c r="A765" s="30"/>
      <c r="B765" s="30"/>
      <c r="C765" s="33" t="str">
        <f>IF(B765="","",IFERROR(INDEX('Master Database'!$D$5:$D$600,MATCH(B765,'Master Database'!$A$5:$A$600,0)),"(row not found)"))</f>
        <v/>
      </c>
      <c r="D765" s="33" t="str">
        <f>IF(B765="","",IFERROR(INDEX('Master Database'!$B$5:$B$600,MATCH(B765,'Master Database'!$A$5:$A$600,0)),"(row not found)"))</f>
        <v/>
      </c>
      <c r="E765" s="30"/>
      <c r="F765" s="33" t="str">
        <f>IF(E765="","",IFERROR(INDEX(Vendor_Register!$B$5:$B$205,MATCH(E765,Vendor_Register!$A$5:$A$205,0)),"(not in register)"))</f>
        <v/>
      </c>
      <c r="G765" s="33" t="str">
        <f>IF(E765="","",IFERROR(INDEX(Vendor_Register!$E$5:$E$205,MATCH(E765,Vendor_Register!$A$5:$A$205,0)),"(not in register)"))</f>
        <v/>
      </c>
      <c r="H765" s="30"/>
      <c r="I765" s="30"/>
      <c r="J765" s="30"/>
      <c r="K765" s="30"/>
      <c r="L765" s="30"/>
      <c r="M765" s="34"/>
      <c r="N765" s="30"/>
      <c r="O765" s="35" t="str">
        <f>IF(NOT(ISNUMBER(M765)),"",IFERROR(IF(L765="EUR",M765,IF(L765="IRR",M765/INDEX('Assumptions &amp; FX Reference'!$C$5:$C$25,MATCH(H765,'Assumptions &amp; FX Reference'!$A$5:$A$25,0)),IF(L765="USD",M765*INDEX('Assumptions &amp; FX Reference'!$B$5:$B$25,MATCH(H765,'Assumptions &amp; FX Reference'!$A$5:$A$25,0))/INDEX('Assumptions &amp; FX Reference'!$C$5:$C$25,MATCH(H765,'Assumptions &amp; FX Reference'!$A$5:$A$25,0)),""))),"(FX missing)"))</f>
        <v/>
      </c>
      <c r="P765" s="30"/>
      <c r="Q765" s="30"/>
      <c r="R765" s="30"/>
      <c r="S765" s="30"/>
      <c r="T765" s="30"/>
      <c r="U765" s="30"/>
      <c r="V765" s="30"/>
    </row>
    <row r="766" spans="1:22">
      <c r="A766" s="30"/>
      <c r="B766" s="30"/>
      <c r="C766" s="33" t="str">
        <f>IF(B766="","",IFERROR(INDEX('Master Database'!$D$5:$D$600,MATCH(B766,'Master Database'!$A$5:$A$600,0)),"(row not found)"))</f>
        <v/>
      </c>
      <c r="D766" s="33" t="str">
        <f>IF(B766="","",IFERROR(INDEX('Master Database'!$B$5:$B$600,MATCH(B766,'Master Database'!$A$5:$A$600,0)),"(row not found)"))</f>
        <v/>
      </c>
      <c r="E766" s="30"/>
      <c r="F766" s="33" t="str">
        <f>IF(E766="","",IFERROR(INDEX(Vendor_Register!$B$5:$B$205,MATCH(E766,Vendor_Register!$A$5:$A$205,0)),"(not in register)"))</f>
        <v/>
      </c>
      <c r="G766" s="33" t="str">
        <f>IF(E766="","",IFERROR(INDEX(Vendor_Register!$E$5:$E$205,MATCH(E766,Vendor_Register!$A$5:$A$205,0)),"(not in register)"))</f>
        <v/>
      </c>
      <c r="H766" s="30"/>
      <c r="I766" s="30"/>
      <c r="J766" s="30"/>
      <c r="K766" s="30"/>
      <c r="L766" s="30"/>
      <c r="M766" s="34"/>
      <c r="N766" s="30"/>
      <c r="O766" s="35" t="str">
        <f>IF(NOT(ISNUMBER(M766)),"",IFERROR(IF(L766="EUR",M766,IF(L766="IRR",M766/INDEX('Assumptions &amp; FX Reference'!$C$5:$C$25,MATCH(H766,'Assumptions &amp; FX Reference'!$A$5:$A$25,0)),IF(L766="USD",M766*INDEX('Assumptions &amp; FX Reference'!$B$5:$B$25,MATCH(H766,'Assumptions &amp; FX Reference'!$A$5:$A$25,0))/INDEX('Assumptions &amp; FX Reference'!$C$5:$C$25,MATCH(H766,'Assumptions &amp; FX Reference'!$A$5:$A$25,0)),""))),"(FX missing)"))</f>
        <v/>
      </c>
      <c r="P766" s="30"/>
      <c r="Q766" s="30"/>
      <c r="R766" s="30"/>
      <c r="S766" s="30"/>
      <c r="T766" s="30"/>
      <c r="U766" s="30"/>
      <c r="V766" s="30"/>
    </row>
    <row r="767" spans="1:22">
      <c r="A767" s="30"/>
      <c r="B767" s="30"/>
      <c r="C767" s="33" t="str">
        <f>IF(B767="","",IFERROR(INDEX('Master Database'!$D$5:$D$600,MATCH(B767,'Master Database'!$A$5:$A$600,0)),"(row not found)"))</f>
        <v/>
      </c>
      <c r="D767" s="33" t="str">
        <f>IF(B767="","",IFERROR(INDEX('Master Database'!$B$5:$B$600,MATCH(B767,'Master Database'!$A$5:$A$600,0)),"(row not found)"))</f>
        <v/>
      </c>
      <c r="E767" s="30"/>
      <c r="F767" s="33" t="str">
        <f>IF(E767="","",IFERROR(INDEX(Vendor_Register!$B$5:$B$205,MATCH(E767,Vendor_Register!$A$5:$A$205,0)),"(not in register)"))</f>
        <v/>
      </c>
      <c r="G767" s="33" t="str">
        <f>IF(E767="","",IFERROR(INDEX(Vendor_Register!$E$5:$E$205,MATCH(E767,Vendor_Register!$A$5:$A$205,0)),"(not in register)"))</f>
        <v/>
      </c>
      <c r="H767" s="30"/>
      <c r="I767" s="30"/>
      <c r="J767" s="30"/>
      <c r="K767" s="30"/>
      <c r="L767" s="30"/>
      <c r="M767" s="34"/>
      <c r="N767" s="30"/>
      <c r="O767" s="35" t="str">
        <f>IF(NOT(ISNUMBER(M767)),"",IFERROR(IF(L767="EUR",M767,IF(L767="IRR",M767/INDEX('Assumptions &amp; FX Reference'!$C$5:$C$25,MATCH(H767,'Assumptions &amp; FX Reference'!$A$5:$A$25,0)),IF(L767="USD",M767*INDEX('Assumptions &amp; FX Reference'!$B$5:$B$25,MATCH(H767,'Assumptions &amp; FX Reference'!$A$5:$A$25,0))/INDEX('Assumptions &amp; FX Reference'!$C$5:$C$25,MATCH(H767,'Assumptions &amp; FX Reference'!$A$5:$A$25,0)),""))),"(FX missing)"))</f>
        <v/>
      </c>
      <c r="P767" s="30"/>
      <c r="Q767" s="30"/>
      <c r="R767" s="30"/>
      <c r="S767" s="30"/>
      <c r="T767" s="30"/>
      <c r="U767" s="30"/>
      <c r="V767" s="30"/>
    </row>
    <row r="768" spans="1:22">
      <c r="A768" s="30"/>
      <c r="B768" s="30"/>
      <c r="C768" s="33" t="str">
        <f>IF(B768="","",IFERROR(INDEX('Master Database'!$D$5:$D$600,MATCH(B768,'Master Database'!$A$5:$A$600,0)),"(row not found)"))</f>
        <v/>
      </c>
      <c r="D768" s="33" t="str">
        <f>IF(B768="","",IFERROR(INDEX('Master Database'!$B$5:$B$600,MATCH(B768,'Master Database'!$A$5:$A$600,0)),"(row not found)"))</f>
        <v/>
      </c>
      <c r="E768" s="30"/>
      <c r="F768" s="33" t="str">
        <f>IF(E768="","",IFERROR(INDEX(Vendor_Register!$B$5:$B$205,MATCH(E768,Vendor_Register!$A$5:$A$205,0)),"(not in register)"))</f>
        <v/>
      </c>
      <c r="G768" s="33" t="str">
        <f>IF(E768="","",IFERROR(INDEX(Vendor_Register!$E$5:$E$205,MATCH(E768,Vendor_Register!$A$5:$A$205,0)),"(not in register)"))</f>
        <v/>
      </c>
      <c r="H768" s="30"/>
      <c r="I768" s="30"/>
      <c r="J768" s="30"/>
      <c r="K768" s="30"/>
      <c r="L768" s="30"/>
      <c r="M768" s="34"/>
      <c r="N768" s="30"/>
      <c r="O768" s="35" t="str">
        <f>IF(NOT(ISNUMBER(M768)),"",IFERROR(IF(L768="EUR",M768,IF(L768="IRR",M768/INDEX('Assumptions &amp; FX Reference'!$C$5:$C$25,MATCH(H768,'Assumptions &amp; FX Reference'!$A$5:$A$25,0)),IF(L768="USD",M768*INDEX('Assumptions &amp; FX Reference'!$B$5:$B$25,MATCH(H768,'Assumptions &amp; FX Reference'!$A$5:$A$25,0))/INDEX('Assumptions &amp; FX Reference'!$C$5:$C$25,MATCH(H768,'Assumptions &amp; FX Reference'!$A$5:$A$25,0)),""))),"(FX missing)"))</f>
        <v/>
      </c>
      <c r="P768" s="30"/>
      <c r="Q768" s="30"/>
      <c r="R768" s="30"/>
      <c r="S768" s="30"/>
      <c r="T768" s="30"/>
      <c r="U768" s="30"/>
      <c r="V768" s="30"/>
    </row>
    <row r="769" spans="1:22">
      <c r="A769" s="30"/>
      <c r="B769" s="30"/>
      <c r="C769" s="33" t="str">
        <f>IF(B769="","",IFERROR(INDEX('Master Database'!$D$5:$D$600,MATCH(B769,'Master Database'!$A$5:$A$600,0)),"(row not found)"))</f>
        <v/>
      </c>
      <c r="D769" s="33" t="str">
        <f>IF(B769="","",IFERROR(INDEX('Master Database'!$B$5:$B$600,MATCH(B769,'Master Database'!$A$5:$A$600,0)),"(row not found)"))</f>
        <v/>
      </c>
      <c r="E769" s="30"/>
      <c r="F769" s="33" t="str">
        <f>IF(E769="","",IFERROR(INDEX(Vendor_Register!$B$5:$B$205,MATCH(E769,Vendor_Register!$A$5:$A$205,0)),"(not in register)"))</f>
        <v/>
      </c>
      <c r="G769" s="33" t="str">
        <f>IF(E769="","",IFERROR(INDEX(Vendor_Register!$E$5:$E$205,MATCH(E769,Vendor_Register!$A$5:$A$205,0)),"(not in register)"))</f>
        <v/>
      </c>
      <c r="H769" s="30"/>
      <c r="I769" s="30"/>
      <c r="J769" s="30"/>
      <c r="K769" s="30"/>
      <c r="L769" s="30"/>
      <c r="M769" s="34"/>
      <c r="N769" s="30"/>
      <c r="O769" s="35" t="str">
        <f>IF(NOT(ISNUMBER(M769)),"",IFERROR(IF(L769="EUR",M769,IF(L769="IRR",M769/INDEX('Assumptions &amp; FX Reference'!$C$5:$C$25,MATCH(H769,'Assumptions &amp; FX Reference'!$A$5:$A$25,0)),IF(L769="USD",M769*INDEX('Assumptions &amp; FX Reference'!$B$5:$B$25,MATCH(H769,'Assumptions &amp; FX Reference'!$A$5:$A$25,0))/INDEX('Assumptions &amp; FX Reference'!$C$5:$C$25,MATCH(H769,'Assumptions &amp; FX Reference'!$A$5:$A$25,0)),""))),"(FX missing)"))</f>
        <v/>
      </c>
      <c r="P769" s="30"/>
      <c r="Q769" s="30"/>
      <c r="R769" s="30"/>
      <c r="S769" s="30"/>
      <c r="T769" s="30"/>
      <c r="U769" s="30"/>
      <c r="V769" s="30"/>
    </row>
    <row r="770" spans="1:22">
      <c r="A770" s="30"/>
      <c r="B770" s="30"/>
      <c r="C770" s="33" t="str">
        <f>IF(B770="","",IFERROR(INDEX('Master Database'!$D$5:$D$600,MATCH(B770,'Master Database'!$A$5:$A$600,0)),"(row not found)"))</f>
        <v/>
      </c>
      <c r="D770" s="33" t="str">
        <f>IF(B770="","",IFERROR(INDEX('Master Database'!$B$5:$B$600,MATCH(B770,'Master Database'!$A$5:$A$600,0)),"(row not found)"))</f>
        <v/>
      </c>
      <c r="E770" s="30"/>
      <c r="F770" s="33" t="str">
        <f>IF(E770="","",IFERROR(INDEX(Vendor_Register!$B$5:$B$205,MATCH(E770,Vendor_Register!$A$5:$A$205,0)),"(not in register)"))</f>
        <v/>
      </c>
      <c r="G770" s="33" t="str">
        <f>IF(E770="","",IFERROR(INDEX(Vendor_Register!$E$5:$E$205,MATCH(E770,Vendor_Register!$A$5:$A$205,0)),"(not in register)"))</f>
        <v/>
      </c>
      <c r="H770" s="30"/>
      <c r="I770" s="30"/>
      <c r="J770" s="30"/>
      <c r="K770" s="30"/>
      <c r="L770" s="30"/>
      <c r="M770" s="34"/>
      <c r="N770" s="30"/>
      <c r="O770" s="35" t="str">
        <f>IF(NOT(ISNUMBER(M770)),"",IFERROR(IF(L770="EUR",M770,IF(L770="IRR",M770/INDEX('Assumptions &amp; FX Reference'!$C$5:$C$25,MATCH(H770,'Assumptions &amp; FX Reference'!$A$5:$A$25,0)),IF(L770="USD",M770*INDEX('Assumptions &amp; FX Reference'!$B$5:$B$25,MATCH(H770,'Assumptions &amp; FX Reference'!$A$5:$A$25,0))/INDEX('Assumptions &amp; FX Reference'!$C$5:$C$25,MATCH(H770,'Assumptions &amp; FX Reference'!$A$5:$A$25,0)),""))),"(FX missing)"))</f>
        <v/>
      </c>
      <c r="P770" s="30"/>
      <c r="Q770" s="30"/>
      <c r="R770" s="30"/>
      <c r="S770" s="30"/>
      <c r="T770" s="30"/>
      <c r="U770" s="30"/>
      <c r="V770" s="30"/>
    </row>
    <row r="771" spans="1:22">
      <c r="A771" s="30"/>
      <c r="B771" s="30"/>
      <c r="C771" s="33" t="str">
        <f>IF(B771="","",IFERROR(INDEX('Master Database'!$D$5:$D$600,MATCH(B771,'Master Database'!$A$5:$A$600,0)),"(row not found)"))</f>
        <v/>
      </c>
      <c r="D771" s="33" t="str">
        <f>IF(B771="","",IFERROR(INDEX('Master Database'!$B$5:$B$600,MATCH(B771,'Master Database'!$A$5:$A$600,0)),"(row not found)"))</f>
        <v/>
      </c>
      <c r="E771" s="30"/>
      <c r="F771" s="33" t="str">
        <f>IF(E771="","",IFERROR(INDEX(Vendor_Register!$B$5:$B$205,MATCH(E771,Vendor_Register!$A$5:$A$205,0)),"(not in register)"))</f>
        <v/>
      </c>
      <c r="G771" s="33" t="str">
        <f>IF(E771="","",IFERROR(INDEX(Vendor_Register!$E$5:$E$205,MATCH(E771,Vendor_Register!$A$5:$A$205,0)),"(not in register)"))</f>
        <v/>
      </c>
      <c r="H771" s="30"/>
      <c r="I771" s="30"/>
      <c r="J771" s="30"/>
      <c r="K771" s="30"/>
      <c r="L771" s="30"/>
      <c r="M771" s="34"/>
      <c r="N771" s="30"/>
      <c r="O771" s="35" t="str">
        <f>IF(NOT(ISNUMBER(M771)),"",IFERROR(IF(L771="EUR",M771,IF(L771="IRR",M771/INDEX('Assumptions &amp; FX Reference'!$C$5:$C$25,MATCH(H771,'Assumptions &amp; FX Reference'!$A$5:$A$25,0)),IF(L771="USD",M771*INDEX('Assumptions &amp; FX Reference'!$B$5:$B$25,MATCH(H771,'Assumptions &amp; FX Reference'!$A$5:$A$25,0))/INDEX('Assumptions &amp; FX Reference'!$C$5:$C$25,MATCH(H771,'Assumptions &amp; FX Reference'!$A$5:$A$25,0)),""))),"(FX missing)"))</f>
        <v/>
      </c>
      <c r="P771" s="30"/>
      <c r="Q771" s="30"/>
      <c r="R771" s="30"/>
      <c r="S771" s="30"/>
      <c r="T771" s="30"/>
      <c r="U771" s="30"/>
      <c r="V771" s="30"/>
    </row>
    <row r="772" spans="1:22">
      <c r="A772" s="30"/>
      <c r="B772" s="30"/>
      <c r="C772" s="33" t="str">
        <f>IF(B772="","",IFERROR(INDEX('Master Database'!$D$5:$D$600,MATCH(B772,'Master Database'!$A$5:$A$600,0)),"(row not found)"))</f>
        <v/>
      </c>
      <c r="D772" s="33" t="str">
        <f>IF(B772="","",IFERROR(INDEX('Master Database'!$B$5:$B$600,MATCH(B772,'Master Database'!$A$5:$A$600,0)),"(row not found)"))</f>
        <v/>
      </c>
      <c r="E772" s="30"/>
      <c r="F772" s="33" t="str">
        <f>IF(E772="","",IFERROR(INDEX(Vendor_Register!$B$5:$B$205,MATCH(E772,Vendor_Register!$A$5:$A$205,0)),"(not in register)"))</f>
        <v/>
      </c>
      <c r="G772" s="33" t="str">
        <f>IF(E772="","",IFERROR(INDEX(Vendor_Register!$E$5:$E$205,MATCH(E772,Vendor_Register!$A$5:$A$205,0)),"(not in register)"))</f>
        <v/>
      </c>
      <c r="H772" s="30"/>
      <c r="I772" s="30"/>
      <c r="J772" s="30"/>
      <c r="K772" s="30"/>
      <c r="L772" s="30"/>
      <c r="M772" s="34"/>
      <c r="N772" s="30"/>
      <c r="O772" s="35" t="str">
        <f>IF(NOT(ISNUMBER(M772)),"",IFERROR(IF(L772="EUR",M772,IF(L772="IRR",M772/INDEX('Assumptions &amp; FX Reference'!$C$5:$C$25,MATCH(H772,'Assumptions &amp; FX Reference'!$A$5:$A$25,0)),IF(L772="USD",M772*INDEX('Assumptions &amp; FX Reference'!$B$5:$B$25,MATCH(H772,'Assumptions &amp; FX Reference'!$A$5:$A$25,0))/INDEX('Assumptions &amp; FX Reference'!$C$5:$C$25,MATCH(H772,'Assumptions &amp; FX Reference'!$A$5:$A$25,0)),""))),"(FX missing)"))</f>
        <v/>
      </c>
      <c r="P772" s="30"/>
      <c r="Q772" s="30"/>
      <c r="R772" s="30"/>
      <c r="S772" s="30"/>
      <c r="T772" s="30"/>
      <c r="U772" s="30"/>
      <c r="V772" s="30"/>
    </row>
    <row r="773" spans="1:22">
      <c r="A773" s="30"/>
      <c r="B773" s="30"/>
      <c r="C773" s="33" t="str">
        <f>IF(B773="","",IFERROR(INDEX('Master Database'!$D$5:$D$600,MATCH(B773,'Master Database'!$A$5:$A$600,0)),"(row not found)"))</f>
        <v/>
      </c>
      <c r="D773" s="33" t="str">
        <f>IF(B773="","",IFERROR(INDEX('Master Database'!$B$5:$B$600,MATCH(B773,'Master Database'!$A$5:$A$600,0)),"(row not found)"))</f>
        <v/>
      </c>
      <c r="E773" s="30"/>
      <c r="F773" s="33" t="str">
        <f>IF(E773="","",IFERROR(INDEX(Vendor_Register!$B$5:$B$205,MATCH(E773,Vendor_Register!$A$5:$A$205,0)),"(not in register)"))</f>
        <v/>
      </c>
      <c r="G773" s="33" t="str">
        <f>IF(E773="","",IFERROR(INDEX(Vendor_Register!$E$5:$E$205,MATCH(E773,Vendor_Register!$A$5:$A$205,0)),"(not in register)"))</f>
        <v/>
      </c>
      <c r="H773" s="30"/>
      <c r="I773" s="30"/>
      <c r="J773" s="30"/>
      <c r="K773" s="30"/>
      <c r="L773" s="30"/>
      <c r="M773" s="34"/>
      <c r="N773" s="30"/>
      <c r="O773" s="35" t="str">
        <f>IF(NOT(ISNUMBER(M773)),"",IFERROR(IF(L773="EUR",M773,IF(L773="IRR",M773/INDEX('Assumptions &amp; FX Reference'!$C$5:$C$25,MATCH(H773,'Assumptions &amp; FX Reference'!$A$5:$A$25,0)),IF(L773="USD",M773*INDEX('Assumptions &amp; FX Reference'!$B$5:$B$25,MATCH(H773,'Assumptions &amp; FX Reference'!$A$5:$A$25,0))/INDEX('Assumptions &amp; FX Reference'!$C$5:$C$25,MATCH(H773,'Assumptions &amp; FX Reference'!$A$5:$A$25,0)),""))),"(FX missing)"))</f>
        <v/>
      </c>
      <c r="P773" s="30"/>
      <c r="Q773" s="30"/>
      <c r="R773" s="30"/>
      <c r="S773" s="30"/>
      <c r="T773" s="30"/>
      <c r="U773" s="30"/>
      <c r="V773" s="30"/>
    </row>
    <row r="774" spans="1:22">
      <c r="A774" s="30"/>
      <c r="B774" s="30"/>
      <c r="C774" s="33" t="str">
        <f>IF(B774="","",IFERROR(INDEX('Master Database'!$D$5:$D$600,MATCH(B774,'Master Database'!$A$5:$A$600,0)),"(row not found)"))</f>
        <v/>
      </c>
      <c r="D774" s="33" t="str">
        <f>IF(B774="","",IFERROR(INDEX('Master Database'!$B$5:$B$600,MATCH(B774,'Master Database'!$A$5:$A$600,0)),"(row not found)"))</f>
        <v/>
      </c>
      <c r="E774" s="30"/>
      <c r="F774" s="33" t="str">
        <f>IF(E774="","",IFERROR(INDEX(Vendor_Register!$B$5:$B$205,MATCH(E774,Vendor_Register!$A$5:$A$205,0)),"(not in register)"))</f>
        <v/>
      </c>
      <c r="G774" s="33" t="str">
        <f>IF(E774="","",IFERROR(INDEX(Vendor_Register!$E$5:$E$205,MATCH(E774,Vendor_Register!$A$5:$A$205,0)),"(not in register)"))</f>
        <v/>
      </c>
      <c r="H774" s="30"/>
      <c r="I774" s="30"/>
      <c r="J774" s="30"/>
      <c r="K774" s="30"/>
      <c r="L774" s="30"/>
      <c r="M774" s="34"/>
      <c r="N774" s="30"/>
      <c r="O774" s="35" t="str">
        <f>IF(NOT(ISNUMBER(M774)),"",IFERROR(IF(L774="EUR",M774,IF(L774="IRR",M774/INDEX('Assumptions &amp; FX Reference'!$C$5:$C$25,MATCH(H774,'Assumptions &amp; FX Reference'!$A$5:$A$25,0)),IF(L774="USD",M774*INDEX('Assumptions &amp; FX Reference'!$B$5:$B$25,MATCH(H774,'Assumptions &amp; FX Reference'!$A$5:$A$25,0))/INDEX('Assumptions &amp; FX Reference'!$C$5:$C$25,MATCH(H774,'Assumptions &amp; FX Reference'!$A$5:$A$25,0)),""))),"(FX missing)"))</f>
        <v/>
      </c>
      <c r="P774" s="30"/>
      <c r="Q774" s="30"/>
      <c r="R774" s="30"/>
      <c r="S774" s="30"/>
      <c r="T774" s="30"/>
      <c r="U774" s="30"/>
      <c r="V774" s="30"/>
    </row>
    <row r="775" spans="1:22">
      <c r="A775" s="30"/>
      <c r="B775" s="30"/>
      <c r="C775" s="33" t="str">
        <f>IF(B775="","",IFERROR(INDEX('Master Database'!$D$5:$D$600,MATCH(B775,'Master Database'!$A$5:$A$600,0)),"(row not found)"))</f>
        <v/>
      </c>
      <c r="D775" s="33" t="str">
        <f>IF(B775="","",IFERROR(INDEX('Master Database'!$B$5:$B$600,MATCH(B775,'Master Database'!$A$5:$A$600,0)),"(row not found)"))</f>
        <v/>
      </c>
      <c r="E775" s="30"/>
      <c r="F775" s="33" t="str">
        <f>IF(E775="","",IFERROR(INDEX(Vendor_Register!$B$5:$B$205,MATCH(E775,Vendor_Register!$A$5:$A$205,0)),"(not in register)"))</f>
        <v/>
      </c>
      <c r="G775" s="33" t="str">
        <f>IF(E775="","",IFERROR(INDEX(Vendor_Register!$E$5:$E$205,MATCH(E775,Vendor_Register!$A$5:$A$205,0)),"(not in register)"))</f>
        <v/>
      </c>
      <c r="H775" s="30"/>
      <c r="I775" s="30"/>
      <c r="J775" s="30"/>
      <c r="K775" s="30"/>
      <c r="L775" s="30"/>
      <c r="M775" s="34"/>
      <c r="N775" s="30"/>
      <c r="O775" s="35" t="str">
        <f>IF(NOT(ISNUMBER(M775)),"",IFERROR(IF(L775="EUR",M775,IF(L775="IRR",M775/INDEX('Assumptions &amp; FX Reference'!$C$5:$C$25,MATCH(H775,'Assumptions &amp; FX Reference'!$A$5:$A$25,0)),IF(L775="USD",M775*INDEX('Assumptions &amp; FX Reference'!$B$5:$B$25,MATCH(H775,'Assumptions &amp; FX Reference'!$A$5:$A$25,0))/INDEX('Assumptions &amp; FX Reference'!$C$5:$C$25,MATCH(H775,'Assumptions &amp; FX Reference'!$A$5:$A$25,0)),""))),"(FX missing)"))</f>
        <v/>
      </c>
      <c r="P775" s="30"/>
      <c r="Q775" s="30"/>
      <c r="R775" s="30"/>
      <c r="S775" s="30"/>
      <c r="T775" s="30"/>
      <c r="U775" s="30"/>
      <c r="V775" s="30"/>
    </row>
    <row r="776" spans="1:22">
      <c r="A776" s="30"/>
      <c r="B776" s="30"/>
      <c r="C776" s="33" t="str">
        <f>IF(B776="","",IFERROR(INDEX('Master Database'!$D$5:$D$600,MATCH(B776,'Master Database'!$A$5:$A$600,0)),"(row not found)"))</f>
        <v/>
      </c>
      <c r="D776" s="33" t="str">
        <f>IF(B776="","",IFERROR(INDEX('Master Database'!$B$5:$B$600,MATCH(B776,'Master Database'!$A$5:$A$600,0)),"(row not found)"))</f>
        <v/>
      </c>
      <c r="E776" s="30"/>
      <c r="F776" s="33" t="str">
        <f>IF(E776="","",IFERROR(INDEX(Vendor_Register!$B$5:$B$205,MATCH(E776,Vendor_Register!$A$5:$A$205,0)),"(not in register)"))</f>
        <v/>
      </c>
      <c r="G776" s="33" t="str">
        <f>IF(E776="","",IFERROR(INDEX(Vendor_Register!$E$5:$E$205,MATCH(E776,Vendor_Register!$A$5:$A$205,0)),"(not in register)"))</f>
        <v/>
      </c>
      <c r="H776" s="30"/>
      <c r="I776" s="30"/>
      <c r="J776" s="30"/>
      <c r="K776" s="30"/>
      <c r="L776" s="30"/>
      <c r="M776" s="34"/>
      <c r="N776" s="30"/>
      <c r="O776" s="35" t="str">
        <f>IF(NOT(ISNUMBER(M776)),"",IFERROR(IF(L776="EUR",M776,IF(L776="IRR",M776/INDEX('Assumptions &amp; FX Reference'!$C$5:$C$25,MATCH(H776,'Assumptions &amp; FX Reference'!$A$5:$A$25,0)),IF(L776="USD",M776*INDEX('Assumptions &amp; FX Reference'!$B$5:$B$25,MATCH(H776,'Assumptions &amp; FX Reference'!$A$5:$A$25,0))/INDEX('Assumptions &amp; FX Reference'!$C$5:$C$25,MATCH(H776,'Assumptions &amp; FX Reference'!$A$5:$A$25,0)),""))),"(FX missing)"))</f>
        <v/>
      </c>
      <c r="P776" s="30"/>
      <c r="Q776" s="30"/>
      <c r="R776" s="30"/>
      <c r="S776" s="30"/>
      <c r="T776" s="30"/>
      <c r="U776" s="30"/>
      <c r="V776" s="30"/>
    </row>
    <row r="777" spans="1:22">
      <c r="A777" s="30"/>
      <c r="B777" s="30"/>
      <c r="C777" s="33" t="str">
        <f>IF(B777="","",IFERROR(INDEX('Master Database'!$D$5:$D$600,MATCH(B777,'Master Database'!$A$5:$A$600,0)),"(row not found)"))</f>
        <v/>
      </c>
      <c r="D777" s="33" t="str">
        <f>IF(B777="","",IFERROR(INDEX('Master Database'!$B$5:$B$600,MATCH(B777,'Master Database'!$A$5:$A$600,0)),"(row not found)"))</f>
        <v/>
      </c>
      <c r="E777" s="30"/>
      <c r="F777" s="33" t="str">
        <f>IF(E777="","",IFERROR(INDEX(Vendor_Register!$B$5:$B$205,MATCH(E777,Vendor_Register!$A$5:$A$205,0)),"(not in register)"))</f>
        <v/>
      </c>
      <c r="G777" s="33" t="str">
        <f>IF(E777="","",IFERROR(INDEX(Vendor_Register!$E$5:$E$205,MATCH(E777,Vendor_Register!$A$5:$A$205,0)),"(not in register)"))</f>
        <v/>
      </c>
      <c r="H777" s="30"/>
      <c r="I777" s="30"/>
      <c r="J777" s="30"/>
      <c r="K777" s="30"/>
      <c r="L777" s="30"/>
      <c r="M777" s="34"/>
      <c r="N777" s="30"/>
      <c r="O777" s="35" t="str">
        <f>IF(NOT(ISNUMBER(M777)),"",IFERROR(IF(L777="EUR",M777,IF(L777="IRR",M777/INDEX('Assumptions &amp; FX Reference'!$C$5:$C$25,MATCH(H777,'Assumptions &amp; FX Reference'!$A$5:$A$25,0)),IF(L777="USD",M777*INDEX('Assumptions &amp; FX Reference'!$B$5:$B$25,MATCH(H777,'Assumptions &amp; FX Reference'!$A$5:$A$25,0))/INDEX('Assumptions &amp; FX Reference'!$C$5:$C$25,MATCH(H777,'Assumptions &amp; FX Reference'!$A$5:$A$25,0)),""))),"(FX missing)"))</f>
        <v/>
      </c>
      <c r="P777" s="30"/>
      <c r="Q777" s="30"/>
      <c r="R777" s="30"/>
      <c r="S777" s="30"/>
      <c r="T777" s="30"/>
      <c r="U777" s="30"/>
      <c r="V777" s="30"/>
    </row>
    <row r="778" spans="1:22">
      <c r="A778" s="30"/>
      <c r="B778" s="30"/>
      <c r="C778" s="33" t="str">
        <f>IF(B778="","",IFERROR(INDEX('Master Database'!$D$5:$D$600,MATCH(B778,'Master Database'!$A$5:$A$600,0)),"(row not found)"))</f>
        <v/>
      </c>
      <c r="D778" s="33" t="str">
        <f>IF(B778="","",IFERROR(INDEX('Master Database'!$B$5:$B$600,MATCH(B778,'Master Database'!$A$5:$A$600,0)),"(row not found)"))</f>
        <v/>
      </c>
      <c r="E778" s="30"/>
      <c r="F778" s="33" t="str">
        <f>IF(E778="","",IFERROR(INDEX(Vendor_Register!$B$5:$B$205,MATCH(E778,Vendor_Register!$A$5:$A$205,0)),"(not in register)"))</f>
        <v/>
      </c>
      <c r="G778" s="33" t="str">
        <f>IF(E778="","",IFERROR(INDEX(Vendor_Register!$E$5:$E$205,MATCH(E778,Vendor_Register!$A$5:$A$205,0)),"(not in register)"))</f>
        <v/>
      </c>
      <c r="H778" s="30"/>
      <c r="I778" s="30"/>
      <c r="J778" s="30"/>
      <c r="K778" s="30"/>
      <c r="L778" s="30"/>
      <c r="M778" s="34"/>
      <c r="N778" s="30"/>
      <c r="O778" s="35" t="str">
        <f>IF(NOT(ISNUMBER(M778)),"",IFERROR(IF(L778="EUR",M778,IF(L778="IRR",M778/INDEX('Assumptions &amp; FX Reference'!$C$5:$C$25,MATCH(H778,'Assumptions &amp; FX Reference'!$A$5:$A$25,0)),IF(L778="USD",M778*INDEX('Assumptions &amp; FX Reference'!$B$5:$B$25,MATCH(H778,'Assumptions &amp; FX Reference'!$A$5:$A$25,0))/INDEX('Assumptions &amp; FX Reference'!$C$5:$C$25,MATCH(H778,'Assumptions &amp; FX Reference'!$A$5:$A$25,0)),""))),"(FX missing)"))</f>
        <v/>
      </c>
      <c r="P778" s="30"/>
      <c r="Q778" s="30"/>
      <c r="R778" s="30"/>
      <c r="S778" s="30"/>
      <c r="T778" s="30"/>
      <c r="U778" s="30"/>
      <c r="V778" s="30"/>
    </row>
    <row r="779" spans="1:22">
      <c r="A779" s="30"/>
      <c r="B779" s="30"/>
      <c r="C779" s="33" t="str">
        <f>IF(B779="","",IFERROR(INDEX('Master Database'!$D$5:$D$600,MATCH(B779,'Master Database'!$A$5:$A$600,0)),"(row not found)"))</f>
        <v/>
      </c>
      <c r="D779" s="33" t="str">
        <f>IF(B779="","",IFERROR(INDEX('Master Database'!$B$5:$B$600,MATCH(B779,'Master Database'!$A$5:$A$600,0)),"(row not found)"))</f>
        <v/>
      </c>
      <c r="E779" s="30"/>
      <c r="F779" s="33" t="str">
        <f>IF(E779="","",IFERROR(INDEX(Vendor_Register!$B$5:$B$205,MATCH(E779,Vendor_Register!$A$5:$A$205,0)),"(not in register)"))</f>
        <v/>
      </c>
      <c r="G779" s="33" t="str">
        <f>IF(E779="","",IFERROR(INDEX(Vendor_Register!$E$5:$E$205,MATCH(E779,Vendor_Register!$A$5:$A$205,0)),"(not in register)"))</f>
        <v/>
      </c>
      <c r="H779" s="30"/>
      <c r="I779" s="30"/>
      <c r="J779" s="30"/>
      <c r="K779" s="30"/>
      <c r="L779" s="30"/>
      <c r="M779" s="34"/>
      <c r="N779" s="30"/>
      <c r="O779" s="35" t="str">
        <f>IF(NOT(ISNUMBER(M779)),"",IFERROR(IF(L779="EUR",M779,IF(L779="IRR",M779/INDEX('Assumptions &amp; FX Reference'!$C$5:$C$25,MATCH(H779,'Assumptions &amp; FX Reference'!$A$5:$A$25,0)),IF(L779="USD",M779*INDEX('Assumptions &amp; FX Reference'!$B$5:$B$25,MATCH(H779,'Assumptions &amp; FX Reference'!$A$5:$A$25,0))/INDEX('Assumptions &amp; FX Reference'!$C$5:$C$25,MATCH(H779,'Assumptions &amp; FX Reference'!$A$5:$A$25,0)),""))),"(FX missing)"))</f>
        <v/>
      </c>
      <c r="P779" s="30"/>
      <c r="Q779" s="30"/>
      <c r="R779" s="30"/>
      <c r="S779" s="30"/>
      <c r="T779" s="30"/>
      <c r="U779" s="30"/>
      <c r="V779" s="30"/>
    </row>
    <row r="780" spans="1:22">
      <c r="A780" s="30"/>
      <c r="B780" s="30"/>
      <c r="C780" s="33" t="str">
        <f>IF(B780="","",IFERROR(INDEX('Master Database'!$D$5:$D$600,MATCH(B780,'Master Database'!$A$5:$A$600,0)),"(row not found)"))</f>
        <v/>
      </c>
      <c r="D780" s="33" t="str">
        <f>IF(B780="","",IFERROR(INDEX('Master Database'!$B$5:$B$600,MATCH(B780,'Master Database'!$A$5:$A$600,0)),"(row not found)"))</f>
        <v/>
      </c>
      <c r="E780" s="30"/>
      <c r="F780" s="33" t="str">
        <f>IF(E780="","",IFERROR(INDEX(Vendor_Register!$B$5:$B$205,MATCH(E780,Vendor_Register!$A$5:$A$205,0)),"(not in register)"))</f>
        <v/>
      </c>
      <c r="G780" s="33" t="str">
        <f>IF(E780="","",IFERROR(INDEX(Vendor_Register!$E$5:$E$205,MATCH(E780,Vendor_Register!$A$5:$A$205,0)),"(not in register)"))</f>
        <v/>
      </c>
      <c r="H780" s="30"/>
      <c r="I780" s="30"/>
      <c r="J780" s="30"/>
      <c r="K780" s="30"/>
      <c r="L780" s="30"/>
      <c r="M780" s="34"/>
      <c r="N780" s="30"/>
      <c r="O780" s="35" t="str">
        <f>IF(NOT(ISNUMBER(M780)),"",IFERROR(IF(L780="EUR",M780,IF(L780="IRR",M780/INDEX('Assumptions &amp; FX Reference'!$C$5:$C$25,MATCH(H780,'Assumptions &amp; FX Reference'!$A$5:$A$25,0)),IF(L780="USD",M780*INDEX('Assumptions &amp; FX Reference'!$B$5:$B$25,MATCH(H780,'Assumptions &amp; FX Reference'!$A$5:$A$25,0))/INDEX('Assumptions &amp; FX Reference'!$C$5:$C$25,MATCH(H780,'Assumptions &amp; FX Reference'!$A$5:$A$25,0)),""))),"(FX missing)"))</f>
        <v/>
      </c>
      <c r="P780" s="30"/>
      <c r="Q780" s="30"/>
      <c r="R780" s="30"/>
      <c r="S780" s="30"/>
      <c r="T780" s="30"/>
      <c r="U780" s="30"/>
      <c r="V780" s="30"/>
    </row>
    <row r="781" spans="1:22">
      <c r="A781" s="30"/>
      <c r="B781" s="30"/>
      <c r="C781" s="33" t="str">
        <f>IF(B781="","",IFERROR(INDEX('Master Database'!$D$5:$D$600,MATCH(B781,'Master Database'!$A$5:$A$600,0)),"(row not found)"))</f>
        <v/>
      </c>
      <c r="D781" s="33" t="str">
        <f>IF(B781="","",IFERROR(INDEX('Master Database'!$B$5:$B$600,MATCH(B781,'Master Database'!$A$5:$A$600,0)),"(row not found)"))</f>
        <v/>
      </c>
      <c r="E781" s="30"/>
      <c r="F781" s="33" t="str">
        <f>IF(E781="","",IFERROR(INDEX(Vendor_Register!$B$5:$B$205,MATCH(E781,Vendor_Register!$A$5:$A$205,0)),"(not in register)"))</f>
        <v/>
      </c>
      <c r="G781" s="33" t="str">
        <f>IF(E781="","",IFERROR(INDEX(Vendor_Register!$E$5:$E$205,MATCH(E781,Vendor_Register!$A$5:$A$205,0)),"(not in register)"))</f>
        <v/>
      </c>
      <c r="H781" s="30"/>
      <c r="I781" s="30"/>
      <c r="J781" s="30"/>
      <c r="K781" s="30"/>
      <c r="L781" s="30"/>
      <c r="M781" s="34"/>
      <c r="N781" s="30"/>
      <c r="O781" s="35" t="str">
        <f>IF(NOT(ISNUMBER(M781)),"",IFERROR(IF(L781="EUR",M781,IF(L781="IRR",M781/INDEX('Assumptions &amp; FX Reference'!$C$5:$C$25,MATCH(H781,'Assumptions &amp; FX Reference'!$A$5:$A$25,0)),IF(L781="USD",M781*INDEX('Assumptions &amp; FX Reference'!$B$5:$B$25,MATCH(H781,'Assumptions &amp; FX Reference'!$A$5:$A$25,0))/INDEX('Assumptions &amp; FX Reference'!$C$5:$C$25,MATCH(H781,'Assumptions &amp; FX Reference'!$A$5:$A$25,0)),""))),"(FX missing)"))</f>
        <v/>
      </c>
      <c r="P781" s="30"/>
      <c r="Q781" s="30"/>
      <c r="R781" s="30"/>
      <c r="S781" s="30"/>
      <c r="T781" s="30"/>
      <c r="U781" s="30"/>
      <c r="V781" s="30"/>
    </row>
    <row r="782" spans="1:22">
      <c r="A782" s="30"/>
      <c r="B782" s="30"/>
      <c r="C782" s="33" t="str">
        <f>IF(B782="","",IFERROR(INDEX('Master Database'!$D$5:$D$600,MATCH(B782,'Master Database'!$A$5:$A$600,0)),"(row not found)"))</f>
        <v/>
      </c>
      <c r="D782" s="33" t="str">
        <f>IF(B782="","",IFERROR(INDEX('Master Database'!$B$5:$B$600,MATCH(B782,'Master Database'!$A$5:$A$600,0)),"(row not found)"))</f>
        <v/>
      </c>
      <c r="E782" s="30"/>
      <c r="F782" s="33" t="str">
        <f>IF(E782="","",IFERROR(INDEX(Vendor_Register!$B$5:$B$205,MATCH(E782,Vendor_Register!$A$5:$A$205,0)),"(not in register)"))</f>
        <v/>
      </c>
      <c r="G782" s="33" t="str">
        <f>IF(E782="","",IFERROR(INDEX(Vendor_Register!$E$5:$E$205,MATCH(E782,Vendor_Register!$A$5:$A$205,0)),"(not in register)"))</f>
        <v/>
      </c>
      <c r="H782" s="30"/>
      <c r="I782" s="30"/>
      <c r="J782" s="30"/>
      <c r="K782" s="30"/>
      <c r="L782" s="30"/>
      <c r="M782" s="34"/>
      <c r="N782" s="30"/>
      <c r="O782" s="35" t="str">
        <f>IF(NOT(ISNUMBER(M782)),"",IFERROR(IF(L782="EUR",M782,IF(L782="IRR",M782/INDEX('Assumptions &amp; FX Reference'!$C$5:$C$25,MATCH(H782,'Assumptions &amp; FX Reference'!$A$5:$A$25,0)),IF(L782="USD",M782*INDEX('Assumptions &amp; FX Reference'!$B$5:$B$25,MATCH(H782,'Assumptions &amp; FX Reference'!$A$5:$A$25,0))/INDEX('Assumptions &amp; FX Reference'!$C$5:$C$25,MATCH(H782,'Assumptions &amp; FX Reference'!$A$5:$A$25,0)),""))),"(FX missing)"))</f>
        <v/>
      </c>
      <c r="P782" s="30"/>
      <c r="Q782" s="30"/>
      <c r="R782" s="30"/>
      <c r="S782" s="30"/>
      <c r="T782" s="30"/>
      <c r="U782" s="30"/>
      <c r="V782" s="30"/>
    </row>
    <row r="783" spans="1:22">
      <c r="A783" s="30"/>
      <c r="B783" s="30"/>
      <c r="C783" s="33" t="str">
        <f>IF(B783="","",IFERROR(INDEX('Master Database'!$D$5:$D$600,MATCH(B783,'Master Database'!$A$5:$A$600,0)),"(row not found)"))</f>
        <v/>
      </c>
      <c r="D783" s="33" t="str">
        <f>IF(B783="","",IFERROR(INDEX('Master Database'!$B$5:$B$600,MATCH(B783,'Master Database'!$A$5:$A$600,0)),"(row not found)"))</f>
        <v/>
      </c>
      <c r="E783" s="30"/>
      <c r="F783" s="33" t="str">
        <f>IF(E783="","",IFERROR(INDEX(Vendor_Register!$B$5:$B$205,MATCH(E783,Vendor_Register!$A$5:$A$205,0)),"(not in register)"))</f>
        <v/>
      </c>
      <c r="G783" s="33" t="str">
        <f>IF(E783="","",IFERROR(INDEX(Vendor_Register!$E$5:$E$205,MATCH(E783,Vendor_Register!$A$5:$A$205,0)),"(not in register)"))</f>
        <v/>
      </c>
      <c r="H783" s="30"/>
      <c r="I783" s="30"/>
      <c r="J783" s="30"/>
      <c r="K783" s="30"/>
      <c r="L783" s="30"/>
      <c r="M783" s="34"/>
      <c r="N783" s="30"/>
      <c r="O783" s="35" t="str">
        <f>IF(NOT(ISNUMBER(M783)),"",IFERROR(IF(L783="EUR",M783,IF(L783="IRR",M783/INDEX('Assumptions &amp; FX Reference'!$C$5:$C$25,MATCH(H783,'Assumptions &amp; FX Reference'!$A$5:$A$25,0)),IF(L783="USD",M783*INDEX('Assumptions &amp; FX Reference'!$B$5:$B$25,MATCH(H783,'Assumptions &amp; FX Reference'!$A$5:$A$25,0))/INDEX('Assumptions &amp; FX Reference'!$C$5:$C$25,MATCH(H783,'Assumptions &amp; FX Reference'!$A$5:$A$25,0)),""))),"(FX missing)"))</f>
        <v/>
      </c>
      <c r="P783" s="30"/>
      <c r="Q783" s="30"/>
      <c r="R783" s="30"/>
      <c r="S783" s="30"/>
      <c r="T783" s="30"/>
      <c r="U783" s="30"/>
      <c r="V783" s="30"/>
    </row>
    <row r="784" spans="1:22">
      <c r="A784" s="30"/>
      <c r="B784" s="30"/>
      <c r="C784" s="33" t="str">
        <f>IF(B784="","",IFERROR(INDEX('Master Database'!$D$5:$D$600,MATCH(B784,'Master Database'!$A$5:$A$600,0)),"(row not found)"))</f>
        <v/>
      </c>
      <c r="D784" s="33" t="str">
        <f>IF(B784="","",IFERROR(INDEX('Master Database'!$B$5:$B$600,MATCH(B784,'Master Database'!$A$5:$A$600,0)),"(row not found)"))</f>
        <v/>
      </c>
      <c r="E784" s="30"/>
      <c r="F784" s="33" t="str">
        <f>IF(E784="","",IFERROR(INDEX(Vendor_Register!$B$5:$B$205,MATCH(E784,Vendor_Register!$A$5:$A$205,0)),"(not in register)"))</f>
        <v/>
      </c>
      <c r="G784" s="33" t="str">
        <f>IF(E784="","",IFERROR(INDEX(Vendor_Register!$E$5:$E$205,MATCH(E784,Vendor_Register!$A$5:$A$205,0)),"(not in register)"))</f>
        <v/>
      </c>
      <c r="H784" s="30"/>
      <c r="I784" s="30"/>
      <c r="J784" s="30"/>
      <c r="K784" s="30"/>
      <c r="L784" s="30"/>
      <c r="M784" s="34"/>
      <c r="N784" s="30"/>
      <c r="O784" s="35" t="str">
        <f>IF(NOT(ISNUMBER(M784)),"",IFERROR(IF(L784="EUR",M784,IF(L784="IRR",M784/INDEX('Assumptions &amp; FX Reference'!$C$5:$C$25,MATCH(H784,'Assumptions &amp; FX Reference'!$A$5:$A$25,0)),IF(L784="USD",M784*INDEX('Assumptions &amp; FX Reference'!$B$5:$B$25,MATCH(H784,'Assumptions &amp; FX Reference'!$A$5:$A$25,0))/INDEX('Assumptions &amp; FX Reference'!$C$5:$C$25,MATCH(H784,'Assumptions &amp; FX Reference'!$A$5:$A$25,0)),""))),"(FX missing)"))</f>
        <v/>
      </c>
      <c r="P784" s="30"/>
      <c r="Q784" s="30"/>
      <c r="R784" s="30"/>
      <c r="S784" s="30"/>
      <c r="T784" s="30"/>
      <c r="U784" s="30"/>
      <c r="V784" s="30"/>
    </row>
    <row r="785" spans="1:22">
      <c r="A785" s="30"/>
      <c r="B785" s="30"/>
      <c r="C785" s="33" t="str">
        <f>IF(B785="","",IFERROR(INDEX('Master Database'!$D$5:$D$600,MATCH(B785,'Master Database'!$A$5:$A$600,0)),"(row not found)"))</f>
        <v/>
      </c>
      <c r="D785" s="33" t="str">
        <f>IF(B785="","",IFERROR(INDEX('Master Database'!$B$5:$B$600,MATCH(B785,'Master Database'!$A$5:$A$600,0)),"(row not found)"))</f>
        <v/>
      </c>
      <c r="E785" s="30"/>
      <c r="F785" s="33" t="str">
        <f>IF(E785="","",IFERROR(INDEX(Vendor_Register!$B$5:$B$205,MATCH(E785,Vendor_Register!$A$5:$A$205,0)),"(not in register)"))</f>
        <v/>
      </c>
      <c r="G785" s="33" t="str">
        <f>IF(E785="","",IFERROR(INDEX(Vendor_Register!$E$5:$E$205,MATCH(E785,Vendor_Register!$A$5:$A$205,0)),"(not in register)"))</f>
        <v/>
      </c>
      <c r="H785" s="30"/>
      <c r="I785" s="30"/>
      <c r="J785" s="30"/>
      <c r="K785" s="30"/>
      <c r="L785" s="30"/>
      <c r="M785" s="34"/>
      <c r="N785" s="30"/>
      <c r="O785" s="35" t="str">
        <f>IF(NOT(ISNUMBER(M785)),"",IFERROR(IF(L785="EUR",M785,IF(L785="IRR",M785/INDEX('Assumptions &amp; FX Reference'!$C$5:$C$25,MATCH(H785,'Assumptions &amp; FX Reference'!$A$5:$A$25,0)),IF(L785="USD",M785*INDEX('Assumptions &amp; FX Reference'!$B$5:$B$25,MATCH(H785,'Assumptions &amp; FX Reference'!$A$5:$A$25,0))/INDEX('Assumptions &amp; FX Reference'!$C$5:$C$25,MATCH(H785,'Assumptions &amp; FX Reference'!$A$5:$A$25,0)),""))),"(FX missing)"))</f>
        <v/>
      </c>
      <c r="P785" s="30"/>
      <c r="Q785" s="30"/>
      <c r="R785" s="30"/>
      <c r="S785" s="30"/>
      <c r="T785" s="30"/>
      <c r="U785" s="30"/>
      <c r="V785" s="30"/>
    </row>
    <row r="786" spans="1:22">
      <c r="A786" s="30"/>
      <c r="B786" s="30"/>
      <c r="C786" s="33" t="str">
        <f>IF(B786="","",IFERROR(INDEX('Master Database'!$D$5:$D$600,MATCH(B786,'Master Database'!$A$5:$A$600,0)),"(row not found)"))</f>
        <v/>
      </c>
      <c r="D786" s="33" t="str">
        <f>IF(B786="","",IFERROR(INDEX('Master Database'!$B$5:$B$600,MATCH(B786,'Master Database'!$A$5:$A$600,0)),"(row not found)"))</f>
        <v/>
      </c>
      <c r="E786" s="30"/>
      <c r="F786" s="33" t="str">
        <f>IF(E786="","",IFERROR(INDEX(Vendor_Register!$B$5:$B$205,MATCH(E786,Vendor_Register!$A$5:$A$205,0)),"(not in register)"))</f>
        <v/>
      </c>
      <c r="G786" s="33" t="str">
        <f>IF(E786="","",IFERROR(INDEX(Vendor_Register!$E$5:$E$205,MATCH(E786,Vendor_Register!$A$5:$A$205,0)),"(not in register)"))</f>
        <v/>
      </c>
      <c r="H786" s="30"/>
      <c r="I786" s="30"/>
      <c r="J786" s="30"/>
      <c r="K786" s="30"/>
      <c r="L786" s="30"/>
      <c r="M786" s="34"/>
      <c r="N786" s="30"/>
      <c r="O786" s="35" t="str">
        <f>IF(NOT(ISNUMBER(M786)),"",IFERROR(IF(L786="EUR",M786,IF(L786="IRR",M786/INDEX('Assumptions &amp; FX Reference'!$C$5:$C$25,MATCH(H786,'Assumptions &amp; FX Reference'!$A$5:$A$25,0)),IF(L786="USD",M786*INDEX('Assumptions &amp; FX Reference'!$B$5:$B$25,MATCH(H786,'Assumptions &amp; FX Reference'!$A$5:$A$25,0))/INDEX('Assumptions &amp; FX Reference'!$C$5:$C$25,MATCH(H786,'Assumptions &amp; FX Reference'!$A$5:$A$25,0)),""))),"(FX missing)"))</f>
        <v/>
      </c>
      <c r="P786" s="30"/>
      <c r="Q786" s="30"/>
      <c r="R786" s="30"/>
      <c r="S786" s="30"/>
      <c r="T786" s="30"/>
      <c r="U786" s="30"/>
      <c r="V786" s="30"/>
    </row>
    <row r="787" spans="1:22">
      <c r="A787" s="30"/>
      <c r="B787" s="30"/>
      <c r="C787" s="33" t="str">
        <f>IF(B787="","",IFERROR(INDEX('Master Database'!$D$5:$D$600,MATCH(B787,'Master Database'!$A$5:$A$600,0)),"(row not found)"))</f>
        <v/>
      </c>
      <c r="D787" s="33" t="str">
        <f>IF(B787="","",IFERROR(INDEX('Master Database'!$B$5:$B$600,MATCH(B787,'Master Database'!$A$5:$A$600,0)),"(row not found)"))</f>
        <v/>
      </c>
      <c r="E787" s="30"/>
      <c r="F787" s="33" t="str">
        <f>IF(E787="","",IFERROR(INDEX(Vendor_Register!$B$5:$B$205,MATCH(E787,Vendor_Register!$A$5:$A$205,0)),"(not in register)"))</f>
        <v/>
      </c>
      <c r="G787" s="33" t="str">
        <f>IF(E787="","",IFERROR(INDEX(Vendor_Register!$E$5:$E$205,MATCH(E787,Vendor_Register!$A$5:$A$205,0)),"(not in register)"))</f>
        <v/>
      </c>
      <c r="H787" s="30"/>
      <c r="I787" s="30"/>
      <c r="J787" s="30"/>
      <c r="K787" s="30"/>
      <c r="L787" s="30"/>
      <c r="M787" s="34"/>
      <c r="N787" s="30"/>
      <c r="O787" s="35" t="str">
        <f>IF(NOT(ISNUMBER(M787)),"",IFERROR(IF(L787="EUR",M787,IF(L787="IRR",M787/INDEX('Assumptions &amp; FX Reference'!$C$5:$C$25,MATCH(H787,'Assumptions &amp; FX Reference'!$A$5:$A$25,0)),IF(L787="USD",M787*INDEX('Assumptions &amp; FX Reference'!$B$5:$B$25,MATCH(H787,'Assumptions &amp; FX Reference'!$A$5:$A$25,0))/INDEX('Assumptions &amp; FX Reference'!$C$5:$C$25,MATCH(H787,'Assumptions &amp; FX Reference'!$A$5:$A$25,0)),""))),"(FX missing)"))</f>
        <v/>
      </c>
      <c r="P787" s="30"/>
      <c r="Q787" s="30"/>
      <c r="R787" s="30"/>
      <c r="S787" s="30"/>
      <c r="T787" s="30"/>
      <c r="U787" s="30"/>
      <c r="V787" s="30"/>
    </row>
    <row r="788" spans="1:22">
      <c r="A788" s="30"/>
      <c r="B788" s="30"/>
      <c r="C788" s="33" t="str">
        <f>IF(B788="","",IFERROR(INDEX('Master Database'!$D$5:$D$600,MATCH(B788,'Master Database'!$A$5:$A$600,0)),"(row not found)"))</f>
        <v/>
      </c>
      <c r="D788" s="33" t="str">
        <f>IF(B788="","",IFERROR(INDEX('Master Database'!$B$5:$B$600,MATCH(B788,'Master Database'!$A$5:$A$600,0)),"(row not found)"))</f>
        <v/>
      </c>
      <c r="E788" s="30"/>
      <c r="F788" s="33" t="str">
        <f>IF(E788="","",IFERROR(INDEX(Vendor_Register!$B$5:$B$205,MATCH(E788,Vendor_Register!$A$5:$A$205,0)),"(not in register)"))</f>
        <v/>
      </c>
      <c r="G788" s="33" t="str">
        <f>IF(E788="","",IFERROR(INDEX(Vendor_Register!$E$5:$E$205,MATCH(E788,Vendor_Register!$A$5:$A$205,0)),"(not in register)"))</f>
        <v/>
      </c>
      <c r="H788" s="30"/>
      <c r="I788" s="30"/>
      <c r="J788" s="30"/>
      <c r="K788" s="30"/>
      <c r="L788" s="30"/>
      <c r="M788" s="34"/>
      <c r="N788" s="30"/>
      <c r="O788" s="35" t="str">
        <f>IF(NOT(ISNUMBER(M788)),"",IFERROR(IF(L788="EUR",M788,IF(L788="IRR",M788/INDEX('Assumptions &amp; FX Reference'!$C$5:$C$25,MATCH(H788,'Assumptions &amp; FX Reference'!$A$5:$A$25,0)),IF(L788="USD",M788*INDEX('Assumptions &amp; FX Reference'!$B$5:$B$25,MATCH(H788,'Assumptions &amp; FX Reference'!$A$5:$A$25,0))/INDEX('Assumptions &amp; FX Reference'!$C$5:$C$25,MATCH(H788,'Assumptions &amp; FX Reference'!$A$5:$A$25,0)),""))),"(FX missing)"))</f>
        <v/>
      </c>
      <c r="P788" s="30"/>
      <c r="Q788" s="30"/>
      <c r="R788" s="30"/>
      <c r="S788" s="30"/>
      <c r="T788" s="30"/>
      <c r="U788" s="30"/>
      <c r="V788" s="30"/>
    </row>
    <row r="789" spans="1:22">
      <c r="A789" s="30"/>
      <c r="B789" s="30"/>
      <c r="C789" s="33" t="str">
        <f>IF(B789="","",IFERROR(INDEX('Master Database'!$D$5:$D$600,MATCH(B789,'Master Database'!$A$5:$A$600,0)),"(row not found)"))</f>
        <v/>
      </c>
      <c r="D789" s="33" t="str">
        <f>IF(B789="","",IFERROR(INDEX('Master Database'!$B$5:$B$600,MATCH(B789,'Master Database'!$A$5:$A$600,0)),"(row not found)"))</f>
        <v/>
      </c>
      <c r="E789" s="30"/>
      <c r="F789" s="33" t="str">
        <f>IF(E789="","",IFERROR(INDEX(Vendor_Register!$B$5:$B$205,MATCH(E789,Vendor_Register!$A$5:$A$205,0)),"(not in register)"))</f>
        <v/>
      </c>
      <c r="G789" s="33" t="str">
        <f>IF(E789="","",IFERROR(INDEX(Vendor_Register!$E$5:$E$205,MATCH(E789,Vendor_Register!$A$5:$A$205,0)),"(not in register)"))</f>
        <v/>
      </c>
      <c r="H789" s="30"/>
      <c r="I789" s="30"/>
      <c r="J789" s="30"/>
      <c r="K789" s="30"/>
      <c r="L789" s="30"/>
      <c r="M789" s="34"/>
      <c r="N789" s="30"/>
      <c r="O789" s="35" t="str">
        <f>IF(NOT(ISNUMBER(M789)),"",IFERROR(IF(L789="EUR",M789,IF(L789="IRR",M789/INDEX('Assumptions &amp; FX Reference'!$C$5:$C$25,MATCH(H789,'Assumptions &amp; FX Reference'!$A$5:$A$25,0)),IF(L789="USD",M789*INDEX('Assumptions &amp; FX Reference'!$B$5:$B$25,MATCH(H789,'Assumptions &amp; FX Reference'!$A$5:$A$25,0))/INDEX('Assumptions &amp; FX Reference'!$C$5:$C$25,MATCH(H789,'Assumptions &amp; FX Reference'!$A$5:$A$25,0)),""))),"(FX missing)"))</f>
        <v/>
      </c>
      <c r="P789" s="30"/>
      <c r="Q789" s="30"/>
      <c r="R789" s="30"/>
      <c r="S789" s="30"/>
      <c r="T789" s="30"/>
      <c r="U789" s="30"/>
      <c r="V789" s="30"/>
    </row>
    <row r="790" spans="1:22">
      <c r="A790" s="30"/>
      <c r="B790" s="30"/>
      <c r="C790" s="33" t="str">
        <f>IF(B790="","",IFERROR(INDEX('Master Database'!$D$5:$D$600,MATCH(B790,'Master Database'!$A$5:$A$600,0)),"(row not found)"))</f>
        <v/>
      </c>
      <c r="D790" s="33" t="str">
        <f>IF(B790="","",IFERROR(INDEX('Master Database'!$B$5:$B$600,MATCH(B790,'Master Database'!$A$5:$A$600,0)),"(row not found)"))</f>
        <v/>
      </c>
      <c r="E790" s="30"/>
      <c r="F790" s="33" t="str">
        <f>IF(E790="","",IFERROR(INDEX(Vendor_Register!$B$5:$B$205,MATCH(E790,Vendor_Register!$A$5:$A$205,0)),"(not in register)"))</f>
        <v/>
      </c>
      <c r="G790" s="33" t="str">
        <f>IF(E790="","",IFERROR(INDEX(Vendor_Register!$E$5:$E$205,MATCH(E790,Vendor_Register!$A$5:$A$205,0)),"(not in register)"))</f>
        <v/>
      </c>
      <c r="H790" s="30"/>
      <c r="I790" s="30"/>
      <c r="J790" s="30"/>
      <c r="K790" s="30"/>
      <c r="L790" s="30"/>
      <c r="M790" s="34"/>
      <c r="N790" s="30"/>
      <c r="O790" s="35" t="str">
        <f>IF(NOT(ISNUMBER(M790)),"",IFERROR(IF(L790="EUR",M790,IF(L790="IRR",M790/INDEX('Assumptions &amp; FX Reference'!$C$5:$C$25,MATCH(H790,'Assumptions &amp; FX Reference'!$A$5:$A$25,0)),IF(L790="USD",M790*INDEX('Assumptions &amp; FX Reference'!$B$5:$B$25,MATCH(H790,'Assumptions &amp; FX Reference'!$A$5:$A$25,0))/INDEX('Assumptions &amp; FX Reference'!$C$5:$C$25,MATCH(H790,'Assumptions &amp; FX Reference'!$A$5:$A$25,0)),""))),"(FX missing)"))</f>
        <v/>
      </c>
      <c r="P790" s="30"/>
      <c r="Q790" s="30"/>
      <c r="R790" s="30"/>
      <c r="S790" s="30"/>
      <c r="T790" s="30"/>
      <c r="U790" s="30"/>
      <c r="V790" s="30"/>
    </row>
    <row r="791" spans="1:22">
      <c r="A791" s="30"/>
      <c r="B791" s="30"/>
      <c r="C791" s="33" t="str">
        <f>IF(B791="","",IFERROR(INDEX('Master Database'!$D$5:$D$600,MATCH(B791,'Master Database'!$A$5:$A$600,0)),"(row not found)"))</f>
        <v/>
      </c>
      <c r="D791" s="33" t="str">
        <f>IF(B791="","",IFERROR(INDEX('Master Database'!$B$5:$B$600,MATCH(B791,'Master Database'!$A$5:$A$600,0)),"(row not found)"))</f>
        <v/>
      </c>
      <c r="E791" s="30"/>
      <c r="F791" s="33" t="str">
        <f>IF(E791="","",IFERROR(INDEX(Vendor_Register!$B$5:$B$205,MATCH(E791,Vendor_Register!$A$5:$A$205,0)),"(not in register)"))</f>
        <v/>
      </c>
      <c r="G791" s="33" t="str">
        <f>IF(E791="","",IFERROR(INDEX(Vendor_Register!$E$5:$E$205,MATCH(E791,Vendor_Register!$A$5:$A$205,0)),"(not in register)"))</f>
        <v/>
      </c>
      <c r="H791" s="30"/>
      <c r="I791" s="30"/>
      <c r="J791" s="30"/>
      <c r="K791" s="30"/>
      <c r="L791" s="30"/>
      <c r="M791" s="34"/>
      <c r="N791" s="30"/>
      <c r="O791" s="35" t="str">
        <f>IF(NOT(ISNUMBER(M791)),"",IFERROR(IF(L791="EUR",M791,IF(L791="IRR",M791/INDEX('Assumptions &amp; FX Reference'!$C$5:$C$25,MATCH(H791,'Assumptions &amp; FX Reference'!$A$5:$A$25,0)),IF(L791="USD",M791*INDEX('Assumptions &amp; FX Reference'!$B$5:$B$25,MATCH(H791,'Assumptions &amp; FX Reference'!$A$5:$A$25,0))/INDEX('Assumptions &amp; FX Reference'!$C$5:$C$25,MATCH(H791,'Assumptions &amp; FX Reference'!$A$5:$A$25,0)),""))),"(FX missing)"))</f>
        <v/>
      </c>
      <c r="P791" s="30"/>
      <c r="Q791" s="30"/>
      <c r="R791" s="30"/>
      <c r="S791" s="30"/>
      <c r="T791" s="30"/>
      <c r="U791" s="30"/>
      <c r="V791" s="30"/>
    </row>
    <row r="792" spans="1:22">
      <c r="A792" s="30"/>
      <c r="B792" s="30"/>
      <c r="C792" s="33" t="str">
        <f>IF(B792="","",IFERROR(INDEX('Master Database'!$D$5:$D$600,MATCH(B792,'Master Database'!$A$5:$A$600,0)),"(row not found)"))</f>
        <v/>
      </c>
      <c r="D792" s="33" t="str">
        <f>IF(B792="","",IFERROR(INDEX('Master Database'!$B$5:$B$600,MATCH(B792,'Master Database'!$A$5:$A$600,0)),"(row not found)"))</f>
        <v/>
      </c>
      <c r="E792" s="30"/>
      <c r="F792" s="33" t="str">
        <f>IF(E792="","",IFERROR(INDEX(Vendor_Register!$B$5:$B$205,MATCH(E792,Vendor_Register!$A$5:$A$205,0)),"(not in register)"))</f>
        <v/>
      </c>
      <c r="G792" s="33" t="str">
        <f>IF(E792="","",IFERROR(INDEX(Vendor_Register!$E$5:$E$205,MATCH(E792,Vendor_Register!$A$5:$A$205,0)),"(not in register)"))</f>
        <v/>
      </c>
      <c r="H792" s="30"/>
      <c r="I792" s="30"/>
      <c r="J792" s="30"/>
      <c r="K792" s="30"/>
      <c r="L792" s="30"/>
      <c r="M792" s="34"/>
      <c r="N792" s="30"/>
      <c r="O792" s="35" t="str">
        <f>IF(NOT(ISNUMBER(M792)),"",IFERROR(IF(L792="EUR",M792,IF(L792="IRR",M792/INDEX('Assumptions &amp; FX Reference'!$C$5:$C$25,MATCH(H792,'Assumptions &amp; FX Reference'!$A$5:$A$25,0)),IF(L792="USD",M792*INDEX('Assumptions &amp; FX Reference'!$B$5:$B$25,MATCH(H792,'Assumptions &amp; FX Reference'!$A$5:$A$25,0))/INDEX('Assumptions &amp; FX Reference'!$C$5:$C$25,MATCH(H792,'Assumptions &amp; FX Reference'!$A$5:$A$25,0)),""))),"(FX missing)"))</f>
        <v/>
      </c>
      <c r="P792" s="30"/>
      <c r="Q792" s="30"/>
      <c r="R792" s="30"/>
      <c r="S792" s="30"/>
      <c r="T792" s="30"/>
      <c r="U792" s="30"/>
      <c r="V792" s="30"/>
    </row>
    <row r="793" spans="1:22">
      <c r="A793" s="30"/>
      <c r="B793" s="30"/>
      <c r="C793" s="33" t="str">
        <f>IF(B793="","",IFERROR(INDEX('Master Database'!$D$5:$D$600,MATCH(B793,'Master Database'!$A$5:$A$600,0)),"(row not found)"))</f>
        <v/>
      </c>
      <c r="D793" s="33" t="str">
        <f>IF(B793="","",IFERROR(INDEX('Master Database'!$B$5:$B$600,MATCH(B793,'Master Database'!$A$5:$A$600,0)),"(row not found)"))</f>
        <v/>
      </c>
      <c r="E793" s="30"/>
      <c r="F793" s="33" t="str">
        <f>IF(E793="","",IFERROR(INDEX(Vendor_Register!$B$5:$B$205,MATCH(E793,Vendor_Register!$A$5:$A$205,0)),"(not in register)"))</f>
        <v/>
      </c>
      <c r="G793" s="33" t="str">
        <f>IF(E793="","",IFERROR(INDEX(Vendor_Register!$E$5:$E$205,MATCH(E793,Vendor_Register!$A$5:$A$205,0)),"(not in register)"))</f>
        <v/>
      </c>
      <c r="H793" s="30"/>
      <c r="I793" s="30"/>
      <c r="J793" s="30"/>
      <c r="K793" s="30"/>
      <c r="L793" s="30"/>
      <c r="M793" s="34"/>
      <c r="N793" s="30"/>
      <c r="O793" s="35" t="str">
        <f>IF(NOT(ISNUMBER(M793)),"",IFERROR(IF(L793="EUR",M793,IF(L793="IRR",M793/INDEX('Assumptions &amp; FX Reference'!$C$5:$C$25,MATCH(H793,'Assumptions &amp; FX Reference'!$A$5:$A$25,0)),IF(L793="USD",M793*INDEX('Assumptions &amp; FX Reference'!$B$5:$B$25,MATCH(H793,'Assumptions &amp; FX Reference'!$A$5:$A$25,0))/INDEX('Assumptions &amp; FX Reference'!$C$5:$C$25,MATCH(H793,'Assumptions &amp; FX Reference'!$A$5:$A$25,0)),""))),"(FX missing)"))</f>
        <v/>
      </c>
      <c r="P793" s="30"/>
      <c r="Q793" s="30"/>
      <c r="R793" s="30"/>
      <c r="S793" s="30"/>
      <c r="T793" s="30"/>
      <c r="U793" s="30"/>
      <c r="V793" s="30"/>
    </row>
    <row r="794" spans="1:22">
      <c r="A794" s="30"/>
      <c r="B794" s="30"/>
      <c r="C794" s="33" t="str">
        <f>IF(B794="","",IFERROR(INDEX('Master Database'!$D$5:$D$600,MATCH(B794,'Master Database'!$A$5:$A$600,0)),"(row not found)"))</f>
        <v/>
      </c>
      <c r="D794" s="33" t="str">
        <f>IF(B794="","",IFERROR(INDEX('Master Database'!$B$5:$B$600,MATCH(B794,'Master Database'!$A$5:$A$600,0)),"(row not found)"))</f>
        <v/>
      </c>
      <c r="E794" s="30"/>
      <c r="F794" s="33" t="str">
        <f>IF(E794="","",IFERROR(INDEX(Vendor_Register!$B$5:$B$205,MATCH(E794,Vendor_Register!$A$5:$A$205,0)),"(not in register)"))</f>
        <v/>
      </c>
      <c r="G794" s="33" t="str">
        <f>IF(E794="","",IFERROR(INDEX(Vendor_Register!$E$5:$E$205,MATCH(E794,Vendor_Register!$A$5:$A$205,0)),"(not in register)"))</f>
        <v/>
      </c>
      <c r="H794" s="30"/>
      <c r="I794" s="30"/>
      <c r="J794" s="30"/>
      <c r="K794" s="30"/>
      <c r="L794" s="30"/>
      <c r="M794" s="34"/>
      <c r="N794" s="30"/>
      <c r="O794" s="35" t="str">
        <f>IF(NOT(ISNUMBER(M794)),"",IFERROR(IF(L794="EUR",M794,IF(L794="IRR",M794/INDEX('Assumptions &amp; FX Reference'!$C$5:$C$25,MATCH(H794,'Assumptions &amp; FX Reference'!$A$5:$A$25,0)),IF(L794="USD",M794*INDEX('Assumptions &amp; FX Reference'!$B$5:$B$25,MATCH(H794,'Assumptions &amp; FX Reference'!$A$5:$A$25,0))/INDEX('Assumptions &amp; FX Reference'!$C$5:$C$25,MATCH(H794,'Assumptions &amp; FX Reference'!$A$5:$A$25,0)),""))),"(FX missing)"))</f>
        <v/>
      </c>
      <c r="P794" s="30"/>
      <c r="Q794" s="30"/>
      <c r="R794" s="30"/>
      <c r="S794" s="30"/>
      <c r="T794" s="30"/>
      <c r="U794" s="30"/>
      <c r="V794" s="30"/>
    </row>
    <row r="795" spans="1:22">
      <c r="A795" s="30"/>
      <c r="B795" s="30"/>
      <c r="C795" s="33" t="str">
        <f>IF(B795="","",IFERROR(INDEX('Master Database'!$D$5:$D$600,MATCH(B795,'Master Database'!$A$5:$A$600,0)),"(row not found)"))</f>
        <v/>
      </c>
      <c r="D795" s="33" t="str">
        <f>IF(B795="","",IFERROR(INDEX('Master Database'!$B$5:$B$600,MATCH(B795,'Master Database'!$A$5:$A$600,0)),"(row not found)"))</f>
        <v/>
      </c>
      <c r="E795" s="30"/>
      <c r="F795" s="33" t="str">
        <f>IF(E795="","",IFERROR(INDEX(Vendor_Register!$B$5:$B$205,MATCH(E795,Vendor_Register!$A$5:$A$205,0)),"(not in register)"))</f>
        <v/>
      </c>
      <c r="G795" s="33" t="str">
        <f>IF(E795="","",IFERROR(INDEX(Vendor_Register!$E$5:$E$205,MATCH(E795,Vendor_Register!$A$5:$A$205,0)),"(not in register)"))</f>
        <v/>
      </c>
      <c r="H795" s="30"/>
      <c r="I795" s="30"/>
      <c r="J795" s="30"/>
      <c r="K795" s="30"/>
      <c r="L795" s="30"/>
      <c r="M795" s="34"/>
      <c r="N795" s="30"/>
      <c r="O795" s="35" t="str">
        <f>IF(NOT(ISNUMBER(M795)),"",IFERROR(IF(L795="EUR",M795,IF(L795="IRR",M795/INDEX('Assumptions &amp; FX Reference'!$C$5:$C$25,MATCH(H795,'Assumptions &amp; FX Reference'!$A$5:$A$25,0)),IF(L795="USD",M795*INDEX('Assumptions &amp; FX Reference'!$B$5:$B$25,MATCH(H795,'Assumptions &amp; FX Reference'!$A$5:$A$25,0))/INDEX('Assumptions &amp; FX Reference'!$C$5:$C$25,MATCH(H795,'Assumptions &amp; FX Reference'!$A$5:$A$25,0)),""))),"(FX missing)"))</f>
        <v/>
      </c>
      <c r="P795" s="30"/>
      <c r="Q795" s="30"/>
      <c r="R795" s="30"/>
      <c r="S795" s="30"/>
      <c r="T795" s="30"/>
      <c r="U795" s="30"/>
      <c r="V795" s="30"/>
    </row>
    <row r="796" spans="1:22">
      <c r="A796" s="30"/>
      <c r="B796" s="30"/>
      <c r="C796" s="33" t="str">
        <f>IF(B796="","",IFERROR(INDEX('Master Database'!$D$5:$D$600,MATCH(B796,'Master Database'!$A$5:$A$600,0)),"(row not found)"))</f>
        <v/>
      </c>
      <c r="D796" s="33" t="str">
        <f>IF(B796="","",IFERROR(INDEX('Master Database'!$B$5:$B$600,MATCH(B796,'Master Database'!$A$5:$A$600,0)),"(row not found)"))</f>
        <v/>
      </c>
      <c r="E796" s="30"/>
      <c r="F796" s="33" t="str">
        <f>IF(E796="","",IFERROR(INDEX(Vendor_Register!$B$5:$B$205,MATCH(E796,Vendor_Register!$A$5:$A$205,0)),"(not in register)"))</f>
        <v/>
      </c>
      <c r="G796" s="33" t="str">
        <f>IF(E796="","",IFERROR(INDEX(Vendor_Register!$E$5:$E$205,MATCH(E796,Vendor_Register!$A$5:$A$205,0)),"(not in register)"))</f>
        <v/>
      </c>
      <c r="H796" s="30"/>
      <c r="I796" s="30"/>
      <c r="J796" s="30"/>
      <c r="K796" s="30"/>
      <c r="L796" s="30"/>
      <c r="M796" s="34"/>
      <c r="N796" s="30"/>
      <c r="O796" s="35" t="str">
        <f>IF(NOT(ISNUMBER(M796)),"",IFERROR(IF(L796="EUR",M796,IF(L796="IRR",M796/INDEX('Assumptions &amp; FX Reference'!$C$5:$C$25,MATCH(H796,'Assumptions &amp; FX Reference'!$A$5:$A$25,0)),IF(L796="USD",M796*INDEX('Assumptions &amp; FX Reference'!$B$5:$B$25,MATCH(H796,'Assumptions &amp; FX Reference'!$A$5:$A$25,0))/INDEX('Assumptions &amp; FX Reference'!$C$5:$C$25,MATCH(H796,'Assumptions &amp; FX Reference'!$A$5:$A$25,0)),""))),"(FX missing)"))</f>
        <v/>
      </c>
      <c r="P796" s="30"/>
      <c r="Q796" s="30"/>
      <c r="R796" s="30"/>
      <c r="S796" s="30"/>
      <c r="T796" s="30"/>
      <c r="U796" s="30"/>
      <c r="V796" s="30"/>
    </row>
    <row r="797" spans="1:22">
      <c r="A797" s="30"/>
      <c r="B797" s="30"/>
      <c r="C797" s="33" t="str">
        <f>IF(B797="","",IFERROR(INDEX('Master Database'!$D$5:$D$600,MATCH(B797,'Master Database'!$A$5:$A$600,0)),"(row not found)"))</f>
        <v/>
      </c>
      <c r="D797" s="33" t="str">
        <f>IF(B797="","",IFERROR(INDEX('Master Database'!$B$5:$B$600,MATCH(B797,'Master Database'!$A$5:$A$600,0)),"(row not found)"))</f>
        <v/>
      </c>
      <c r="E797" s="30"/>
      <c r="F797" s="33" t="str">
        <f>IF(E797="","",IFERROR(INDEX(Vendor_Register!$B$5:$B$205,MATCH(E797,Vendor_Register!$A$5:$A$205,0)),"(not in register)"))</f>
        <v/>
      </c>
      <c r="G797" s="33" t="str">
        <f>IF(E797="","",IFERROR(INDEX(Vendor_Register!$E$5:$E$205,MATCH(E797,Vendor_Register!$A$5:$A$205,0)),"(not in register)"))</f>
        <v/>
      </c>
      <c r="H797" s="30"/>
      <c r="I797" s="30"/>
      <c r="J797" s="30"/>
      <c r="K797" s="30"/>
      <c r="L797" s="30"/>
      <c r="M797" s="34"/>
      <c r="N797" s="30"/>
      <c r="O797" s="35" t="str">
        <f>IF(NOT(ISNUMBER(M797)),"",IFERROR(IF(L797="EUR",M797,IF(L797="IRR",M797/INDEX('Assumptions &amp; FX Reference'!$C$5:$C$25,MATCH(H797,'Assumptions &amp; FX Reference'!$A$5:$A$25,0)),IF(L797="USD",M797*INDEX('Assumptions &amp; FX Reference'!$B$5:$B$25,MATCH(H797,'Assumptions &amp; FX Reference'!$A$5:$A$25,0))/INDEX('Assumptions &amp; FX Reference'!$C$5:$C$25,MATCH(H797,'Assumptions &amp; FX Reference'!$A$5:$A$25,0)),""))),"(FX missing)"))</f>
        <v/>
      </c>
      <c r="P797" s="30"/>
      <c r="Q797" s="30"/>
      <c r="R797" s="30"/>
      <c r="S797" s="30"/>
      <c r="T797" s="30"/>
      <c r="U797" s="30"/>
      <c r="V797" s="30"/>
    </row>
    <row r="798" spans="1:22">
      <c r="A798" s="30"/>
      <c r="B798" s="30"/>
      <c r="C798" s="33" t="str">
        <f>IF(B798="","",IFERROR(INDEX('Master Database'!$D$5:$D$600,MATCH(B798,'Master Database'!$A$5:$A$600,0)),"(row not found)"))</f>
        <v/>
      </c>
      <c r="D798" s="33" t="str">
        <f>IF(B798="","",IFERROR(INDEX('Master Database'!$B$5:$B$600,MATCH(B798,'Master Database'!$A$5:$A$600,0)),"(row not found)"))</f>
        <v/>
      </c>
      <c r="E798" s="30"/>
      <c r="F798" s="33" t="str">
        <f>IF(E798="","",IFERROR(INDEX(Vendor_Register!$B$5:$B$205,MATCH(E798,Vendor_Register!$A$5:$A$205,0)),"(not in register)"))</f>
        <v/>
      </c>
      <c r="G798" s="33" t="str">
        <f>IF(E798="","",IFERROR(INDEX(Vendor_Register!$E$5:$E$205,MATCH(E798,Vendor_Register!$A$5:$A$205,0)),"(not in register)"))</f>
        <v/>
      </c>
      <c r="H798" s="30"/>
      <c r="I798" s="30"/>
      <c r="J798" s="30"/>
      <c r="K798" s="30"/>
      <c r="L798" s="30"/>
      <c r="M798" s="34"/>
      <c r="N798" s="30"/>
      <c r="O798" s="35" t="str">
        <f>IF(NOT(ISNUMBER(M798)),"",IFERROR(IF(L798="EUR",M798,IF(L798="IRR",M798/INDEX('Assumptions &amp; FX Reference'!$C$5:$C$25,MATCH(H798,'Assumptions &amp; FX Reference'!$A$5:$A$25,0)),IF(L798="USD",M798*INDEX('Assumptions &amp; FX Reference'!$B$5:$B$25,MATCH(H798,'Assumptions &amp; FX Reference'!$A$5:$A$25,0))/INDEX('Assumptions &amp; FX Reference'!$C$5:$C$25,MATCH(H798,'Assumptions &amp; FX Reference'!$A$5:$A$25,0)),""))),"(FX missing)"))</f>
        <v/>
      </c>
      <c r="P798" s="30"/>
      <c r="Q798" s="30"/>
      <c r="R798" s="30"/>
      <c r="S798" s="30"/>
      <c r="T798" s="30"/>
      <c r="U798" s="30"/>
      <c r="V798" s="30"/>
    </row>
    <row r="799" spans="1:22">
      <c r="A799" s="30"/>
      <c r="B799" s="30"/>
      <c r="C799" s="33" t="str">
        <f>IF(B799="","",IFERROR(INDEX('Master Database'!$D$5:$D$600,MATCH(B799,'Master Database'!$A$5:$A$600,0)),"(row not found)"))</f>
        <v/>
      </c>
      <c r="D799" s="33" t="str">
        <f>IF(B799="","",IFERROR(INDEX('Master Database'!$B$5:$B$600,MATCH(B799,'Master Database'!$A$5:$A$600,0)),"(row not found)"))</f>
        <v/>
      </c>
      <c r="E799" s="30"/>
      <c r="F799" s="33" t="str">
        <f>IF(E799="","",IFERROR(INDEX(Vendor_Register!$B$5:$B$205,MATCH(E799,Vendor_Register!$A$5:$A$205,0)),"(not in register)"))</f>
        <v/>
      </c>
      <c r="G799" s="33" t="str">
        <f>IF(E799="","",IFERROR(INDEX(Vendor_Register!$E$5:$E$205,MATCH(E799,Vendor_Register!$A$5:$A$205,0)),"(not in register)"))</f>
        <v/>
      </c>
      <c r="H799" s="30"/>
      <c r="I799" s="30"/>
      <c r="J799" s="30"/>
      <c r="K799" s="30"/>
      <c r="L799" s="30"/>
      <c r="M799" s="34"/>
      <c r="N799" s="30"/>
      <c r="O799" s="35" t="str">
        <f>IF(NOT(ISNUMBER(M799)),"",IFERROR(IF(L799="EUR",M799,IF(L799="IRR",M799/INDEX('Assumptions &amp; FX Reference'!$C$5:$C$25,MATCH(H799,'Assumptions &amp; FX Reference'!$A$5:$A$25,0)),IF(L799="USD",M799*INDEX('Assumptions &amp; FX Reference'!$B$5:$B$25,MATCH(H799,'Assumptions &amp; FX Reference'!$A$5:$A$25,0))/INDEX('Assumptions &amp; FX Reference'!$C$5:$C$25,MATCH(H799,'Assumptions &amp; FX Reference'!$A$5:$A$25,0)),""))),"(FX missing)"))</f>
        <v/>
      </c>
      <c r="P799" s="30"/>
      <c r="Q799" s="30"/>
      <c r="R799" s="30"/>
      <c r="S799" s="30"/>
      <c r="T799" s="30"/>
      <c r="U799" s="30"/>
      <c r="V799" s="30"/>
    </row>
    <row r="800" spans="1:22">
      <c r="A800" s="30"/>
      <c r="B800" s="30"/>
      <c r="C800" s="33" t="str">
        <f>IF(B800="","",IFERROR(INDEX('Master Database'!$D$5:$D$600,MATCH(B800,'Master Database'!$A$5:$A$600,0)),"(row not found)"))</f>
        <v/>
      </c>
      <c r="D800" s="33" t="str">
        <f>IF(B800="","",IFERROR(INDEX('Master Database'!$B$5:$B$600,MATCH(B800,'Master Database'!$A$5:$A$600,0)),"(row not found)"))</f>
        <v/>
      </c>
      <c r="E800" s="30"/>
      <c r="F800" s="33" t="str">
        <f>IF(E800="","",IFERROR(INDEX(Vendor_Register!$B$5:$B$205,MATCH(E800,Vendor_Register!$A$5:$A$205,0)),"(not in register)"))</f>
        <v/>
      </c>
      <c r="G800" s="33" t="str">
        <f>IF(E800="","",IFERROR(INDEX(Vendor_Register!$E$5:$E$205,MATCH(E800,Vendor_Register!$A$5:$A$205,0)),"(not in register)"))</f>
        <v/>
      </c>
      <c r="H800" s="30"/>
      <c r="I800" s="30"/>
      <c r="J800" s="30"/>
      <c r="K800" s="30"/>
      <c r="L800" s="30"/>
      <c r="M800" s="34"/>
      <c r="N800" s="30"/>
      <c r="O800" s="35" t="str">
        <f>IF(NOT(ISNUMBER(M800)),"",IFERROR(IF(L800="EUR",M800,IF(L800="IRR",M800/INDEX('Assumptions &amp; FX Reference'!$C$5:$C$25,MATCH(H800,'Assumptions &amp; FX Reference'!$A$5:$A$25,0)),IF(L800="USD",M800*INDEX('Assumptions &amp; FX Reference'!$B$5:$B$25,MATCH(H800,'Assumptions &amp; FX Reference'!$A$5:$A$25,0))/INDEX('Assumptions &amp; FX Reference'!$C$5:$C$25,MATCH(H800,'Assumptions &amp; FX Reference'!$A$5:$A$25,0)),""))),"(FX missing)"))</f>
        <v/>
      </c>
      <c r="P800" s="30"/>
      <c r="Q800" s="30"/>
      <c r="R800" s="30"/>
      <c r="S800" s="30"/>
      <c r="T800" s="30"/>
      <c r="U800" s="30"/>
      <c r="V800" s="30"/>
    </row>
    <row r="801" spans="1:22">
      <c r="A801" s="30"/>
      <c r="B801" s="30"/>
      <c r="C801" s="33" t="str">
        <f>IF(B801="","",IFERROR(INDEX('Master Database'!$D$5:$D$600,MATCH(B801,'Master Database'!$A$5:$A$600,0)),"(row not found)"))</f>
        <v/>
      </c>
      <c r="D801" s="33" t="str">
        <f>IF(B801="","",IFERROR(INDEX('Master Database'!$B$5:$B$600,MATCH(B801,'Master Database'!$A$5:$A$600,0)),"(row not found)"))</f>
        <v/>
      </c>
      <c r="E801" s="30"/>
      <c r="F801" s="33" t="str">
        <f>IF(E801="","",IFERROR(INDEX(Vendor_Register!$B$5:$B$205,MATCH(E801,Vendor_Register!$A$5:$A$205,0)),"(not in register)"))</f>
        <v/>
      </c>
      <c r="G801" s="33" t="str">
        <f>IF(E801="","",IFERROR(INDEX(Vendor_Register!$E$5:$E$205,MATCH(E801,Vendor_Register!$A$5:$A$205,0)),"(not in register)"))</f>
        <v/>
      </c>
      <c r="H801" s="30"/>
      <c r="I801" s="30"/>
      <c r="J801" s="30"/>
      <c r="K801" s="30"/>
      <c r="L801" s="30"/>
      <c r="M801" s="34"/>
      <c r="N801" s="30"/>
      <c r="O801" s="35" t="str">
        <f>IF(NOT(ISNUMBER(M801)),"",IFERROR(IF(L801="EUR",M801,IF(L801="IRR",M801/INDEX('Assumptions &amp; FX Reference'!$C$5:$C$25,MATCH(H801,'Assumptions &amp; FX Reference'!$A$5:$A$25,0)),IF(L801="USD",M801*INDEX('Assumptions &amp; FX Reference'!$B$5:$B$25,MATCH(H801,'Assumptions &amp; FX Reference'!$A$5:$A$25,0))/INDEX('Assumptions &amp; FX Reference'!$C$5:$C$25,MATCH(H801,'Assumptions &amp; FX Reference'!$A$5:$A$25,0)),""))),"(FX missing)"))</f>
        <v/>
      </c>
      <c r="P801" s="30"/>
      <c r="Q801" s="30"/>
      <c r="R801" s="30"/>
      <c r="S801" s="30"/>
      <c r="T801" s="30"/>
      <c r="U801" s="30"/>
      <c r="V801" s="30"/>
    </row>
    <row r="802" spans="1:22">
      <c r="A802" s="30"/>
      <c r="B802" s="30"/>
      <c r="C802" s="33" t="str">
        <f>IF(B802="","",IFERROR(INDEX('Master Database'!$D$5:$D$600,MATCH(B802,'Master Database'!$A$5:$A$600,0)),"(row not found)"))</f>
        <v/>
      </c>
      <c r="D802" s="33" t="str">
        <f>IF(B802="","",IFERROR(INDEX('Master Database'!$B$5:$B$600,MATCH(B802,'Master Database'!$A$5:$A$600,0)),"(row not found)"))</f>
        <v/>
      </c>
      <c r="E802" s="30"/>
      <c r="F802" s="33" t="str">
        <f>IF(E802="","",IFERROR(INDEX(Vendor_Register!$B$5:$B$205,MATCH(E802,Vendor_Register!$A$5:$A$205,0)),"(not in register)"))</f>
        <v/>
      </c>
      <c r="G802" s="33" t="str">
        <f>IF(E802="","",IFERROR(INDEX(Vendor_Register!$E$5:$E$205,MATCH(E802,Vendor_Register!$A$5:$A$205,0)),"(not in register)"))</f>
        <v/>
      </c>
      <c r="H802" s="30"/>
      <c r="I802" s="30"/>
      <c r="J802" s="30"/>
      <c r="K802" s="30"/>
      <c r="L802" s="30"/>
      <c r="M802" s="34"/>
      <c r="N802" s="30"/>
      <c r="O802" s="35" t="str">
        <f>IF(NOT(ISNUMBER(M802)),"",IFERROR(IF(L802="EUR",M802,IF(L802="IRR",M802/INDEX('Assumptions &amp; FX Reference'!$C$5:$C$25,MATCH(H802,'Assumptions &amp; FX Reference'!$A$5:$A$25,0)),IF(L802="USD",M802*INDEX('Assumptions &amp; FX Reference'!$B$5:$B$25,MATCH(H802,'Assumptions &amp; FX Reference'!$A$5:$A$25,0))/INDEX('Assumptions &amp; FX Reference'!$C$5:$C$25,MATCH(H802,'Assumptions &amp; FX Reference'!$A$5:$A$25,0)),""))),"(FX missing)"))</f>
        <v/>
      </c>
      <c r="P802" s="30"/>
      <c r="Q802" s="30"/>
      <c r="R802" s="30"/>
      <c r="S802" s="30"/>
      <c r="T802" s="30"/>
      <c r="U802" s="30"/>
      <c r="V802" s="30"/>
    </row>
    <row r="803" spans="1:22">
      <c r="A803" s="30"/>
      <c r="B803" s="30"/>
      <c r="C803" s="33" t="str">
        <f>IF(B803="","",IFERROR(INDEX('Master Database'!$D$5:$D$600,MATCH(B803,'Master Database'!$A$5:$A$600,0)),"(row not found)"))</f>
        <v/>
      </c>
      <c r="D803" s="33" t="str">
        <f>IF(B803="","",IFERROR(INDEX('Master Database'!$B$5:$B$600,MATCH(B803,'Master Database'!$A$5:$A$600,0)),"(row not found)"))</f>
        <v/>
      </c>
      <c r="E803" s="30"/>
      <c r="F803" s="33" t="str">
        <f>IF(E803="","",IFERROR(INDEX(Vendor_Register!$B$5:$B$205,MATCH(E803,Vendor_Register!$A$5:$A$205,0)),"(not in register)"))</f>
        <v/>
      </c>
      <c r="G803" s="33" t="str">
        <f>IF(E803="","",IFERROR(INDEX(Vendor_Register!$E$5:$E$205,MATCH(E803,Vendor_Register!$A$5:$A$205,0)),"(not in register)"))</f>
        <v/>
      </c>
      <c r="H803" s="30"/>
      <c r="I803" s="30"/>
      <c r="J803" s="30"/>
      <c r="K803" s="30"/>
      <c r="L803" s="30"/>
      <c r="M803" s="34"/>
      <c r="N803" s="30"/>
      <c r="O803" s="35" t="str">
        <f>IF(NOT(ISNUMBER(M803)),"",IFERROR(IF(L803="EUR",M803,IF(L803="IRR",M803/INDEX('Assumptions &amp; FX Reference'!$C$5:$C$25,MATCH(H803,'Assumptions &amp; FX Reference'!$A$5:$A$25,0)),IF(L803="USD",M803*INDEX('Assumptions &amp; FX Reference'!$B$5:$B$25,MATCH(H803,'Assumptions &amp; FX Reference'!$A$5:$A$25,0))/INDEX('Assumptions &amp; FX Reference'!$C$5:$C$25,MATCH(H803,'Assumptions &amp; FX Reference'!$A$5:$A$25,0)),""))),"(FX missing)"))</f>
        <v/>
      </c>
      <c r="P803" s="30"/>
      <c r="Q803" s="30"/>
      <c r="R803" s="30"/>
      <c r="S803" s="30"/>
      <c r="T803" s="30"/>
      <c r="U803" s="30"/>
      <c r="V803" s="30"/>
    </row>
    <row r="804" spans="1:22">
      <c r="A804" s="30"/>
      <c r="B804" s="30"/>
      <c r="C804" s="33" t="str">
        <f>IF(B804="","",IFERROR(INDEX('Master Database'!$D$5:$D$600,MATCH(B804,'Master Database'!$A$5:$A$600,0)),"(row not found)"))</f>
        <v/>
      </c>
      <c r="D804" s="33" t="str">
        <f>IF(B804="","",IFERROR(INDEX('Master Database'!$B$5:$B$600,MATCH(B804,'Master Database'!$A$5:$A$600,0)),"(row not found)"))</f>
        <v/>
      </c>
      <c r="E804" s="30"/>
      <c r="F804" s="33" t="str">
        <f>IF(E804="","",IFERROR(INDEX(Vendor_Register!$B$5:$B$205,MATCH(E804,Vendor_Register!$A$5:$A$205,0)),"(not in register)"))</f>
        <v/>
      </c>
      <c r="G804" s="33" t="str">
        <f>IF(E804="","",IFERROR(INDEX(Vendor_Register!$E$5:$E$205,MATCH(E804,Vendor_Register!$A$5:$A$205,0)),"(not in register)"))</f>
        <v/>
      </c>
      <c r="H804" s="30"/>
      <c r="I804" s="30"/>
      <c r="J804" s="30"/>
      <c r="K804" s="30"/>
      <c r="L804" s="30"/>
      <c r="M804" s="34"/>
      <c r="N804" s="30"/>
      <c r="O804" s="35" t="str">
        <f>IF(NOT(ISNUMBER(M804)),"",IFERROR(IF(L804="EUR",M804,IF(L804="IRR",M804/INDEX('Assumptions &amp; FX Reference'!$C$5:$C$25,MATCH(H804,'Assumptions &amp; FX Reference'!$A$5:$A$25,0)),IF(L804="USD",M804*INDEX('Assumptions &amp; FX Reference'!$B$5:$B$25,MATCH(H804,'Assumptions &amp; FX Reference'!$A$5:$A$25,0))/INDEX('Assumptions &amp; FX Reference'!$C$5:$C$25,MATCH(H804,'Assumptions &amp; FX Reference'!$A$5:$A$25,0)),""))),"(FX missing)"))</f>
        <v/>
      </c>
      <c r="P804" s="30"/>
      <c r="Q804" s="30"/>
      <c r="R804" s="30"/>
      <c r="S804" s="30"/>
      <c r="T804" s="30"/>
      <c r="U804" s="30"/>
      <c r="V804" s="30"/>
    </row>
    <row r="805" spans="1:22">
      <c r="A805" s="30"/>
      <c r="B805" s="30"/>
      <c r="C805" s="33" t="str">
        <f>IF(B805="","",IFERROR(INDEX('Master Database'!$D$5:$D$600,MATCH(B805,'Master Database'!$A$5:$A$600,0)),"(row not found)"))</f>
        <v/>
      </c>
      <c r="D805" s="33" t="str">
        <f>IF(B805="","",IFERROR(INDEX('Master Database'!$B$5:$B$600,MATCH(B805,'Master Database'!$A$5:$A$600,0)),"(row not found)"))</f>
        <v/>
      </c>
      <c r="E805" s="30"/>
      <c r="F805" s="33" t="str">
        <f>IF(E805="","",IFERROR(INDEX(Vendor_Register!$B$5:$B$205,MATCH(E805,Vendor_Register!$A$5:$A$205,0)),"(not in register)"))</f>
        <v/>
      </c>
      <c r="G805" s="33" t="str">
        <f>IF(E805="","",IFERROR(INDEX(Vendor_Register!$E$5:$E$205,MATCH(E805,Vendor_Register!$A$5:$A$205,0)),"(not in register)"))</f>
        <v/>
      </c>
      <c r="H805" s="30"/>
      <c r="I805" s="30"/>
      <c r="J805" s="30"/>
      <c r="K805" s="30"/>
      <c r="L805" s="30"/>
      <c r="M805" s="34"/>
      <c r="N805" s="30"/>
      <c r="O805" s="35" t="str">
        <f>IF(NOT(ISNUMBER(M805)),"",IFERROR(IF(L805="EUR",M805,IF(L805="IRR",M805/INDEX('Assumptions &amp; FX Reference'!$C$5:$C$25,MATCH(H805,'Assumptions &amp; FX Reference'!$A$5:$A$25,0)),IF(L805="USD",M805*INDEX('Assumptions &amp; FX Reference'!$B$5:$B$25,MATCH(H805,'Assumptions &amp; FX Reference'!$A$5:$A$25,0))/INDEX('Assumptions &amp; FX Reference'!$C$5:$C$25,MATCH(H805,'Assumptions &amp; FX Reference'!$A$5:$A$25,0)),""))),"(FX missing)"))</f>
        <v/>
      </c>
      <c r="P805" s="30"/>
      <c r="Q805" s="30"/>
      <c r="R805" s="30"/>
      <c r="S805" s="30"/>
      <c r="T805" s="30"/>
      <c r="U805" s="30"/>
      <c r="V805" s="30"/>
    </row>
    <row r="806" spans="1:22">
      <c r="A806" s="30"/>
      <c r="B806" s="30"/>
      <c r="C806" s="33" t="str">
        <f>IF(B806="","",IFERROR(INDEX('Master Database'!$D$5:$D$600,MATCH(B806,'Master Database'!$A$5:$A$600,0)),"(row not found)"))</f>
        <v/>
      </c>
      <c r="D806" s="33" t="str">
        <f>IF(B806="","",IFERROR(INDEX('Master Database'!$B$5:$B$600,MATCH(B806,'Master Database'!$A$5:$A$600,0)),"(row not found)"))</f>
        <v/>
      </c>
      <c r="E806" s="30"/>
      <c r="F806" s="33" t="str">
        <f>IF(E806="","",IFERROR(INDEX(Vendor_Register!$B$5:$B$205,MATCH(E806,Vendor_Register!$A$5:$A$205,0)),"(not in register)"))</f>
        <v/>
      </c>
      <c r="G806" s="33" t="str">
        <f>IF(E806="","",IFERROR(INDEX(Vendor_Register!$E$5:$E$205,MATCH(E806,Vendor_Register!$A$5:$A$205,0)),"(not in register)"))</f>
        <v/>
      </c>
      <c r="H806" s="30"/>
      <c r="I806" s="30"/>
      <c r="J806" s="30"/>
      <c r="K806" s="30"/>
      <c r="L806" s="30"/>
      <c r="M806" s="34"/>
      <c r="N806" s="30"/>
      <c r="O806" s="35" t="str">
        <f>IF(NOT(ISNUMBER(M806)),"",IFERROR(IF(L806="EUR",M806,IF(L806="IRR",M806/INDEX('Assumptions &amp; FX Reference'!$C$5:$C$25,MATCH(H806,'Assumptions &amp; FX Reference'!$A$5:$A$25,0)),IF(L806="USD",M806*INDEX('Assumptions &amp; FX Reference'!$B$5:$B$25,MATCH(H806,'Assumptions &amp; FX Reference'!$A$5:$A$25,0))/INDEX('Assumptions &amp; FX Reference'!$C$5:$C$25,MATCH(H806,'Assumptions &amp; FX Reference'!$A$5:$A$25,0)),""))),"(FX missing)"))</f>
        <v/>
      </c>
      <c r="P806" s="30"/>
      <c r="Q806" s="30"/>
      <c r="R806" s="30"/>
      <c r="S806" s="30"/>
      <c r="T806" s="30"/>
      <c r="U806" s="30"/>
      <c r="V806" s="30"/>
    </row>
    <row r="807" spans="1:22">
      <c r="A807" s="30"/>
      <c r="B807" s="30"/>
      <c r="C807" s="33" t="str">
        <f>IF(B807="","",IFERROR(INDEX('Master Database'!$D$5:$D$600,MATCH(B807,'Master Database'!$A$5:$A$600,0)),"(row not found)"))</f>
        <v/>
      </c>
      <c r="D807" s="33" t="str">
        <f>IF(B807="","",IFERROR(INDEX('Master Database'!$B$5:$B$600,MATCH(B807,'Master Database'!$A$5:$A$600,0)),"(row not found)"))</f>
        <v/>
      </c>
      <c r="E807" s="30"/>
      <c r="F807" s="33" t="str">
        <f>IF(E807="","",IFERROR(INDEX(Vendor_Register!$B$5:$B$205,MATCH(E807,Vendor_Register!$A$5:$A$205,0)),"(not in register)"))</f>
        <v/>
      </c>
      <c r="G807" s="33" t="str">
        <f>IF(E807="","",IFERROR(INDEX(Vendor_Register!$E$5:$E$205,MATCH(E807,Vendor_Register!$A$5:$A$205,0)),"(not in register)"))</f>
        <v/>
      </c>
      <c r="H807" s="30"/>
      <c r="I807" s="30"/>
      <c r="J807" s="30"/>
      <c r="K807" s="30"/>
      <c r="L807" s="30"/>
      <c r="M807" s="34"/>
      <c r="N807" s="30"/>
      <c r="O807" s="35" t="str">
        <f>IF(NOT(ISNUMBER(M807)),"",IFERROR(IF(L807="EUR",M807,IF(L807="IRR",M807/INDEX('Assumptions &amp; FX Reference'!$C$5:$C$25,MATCH(H807,'Assumptions &amp; FX Reference'!$A$5:$A$25,0)),IF(L807="USD",M807*INDEX('Assumptions &amp; FX Reference'!$B$5:$B$25,MATCH(H807,'Assumptions &amp; FX Reference'!$A$5:$A$25,0))/INDEX('Assumptions &amp; FX Reference'!$C$5:$C$25,MATCH(H807,'Assumptions &amp; FX Reference'!$A$5:$A$25,0)),""))),"(FX missing)"))</f>
        <v/>
      </c>
      <c r="P807" s="30"/>
      <c r="Q807" s="30"/>
      <c r="R807" s="30"/>
      <c r="S807" s="30"/>
      <c r="T807" s="30"/>
      <c r="U807" s="30"/>
      <c r="V807" s="30"/>
    </row>
    <row r="808" spans="1:22">
      <c r="A808" s="30"/>
      <c r="B808" s="30"/>
      <c r="C808" s="33" t="str">
        <f>IF(B808="","",IFERROR(INDEX('Master Database'!$D$5:$D$600,MATCH(B808,'Master Database'!$A$5:$A$600,0)),"(row not found)"))</f>
        <v/>
      </c>
      <c r="D808" s="33" t="str">
        <f>IF(B808="","",IFERROR(INDEX('Master Database'!$B$5:$B$600,MATCH(B808,'Master Database'!$A$5:$A$600,0)),"(row not found)"))</f>
        <v/>
      </c>
      <c r="E808" s="30"/>
      <c r="F808" s="33" t="str">
        <f>IF(E808="","",IFERROR(INDEX(Vendor_Register!$B$5:$B$205,MATCH(E808,Vendor_Register!$A$5:$A$205,0)),"(not in register)"))</f>
        <v/>
      </c>
      <c r="G808" s="33" t="str">
        <f>IF(E808="","",IFERROR(INDEX(Vendor_Register!$E$5:$E$205,MATCH(E808,Vendor_Register!$A$5:$A$205,0)),"(not in register)"))</f>
        <v/>
      </c>
      <c r="H808" s="30"/>
      <c r="I808" s="30"/>
      <c r="J808" s="30"/>
      <c r="K808" s="30"/>
      <c r="L808" s="30"/>
      <c r="M808" s="34"/>
      <c r="N808" s="30"/>
      <c r="O808" s="35" t="str">
        <f>IF(NOT(ISNUMBER(M808)),"",IFERROR(IF(L808="EUR",M808,IF(L808="IRR",M808/INDEX('Assumptions &amp; FX Reference'!$C$5:$C$25,MATCH(H808,'Assumptions &amp; FX Reference'!$A$5:$A$25,0)),IF(L808="USD",M808*INDEX('Assumptions &amp; FX Reference'!$B$5:$B$25,MATCH(H808,'Assumptions &amp; FX Reference'!$A$5:$A$25,0))/INDEX('Assumptions &amp; FX Reference'!$C$5:$C$25,MATCH(H808,'Assumptions &amp; FX Reference'!$A$5:$A$25,0)),""))),"(FX missing)"))</f>
        <v/>
      </c>
      <c r="P808" s="30"/>
      <c r="Q808" s="30"/>
      <c r="R808" s="30"/>
      <c r="S808" s="30"/>
      <c r="T808" s="30"/>
      <c r="U808" s="30"/>
      <c r="V808" s="30"/>
    </row>
    <row r="809" spans="1:22">
      <c r="A809" s="30"/>
      <c r="B809" s="30"/>
      <c r="C809" s="33" t="str">
        <f>IF(B809="","",IFERROR(INDEX('Master Database'!$D$5:$D$600,MATCH(B809,'Master Database'!$A$5:$A$600,0)),"(row not found)"))</f>
        <v/>
      </c>
      <c r="D809" s="33" t="str">
        <f>IF(B809="","",IFERROR(INDEX('Master Database'!$B$5:$B$600,MATCH(B809,'Master Database'!$A$5:$A$600,0)),"(row not found)"))</f>
        <v/>
      </c>
      <c r="E809" s="30"/>
      <c r="F809" s="33" t="str">
        <f>IF(E809="","",IFERROR(INDEX(Vendor_Register!$B$5:$B$205,MATCH(E809,Vendor_Register!$A$5:$A$205,0)),"(not in register)"))</f>
        <v/>
      </c>
      <c r="G809" s="33" t="str">
        <f>IF(E809="","",IFERROR(INDEX(Vendor_Register!$E$5:$E$205,MATCH(E809,Vendor_Register!$A$5:$A$205,0)),"(not in register)"))</f>
        <v/>
      </c>
      <c r="H809" s="30"/>
      <c r="I809" s="30"/>
      <c r="J809" s="30"/>
      <c r="K809" s="30"/>
      <c r="L809" s="30"/>
      <c r="M809" s="34"/>
      <c r="N809" s="30"/>
      <c r="O809" s="35" t="str">
        <f>IF(NOT(ISNUMBER(M809)),"",IFERROR(IF(L809="EUR",M809,IF(L809="IRR",M809/INDEX('Assumptions &amp; FX Reference'!$C$5:$C$25,MATCH(H809,'Assumptions &amp; FX Reference'!$A$5:$A$25,0)),IF(L809="USD",M809*INDEX('Assumptions &amp; FX Reference'!$B$5:$B$25,MATCH(H809,'Assumptions &amp; FX Reference'!$A$5:$A$25,0))/INDEX('Assumptions &amp; FX Reference'!$C$5:$C$25,MATCH(H809,'Assumptions &amp; FX Reference'!$A$5:$A$25,0)),""))),"(FX missing)"))</f>
        <v/>
      </c>
      <c r="P809" s="30"/>
      <c r="Q809" s="30"/>
      <c r="R809" s="30"/>
      <c r="S809" s="30"/>
      <c r="T809" s="30"/>
      <c r="U809" s="30"/>
      <c r="V809" s="30"/>
    </row>
    <row r="810" spans="1:22">
      <c r="A810" s="30"/>
      <c r="B810" s="30"/>
      <c r="C810" s="33" t="str">
        <f>IF(B810="","",IFERROR(INDEX('Master Database'!$D$5:$D$600,MATCH(B810,'Master Database'!$A$5:$A$600,0)),"(row not found)"))</f>
        <v/>
      </c>
      <c r="D810" s="33" t="str">
        <f>IF(B810="","",IFERROR(INDEX('Master Database'!$B$5:$B$600,MATCH(B810,'Master Database'!$A$5:$A$600,0)),"(row not found)"))</f>
        <v/>
      </c>
      <c r="E810" s="30"/>
      <c r="F810" s="33" t="str">
        <f>IF(E810="","",IFERROR(INDEX(Vendor_Register!$B$5:$B$205,MATCH(E810,Vendor_Register!$A$5:$A$205,0)),"(not in register)"))</f>
        <v/>
      </c>
      <c r="G810" s="33" t="str">
        <f>IF(E810="","",IFERROR(INDEX(Vendor_Register!$E$5:$E$205,MATCH(E810,Vendor_Register!$A$5:$A$205,0)),"(not in register)"))</f>
        <v/>
      </c>
      <c r="H810" s="30"/>
      <c r="I810" s="30"/>
      <c r="J810" s="30"/>
      <c r="K810" s="30"/>
      <c r="L810" s="30"/>
      <c r="M810" s="34"/>
      <c r="N810" s="30"/>
      <c r="O810" s="35" t="str">
        <f>IF(NOT(ISNUMBER(M810)),"",IFERROR(IF(L810="EUR",M810,IF(L810="IRR",M810/INDEX('Assumptions &amp; FX Reference'!$C$5:$C$25,MATCH(H810,'Assumptions &amp; FX Reference'!$A$5:$A$25,0)),IF(L810="USD",M810*INDEX('Assumptions &amp; FX Reference'!$B$5:$B$25,MATCH(H810,'Assumptions &amp; FX Reference'!$A$5:$A$25,0))/INDEX('Assumptions &amp; FX Reference'!$C$5:$C$25,MATCH(H810,'Assumptions &amp; FX Reference'!$A$5:$A$25,0)),""))),"(FX missing)"))</f>
        <v/>
      </c>
      <c r="P810" s="30"/>
      <c r="Q810" s="30"/>
      <c r="R810" s="30"/>
      <c r="S810" s="30"/>
      <c r="T810" s="30"/>
      <c r="U810" s="30"/>
      <c r="V810" s="30"/>
    </row>
    <row r="811" spans="1:22">
      <c r="A811" s="30"/>
      <c r="B811" s="30"/>
      <c r="C811" s="33" t="str">
        <f>IF(B811="","",IFERROR(INDEX('Master Database'!$D$5:$D$600,MATCH(B811,'Master Database'!$A$5:$A$600,0)),"(row not found)"))</f>
        <v/>
      </c>
      <c r="D811" s="33" t="str">
        <f>IF(B811="","",IFERROR(INDEX('Master Database'!$B$5:$B$600,MATCH(B811,'Master Database'!$A$5:$A$600,0)),"(row not found)"))</f>
        <v/>
      </c>
      <c r="E811" s="30"/>
      <c r="F811" s="33" t="str">
        <f>IF(E811="","",IFERROR(INDEX(Vendor_Register!$B$5:$B$205,MATCH(E811,Vendor_Register!$A$5:$A$205,0)),"(not in register)"))</f>
        <v/>
      </c>
      <c r="G811" s="33" t="str">
        <f>IF(E811="","",IFERROR(INDEX(Vendor_Register!$E$5:$E$205,MATCH(E811,Vendor_Register!$A$5:$A$205,0)),"(not in register)"))</f>
        <v/>
      </c>
      <c r="H811" s="30"/>
      <c r="I811" s="30"/>
      <c r="J811" s="30"/>
      <c r="K811" s="30"/>
      <c r="L811" s="30"/>
      <c r="M811" s="34"/>
      <c r="N811" s="30"/>
      <c r="O811" s="35" t="str">
        <f>IF(NOT(ISNUMBER(M811)),"",IFERROR(IF(L811="EUR",M811,IF(L811="IRR",M811/INDEX('Assumptions &amp; FX Reference'!$C$5:$C$25,MATCH(H811,'Assumptions &amp; FX Reference'!$A$5:$A$25,0)),IF(L811="USD",M811*INDEX('Assumptions &amp; FX Reference'!$B$5:$B$25,MATCH(H811,'Assumptions &amp; FX Reference'!$A$5:$A$25,0))/INDEX('Assumptions &amp; FX Reference'!$C$5:$C$25,MATCH(H811,'Assumptions &amp; FX Reference'!$A$5:$A$25,0)),""))),"(FX missing)"))</f>
        <v/>
      </c>
      <c r="P811" s="30"/>
      <c r="Q811" s="30"/>
      <c r="R811" s="30"/>
      <c r="S811" s="30"/>
      <c r="T811" s="30"/>
      <c r="U811" s="30"/>
      <c r="V811" s="30"/>
    </row>
    <row r="812" spans="1:22">
      <c r="A812" s="30"/>
      <c r="B812" s="30"/>
      <c r="C812" s="33" t="str">
        <f>IF(B812="","",IFERROR(INDEX('Master Database'!$D$5:$D$600,MATCH(B812,'Master Database'!$A$5:$A$600,0)),"(row not found)"))</f>
        <v/>
      </c>
      <c r="D812" s="33" t="str">
        <f>IF(B812="","",IFERROR(INDEX('Master Database'!$B$5:$B$600,MATCH(B812,'Master Database'!$A$5:$A$600,0)),"(row not found)"))</f>
        <v/>
      </c>
      <c r="E812" s="30"/>
      <c r="F812" s="33" t="str">
        <f>IF(E812="","",IFERROR(INDEX(Vendor_Register!$B$5:$B$205,MATCH(E812,Vendor_Register!$A$5:$A$205,0)),"(not in register)"))</f>
        <v/>
      </c>
      <c r="G812" s="33" t="str">
        <f>IF(E812="","",IFERROR(INDEX(Vendor_Register!$E$5:$E$205,MATCH(E812,Vendor_Register!$A$5:$A$205,0)),"(not in register)"))</f>
        <v/>
      </c>
      <c r="H812" s="30"/>
      <c r="I812" s="30"/>
      <c r="J812" s="30"/>
      <c r="K812" s="30"/>
      <c r="L812" s="30"/>
      <c r="M812" s="34"/>
      <c r="N812" s="30"/>
      <c r="O812" s="35" t="str">
        <f>IF(NOT(ISNUMBER(M812)),"",IFERROR(IF(L812="EUR",M812,IF(L812="IRR",M812/INDEX('Assumptions &amp; FX Reference'!$C$5:$C$25,MATCH(H812,'Assumptions &amp; FX Reference'!$A$5:$A$25,0)),IF(L812="USD",M812*INDEX('Assumptions &amp; FX Reference'!$B$5:$B$25,MATCH(H812,'Assumptions &amp; FX Reference'!$A$5:$A$25,0))/INDEX('Assumptions &amp; FX Reference'!$C$5:$C$25,MATCH(H812,'Assumptions &amp; FX Reference'!$A$5:$A$25,0)),""))),"(FX missing)"))</f>
        <v/>
      </c>
      <c r="P812" s="30"/>
      <c r="Q812" s="30"/>
      <c r="R812" s="30"/>
      <c r="S812" s="30"/>
      <c r="T812" s="30"/>
      <c r="U812" s="30"/>
      <c r="V812" s="30"/>
    </row>
    <row r="813" spans="1:22">
      <c r="A813" s="30"/>
      <c r="B813" s="30"/>
      <c r="C813" s="33" t="str">
        <f>IF(B813="","",IFERROR(INDEX('Master Database'!$D$5:$D$600,MATCH(B813,'Master Database'!$A$5:$A$600,0)),"(row not found)"))</f>
        <v/>
      </c>
      <c r="D813" s="33" t="str">
        <f>IF(B813="","",IFERROR(INDEX('Master Database'!$B$5:$B$600,MATCH(B813,'Master Database'!$A$5:$A$600,0)),"(row not found)"))</f>
        <v/>
      </c>
      <c r="E813" s="30"/>
      <c r="F813" s="33" t="str">
        <f>IF(E813="","",IFERROR(INDEX(Vendor_Register!$B$5:$B$205,MATCH(E813,Vendor_Register!$A$5:$A$205,0)),"(not in register)"))</f>
        <v/>
      </c>
      <c r="G813" s="33" t="str">
        <f>IF(E813="","",IFERROR(INDEX(Vendor_Register!$E$5:$E$205,MATCH(E813,Vendor_Register!$A$5:$A$205,0)),"(not in register)"))</f>
        <v/>
      </c>
      <c r="H813" s="30"/>
      <c r="I813" s="30"/>
      <c r="J813" s="30"/>
      <c r="K813" s="30"/>
      <c r="L813" s="30"/>
      <c r="M813" s="34"/>
      <c r="N813" s="30"/>
      <c r="O813" s="35" t="str">
        <f>IF(NOT(ISNUMBER(M813)),"",IFERROR(IF(L813="EUR",M813,IF(L813="IRR",M813/INDEX('Assumptions &amp; FX Reference'!$C$5:$C$25,MATCH(H813,'Assumptions &amp; FX Reference'!$A$5:$A$25,0)),IF(L813="USD",M813*INDEX('Assumptions &amp; FX Reference'!$B$5:$B$25,MATCH(H813,'Assumptions &amp; FX Reference'!$A$5:$A$25,0))/INDEX('Assumptions &amp; FX Reference'!$C$5:$C$25,MATCH(H813,'Assumptions &amp; FX Reference'!$A$5:$A$25,0)),""))),"(FX missing)"))</f>
        <v/>
      </c>
      <c r="P813" s="30"/>
      <c r="Q813" s="30"/>
      <c r="R813" s="30"/>
      <c r="S813" s="30"/>
      <c r="T813" s="30"/>
      <c r="U813" s="30"/>
      <c r="V813" s="30"/>
    </row>
    <row r="814" spans="1:22">
      <c r="A814" s="30"/>
      <c r="B814" s="30"/>
      <c r="C814" s="33" t="str">
        <f>IF(B814="","",IFERROR(INDEX('Master Database'!$D$5:$D$600,MATCH(B814,'Master Database'!$A$5:$A$600,0)),"(row not found)"))</f>
        <v/>
      </c>
      <c r="D814" s="33" t="str">
        <f>IF(B814="","",IFERROR(INDEX('Master Database'!$B$5:$B$600,MATCH(B814,'Master Database'!$A$5:$A$600,0)),"(row not found)"))</f>
        <v/>
      </c>
      <c r="E814" s="30"/>
      <c r="F814" s="33" t="str">
        <f>IF(E814="","",IFERROR(INDEX(Vendor_Register!$B$5:$B$205,MATCH(E814,Vendor_Register!$A$5:$A$205,0)),"(not in register)"))</f>
        <v/>
      </c>
      <c r="G814" s="33" t="str">
        <f>IF(E814="","",IFERROR(INDEX(Vendor_Register!$E$5:$E$205,MATCH(E814,Vendor_Register!$A$5:$A$205,0)),"(not in register)"))</f>
        <v/>
      </c>
      <c r="H814" s="30"/>
      <c r="I814" s="30"/>
      <c r="J814" s="30"/>
      <c r="K814" s="30"/>
      <c r="L814" s="30"/>
      <c r="M814" s="34"/>
      <c r="N814" s="30"/>
      <c r="O814" s="35" t="str">
        <f>IF(NOT(ISNUMBER(M814)),"",IFERROR(IF(L814="EUR",M814,IF(L814="IRR",M814/INDEX('Assumptions &amp; FX Reference'!$C$5:$C$25,MATCH(H814,'Assumptions &amp; FX Reference'!$A$5:$A$25,0)),IF(L814="USD",M814*INDEX('Assumptions &amp; FX Reference'!$B$5:$B$25,MATCH(H814,'Assumptions &amp; FX Reference'!$A$5:$A$25,0))/INDEX('Assumptions &amp; FX Reference'!$C$5:$C$25,MATCH(H814,'Assumptions &amp; FX Reference'!$A$5:$A$25,0)),""))),"(FX missing)"))</f>
        <v/>
      </c>
      <c r="P814" s="30"/>
      <c r="Q814" s="30"/>
      <c r="R814" s="30"/>
      <c r="S814" s="30"/>
      <c r="T814" s="30"/>
      <c r="U814" s="30"/>
      <c r="V814" s="30"/>
    </row>
    <row r="815" spans="1:22">
      <c r="A815" s="30"/>
      <c r="B815" s="30"/>
      <c r="C815" s="33" t="str">
        <f>IF(B815="","",IFERROR(INDEX('Master Database'!$D$5:$D$600,MATCH(B815,'Master Database'!$A$5:$A$600,0)),"(row not found)"))</f>
        <v/>
      </c>
      <c r="D815" s="33" t="str">
        <f>IF(B815="","",IFERROR(INDEX('Master Database'!$B$5:$B$600,MATCH(B815,'Master Database'!$A$5:$A$600,0)),"(row not found)"))</f>
        <v/>
      </c>
      <c r="E815" s="30"/>
      <c r="F815" s="33" t="str">
        <f>IF(E815="","",IFERROR(INDEX(Vendor_Register!$B$5:$B$205,MATCH(E815,Vendor_Register!$A$5:$A$205,0)),"(not in register)"))</f>
        <v/>
      </c>
      <c r="G815" s="33" t="str">
        <f>IF(E815="","",IFERROR(INDEX(Vendor_Register!$E$5:$E$205,MATCH(E815,Vendor_Register!$A$5:$A$205,0)),"(not in register)"))</f>
        <v/>
      </c>
      <c r="H815" s="30"/>
      <c r="I815" s="30"/>
      <c r="J815" s="30"/>
      <c r="K815" s="30"/>
      <c r="L815" s="30"/>
      <c r="M815" s="34"/>
      <c r="N815" s="30"/>
      <c r="O815" s="35" t="str">
        <f>IF(NOT(ISNUMBER(M815)),"",IFERROR(IF(L815="EUR",M815,IF(L815="IRR",M815/INDEX('Assumptions &amp; FX Reference'!$C$5:$C$25,MATCH(H815,'Assumptions &amp; FX Reference'!$A$5:$A$25,0)),IF(L815="USD",M815*INDEX('Assumptions &amp; FX Reference'!$B$5:$B$25,MATCH(H815,'Assumptions &amp; FX Reference'!$A$5:$A$25,0))/INDEX('Assumptions &amp; FX Reference'!$C$5:$C$25,MATCH(H815,'Assumptions &amp; FX Reference'!$A$5:$A$25,0)),""))),"(FX missing)"))</f>
        <v/>
      </c>
      <c r="P815" s="30"/>
      <c r="Q815" s="30"/>
      <c r="R815" s="30"/>
      <c r="S815" s="30"/>
      <c r="T815" s="30"/>
      <c r="U815" s="30"/>
      <c r="V815" s="30"/>
    </row>
    <row r="816" spans="1:22">
      <c r="A816" s="30"/>
      <c r="B816" s="30"/>
      <c r="C816" s="33" t="str">
        <f>IF(B816="","",IFERROR(INDEX('Master Database'!$D$5:$D$600,MATCH(B816,'Master Database'!$A$5:$A$600,0)),"(row not found)"))</f>
        <v/>
      </c>
      <c r="D816" s="33" t="str">
        <f>IF(B816="","",IFERROR(INDEX('Master Database'!$B$5:$B$600,MATCH(B816,'Master Database'!$A$5:$A$600,0)),"(row not found)"))</f>
        <v/>
      </c>
      <c r="E816" s="30"/>
      <c r="F816" s="33" t="str">
        <f>IF(E816="","",IFERROR(INDEX(Vendor_Register!$B$5:$B$205,MATCH(E816,Vendor_Register!$A$5:$A$205,0)),"(not in register)"))</f>
        <v/>
      </c>
      <c r="G816" s="33" t="str">
        <f>IF(E816="","",IFERROR(INDEX(Vendor_Register!$E$5:$E$205,MATCH(E816,Vendor_Register!$A$5:$A$205,0)),"(not in register)"))</f>
        <v/>
      </c>
      <c r="H816" s="30"/>
      <c r="I816" s="30"/>
      <c r="J816" s="30"/>
      <c r="K816" s="30"/>
      <c r="L816" s="30"/>
      <c r="M816" s="34"/>
      <c r="N816" s="30"/>
      <c r="O816" s="35" t="str">
        <f>IF(NOT(ISNUMBER(M816)),"",IFERROR(IF(L816="EUR",M816,IF(L816="IRR",M816/INDEX('Assumptions &amp; FX Reference'!$C$5:$C$25,MATCH(H816,'Assumptions &amp; FX Reference'!$A$5:$A$25,0)),IF(L816="USD",M816*INDEX('Assumptions &amp; FX Reference'!$B$5:$B$25,MATCH(H816,'Assumptions &amp; FX Reference'!$A$5:$A$25,0))/INDEX('Assumptions &amp; FX Reference'!$C$5:$C$25,MATCH(H816,'Assumptions &amp; FX Reference'!$A$5:$A$25,0)),""))),"(FX missing)"))</f>
        <v/>
      </c>
      <c r="P816" s="30"/>
      <c r="Q816" s="30"/>
      <c r="R816" s="30"/>
      <c r="S816" s="30"/>
      <c r="T816" s="30"/>
      <c r="U816" s="30"/>
      <c r="V816" s="30"/>
    </row>
    <row r="817" spans="1:22">
      <c r="A817" s="30"/>
      <c r="B817" s="30"/>
      <c r="C817" s="33" t="str">
        <f>IF(B817="","",IFERROR(INDEX('Master Database'!$D$5:$D$600,MATCH(B817,'Master Database'!$A$5:$A$600,0)),"(row not found)"))</f>
        <v/>
      </c>
      <c r="D817" s="33" t="str">
        <f>IF(B817="","",IFERROR(INDEX('Master Database'!$B$5:$B$600,MATCH(B817,'Master Database'!$A$5:$A$600,0)),"(row not found)"))</f>
        <v/>
      </c>
      <c r="E817" s="30"/>
      <c r="F817" s="33" t="str">
        <f>IF(E817="","",IFERROR(INDEX(Vendor_Register!$B$5:$B$205,MATCH(E817,Vendor_Register!$A$5:$A$205,0)),"(not in register)"))</f>
        <v/>
      </c>
      <c r="G817" s="33" t="str">
        <f>IF(E817="","",IFERROR(INDEX(Vendor_Register!$E$5:$E$205,MATCH(E817,Vendor_Register!$A$5:$A$205,0)),"(not in register)"))</f>
        <v/>
      </c>
      <c r="H817" s="30"/>
      <c r="I817" s="30"/>
      <c r="J817" s="30"/>
      <c r="K817" s="30"/>
      <c r="L817" s="30"/>
      <c r="M817" s="34"/>
      <c r="N817" s="30"/>
      <c r="O817" s="35" t="str">
        <f>IF(NOT(ISNUMBER(M817)),"",IFERROR(IF(L817="EUR",M817,IF(L817="IRR",M817/INDEX('Assumptions &amp; FX Reference'!$C$5:$C$25,MATCH(H817,'Assumptions &amp; FX Reference'!$A$5:$A$25,0)),IF(L817="USD",M817*INDEX('Assumptions &amp; FX Reference'!$B$5:$B$25,MATCH(H817,'Assumptions &amp; FX Reference'!$A$5:$A$25,0))/INDEX('Assumptions &amp; FX Reference'!$C$5:$C$25,MATCH(H817,'Assumptions &amp; FX Reference'!$A$5:$A$25,0)),""))),"(FX missing)"))</f>
        <v/>
      </c>
      <c r="P817" s="30"/>
      <c r="Q817" s="30"/>
      <c r="R817" s="30"/>
      <c r="S817" s="30"/>
      <c r="T817" s="30"/>
      <c r="U817" s="30"/>
      <c r="V817" s="30"/>
    </row>
    <row r="818" spans="1:22">
      <c r="A818" s="30"/>
      <c r="B818" s="30"/>
      <c r="C818" s="33" t="str">
        <f>IF(B818="","",IFERROR(INDEX('Master Database'!$D$5:$D$600,MATCH(B818,'Master Database'!$A$5:$A$600,0)),"(row not found)"))</f>
        <v/>
      </c>
      <c r="D818" s="33" t="str">
        <f>IF(B818="","",IFERROR(INDEX('Master Database'!$B$5:$B$600,MATCH(B818,'Master Database'!$A$5:$A$600,0)),"(row not found)"))</f>
        <v/>
      </c>
      <c r="E818" s="30"/>
      <c r="F818" s="33" t="str">
        <f>IF(E818="","",IFERROR(INDEX(Vendor_Register!$B$5:$B$205,MATCH(E818,Vendor_Register!$A$5:$A$205,0)),"(not in register)"))</f>
        <v/>
      </c>
      <c r="G818" s="33" t="str">
        <f>IF(E818="","",IFERROR(INDEX(Vendor_Register!$E$5:$E$205,MATCH(E818,Vendor_Register!$A$5:$A$205,0)),"(not in register)"))</f>
        <v/>
      </c>
      <c r="H818" s="30"/>
      <c r="I818" s="30"/>
      <c r="J818" s="30"/>
      <c r="K818" s="30"/>
      <c r="L818" s="30"/>
      <c r="M818" s="34"/>
      <c r="N818" s="30"/>
      <c r="O818" s="35" t="str">
        <f>IF(NOT(ISNUMBER(M818)),"",IFERROR(IF(L818="EUR",M818,IF(L818="IRR",M818/INDEX('Assumptions &amp; FX Reference'!$C$5:$C$25,MATCH(H818,'Assumptions &amp; FX Reference'!$A$5:$A$25,0)),IF(L818="USD",M818*INDEX('Assumptions &amp; FX Reference'!$B$5:$B$25,MATCH(H818,'Assumptions &amp; FX Reference'!$A$5:$A$25,0))/INDEX('Assumptions &amp; FX Reference'!$C$5:$C$25,MATCH(H818,'Assumptions &amp; FX Reference'!$A$5:$A$25,0)),""))),"(FX missing)"))</f>
        <v/>
      </c>
      <c r="P818" s="30"/>
      <c r="Q818" s="30"/>
      <c r="R818" s="30"/>
      <c r="S818" s="30"/>
      <c r="T818" s="30"/>
      <c r="U818" s="30"/>
      <c r="V818" s="30"/>
    </row>
    <row r="819" spans="1:22">
      <c r="A819" s="30"/>
      <c r="B819" s="30"/>
      <c r="C819" s="33" t="str">
        <f>IF(B819="","",IFERROR(INDEX('Master Database'!$D$5:$D$600,MATCH(B819,'Master Database'!$A$5:$A$600,0)),"(row not found)"))</f>
        <v/>
      </c>
      <c r="D819" s="33" t="str">
        <f>IF(B819="","",IFERROR(INDEX('Master Database'!$B$5:$B$600,MATCH(B819,'Master Database'!$A$5:$A$600,0)),"(row not found)"))</f>
        <v/>
      </c>
      <c r="E819" s="30"/>
      <c r="F819" s="33" t="str">
        <f>IF(E819="","",IFERROR(INDEX(Vendor_Register!$B$5:$B$205,MATCH(E819,Vendor_Register!$A$5:$A$205,0)),"(not in register)"))</f>
        <v/>
      </c>
      <c r="G819" s="33" t="str">
        <f>IF(E819="","",IFERROR(INDEX(Vendor_Register!$E$5:$E$205,MATCH(E819,Vendor_Register!$A$5:$A$205,0)),"(not in register)"))</f>
        <v/>
      </c>
      <c r="H819" s="30"/>
      <c r="I819" s="30"/>
      <c r="J819" s="30"/>
      <c r="K819" s="30"/>
      <c r="L819" s="30"/>
      <c r="M819" s="34"/>
      <c r="N819" s="30"/>
      <c r="O819" s="35" t="str">
        <f>IF(NOT(ISNUMBER(M819)),"",IFERROR(IF(L819="EUR",M819,IF(L819="IRR",M819/INDEX('Assumptions &amp; FX Reference'!$C$5:$C$25,MATCH(H819,'Assumptions &amp; FX Reference'!$A$5:$A$25,0)),IF(L819="USD",M819*INDEX('Assumptions &amp; FX Reference'!$B$5:$B$25,MATCH(H819,'Assumptions &amp; FX Reference'!$A$5:$A$25,0))/INDEX('Assumptions &amp; FX Reference'!$C$5:$C$25,MATCH(H819,'Assumptions &amp; FX Reference'!$A$5:$A$25,0)),""))),"(FX missing)"))</f>
        <v/>
      </c>
      <c r="P819" s="30"/>
      <c r="Q819" s="30"/>
      <c r="R819" s="30"/>
      <c r="S819" s="30"/>
      <c r="T819" s="30"/>
      <c r="U819" s="30"/>
      <c r="V819" s="30"/>
    </row>
    <row r="820" spans="1:22">
      <c r="A820" s="30"/>
      <c r="B820" s="30"/>
      <c r="C820" s="33" t="str">
        <f>IF(B820="","",IFERROR(INDEX('Master Database'!$D$5:$D$600,MATCH(B820,'Master Database'!$A$5:$A$600,0)),"(row not found)"))</f>
        <v/>
      </c>
      <c r="D820" s="33" t="str">
        <f>IF(B820="","",IFERROR(INDEX('Master Database'!$B$5:$B$600,MATCH(B820,'Master Database'!$A$5:$A$600,0)),"(row not found)"))</f>
        <v/>
      </c>
      <c r="E820" s="30"/>
      <c r="F820" s="33" t="str">
        <f>IF(E820="","",IFERROR(INDEX(Vendor_Register!$B$5:$B$205,MATCH(E820,Vendor_Register!$A$5:$A$205,0)),"(not in register)"))</f>
        <v/>
      </c>
      <c r="G820" s="33" t="str">
        <f>IF(E820="","",IFERROR(INDEX(Vendor_Register!$E$5:$E$205,MATCH(E820,Vendor_Register!$A$5:$A$205,0)),"(not in register)"))</f>
        <v/>
      </c>
      <c r="H820" s="30"/>
      <c r="I820" s="30"/>
      <c r="J820" s="30"/>
      <c r="K820" s="30"/>
      <c r="L820" s="30"/>
      <c r="M820" s="34"/>
      <c r="N820" s="30"/>
      <c r="O820" s="35" t="str">
        <f>IF(NOT(ISNUMBER(M820)),"",IFERROR(IF(L820="EUR",M820,IF(L820="IRR",M820/INDEX('Assumptions &amp; FX Reference'!$C$5:$C$25,MATCH(H820,'Assumptions &amp; FX Reference'!$A$5:$A$25,0)),IF(L820="USD",M820*INDEX('Assumptions &amp; FX Reference'!$B$5:$B$25,MATCH(H820,'Assumptions &amp; FX Reference'!$A$5:$A$25,0))/INDEX('Assumptions &amp; FX Reference'!$C$5:$C$25,MATCH(H820,'Assumptions &amp; FX Reference'!$A$5:$A$25,0)),""))),"(FX missing)"))</f>
        <v/>
      </c>
      <c r="P820" s="30"/>
      <c r="Q820" s="30"/>
      <c r="R820" s="30"/>
      <c r="S820" s="30"/>
      <c r="T820" s="30"/>
      <c r="U820" s="30"/>
      <c r="V820" s="30"/>
    </row>
    <row r="821" spans="1:22">
      <c r="A821" s="30"/>
      <c r="B821" s="30"/>
      <c r="C821" s="33" t="str">
        <f>IF(B821="","",IFERROR(INDEX('Master Database'!$D$5:$D$600,MATCH(B821,'Master Database'!$A$5:$A$600,0)),"(row not found)"))</f>
        <v/>
      </c>
      <c r="D821" s="33" t="str">
        <f>IF(B821="","",IFERROR(INDEX('Master Database'!$B$5:$B$600,MATCH(B821,'Master Database'!$A$5:$A$600,0)),"(row not found)"))</f>
        <v/>
      </c>
      <c r="E821" s="30"/>
      <c r="F821" s="33" t="str">
        <f>IF(E821="","",IFERROR(INDEX(Vendor_Register!$B$5:$B$205,MATCH(E821,Vendor_Register!$A$5:$A$205,0)),"(not in register)"))</f>
        <v/>
      </c>
      <c r="G821" s="33" t="str">
        <f>IF(E821="","",IFERROR(INDEX(Vendor_Register!$E$5:$E$205,MATCH(E821,Vendor_Register!$A$5:$A$205,0)),"(not in register)"))</f>
        <v/>
      </c>
      <c r="H821" s="30"/>
      <c r="I821" s="30"/>
      <c r="J821" s="30"/>
      <c r="K821" s="30"/>
      <c r="L821" s="30"/>
      <c r="M821" s="34"/>
      <c r="N821" s="30"/>
      <c r="O821" s="35" t="str">
        <f>IF(NOT(ISNUMBER(M821)),"",IFERROR(IF(L821="EUR",M821,IF(L821="IRR",M821/INDEX('Assumptions &amp; FX Reference'!$C$5:$C$25,MATCH(H821,'Assumptions &amp; FX Reference'!$A$5:$A$25,0)),IF(L821="USD",M821*INDEX('Assumptions &amp; FX Reference'!$B$5:$B$25,MATCH(H821,'Assumptions &amp; FX Reference'!$A$5:$A$25,0))/INDEX('Assumptions &amp; FX Reference'!$C$5:$C$25,MATCH(H821,'Assumptions &amp; FX Reference'!$A$5:$A$25,0)),""))),"(FX missing)"))</f>
        <v/>
      </c>
      <c r="P821" s="30"/>
      <c r="Q821" s="30"/>
      <c r="R821" s="30"/>
      <c r="S821" s="30"/>
      <c r="T821" s="30"/>
      <c r="U821" s="30"/>
      <c r="V821" s="30"/>
    </row>
    <row r="822" spans="1:22">
      <c r="A822" s="30"/>
      <c r="B822" s="30"/>
      <c r="C822" s="33" t="str">
        <f>IF(B822="","",IFERROR(INDEX('Master Database'!$D$5:$D$600,MATCH(B822,'Master Database'!$A$5:$A$600,0)),"(row not found)"))</f>
        <v/>
      </c>
      <c r="D822" s="33" t="str">
        <f>IF(B822="","",IFERROR(INDEX('Master Database'!$B$5:$B$600,MATCH(B822,'Master Database'!$A$5:$A$600,0)),"(row not found)"))</f>
        <v/>
      </c>
      <c r="E822" s="30"/>
      <c r="F822" s="33" t="str">
        <f>IF(E822="","",IFERROR(INDEX(Vendor_Register!$B$5:$B$205,MATCH(E822,Vendor_Register!$A$5:$A$205,0)),"(not in register)"))</f>
        <v/>
      </c>
      <c r="G822" s="33" t="str">
        <f>IF(E822="","",IFERROR(INDEX(Vendor_Register!$E$5:$E$205,MATCH(E822,Vendor_Register!$A$5:$A$205,0)),"(not in register)"))</f>
        <v/>
      </c>
      <c r="H822" s="30"/>
      <c r="I822" s="30"/>
      <c r="J822" s="30"/>
      <c r="K822" s="30"/>
      <c r="L822" s="30"/>
      <c r="M822" s="34"/>
      <c r="N822" s="30"/>
      <c r="O822" s="35" t="str">
        <f>IF(NOT(ISNUMBER(M822)),"",IFERROR(IF(L822="EUR",M822,IF(L822="IRR",M822/INDEX('Assumptions &amp; FX Reference'!$C$5:$C$25,MATCH(H822,'Assumptions &amp; FX Reference'!$A$5:$A$25,0)),IF(L822="USD",M822*INDEX('Assumptions &amp; FX Reference'!$B$5:$B$25,MATCH(H822,'Assumptions &amp; FX Reference'!$A$5:$A$25,0))/INDEX('Assumptions &amp; FX Reference'!$C$5:$C$25,MATCH(H822,'Assumptions &amp; FX Reference'!$A$5:$A$25,0)),""))),"(FX missing)"))</f>
        <v/>
      </c>
      <c r="P822" s="30"/>
      <c r="Q822" s="30"/>
      <c r="R822" s="30"/>
      <c r="S822" s="30"/>
      <c r="T822" s="30"/>
      <c r="U822" s="30"/>
      <c r="V822" s="30"/>
    </row>
    <row r="823" spans="1:22">
      <c r="A823" s="30"/>
      <c r="B823" s="30"/>
      <c r="C823" s="33" t="str">
        <f>IF(B823="","",IFERROR(INDEX('Master Database'!$D$5:$D$600,MATCH(B823,'Master Database'!$A$5:$A$600,0)),"(row not found)"))</f>
        <v/>
      </c>
      <c r="D823" s="33" t="str">
        <f>IF(B823="","",IFERROR(INDEX('Master Database'!$B$5:$B$600,MATCH(B823,'Master Database'!$A$5:$A$600,0)),"(row not found)"))</f>
        <v/>
      </c>
      <c r="E823" s="30"/>
      <c r="F823" s="33" t="str">
        <f>IF(E823="","",IFERROR(INDEX(Vendor_Register!$B$5:$B$205,MATCH(E823,Vendor_Register!$A$5:$A$205,0)),"(not in register)"))</f>
        <v/>
      </c>
      <c r="G823" s="33" t="str">
        <f>IF(E823="","",IFERROR(INDEX(Vendor_Register!$E$5:$E$205,MATCH(E823,Vendor_Register!$A$5:$A$205,0)),"(not in register)"))</f>
        <v/>
      </c>
      <c r="H823" s="30"/>
      <c r="I823" s="30"/>
      <c r="J823" s="30"/>
      <c r="K823" s="30"/>
      <c r="L823" s="30"/>
      <c r="M823" s="34"/>
      <c r="N823" s="30"/>
      <c r="O823" s="35" t="str">
        <f>IF(NOT(ISNUMBER(M823)),"",IFERROR(IF(L823="EUR",M823,IF(L823="IRR",M823/INDEX('Assumptions &amp; FX Reference'!$C$5:$C$25,MATCH(H823,'Assumptions &amp; FX Reference'!$A$5:$A$25,0)),IF(L823="USD",M823*INDEX('Assumptions &amp; FX Reference'!$B$5:$B$25,MATCH(H823,'Assumptions &amp; FX Reference'!$A$5:$A$25,0))/INDEX('Assumptions &amp; FX Reference'!$C$5:$C$25,MATCH(H823,'Assumptions &amp; FX Reference'!$A$5:$A$25,0)),""))),"(FX missing)"))</f>
        <v/>
      </c>
      <c r="P823" s="30"/>
      <c r="Q823" s="30"/>
      <c r="R823" s="30"/>
      <c r="S823" s="30"/>
      <c r="T823" s="30"/>
      <c r="U823" s="30"/>
      <c r="V823" s="30"/>
    </row>
    <row r="824" spans="1:22">
      <c r="A824" s="30"/>
      <c r="B824" s="30"/>
      <c r="C824" s="33" t="str">
        <f>IF(B824="","",IFERROR(INDEX('Master Database'!$D$5:$D$600,MATCH(B824,'Master Database'!$A$5:$A$600,0)),"(row not found)"))</f>
        <v/>
      </c>
      <c r="D824" s="33" t="str">
        <f>IF(B824="","",IFERROR(INDEX('Master Database'!$B$5:$B$600,MATCH(B824,'Master Database'!$A$5:$A$600,0)),"(row not found)"))</f>
        <v/>
      </c>
      <c r="E824" s="30"/>
      <c r="F824" s="33" t="str">
        <f>IF(E824="","",IFERROR(INDEX(Vendor_Register!$B$5:$B$205,MATCH(E824,Vendor_Register!$A$5:$A$205,0)),"(not in register)"))</f>
        <v/>
      </c>
      <c r="G824" s="33" t="str">
        <f>IF(E824="","",IFERROR(INDEX(Vendor_Register!$E$5:$E$205,MATCH(E824,Vendor_Register!$A$5:$A$205,0)),"(not in register)"))</f>
        <v/>
      </c>
      <c r="H824" s="30"/>
      <c r="I824" s="30"/>
      <c r="J824" s="30"/>
      <c r="K824" s="30"/>
      <c r="L824" s="30"/>
      <c r="M824" s="34"/>
      <c r="N824" s="30"/>
      <c r="O824" s="35" t="str">
        <f>IF(NOT(ISNUMBER(M824)),"",IFERROR(IF(L824="EUR",M824,IF(L824="IRR",M824/INDEX('Assumptions &amp; FX Reference'!$C$5:$C$25,MATCH(H824,'Assumptions &amp; FX Reference'!$A$5:$A$25,0)),IF(L824="USD",M824*INDEX('Assumptions &amp; FX Reference'!$B$5:$B$25,MATCH(H824,'Assumptions &amp; FX Reference'!$A$5:$A$25,0))/INDEX('Assumptions &amp; FX Reference'!$C$5:$C$25,MATCH(H824,'Assumptions &amp; FX Reference'!$A$5:$A$25,0)),""))),"(FX missing)"))</f>
        <v/>
      </c>
      <c r="P824" s="30"/>
      <c r="Q824" s="30"/>
      <c r="R824" s="30"/>
      <c r="S824" s="30"/>
      <c r="T824" s="30"/>
      <c r="U824" s="30"/>
      <c r="V824" s="30"/>
    </row>
    <row r="825" spans="1:22">
      <c r="A825" s="30"/>
      <c r="B825" s="30"/>
      <c r="C825" s="33" t="str">
        <f>IF(B825="","",IFERROR(INDEX('Master Database'!$D$5:$D$600,MATCH(B825,'Master Database'!$A$5:$A$600,0)),"(row not found)"))</f>
        <v/>
      </c>
      <c r="D825" s="33" t="str">
        <f>IF(B825="","",IFERROR(INDEX('Master Database'!$B$5:$B$600,MATCH(B825,'Master Database'!$A$5:$A$600,0)),"(row not found)"))</f>
        <v/>
      </c>
      <c r="E825" s="30"/>
      <c r="F825" s="33" t="str">
        <f>IF(E825="","",IFERROR(INDEX(Vendor_Register!$B$5:$B$205,MATCH(E825,Vendor_Register!$A$5:$A$205,0)),"(not in register)"))</f>
        <v/>
      </c>
      <c r="G825" s="33" t="str">
        <f>IF(E825="","",IFERROR(INDEX(Vendor_Register!$E$5:$E$205,MATCH(E825,Vendor_Register!$A$5:$A$205,0)),"(not in register)"))</f>
        <v/>
      </c>
      <c r="H825" s="30"/>
      <c r="I825" s="30"/>
      <c r="J825" s="30"/>
      <c r="K825" s="30"/>
      <c r="L825" s="30"/>
      <c r="M825" s="34"/>
      <c r="N825" s="30"/>
      <c r="O825" s="35" t="str">
        <f>IF(NOT(ISNUMBER(M825)),"",IFERROR(IF(L825="EUR",M825,IF(L825="IRR",M825/INDEX('Assumptions &amp; FX Reference'!$C$5:$C$25,MATCH(H825,'Assumptions &amp; FX Reference'!$A$5:$A$25,0)),IF(L825="USD",M825*INDEX('Assumptions &amp; FX Reference'!$B$5:$B$25,MATCH(H825,'Assumptions &amp; FX Reference'!$A$5:$A$25,0))/INDEX('Assumptions &amp; FX Reference'!$C$5:$C$25,MATCH(H825,'Assumptions &amp; FX Reference'!$A$5:$A$25,0)),""))),"(FX missing)"))</f>
        <v/>
      </c>
      <c r="P825" s="30"/>
      <c r="Q825" s="30"/>
      <c r="R825" s="30"/>
      <c r="S825" s="30"/>
      <c r="T825" s="30"/>
      <c r="U825" s="30"/>
      <c r="V825" s="30"/>
    </row>
    <row r="826" spans="1:22">
      <c r="A826" s="30"/>
      <c r="B826" s="30"/>
      <c r="C826" s="33" t="str">
        <f>IF(B826="","",IFERROR(INDEX('Master Database'!$D$5:$D$600,MATCH(B826,'Master Database'!$A$5:$A$600,0)),"(row not found)"))</f>
        <v/>
      </c>
      <c r="D826" s="33" t="str">
        <f>IF(B826="","",IFERROR(INDEX('Master Database'!$B$5:$B$600,MATCH(B826,'Master Database'!$A$5:$A$600,0)),"(row not found)"))</f>
        <v/>
      </c>
      <c r="E826" s="30"/>
      <c r="F826" s="33" t="str">
        <f>IF(E826="","",IFERROR(INDEX(Vendor_Register!$B$5:$B$205,MATCH(E826,Vendor_Register!$A$5:$A$205,0)),"(not in register)"))</f>
        <v/>
      </c>
      <c r="G826" s="33" t="str">
        <f>IF(E826="","",IFERROR(INDEX(Vendor_Register!$E$5:$E$205,MATCH(E826,Vendor_Register!$A$5:$A$205,0)),"(not in register)"))</f>
        <v/>
      </c>
      <c r="H826" s="30"/>
      <c r="I826" s="30"/>
      <c r="J826" s="30"/>
      <c r="K826" s="30"/>
      <c r="L826" s="30"/>
      <c r="M826" s="34"/>
      <c r="N826" s="30"/>
      <c r="O826" s="35" t="str">
        <f>IF(NOT(ISNUMBER(M826)),"",IFERROR(IF(L826="EUR",M826,IF(L826="IRR",M826/INDEX('Assumptions &amp; FX Reference'!$C$5:$C$25,MATCH(H826,'Assumptions &amp; FX Reference'!$A$5:$A$25,0)),IF(L826="USD",M826*INDEX('Assumptions &amp; FX Reference'!$B$5:$B$25,MATCH(H826,'Assumptions &amp; FX Reference'!$A$5:$A$25,0))/INDEX('Assumptions &amp; FX Reference'!$C$5:$C$25,MATCH(H826,'Assumptions &amp; FX Reference'!$A$5:$A$25,0)),""))),"(FX missing)"))</f>
        <v/>
      </c>
      <c r="P826" s="30"/>
      <c r="Q826" s="30"/>
      <c r="R826" s="30"/>
      <c r="S826" s="30"/>
      <c r="T826" s="30"/>
      <c r="U826" s="30"/>
      <c r="V826" s="30"/>
    </row>
    <row r="827" spans="1:22">
      <c r="A827" s="30"/>
      <c r="B827" s="30"/>
      <c r="C827" s="33" t="str">
        <f>IF(B827="","",IFERROR(INDEX('Master Database'!$D$5:$D$600,MATCH(B827,'Master Database'!$A$5:$A$600,0)),"(row not found)"))</f>
        <v/>
      </c>
      <c r="D827" s="33" t="str">
        <f>IF(B827="","",IFERROR(INDEX('Master Database'!$B$5:$B$600,MATCH(B827,'Master Database'!$A$5:$A$600,0)),"(row not found)"))</f>
        <v/>
      </c>
      <c r="E827" s="30"/>
      <c r="F827" s="33" t="str">
        <f>IF(E827="","",IFERROR(INDEX(Vendor_Register!$B$5:$B$205,MATCH(E827,Vendor_Register!$A$5:$A$205,0)),"(not in register)"))</f>
        <v/>
      </c>
      <c r="G827" s="33" t="str">
        <f>IF(E827="","",IFERROR(INDEX(Vendor_Register!$E$5:$E$205,MATCH(E827,Vendor_Register!$A$5:$A$205,0)),"(not in register)"))</f>
        <v/>
      </c>
      <c r="H827" s="30"/>
      <c r="I827" s="30"/>
      <c r="J827" s="30"/>
      <c r="K827" s="30"/>
      <c r="L827" s="30"/>
      <c r="M827" s="34"/>
      <c r="N827" s="30"/>
      <c r="O827" s="35" t="str">
        <f>IF(NOT(ISNUMBER(M827)),"",IFERROR(IF(L827="EUR",M827,IF(L827="IRR",M827/INDEX('Assumptions &amp; FX Reference'!$C$5:$C$25,MATCH(H827,'Assumptions &amp; FX Reference'!$A$5:$A$25,0)),IF(L827="USD",M827*INDEX('Assumptions &amp; FX Reference'!$B$5:$B$25,MATCH(H827,'Assumptions &amp; FX Reference'!$A$5:$A$25,0))/INDEX('Assumptions &amp; FX Reference'!$C$5:$C$25,MATCH(H827,'Assumptions &amp; FX Reference'!$A$5:$A$25,0)),""))),"(FX missing)"))</f>
        <v/>
      </c>
      <c r="P827" s="30"/>
      <c r="Q827" s="30"/>
      <c r="R827" s="30"/>
      <c r="S827" s="30"/>
      <c r="T827" s="30"/>
      <c r="U827" s="30"/>
      <c r="V827" s="30"/>
    </row>
    <row r="828" spans="1:22">
      <c r="A828" s="30"/>
      <c r="B828" s="30"/>
      <c r="C828" s="33" t="str">
        <f>IF(B828="","",IFERROR(INDEX('Master Database'!$D$5:$D$600,MATCH(B828,'Master Database'!$A$5:$A$600,0)),"(row not found)"))</f>
        <v/>
      </c>
      <c r="D828" s="33" t="str">
        <f>IF(B828="","",IFERROR(INDEX('Master Database'!$B$5:$B$600,MATCH(B828,'Master Database'!$A$5:$A$600,0)),"(row not found)"))</f>
        <v/>
      </c>
      <c r="E828" s="30"/>
      <c r="F828" s="33" t="str">
        <f>IF(E828="","",IFERROR(INDEX(Vendor_Register!$B$5:$B$205,MATCH(E828,Vendor_Register!$A$5:$A$205,0)),"(not in register)"))</f>
        <v/>
      </c>
      <c r="G828" s="33" t="str">
        <f>IF(E828="","",IFERROR(INDEX(Vendor_Register!$E$5:$E$205,MATCH(E828,Vendor_Register!$A$5:$A$205,0)),"(not in register)"))</f>
        <v/>
      </c>
      <c r="H828" s="30"/>
      <c r="I828" s="30"/>
      <c r="J828" s="30"/>
      <c r="K828" s="30"/>
      <c r="L828" s="30"/>
      <c r="M828" s="34"/>
      <c r="N828" s="30"/>
      <c r="O828" s="35" t="str">
        <f>IF(NOT(ISNUMBER(M828)),"",IFERROR(IF(L828="EUR",M828,IF(L828="IRR",M828/INDEX('Assumptions &amp; FX Reference'!$C$5:$C$25,MATCH(H828,'Assumptions &amp; FX Reference'!$A$5:$A$25,0)),IF(L828="USD",M828*INDEX('Assumptions &amp; FX Reference'!$B$5:$B$25,MATCH(H828,'Assumptions &amp; FX Reference'!$A$5:$A$25,0))/INDEX('Assumptions &amp; FX Reference'!$C$5:$C$25,MATCH(H828,'Assumptions &amp; FX Reference'!$A$5:$A$25,0)),""))),"(FX missing)"))</f>
        <v/>
      </c>
      <c r="P828" s="30"/>
      <c r="Q828" s="30"/>
      <c r="R828" s="30"/>
      <c r="S828" s="30"/>
      <c r="T828" s="30"/>
      <c r="U828" s="30"/>
      <c r="V828" s="30"/>
    </row>
    <row r="829" spans="1:22">
      <c r="A829" s="30"/>
      <c r="B829" s="30"/>
      <c r="C829" s="33" t="str">
        <f>IF(B829="","",IFERROR(INDEX('Master Database'!$D$5:$D$600,MATCH(B829,'Master Database'!$A$5:$A$600,0)),"(row not found)"))</f>
        <v/>
      </c>
      <c r="D829" s="33" t="str">
        <f>IF(B829="","",IFERROR(INDEX('Master Database'!$B$5:$B$600,MATCH(B829,'Master Database'!$A$5:$A$600,0)),"(row not found)"))</f>
        <v/>
      </c>
      <c r="E829" s="30"/>
      <c r="F829" s="33" t="str">
        <f>IF(E829="","",IFERROR(INDEX(Vendor_Register!$B$5:$B$205,MATCH(E829,Vendor_Register!$A$5:$A$205,0)),"(not in register)"))</f>
        <v/>
      </c>
      <c r="G829" s="33" t="str">
        <f>IF(E829="","",IFERROR(INDEX(Vendor_Register!$E$5:$E$205,MATCH(E829,Vendor_Register!$A$5:$A$205,0)),"(not in register)"))</f>
        <v/>
      </c>
      <c r="H829" s="30"/>
      <c r="I829" s="30"/>
      <c r="J829" s="30"/>
      <c r="K829" s="30"/>
      <c r="L829" s="30"/>
      <c r="M829" s="34"/>
      <c r="N829" s="30"/>
      <c r="O829" s="35" t="str">
        <f>IF(NOT(ISNUMBER(M829)),"",IFERROR(IF(L829="EUR",M829,IF(L829="IRR",M829/INDEX('Assumptions &amp; FX Reference'!$C$5:$C$25,MATCH(H829,'Assumptions &amp; FX Reference'!$A$5:$A$25,0)),IF(L829="USD",M829*INDEX('Assumptions &amp; FX Reference'!$B$5:$B$25,MATCH(H829,'Assumptions &amp; FX Reference'!$A$5:$A$25,0))/INDEX('Assumptions &amp; FX Reference'!$C$5:$C$25,MATCH(H829,'Assumptions &amp; FX Reference'!$A$5:$A$25,0)),""))),"(FX missing)"))</f>
        <v/>
      </c>
      <c r="P829" s="30"/>
      <c r="Q829" s="30"/>
      <c r="R829" s="30"/>
      <c r="S829" s="30"/>
      <c r="T829" s="30"/>
      <c r="U829" s="30"/>
      <c r="V829" s="30"/>
    </row>
    <row r="830" spans="1:22">
      <c r="A830" s="30"/>
      <c r="B830" s="30"/>
      <c r="C830" s="33" t="str">
        <f>IF(B830="","",IFERROR(INDEX('Master Database'!$D$5:$D$600,MATCH(B830,'Master Database'!$A$5:$A$600,0)),"(row not found)"))</f>
        <v/>
      </c>
      <c r="D830" s="33" t="str">
        <f>IF(B830="","",IFERROR(INDEX('Master Database'!$B$5:$B$600,MATCH(B830,'Master Database'!$A$5:$A$600,0)),"(row not found)"))</f>
        <v/>
      </c>
      <c r="E830" s="30"/>
      <c r="F830" s="33" t="str">
        <f>IF(E830="","",IFERROR(INDEX(Vendor_Register!$B$5:$B$205,MATCH(E830,Vendor_Register!$A$5:$A$205,0)),"(not in register)"))</f>
        <v/>
      </c>
      <c r="G830" s="33" t="str">
        <f>IF(E830="","",IFERROR(INDEX(Vendor_Register!$E$5:$E$205,MATCH(E830,Vendor_Register!$A$5:$A$205,0)),"(not in register)"))</f>
        <v/>
      </c>
      <c r="H830" s="30"/>
      <c r="I830" s="30"/>
      <c r="J830" s="30"/>
      <c r="K830" s="30"/>
      <c r="L830" s="30"/>
      <c r="M830" s="34"/>
      <c r="N830" s="30"/>
      <c r="O830" s="35" t="str">
        <f>IF(NOT(ISNUMBER(M830)),"",IFERROR(IF(L830="EUR",M830,IF(L830="IRR",M830/INDEX('Assumptions &amp; FX Reference'!$C$5:$C$25,MATCH(H830,'Assumptions &amp; FX Reference'!$A$5:$A$25,0)),IF(L830="USD",M830*INDEX('Assumptions &amp; FX Reference'!$B$5:$B$25,MATCH(H830,'Assumptions &amp; FX Reference'!$A$5:$A$25,0))/INDEX('Assumptions &amp; FX Reference'!$C$5:$C$25,MATCH(H830,'Assumptions &amp; FX Reference'!$A$5:$A$25,0)),""))),"(FX missing)"))</f>
        <v/>
      </c>
      <c r="P830" s="30"/>
      <c r="Q830" s="30"/>
      <c r="R830" s="30"/>
      <c r="S830" s="30"/>
      <c r="T830" s="30"/>
      <c r="U830" s="30"/>
      <c r="V830" s="30"/>
    </row>
    <row r="831" spans="1:22">
      <c r="A831" s="30"/>
      <c r="B831" s="30"/>
      <c r="C831" s="33" t="str">
        <f>IF(B831="","",IFERROR(INDEX('Master Database'!$D$5:$D$600,MATCH(B831,'Master Database'!$A$5:$A$600,0)),"(row not found)"))</f>
        <v/>
      </c>
      <c r="D831" s="33" t="str">
        <f>IF(B831="","",IFERROR(INDEX('Master Database'!$B$5:$B$600,MATCH(B831,'Master Database'!$A$5:$A$600,0)),"(row not found)"))</f>
        <v/>
      </c>
      <c r="E831" s="30"/>
      <c r="F831" s="33" t="str">
        <f>IF(E831="","",IFERROR(INDEX(Vendor_Register!$B$5:$B$205,MATCH(E831,Vendor_Register!$A$5:$A$205,0)),"(not in register)"))</f>
        <v/>
      </c>
      <c r="G831" s="33" t="str">
        <f>IF(E831="","",IFERROR(INDEX(Vendor_Register!$E$5:$E$205,MATCH(E831,Vendor_Register!$A$5:$A$205,0)),"(not in register)"))</f>
        <v/>
      </c>
      <c r="H831" s="30"/>
      <c r="I831" s="30"/>
      <c r="J831" s="30"/>
      <c r="K831" s="30"/>
      <c r="L831" s="30"/>
      <c r="M831" s="34"/>
      <c r="N831" s="30"/>
      <c r="O831" s="35" t="str">
        <f>IF(NOT(ISNUMBER(M831)),"",IFERROR(IF(L831="EUR",M831,IF(L831="IRR",M831/INDEX('Assumptions &amp; FX Reference'!$C$5:$C$25,MATCH(H831,'Assumptions &amp; FX Reference'!$A$5:$A$25,0)),IF(L831="USD",M831*INDEX('Assumptions &amp; FX Reference'!$B$5:$B$25,MATCH(H831,'Assumptions &amp; FX Reference'!$A$5:$A$25,0))/INDEX('Assumptions &amp; FX Reference'!$C$5:$C$25,MATCH(H831,'Assumptions &amp; FX Reference'!$A$5:$A$25,0)),""))),"(FX missing)"))</f>
        <v/>
      </c>
      <c r="P831" s="30"/>
      <c r="Q831" s="30"/>
      <c r="R831" s="30"/>
      <c r="S831" s="30"/>
      <c r="T831" s="30"/>
      <c r="U831" s="30"/>
      <c r="V831" s="30"/>
    </row>
    <row r="832" spans="1:22">
      <c r="A832" s="30"/>
      <c r="B832" s="30"/>
      <c r="C832" s="33" t="str">
        <f>IF(B832="","",IFERROR(INDEX('Master Database'!$D$5:$D$600,MATCH(B832,'Master Database'!$A$5:$A$600,0)),"(row not found)"))</f>
        <v/>
      </c>
      <c r="D832" s="33" t="str">
        <f>IF(B832="","",IFERROR(INDEX('Master Database'!$B$5:$B$600,MATCH(B832,'Master Database'!$A$5:$A$600,0)),"(row not found)"))</f>
        <v/>
      </c>
      <c r="E832" s="30"/>
      <c r="F832" s="33" t="str">
        <f>IF(E832="","",IFERROR(INDEX(Vendor_Register!$B$5:$B$205,MATCH(E832,Vendor_Register!$A$5:$A$205,0)),"(not in register)"))</f>
        <v/>
      </c>
      <c r="G832" s="33" t="str">
        <f>IF(E832="","",IFERROR(INDEX(Vendor_Register!$E$5:$E$205,MATCH(E832,Vendor_Register!$A$5:$A$205,0)),"(not in register)"))</f>
        <v/>
      </c>
      <c r="H832" s="30"/>
      <c r="I832" s="30"/>
      <c r="J832" s="30"/>
      <c r="K832" s="30"/>
      <c r="L832" s="30"/>
      <c r="M832" s="34"/>
      <c r="N832" s="30"/>
      <c r="O832" s="35" t="str">
        <f>IF(NOT(ISNUMBER(M832)),"",IFERROR(IF(L832="EUR",M832,IF(L832="IRR",M832/INDEX('Assumptions &amp; FX Reference'!$C$5:$C$25,MATCH(H832,'Assumptions &amp; FX Reference'!$A$5:$A$25,0)),IF(L832="USD",M832*INDEX('Assumptions &amp; FX Reference'!$B$5:$B$25,MATCH(H832,'Assumptions &amp; FX Reference'!$A$5:$A$25,0))/INDEX('Assumptions &amp; FX Reference'!$C$5:$C$25,MATCH(H832,'Assumptions &amp; FX Reference'!$A$5:$A$25,0)),""))),"(FX missing)"))</f>
        <v/>
      </c>
      <c r="P832" s="30"/>
      <c r="Q832" s="30"/>
      <c r="R832" s="30"/>
      <c r="S832" s="30"/>
      <c r="T832" s="30"/>
      <c r="U832" s="30"/>
      <c r="V832" s="30"/>
    </row>
    <row r="833" spans="1:22">
      <c r="A833" s="30"/>
      <c r="B833" s="30"/>
      <c r="C833" s="33" t="str">
        <f>IF(B833="","",IFERROR(INDEX('Master Database'!$D$5:$D$600,MATCH(B833,'Master Database'!$A$5:$A$600,0)),"(row not found)"))</f>
        <v/>
      </c>
      <c r="D833" s="33" t="str">
        <f>IF(B833="","",IFERROR(INDEX('Master Database'!$B$5:$B$600,MATCH(B833,'Master Database'!$A$5:$A$600,0)),"(row not found)"))</f>
        <v/>
      </c>
      <c r="E833" s="30"/>
      <c r="F833" s="33" t="str">
        <f>IF(E833="","",IFERROR(INDEX(Vendor_Register!$B$5:$B$205,MATCH(E833,Vendor_Register!$A$5:$A$205,0)),"(not in register)"))</f>
        <v/>
      </c>
      <c r="G833" s="33" t="str">
        <f>IF(E833="","",IFERROR(INDEX(Vendor_Register!$E$5:$E$205,MATCH(E833,Vendor_Register!$A$5:$A$205,0)),"(not in register)"))</f>
        <v/>
      </c>
      <c r="H833" s="30"/>
      <c r="I833" s="30"/>
      <c r="J833" s="30"/>
      <c r="K833" s="30"/>
      <c r="L833" s="30"/>
      <c r="M833" s="34"/>
      <c r="N833" s="30"/>
      <c r="O833" s="35" t="str">
        <f>IF(NOT(ISNUMBER(M833)),"",IFERROR(IF(L833="EUR",M833,IF(L833="IRR",M833/INDEX('Assumptions &amp; FX Reference'!$C$5:$C$25,MATCH(H833,'Assumptions &amp; FX Reference'!$A$5:$A$25,0)),IF(L833="USD",M833*INDEX('Assumptions &amp; FX Reference'!$B$5:$B$25,MATCH(H833,'Assumptions &amp; FX Reference'!$A$5:$A$25,0))/INDEX('Assumptions &amp; FX Reference'!$C$5:$C$25,MATCH(H833,'Assumptions &amp; FX Reference'!$A$5:$A$25,0)),""))),"(FX missing)"))</f>
        <v/>
      </c>
      <c r="P833" s="30"/>
      <c r="Q833" s="30"/>
      <c r="R833" s="30"/>
      <c r="S833" s="30"/>
      <c r="T833" s="30"/>
      <c r="U833" s="30"/>
      <c r="V833" s="30"/>
    </row>
    <row r="834" spans="1:22">
      <c r="A834" s="30"/>
      <c r="B834" s="30"/>
      <c r="C834" s="33" t="str">
        <f>IF(B834="","",IFERROR(INDEX('Master Database'!$D$5:$D$600,MATCH(B834,'Master Database'!$A$5:$A$600,0)),"(row not found)"))</f>
        <v/>
      </c>
      <c r="D834" s="33" t="str">
        <f>IF(B834="","",IFERROR(INDEX('Master Database'!$B$5:$B$600,MATCH(B834,'Master Database'!$A$5:$A$600,0)),"(row not found)"))</f>
        <v/>
      </c>
      <c r="E834" s="30"/>
      <c r="F834" s="33" t="str">
        <f>IF(E834="","",IFERROR(INDEX(Vendor_Register!$B$5:$B$205,MATCH(E834,Vendor_Register!$A$5:$A$205,0)),"(not in register)"))</f>
        <v/>
      </c>
      <c r="G834" s="33" t="str">
        <f>IF(E834="","",IFERROR(INDEX(Vendor_Register!$E$5:$E$205,MATCH(E834,Vendor_Register!$A$5:$A$205,0)),"(not in register)"))</f>
        <v/>
      </c>
      <c r="H834" s="30"/>
      <c r="I834" s="30"/>
      <c r="J834" s="30"/>
      <c r="K834" s="30"/>
      <c r="L834" s="30"/>
      <c r="M834" s="34"/>
      <c r="N834" s="30"/>
      <c r="O834" s="35" t="str">
        <f>IF(NOT(ISNUMBER(M834)),"",IFERROR(IF(L834="EUR",M834,IF(L834="IRR",M834/INDEX('Assumptions &amp; FX Reference'!$C$5:$C$25,MATCH(H834,'Assumptions &amp; FX Reference'!$A$5:$A$25,0)),IF(L834="USD",M834*INDEX('Assumptions &amp; FX Reference'!$B$5:$B$25,MATCH(H834,'Assumptions &amp; FX Reference'!$A$5:$A$25,0))/INDEX('Assumptions &amp; FX Reference'!$C$5:$C$25,MATCH(H834,'Assumptions &amp; FX Reference'!$A$5:$A$25,0)),""))),"(FX missing)"))</f>
        <v/>
      </c>
      <c r="P834" s="30"/>
      <c r="Q834" s="30"/>
      <c r="R834" s="30"/>
      <c r="S834" s="30"/>
      <c r="T834" s="30"/>
      <c r="U834" s="30"/>
      <c r="V834" s="30"/>
    </row>
    <row r="835" spans="1:22">
      <c r="A835" s="30"/>
      <c r="B835" s="30"/>
      <c r="C835" s="33" t="str">
        <f>IF(B835="","",IFERROR(INDEX('Master Database'!$D$5:$D$600,MATCH(B835,'Master Database'!$A$5:$A$600,0)),"(row not found)"))</f>
        <v/>
      </c>
      <c r="D835" s="33" t="str">
        <f>IF(B835="","",IFERROR(INDEX('Master Database'!$B$5:$B$600,MATCH(B835,'Master Database'!$A$5:$A$600,0)),"(row not found)"))</f>
        <v/>
      </c>
      <c r="E835" s="30"/>
      <c r="F835" s="33" t="str">
        <f>IF(E835="","",IFERROR(INDEX(Vendor_Register!$B$5:$B$205,MATCH(E835,Vendor_Register!$A$5:$A$205,0)),"(not in register)"))</f>
        <v/>
      </c>
      <c r="G835" s="33" t="str">
        <f>IF(E835="","",IFERROR(INDEX(Vendor_Register!$E$5:$E$205,MATCH(E835,Vendor_Register!$A$5:$A$205,0)),"(not in register)"))</f>
        <v/>
      </c>
      <c r="H835" s="30"/>
      <c r="I835" s="30"/>
      <c r="J835" s="30"/>
      <c r="K835" s="30"/>
      <c r="L835" s="30"/>
      <c r="M835" s="34"/>
      <c r="N835" s="30"/>
      <c r="O835" s="35" t="str">
        <f>IF(NOT(ISNUMBER(M835)),"",IFERROR(IF(L835="EUR",M835,IF(L835="IRR",M835/INDEX('Assumptions &amp; FX Reference'!$C$5:$C$25,MATCH(H835,'Assumptions &amp; FX Reference'!$A$5:$A$25,0)),IF(L835="USD",M835*INDEX('Assumptions &amp; FX Reference'!$B$5:$B$25,MATCH(H835,'Assumptions &amp; FX Reference'!$A$5:$A$25,0))/INDEX('Assumptions &amp; FX Reference'!$C$5:$C$25,MATCH(H835,'Assumptions &amp; FX Reference'!$A$5:$A$25,0)),""))),"(FX missing)"))</f>
        <v/>
      </c>
      <c r="P835" s="30"/>
      <c r="Q835" s="30"/>
      <c r="R835" s="30"/>
      <c r="S835" s="30"/>
      <c r="T835" s="30"/>
      <c r="U835" s="30"/>
      <c r="V835" s="30"/>
    </row>
    <row r="836" spans="1:22">
      <c r="A836" s="30"/>
      <c r="B836" s="30"/>
      <c r="C836" s="33" t="str">
        <f>IF(B836="","",IFERROR(INDEX('Master Database'!$D$5:$D$600,MATCH(B836,'Master Database'!$A$5:$A$600,0)),"(row not found)"))</f>
        <v/>
      </c>
      <c r="D836" s="33" t="str">
        <f>IF(B836="","",IFERROR(INDEX('Master Database'!$B$5:$B$600,MATCH(B836,'Master Database'!$A$5:$A$600,0)),"(row not found)"))</f>
        <v/>
      </c>
      <c r="E836" s="30"/>
      <c r="F836" s="33" t="str">
        <f>IF(E836="","",IFERROR(INDEX(Vendor_Register!$B$5:$B$205,MATCH(E836,Vendor_Register!$A$5:$A$205,0)),"(not in register)"))</f>
        <v/>
      </c>
      <c r="G836" s="33" t="str">
        <f>IF(E836="","",IFERROR(INDEX(Vendor_Register!$E$5:$E$205,MATCH(E836,Vendor_Register!$A$5:$A$205,0)),"(not in register)"))</f>
        <v/>
      </c>
      <c r="H836" s="30"/>
      <c r="I836" s="30"/>
      <c r="J836" s="30"/>
      <c r="K836" s="30"/>
      <c r="L836" s="30"/>
      <c r="M836" s="34"/>
      <c r="N836" s="30"/>
      <c r="O836" s="35" t="str">
        <f>IF(NOT(ISNUMBER(M836)),"",IFERROR(IF(L836="EUR",M836,IF(L836="IRR",M836/INDEX('Assumptions &amp; FX Reference'!$C$5:$C$25,MATCH(H836,'Assumptions &amp; FX Reference'!$A$5:$A$25,0)),IF(L836="USD",M836*INDEX('Assumptions &amp; FX Reference'!$B$5:$B$25,MATCH(H836,'Assumptions &amp; FX Reference'!$A$5:$A$25,0))/INDEX('Assumptions &amp; FX Reference'!$C$5:$C$25,MATCH(H836,'Assumptions &amp; FX Reference'!$A$5:$A$25,0)),""))),"(FX missing)"))</f>
        <v/>
      </c>
      <c r="P836" s="30"/>
      <c r="Q836" s="30"/>
      <c r="R836" s="30"/>
      <c r="S836" s="30"/>
      <c r="T836" s="30"/>
      <c r="U836" s="30"/>
      <c r="V836" s="30"/>
    </row>
    <row r="837" spans="1:22">
      <c r="A837" s="30"/>
      <c r="B837" s="30"/>
      <c r="C837" s="33" t="str">
        <f>IF(B837="","",IFERROR(INDEX('Master Database'!$D$5:$D$600,MATCH(B837,'Master Database'!$A$5:$A$600,0)),"(row not found)"))</f>
        <v/>
      </c>
      <c r="D837" s="33" t="str">
        <f>IF(B837="","",IFERROR(INDEX('Master Database'!$B$5:$B$600,MATCH(B837,'Master Database'!$A$5:$A$600,0)),"(row not found)"))</f>
        <v/>
      </c>
      <c r="E837" s="30"/>
      <c r="F837" s="33" t="str">
        <f>IF(E837="","",IFERROR(INDEX(Vendor_Register!$B$5:$B$205,MATCH(E837,Vendor_Register!$A$5:$A$205,0)),"(not in register)"))</f>
        <v/>
      </c>
      <c r="G837" s="33" t="str">
        <f>IF(E837="","",IFERROR(INDEX(Vendor_Register!$E$5:$E$205,MATCH(E837,Vendor_Register!$A$5:$A$205,0)),"(not in register)"))</f>
        <v/>
      </c>
      <c r="H837" s="30"/>
      <c r="I837" s="30"/>
      <c r="J837" s="30"/>
      <c r="K837" s="30"/>
      <c r="L837" s="30"/>
      <c r="M837" s="34"/>
      <c r="N837" s="30"/>
      <c r="O837" s="35" t="str">
        <f>IF(NOT(ISNUMBER(M837)),"",IFERROR(IF(L837="EUR",M837,IF(L837="IRR",M837/INDEX('Assumptions &amp; FX Reference'!$C$5:$C$25,MATCH(H837,'Assumptions &amp; FX Reference'!$A$5:$A$25,0)),IF(L837="USD",M837*INDEX('Assumptions &amp; FX Reference'!$B$5:$B$25,MATCH(H837,'Assumptions &amp; FX Reference'!$A$5:$A$25,0))/INDEX('Assumptions &amp; FX Reference'!$C$5:$C$25,MATCH(H837,'Assumptions &amp; FX Reference'!$A$5:$A$25,0)),""))),"(FX missing)"))</f>
        <v/>
      </c>
      <c r="P837" s="30"/>
      <c r="Q837" s="30"/>
      <c r="R837" s="30"/>
      <c r="S837" s="30"/>
      <c r="T837" s="30"/>
      <c r="U837" s="30"/>
      <c r="V837" s="30"/>
    </row>
    <row r="838" spans="1:22">
      <c r="A838" s="30"/>
      <c r="B838" s="30"/>
      <c r="C838" s="33" t="str">
        <f>IF(B838="","",IFERROR(INDEX('Master Database'!$D$5:$D$600,MATCH(B838,'Master Database'!$A$5:$A$600,0)),"(row not found)"))</f>
        <v/>
      </c>
      <c r="D838" s="33" t="str">
        <f>IF(B838="","",IFERROR(INDEX('Master Database'!$B$5:$B$600,MATCH(B838,'Master Database'!$A$5:$A$600,0)),"(row not found)"))</f>
        <v/>
      </c>
      <c r="E838" s="30"/>
      <c r="F838" s="33" t="str">
        <f>IF(E838="","",IFERROR(INDEX(Vendor_Register!$B$5:$B$205,MATCH(E838,Vendor_Register!$A$5:$A$205,0)),"(not in register)"))</f>
        <v/>
      </c>
      <c r="G838" s="33" t="str">
        <f>IF(E838="","",IFERROR(INDEX(Vendor_Register!$E$5:$E$205,MATCH(E838,Vendor_Register!$A$5:$A$205,0)),"(not in register)"))</f>
        <v/>
      </c>
      <c r="H838" s="30"/>
      <c r="I838" s="30"/>
      <c r="J838" s="30"/>
      <c r="K838" s="30"/>
      <c r="L838" s="30"/>
      <c r="M838" s="34"/>
      <c r="N838" s="30"/>
      <c r="O838" s="35" t="str">
        <f>IF(NOT(ISNUMBER(M838)),"",IFERROR(IF(L838="EUR",M838,IF(L838="IRR",M838/INDEX('Assumptions &amp; FX Reference'!$C$5:$C$25,MATCH(H838,'Assumptions &amp; FX Reference'!$A$5:$A$25,0)),IF(L838="USD",M838*INDEX('Assumptions &amp; FX Reference'!$B$5:$B$25,MATCH(H838,'Assumptions &amp; FX Reference'!$A$5:$A$25,0))/INDEX('Assumptions &amp; FX Reference'!$C$5:$C$25,MATCH(H838,'Assumptions &amp; FX Reference'!$A$5:$A$25,0)),""))),"(FX missing)"))</f>
        <v/>
      </c>
      <c r="P838" s="30"/>
      <c r="Q838" s="30"/>
      <c r="R838" s="30"/>
      <c r="S838" s="30"/>
      <c r="T838" s="30"/>
      <c r="U838" s="30"/>
      <c r="V838" s="30"/>
    </row>
    <row r="839" spans="1:22">
      <c r="A839" s="30"/>
      <c r="B839" s="30"/>
      <c r="C839" s="33" t="str">
        <f>IF(B839="","",IFERROR(INDEX('Master Database'!$D$5:$D$600,MATCH(B839,'Master Database'!$A$5:$A$600,0)),"(row not found)"))</f>
        <v/>
      </c>
      <c r="D839" s="33" t="str">
        <f>IF(B839="","",IFERROR(INDEX('Master Database'!$B$5:$B$600,MATCH(B839,'Master Database'!$A$5:$A$600,0)),"(row not found)"))</f>
        <v/>
      </c>
      <c r="E839" s="30"/>
      <c r="F839" s="33" t="str">
        <f>IF(E839="","",IFERROR(INDEX(Vendor_Register!$B$5:$B$205,MATCH(E839,Vendor_Register!$A$5:$A$205,0)),"(not in register)"))</f>
        <v/>
      </c>
      <c r="G839" s="33" t="str">
        <f>IF(E839="","",IFERROR(INDEX(Vendor_Register!$E$5:$E$205,MATCH(E839,Vendor_Register!$A$5:$A$205,0)),"(not in register)"))</f>
        <v/>
      </c>
      <c r="H839" s="30"/>
      <c r="I839" s="30"/>
      <c r="J839" s="30"/>
      <c r="K839" s="30"/>
      <c r="L839" s="30"/>
      <c r="M839" s="34"/>
      <c r="N839" s="30"/>
      <c r="O839" s="35" t="str">
        <f>IF(NOT(ISNUMBER(M839)),"",IFERROR(IF(L839="EUR",M839,IF(L839="IRR",M839/INDEX('Assumptions &amp; FX Reference'!$C$5:$C$25,MATCH(H839,'Assumptions &amp; FX Reference'!$A$5:$A$25,0)),IF(L839="USD",M839*INDEX('Assumptions &amp; FX Reference'!$B$5:$B$25,MATCH(H839,'Assumptions &amp; FX Reference'!$A$5:$A$25,0))/INDEX('Assumptions &amp; FX Reference'!$C$5:$C$25,MATCH(H839,'Assumptions &amp; FX Reference'!$A$5:$A$25,0)),""))),"(FX missing)"))</f>
        <v/>
      </c>
      <c r="P839" s="30"/>
      <c r="Q839" s="30"/>
      <c r="R839" s="30"/>
      <c r="S839" s="30"/>
      <c r="T839" s="30"/>
      <c r="U839" s="30"/>
      <c r="V839" s="30"/>
    </row>
    <row r="840" spans="1:22">
      <c r="A840" s="30"/>
      <c r="B840" s="30"/>
      <c r="C840" s="33" t="str">
        <f>IF(B840="","",IFERROR(INDEX('Master Database'!$D$5:$D$600,MATCH(B840,'Master Database'!$A$5:$A$600,0)),"(row not found)"))</f>
        <v/>
      </c>
      <c r="D840" s="33" t="str">
        <f>IF(B840="","",IFERROR(INDEX('Master Database'!$B$5:$B$600,MATCH(B840,'Master Database'!$A$5:$A$600,0)),"(row not found)"))</f>
        <v/>
      </c>
      <c r="E840" s="30"/>
      <c r="F840" s="33" t="str">
        <f>IF(E840="","",IFERROR(INDEX(Vendor_Register!$B$5:$B$205,MATCH(E840,Vendor_Register!$A$5:$A$205,0)),"(not in register)"))</f>
        <v/>
      </c>
      <c r="G840" s="33" t="str">
        <f>IF(E840="","",IFERROR(INDEX(Vendor_Register!$E$5:$E$205,MATCH(E840,Vendor_Register!$A$5:$A$205,0)),"(not in register)"))</f>
        <v/>
      </c>
      <c r="H840" s="30"/>
      <c r="I840" s="30"/>
      <c r="J840" s="30"/>
      <c r="K840" s="30"/>
      <c r="L840" s="30"/>
      <c r="M840" s="34"/>
      <c r="N840" s="30"/>
      <c r="O840" s="35" t="str">
        <f>IF(NOT(ISNUMBER(M840)),"",IFERROR(IF(L840="EUR",M840,IF(L840="IRR",M840/INDEX('Assumptions &amp; FX Reference'!$C$5:$C$25,MATCH(H840,'Assumptions &amp; FX Reference'!$A$5:$A$25,0)),IF(L840="USD",M840*INDEX('Assumptions &amp; FX Reference'!$B$5:$B$25,MATCH(H840,'Assumptions &amp; FX Reference'!$A$5:$A$25,0))/INDEX('Assumptions &amp; FX Reference'!$C$5:$C$25,MATCH(H840,'Assumptions &amp; FX Reference'!$A$5:$A$25,0)),""))),"(FX missing)"))</f>
        <v/>
      </c>
      <c r="P840" s="30"/>
      <c r="Q840" s="30"/>
      <c r="R840" s="30"/>
      <c r="S840" s="30"/>
      <c r="T840" s="30"/>
      <c r="U840" s="30"/>
      <c r="V840" s="30"/>
    </row>
    <row r="841" spans="1:22">
      <c r="A841" s="30"/>
      <c r="B841" s="30"/>
      <c r="C841" s="33" t="str">
        <f>IF(B841="","",IFERROR(INDEX('Master Database'!$D$5:$D$600,MATCH(B841,'Master Database'!$A$5:$A$600,0)),"(row not found)"))</f>
        <v/>
      </c>
      <c r="D841" s="33" t="str">
        <f>IF(B841="","",IFERROR(INDEX('Master Database'!$B$5:$B$600,MATCH(B841,'Master Database'!$A$5:$A$600,0)),"(row not found)"))</f>
        <v/>
      </c>
      <c r="E841" s="30"/>
      <c r="F841" s="33" t="str">
        <f>IF(E841="","",IFERROR(INDEX(Vendor_Register!$B$5:$B$205,MATCH(E841,Vendor_Register!$A$5:$A$205,0)),"(not in register)"))</f>
        <v/>
      </c>
      <c r="G841" s="33" t="str">
        <f>IF(E841="","",IFERROR(INDEX(Vendor_Register!$E$5:$E$205,MATCH(E841,Vendor_Register!$A$5:$A$205,0)),"(not in register)"))</f>
        <v/>
      </c>
      <c r="H841" s="30"/>
      <c r="I841" s="30"/>
      <c r="J841" s="30"/>
      <c r="K841" s="30"/>
      <c r="L841" s="30"/>
      <c r="M841" s="34"/>
      <c r="N841" s="30"/>
      <c r="O841" s="35" t="str">
        <f>IF(NOT(ISNUMBER(M841)),"",IFERROR(IF(L841="EUR",M841,IF(L841="IRR",M841/INDEX('Assumptions &amp; FX Reference'!$C$5:$C$25,MATCH(H841,'Assumptions &amp; FX Reference'!$A$5:$A$25,0)),IF(L841="USD",M841*INDEX('Assumptions &amp; FX Reference'!$B$5:$B$25,MATCH(H841,'Assumptions &amp; FX Reference'!$A$5:$A$25,0))/INDEX('Assumptions &amp; FX Reference'!$C$5:$C$25,MATCH(H841,'Assumptions &amp; FX Reference'!$A$5:$A$25,0)),""))),"(FX missing)"))</f>
        <v/>
      </c>
      <c r="P841" s="30"/>
      <c r="Q841" s="30"/>
      <c r="R841" s="30"/>
      <c r="S841" s="30"/>
      <c r="T841" s="30"/>
      <c r="U841" s="30"/>
      <c r="V841" s="30"/>
    </row>
    <row r="842" spans="1:22">
      <c r="A842" s="30"/>
      <c r="B842" s="30"/>
      <c r="C842" s="33" t="str">
        <f>IF(B842="","",IFERROR(INDEX('Master Database'!$D$5:$D$600,MATCH(B842,'Master Database'!$A$5:$A$600,0)),"(row not found)"))</f>
        <v/>
      </c>
      <c r="D842" s="33" t="str">
        <f>IF(B842="","",IFERROR(INDEX('Master Database'!$B$5:$B$600,MATCH(B842,'Master Database'!$A$5:$A$600,0)),"(row not found)"))</f>
        <v/>
      </c>
      <c r="E842" s="30"/>
      <c r="F842" s="33" t="str">
        <f>IF(E842="","",IFERROR(INDEX(Vendor_Register!$B$5:$B$205,MATCH(E842,Vendor_Register!$A$5:$A$205,0)),"(not in register)"))</f>
        <v/>
      </c>
      <c r="G842" s="33" t="str">
        <f>IF(E842="","",IFERROR(INDEX(Vendor_Register!$E$5:$E$205,MATCH(E842,Vendor_Register!$A$5:$A$205,0)),"(not in register)"))</f>
        <v/>
      </c>
      <c r="H842" s="30"/>
      <c r="I842" s="30"/>
      <c r="J842" s="30"/>
      <c r="K842" s="30"/>
      <c r="L842" s="30"/>
      <c r="M842" s="34"/>
      <c r="N842" s="30"/>
      <c r="O842" s="35" t="str">
        <f>IF(NOT(ISNUMBER(M842)),"",IFERROR(IF(L842="EUR",M842,IF(L842="IRR",M842/INDEX('Assumptions &amp; FX Reference'!$C$5:$C$25,MATCH(H842,'Assumptions &amp; FX Reference'!$A$5:$A$25,0)),IF(L842="USD",M842*INDEX('Assumptions &amp; FX Reference'!$B$5:$B$25,MATCH(H842,'Assumptions &amp; FX Reference'!$A$5:$A$25,0))/INDEX('Assumptions &amp; FX Reference'!$C$5:$C$25,MATCH(H842,'Assumptions &amp; FX Reference'!$A$5:$A$25,0)),""))),"(FX missing)"))</f>
        <v/>
      </c>
      <c r="P842" s="30"/>
      <c r="Q842" s="30"/>
      <c r="R842" s="30"/>
      <c r="S842" s="30"/>
      <c r="T842" s="30"/>
      <c r="U842" s="30"/>
      <c r="V842" s="30"/>
    </row>
    <row r="843" spans="1:22">
      <c r="A843" s="30"/>
      <c r="B843" s="30"/>
      <c r="C843" s="33" t="str">
        <f>IF(B843="","",IFERROR(INDEX('Master Database'!$D$5:$D$600,MATCH(B843,'Master Database'!$A$5:$A$600,0)),"(row not found)"))</f>
        <v/>
      </c>
      <c r="D843" s="33" t="str">
        <f>IF(B843="","",IFERROR(INDEX('Master Database'!$B$5:$B$600,MATCH(B843,'Master Database'!$A$5:$A$600,0)),"(row not found)"))</f>
        <v/>
      </c>
      <c r="E843" s="30"/>
      <c r="F843" s="33" t="str">
        <f>IF(E843="","",IFERROR(INDEX(Vendor_Register!$B$5:$B$205,MATCH(E843,Vendor_Register!$A$5:$A$205,0)),"(not in register)"))</f>
        <v/>
      </c>
      <c r="G843" s="33" t="str">
        <f>IF(E843="","",IFERROR(INDEX(Vendor_Register!$E$5:$E$205,MATCH(E843,Vendor_Register!$A$5:$A$205,0)),"(not in register)"))</f>
        <v/>
      </c>
      <c r="H843" s="30"/>
      <c r="I843" s="30"/>
      <c r="J843" s="30"/>
      <c r="K843" s="30"/>
      <c r="L843" s="30"/>
      <c r="M843" s="34"/>
      <c r="N843" s="30"/>
      <c r="O843" s="35" t="str">
        <f>IF(NOT(ISNUMBER(M843)),"",IFERROR(IF(L843="EUR",M843,IF(L843="IRR",M843/INDEX('Assumptions &amp; FX Reference'!$C$5:$C$25,MATCH(H843,'Assumptions &amp; FX Reference'!$A$5:$A$25,0)),IF(L843="USD",M843*INDEX('Assumptions &amp; FX Reference'!$B$5:$B$25,MATCH(H843,'Assumptions &amp; FX Reference'!$A$5:$A$25,0))/INDEX('Assumptions &amp; FX Reference'!$C$5:$C$25,MATCH(H843,'Assumptions &amp; FX Reference'!$A$5:$A$25,0)),""))),"(FX missing)"))</f>
        <v/>
      </c>
      <c r="P843" s="30"/>
      <c r="Q843" s="30"/>
      <c r="R843" s="30"/>
      <c r="S843" s="30"/>
      <c r="T843" s="30"/>
      <c r="U843" s="30"/>
      <c r="V843" s="30"/>
    </row>
    <row r="844" spans="1:22">
      <c r="A844" s="30"/>
      <c r="B844" s="30"/>
      <c r="C844" s="33" t="str">
        <f>IF(B844="","",IFERROR(INDEX('Master Database'!$D$5:$D$600,MATCH(B844,'Master Database'!$A$5:$A$600,0)),"(row not found)"))</f>
        <v/>
      </c>
      <c r="D844" s="33" t="str">
        <f>IF(B844="","",IFERROR(INDEX('Master Database'!$B$5:$B$600,MATCH(B844,'Master Database'!$A$5:$A$600,0)),"(row not found)"))</f>
        <v/>
      </c>
      <c r="E844" s="30"/>
      <c r="F844" s="33" t="str">
        <f>IF(E844="","",IFERROR(INDEX(Vendor_Register!$B$5:$B$205,MATCH(E844,Vendor_Register!$A$5:$A$205,0)),"(not in register)"))</f>
        <v/>
      </c>
      <c r="G844" s="33" t="str">
        <f>IF(E844="","",IFERROR(INDEX(Vendor_Register!$E$5:$E$205,MATCH(E844,Vendor_Register!$A$5:$A$205,0)),"(not in register)"))</f>
        <v/>
      </c>
      <c r="H844" s="30"/>
      <c r="I844" s="30"/>
      <c r="J844" s="30"/>
      <c r="K844" s="30"/>
      <c r="L844" s="30"/>
      <c r="M844" s="34"/>
      <c r="N844" s="30"/>
      <c r="O844" s="35" t="str">
        <f>IF(NOT(ISNUMBER(M844)),"",IFERROR(IF(L844="EUR",M844,IF(L844="IRR",M844/INDEX('Assumptions &amp; FX Reference'!$C$5:$C$25,MATCH(H844,'Assumptions &amp; FX Reference'!$A$5:$A$25,0)),IF(L844="USD",M844*INDEX('Assumptions &amp; FX Reference'!$B$5:$B$25,MATCH(H844,'Assumptions &amp; FX Reference'!$A$5:$A$25,0))/INDEX('Assumptions &amp; FX Reference'!$C$5:$C$25,MATCH(H844,'Assumptions &amp; FX Reference'!$A$5:$A$25,0)),""))),"(FX missing)"))</f>
        <v/>
      </c>
      <c r="P844" s="30"/>
      <c r="Q844" s="30"/>
      <c r="R844" s="30"/>
      <c r="S844" s="30"/>
      <c r="T844" s="30"/>
      <c r="U844" s="30"/>
      <c r="V844" s="30"/>
    </row>
    <row r="845" spans="1:22">
      <c r="A845" s="30"/>
      <c r="B845" s="30"/>
      <c r="C845" s="33" t="str">
        <f>IF(B845="","",IFERROR(INDEX('Master Database'!$D$5:$D$600,MATCH(B845,'Master Database'!$A$5:$A$600,0)),"(row not found)"))</f>
        <v/>
      </c>
      <c r="D845" s="33" t="str">
        <f>IF(B845="","",IFERROR(INDEX('Master Database'!$B$5:$B$600,MATCH(B845,'Master Database'!$A$5:$A$600,0)),"(row not found)"))</f>
        <v/>
      </c>
      <c r="E845" s="30"/>
      <c r="F845" s="33" t="str">
        <f>IF(E845="","",IFERROR(INDEX(Vendor_Register!$B$5:$B$205,MATCH(E845,Vendor_Register!$A$5:$A$205,0)),"(not in register)"))</f>
        <v/>
      </c>
      <c r="G845" s="33" t="str">
        <f>IF(E845="","",IFERROR(INDEX(Vendor_Register!$E$5:$E$205,MATCH(E845,Vendor_Register!$A$5:$A$205,0)),"(not in register)"))</f>
        <v/>
      </c>
      <c r="H845" s="30"/>
      <c r="I845" s="30"/>
      <c r="J845" s="30"/>
      <c r="K845" s="30"/>
      <c r="L845" s="30"/>
      <c r="M845" s="34"/>
      <c r="N845" s="30"/>
      <c r="O845" s="35" t="str">
        <f>IF(NOT(ISNUMBER(M845)),"",IFERROR(IF(L845="EUR",M845,IF(L845="IRR",M845/INDEX('Assumptions &amp; FX Reference'!$C$5:$C$25,MATCH(H845,'Assumptions &amp; FX Reference'!$A$5:$A$25,0)),IF(L845="USD",M845*INDEX('Assumptions &amp; FX Reference'!$B$5:$B$25,MATCH(H845,'Assumptions &amp; FX Reference'!$A$5:$A$25,0))/INDEX('Assumptions &amp; FX Reference'!$C$5:$C$25,MATCH(H845,'Assumptions &amp; FX Reference'!$A$5:$A$25,0)),""))),"(FX missing)"))</f>
        <v/>
      </c>
      <c r="P845" s="30"/>
      <c r="Q845" s="30"/>
      <c r="R845" s="30"/>
      <c r="S845" s="30"/>
      <c r="T845" s="30"/>
      <c r="U845" s="30"/>
      <c r="V845" s="30"/>
    </row>
    <row r="846" spans="1:22">
      <c r="A846" s="30"/>
      <c r="B846" s="30"/>
      <c r="C846" s="33" t="str">
        <f>IF(B846="","",IFERROR(INDEX('Master Database'!$D$5:$D$600,MATCH(B846,'Master Database'!$A$5:$A$600,0)),"(row not found)"))</f>
        <v/>
      </c>
      <c r="D846" s="33" t="str">
        <f>IF(B846="","",IFERROR(INDEX('Master Database'!$B$5:$B$600,MATCH(B846,'Master Database'!$A$5:$A$600,0)),"(row not found)"))</f>
        <v/>
      </c>
      <c r="E846" s="30"/>
      <c r="F846" s="33" t="str">
        <f>IF(E846="","",IFERROR(INDEX(Vendor_Register!$B$5:$B$205,MATCH(E846,Vendor_Register!$A$5:$A$205,0)),"(not in register)"))</f>
        <v/>
      </c>
      <c r="G846" s="33" t="str">
        <f>IF(E846="","",IFERROR(INDEX(Vendor_Register!$E$5:$E$205,MATCH(E846,Vendor_Register!$A$5:$A$205,0)),"(not in register)"))</f>
        <v/>
      </c>
      <c r="H846" s="30"/>
      <c r="I846" s="30"/>
      <c r="J846" s="30"/>
      <c r="K846" s="30"/>
      <c r="L846" s="30"/>
      <c r="M846" s="34"/>
      <c r="N846" s="30"/>
      <c r="O846" s="35" t="str">
        <f>IF(NOT(ISNUMBER(M846)),"",IFERROR(IF(L846="EUR",M846,IF(L846="IRR",M846/INDEX('Assumptions &amp; FX Reference'!$C$5:$C$25,MATCH(H846,'Assumptions &amp; FX Reference'!$A$5:$A$25,0)),IF(L846="USD",M846*INDEX('Assumptions &amp; FX Reference'!$B$5:$B$25,MATCH(H846,'Assumptions &amp; FX Reference'!$A$5:$A$25,0))/INDEX('Assumptions &amp; FX Reference'!$C$5:$C$25,MATCH(H846,'Assumptions &amp; FX Reference'!$A$5:$A$25,0)),""))),"(FX missing)"))</f>
        <v/>
      </c>
      <c r="P846" s="30"/>
      <c r="Q846" s="30"/>
      <c r="R846" s="30"/>
      <c r="S846" s="30"/>
      <c r="T846" s="30"/>
      <c r="U846" s="30"/>
      <c r="V846" s="30"/>
    </row>
    <row r="847" spans="1:22">
      <c r="A847" s="30"/>
      <c r="B847" s="30"/>
      <c r="C847" s="33" t="str">
        <f>IF(B847="","",IFERROR(INDEX('Master Database'!$D$5:$D$600,MATCH(B847,'Master Database'!$A$5:$A$600,0)),"(row not found)"))</f>
        <v/>
      </c>
      <c r="D847" s="33" t="str">
        <f>IF(B847="","",IFERROR(INDEX('Master Database'!$B$5:$B$600,MATCH(B847,'Master Database'!$A$5:$A$600,0)),"(row not found)"))</f>
        <v/>
      </c>
      <c r="E847" s="30"/>
      <c r="F847" s="33" t="str">
        <f>IF(E847="","",IFERROR(INDEX(Vendor_Register!$B$5:$B$205,MATCH(E847,Vendor_Register!$A$5:$A$205,0)),"(not in register)"))</f>
        <v/>
      </c>
      <c r="G847" s="33" t="str">
        <f>IF(E847="","",IFERROR(INDEX(Vendor_Register!$E$5:$E$205,MATCH(E847,Vendor_Register!$A$5:$A$205,0)),"(not in register)"))</f>
        <v/>
      </c>
      <c r="H847" s="30"/>
      <c r="I847" s="30"/>
      <c r="J847" s="30"/>
      <c r="K847" s="30"/>
      <c r="L847" s="30"/>
      <c r="M847" s="34"/>
      <c r="N847" s="30"/>
      <c r="O847" s="35" t="str">
        <f>IF(NOT(ISNUMBER(M847)),"",IFERROR(IF(L847="EUR",M847,IF(L847="IRR",M847/INDEX('Assumptions &amp; FX Reference'!$C$5:$C$25,MATCH(H847,'Assumptions &amp; FX Reference'!$A$5:$A$25,0)),IF(L847="USD",M847*INDEX('Assumptions &amp; FX Reference'!$B$5:$B$25,MATCH(H847,'Assumptions &amp; FX Reference'!$A$5:$A$25,0))/INDEX('Assumptions &amp; FX Reference'!$C$5:$C$25,MATCH(H847,'Assumptions &amp; FX Reference'!$A$5:$A$25,0)),""))),"(FX missing)"))</f>
        <v/>
      </c>
      <c r="P847" s="30"/>
      <c r="Q847" s="30"/>
      <c r="R847" s="30"/>
      <c r="S847" s="30"/>
      <c r="T847" s="30"/>
      <c r="U847" s="30"/>
      <c r="V847" s="30"/>
    </row>
    <row r="848" spans="1:22">
      <c r="A848" s="30"/>
      <c r="B848" s="30"/>
      <c r="C848" s="33" t="str">
        <f>IF(B848="","",IFERROR(INDEX('Master Database'!$D$5:$D$600,MATCH(B848,'Master Database'!$A$5:$A$600,0)),"(row not found)"))</f>
        <v/>
      </c>
      <c r="D848" s="33" t="str">
        <f>IF(B848="","",IFERROR(INDEX('Master Database'!$B$5:$B$600,MATCH(B848,'Master Database'!$A$5:$A$600,0)),"(row not found)"))</f>
        <v/>
      </c>
      <c r="E848" s="30"/>
      <c r="F848" s="33" t="str">
        <f>IF(E848="","",IFERROR(INDEX(Vendor_Register!$B$5:$B$205,MATCH(E848,Vendor_Register!$A$5:$A$205,0)),"(not in register)"))</f>
        <v/>
      </c>
      <c r="G848" s="33" t="str">
        <f>IF(E848="","",IFERROR(INDEX(Vendor_Register!$E$5:$E$205,MATCH(E848,Vendor_Register!$A$5:$A$205,0)),"(not in register)"))</f>
        <v/>
      </c>
      <c r="H848" s="30"/>
      <c r="I848" s="30"/>
      <c r="J848" s="30"/>
      <c r="K848" s="30"/>
      <c r="L848" s="30"/>
      <c r="M848" s="34"/>
      <c r="N848" s="30"/>
      <c r="O848" s="35" t="str">
        <f>IF(NOT(ISNUMBER(M848)),"",IFERROR(IF(L848="EUR",M848,IF(L848="IRR",M848/INDEX('Assumptions &amp; FX Reference'!$C$5:$C$25,MATCH(H848,'Assumptions &amp; FX Reference'!$A$5:$A$25,0)),IF(L848="USD",M848*INDEX('Assumptions &amp; FX Reference'!$B$5:$B$25,MATCH(H848,'Assumptions &amp; FX Reference'!$A$5:$A$25,0))/INDEX('Assumptions &amp; FX Reference'!$C$5:$C$25,MATCH(H848,'Assumptions &amp; FX Reference'!$A$5:$A$25,0)),""))),"(FX missing)"))</f>
        <v/>
      </c>
      <c r="P848" s="30"/>
      <c r="Q848" s="30"/>
      <c r="R848" s="30"/>
      <c r="S848" s="30"/>
      <c r="T848" s="30"/>
      <c r="U848" s="30"/>
      <c r="V848" s="30"/>
    </row>
    <row r="849" spans="1:22">
      <c r="A849" s="30"/>
      <c r="B849" s="30"/>
      <c r="C849" s="33" t="str">
        <f>IF(B849="","",IFERROR(INDEX('Master Database'!$D$5:$D$600,MATCH(B849,'Master Database'!$A$5:$A$600,0)),"(row not found)"))</f>
        <v/>
      </c>
      <c r="D849" s="33" t="str">
        <f>IF(B849="","",IFERROR(INDEX('Master Database'!$B$5:$B$600,MATCH(B849,'Master Database'!$A$5:$A$600,0)),"(row not found)"))</f>
        <v/>
      </c>
      <c r="E849" s="30"/>
      <c r="F849" s="33" t="str">
        <f>IF(E849="","",IFERROR(INDEX(Vendor_Register!$B$5:$B$205,MATCH(E849,Vendor_Register!$A$5:$A$205,0)),"(not in register)"))</f>
        <v/>
      </c>
      <c r="G849" s="33" t="str">
        <f>IF(E849="","",IFERROR(INDEX(Vendor_Register!$E$5:$E$205,MATCH(E849,Vendor_Register!$A$5:$A$205,0)),"(not in register)"))</f>
        <v/>
      </c>
      <c r="H849" s="30"/>
      <c r="I849" s="30"/>
      <c r="J849" s="30"/>
      <c r="K849" s="30"/>
      <c r="L849" s="30"/>
      <c r="M849" s="34"/>
      <c r="N849" s="30"/>
      <c r="O849" s="35" t="str">
        <f>IF(NOT(ISNUMBER(M849)),"",IFERROR(IF(L849="EUR",M849,IF(L849="IRR",M849/INDEX('Assumptions &amp; FX Reference'!$C$5:$C$25,MATCH(H849,'Assumptions &amp; FX Reference'!$A$5:$A$25,0)),IF(L849="USD",M849*INDEX('Assumptions &amp; FX Reference'!$B$5:$B$25,MATCH(H849,'Assumptions &amp; FX Reference'!$A$5:$A$25,0))/INDEX('Assumptions &amp; FX Reference'!$C$5:$C$25,MATCH(H849,'Assumptions &amp; FX Reference'!$A$5:$A$25,0)),""))),"(FX missing)"))</f>
        <v/>
      </c>
      <c r="P849" s="30"/>
      <c r="Q849" s="30"/>
      <c r="R849" s="30"/>
      <c r="S849" s="30"/>
      <c r="T849" s="30"/>
      <c r="U849" s="30"/>
      <c r="V849" s="30"/>
    </row>
    <row r="850" spans="1:22">
      <c r="A850" s="30"/>
      <c r="B850" s="30"/>
      <c r="C850" s="33" t="str">
        <f>IF(B850="","",IFERROR(INDEX('Master Database'!$D$5:$D$600,MATCH(B850,'Master Database'!$A$5:$A$600,0)),"(row not found)"))</f>
        <v/>
      </c>
      <c r="D850" s="33" t="str">
        <f>IF(B850="","",IFERROR(INDEX('Master Database'!$B$5:$B$600,MATCH(B850,'Master Database'!$A$5:$A$600,0)),"(row not found)"))</f>
        <v/>
      </c>
      <c r="E850" s="30"/>
      <c r="F850" s="33" t="str">
        <f>IF(E850="","",IFERROR(INDEX(Vendor_Register!$B$5:$B$205,MATCH(E850,Vendor_Register!$A$5:$A$205,0)),"(not in register)"))</f>
        <v/>
      </c>
      <c r="G850" s="33" t="str">
        <f>IF(E850="","",IFERROR(INDEX(Vendor_Register!$E$5:$E$205,MATCH(E850,Vendor_Register!$A$5:$A$205,0)),"(not in register)"))</f>
        <v/>
      </c>
      <c r="H850" s="30"/>
      <c r="I850" s="30"/>
      <c r="J850" s="30"/>
      <c r="K850" s="30"/>
      <c r="L850" s="30"/>
      <c r="M850" s="34"/>
      <c r="N850" s="30"/>
      <c r="O850" s="35" t="str">
        <f>IF(NOT(ISNUMBER(M850)),"",IFERROR(IF(L850="EUR",M850,IF(L850="IRR",M850/INDEX('Assumptions &amp; FX Reference'!$C$5:$C$25,MATCH(H850,'Assumptions &amp; FX Reference'!$A$5:$A$25,0)),IF(L850="USD",M850*INDEX('Assumptions &amp; FX Reference'!$B$5:$B$25,MATCH(H850,'Assumptions &amp; FX Reference'!$A$5:$A$25,0))/INDEX('Assumptions &amp; FX Reference'!$C$5:$C$25,MATCH(H850,'Assumptions &amp; FX Reference'!$A$5:$A$25,0)),""))),"(FX missing)"))</f>
        <v/>
      </c>
      <c r="P850" s="30"/>
      <c r="Q850" s="30"/>
      <c r="R850" s="30"/>
      <c r="S850" s="30"/>
      <c r="T850" s="30"/>
      <c r="U850" s="30"/>
      <c r="V850" s="30"/>
    </row>
    <row r="851" spans="1:22">
      <c r="A851" s="30"/>
      <c r="B851" s="30"/>
      <c r="C851" s="33" t="str">
        <f>IF(B851="","",IFERROR(INDEX('Master Database'!$D$5:$D$600,MATCH(B851,'Master Database'!$A$5:$A$600,0)),"(row not found)"))</f>
        <v/>
      </c>
      <c r="D851" s="33" t="str">
        <f>IF(B851="","",IFERROR(INDEX('Master Database'!$B$5:$B$600,MATCH(B851,'Master Database'!$A$5:$A$600,0)),"(row not found)"))</f>
        <v/>
      </c>
      <c r="E851" s="30"/>
      <c r="F851" s="33" t="str">
        <f>IF(E851="","",IFERROR(INDEX(Vendor_Register!$B$5:$B$205,MATCH(E851,Vendor_Register!$A$5:$A$205,0)),"(not in register)"))</f>
        <v/>
      </c>
      <c r="G851" s="33" t="str">
        <f>IF(E851="","",IFERROR(INDEX(Vendor_Register!$E$5:$E$205,MATCH(E851,Vendor_Register!$A$5:$A$205,0)),"(not in register)"))</f>
        <v/>
      </c>
      <c r="H851" s="30"/>
      <c r="I851" s="30"/>
      <c r="J851" s="30"/>
      <c r="K851" s="30"/>
      <c r="L851" s="30"/>
      <c r="M851" s="34"/>
      <c r="N851" s="30"/>
      <c r="O851" s="35" t="str">
        <f>IF(NOT(ISNUMBER(M851)),"",IFERROR(IF(L851="EUR",M851,IF(L851="IRR",M851/INDEX('Assumptions &amp; FX Reference'!$C$5:$C$25,MATCH(H851,'Assumptions &amp; FX Reference'!$A$5:$A$25,0)),IF(L851="USD",M851*INDEX('Assumptions &amp; FX Reference'!$B$5:$B$25,MATCH(H851,'Assumptions &amp; FX Reference'!$A$5:$A$25,0))/INDEX('Assumptions &amp; FX Reference'!$C$5:$C$25,MATCH(H851,'Assumptions &amp; FX Reference'!$A$5:$A$25,0)),""))),"(FX missing)"))</f>
        <v/>
      </c>
      <c r="P851" s="30"/>
      <c r="Q851" s="30"/>
      <c r="R851" s="30"/>
      <c r="S851" s="30"/>
      <c r="T851" s="30"/>
      <c r="U851" s="30"/>
      <c r="V851" s="30"/>
    </row>
    <row r="852" spans="1:22">
      <c r="A852" s="30"/>
      <c r="B852" s="30"/>
      <c r="C852" s="33" t="str">
        <f>IF(B852="","",IFERROR(INDEX('Master Database'!$D$5:$D$600,MATCH(B852,'Master Database'!$A$5:$A$600,0)),"(row not found)"))</f>
        <v/>
      </c>
      <c r="D852" s="33" t="str">
        <f>IF(B852="","",IFERROR(INDEX('Master Database'!$B$5:$B$600,MATCH(B852,'Master Database'!$A$5:$A$600,0)),"(row not found)"))</f>
        <v/>
      </c>
      <c r="E852" s="30"/>
      <c r="F852" s="33" t="str">
        <f>IF(E852="","",IFERROR(INDEX(Vendor_Register!$B$5:$B$205,MATCH(E852,Vendor_Register!$A$5:$A$205,0)),"(not in register)"))</f>
        <v/>
      </c>
      <c r="G852" s="33" t="str">
        <f>IF(E852="","",IFERROR(INDEX(Vendor_Register!$E$5:$E$205,MATCH(E852,Vendor_Register!$A$5:$A$205,0)),"(not in register)"))</f>
        <v/>
      </c>
      <c r="H852" s="30"/>
      <c r="I852" s="30"/>
      <c r="J852" s="30"/>
      <c r="K852" s="30"/>
      <c r="L852" s="30"/>
      <c r="M852" s="34"/>
      <c r="N852" s="30"/>
      <c r="O852" s="35" t="str">
        <f>IF(NOT(ISNUMBER(M852)),"",IFERROR(IF(L852="EUR",M852,IF(L852="IRR",M852/INDEX('Assumptions &amp; FX Reference'!$C$5:$C$25,MATCH(H852,'Assumptions &amp; FX Reference'!$A$5:$A$25,0)),IF(L852="USD",M852*INDEX('Assumptions &amp; FX Reference'!$B$5:$B$25,MATCH(H852,'Assumptions &amp; FX Reference'!$A$5:$A$25,0))/INDEX('Assumptions &amp; FX Reference'!$C$5:$C$25,MATCH(H852,'Assumptions &amp; FX Reference'!$A$5:$A$25,0)),""))),"(FX missing)"))</f>
        <v/>
      </c>
      <c r="P852" s="30"/>
      <c r="Q852" s="30"/>
      <c r="R852" s="30"/>
      <c r="S852" s="30"/>
      <c r="T852" s="30"/>
      <c r="U852" s="30"/>
      <c r="V852" s="30"/>
    </row>
    <row r="853" spans="1:22">
      <c r="A853" s="30"/>
      <c r="B853" s="30"/>
      <c r="C853" s="33" t="str">
        <f>IF(B853="","",IFERROR(INDEX('Master Database'!$D$5:$D$600,MATCH(B853,'Master Database'!$A$5:$A$600,0)),"(row not found)"))</f>
        <v/>
      </c>
      <c r="D853" s="33" t="str">
        <f>IF(B853="","",IFERROR(INDEX('Master Database'!$B$5:$B$600,MATCH(B853,'Master Database'!$A$5:$A$600,0)),"(row not found)"))</f>
        <v/>
      </c>
      <c r="E853" s="30"/>
      <c r="F853" s="33" t="str">
        <f>IF(E853="","",IFERROR(INDEX(Vendor_Register!$B$5:$B$205,MATCH(E853,Vendor_Register!$A$5:$A$205,0)),"(not in register)"))</f>
        <v/>
      </c>
      <c r="G853" s="33" t="str">
        <f>IF(E853="","",IFERROR(INDEX(Vendor_Register!$E$5:$E$205,MATCH(E853,Vendor_Register!$A$5:$A$205,0)),"(not in register)"))</f>
        <v/>
      </c>
      <c r="H853" s="30"/>
      <c r="I853" s="30"/>
      <c r="J853" s="30"/>
      <c r="K853" s="30"/>
      <c r="L853" s="30"/>
      <c r="M853" s="34"/>
      <c r="N853" s="30"/>
      <c r="O853" s="35" t="str">
        <f>IF(NOT(ISNUMBER(M853)),"",IFERROR(IF(L853="EUR",M853,IF(L853="IRR",M853/INDEX('Assumptions &amp; FX Reference'!$C$5:$C$25,MATCH(H853,'Assumptions &amp; FX Reference'!$A$5:$A$25,0)),IF(L853="USD",M853*INDEX('Assumptions &amp; FX Reference'!$B$5:$B$25,MATCH(H853,'Assumptions &amp; FX Reference'!$A$5:$A$25,0))/INDEX('Assumptions &amp; FX Reference'!$C$5:$C$25,MATCH(H853,'Assumptions &amp; FX Reference'!$A$5:$A$25,0)),""))),"(FX missing)"))</f>
        <v/>
      </c>
      <c r="P853" s="30"/>
      <c r="Q853" s="30"/>
      <c r="R853" s="30"/>
      <c r="S853" s="30"/>
      <c r="T853" s="30"/>
      <c r="U853" s="30"/>
      <c r="V853" s="30"/>
    </row>
    <row r="854" spans="1:22">
      <c r="A854" s="30"/>
      <c r="B854" s="30"/>
      <c r="C854" s="33" t="str">
        <f>IF(B854="","",IFERROR(INDEX('Master Database'!$D$5:$D$600,MATCH(B854,'Master Database'!$A$5:$A$600,0)),"(row not found)"))</f>
        <v/>
      </c>
      <c r="D854" s="33" t="str">
        <f>IF(B854="","",IFERROR(INDEX('Master Database'!$B$5:$B$600,MATCH(B854,'Master Database'!$A$5:$A$600,0)),"(row not found)"))</f>
        <v/>
      </c>
      <c r="E854" s="30"/>
      <c r="F854" s="33" t="str">
        <f>IF(E854="","",IFERROR(INDEX(Vendor_Register!$B$5:$B$205,MATCH(E854,Vendor_Register!$A$5:$A$205,0)),"(not in register)"))</f>
        <v/>
      </c>
      <c r="G854" s="33" t="str">
        <f>IF(E854="","",IFERROR(INDEX(Vendor_Register!$E$5:$E$205,MATCH(E854,Vendor_Register!$A$5:$A$205,0)),"(not in register)"))</f>
        <v/>
      </c>
      <c r="H854" s="30"/>
      <c r="I854" s="30"/>
      <c r="J854" s="30"/>
      <c r="K854" s="30"/>
      <c r="L854" s="30"/>
      <c r="M854" s="34"/>
      <c r="N854" s="30"/>
      <c r="O854" s="35" t="str">
        <f>IF(NOT(ISNUMBER(M854)),"",IFERROR(IF(L854="EUR",M854,IF(L854="IRR",M854/INDEX('Assumptions &amp; FX Reference'!$C$5:$C$25,MATCH(H854,'Assumptions &amp; FX Reference'!$A$5:$A$25,0)),IF(L854="USD",M854*INDEX('Assumptions &amp; FX Reference'!$B$5:$B$25,MATCH(H854,'Assumptions &amp; FX Reference'!$A$5:$A$25,0))/INDEX('Assumptions &amp; FX Reference'!$C$5:$C$25,MATCH(H854,'Assumptions &amp; FX Reference'!$A$5:$A$25,0)),""))),"(FX missing)"))</f>
        <v/>
      </c>
      <c r="P854" s="30"/>
      <c r="Q854" s="30"/>
      <c r="R854" s="30"/>
      <c r="S854" s="30"/>
      <c r="T854" s="30"/>
      <c r="U854" s="30"/>
      <c r="V854" s="30"/>
    </row>
    <row r="855" spans="1:22">
      <c r="A855" s="30"/>
      <c r="B855" s="30"/>
      <c r="C855" s="33" t="str">
        <f>IF(B855="","",IFERROR(INDEX('Master Database'!$D$5:$D$600,MATCH(B855,'Master Database'!$A$5:$A$600,0)),"(row not found)"))</f>
        <v/>
      </c>
      <c r="D855" s="33" t="str">
        <f>IF(B855="","",IFERROR(INDEX('Master Database'!$B$5:$B$600,MATCH(B855,'Master Database'!$A$5:$A$600,0)),"(row not found)"))</f>
        <v/>
      </c>
      <c r="E855" s="30"/>
      <c r="F855" s="33" t="str">
        <f>IF(E855="","",IFERROR(INDEX(Vendor_Register!$B$5:$B$205,MATCH(E855,Vendor_Register!$A$5:$A$205,0)),"(not in register)"))</f>
        <v/>
      </c>
      <c r="G855" s="33" t="str">
        <f>IF(E855="","",IFERROR(INDEX(Vendor_Register!$E$5:$E$205,MATCH(E855,Vendor_Register!$A$5:$A$205,0)),"(not in register)"))</f>
        <v/>
      </c>
      <c r="H855" s="30"/>
      <c r="I855" s="30"/>
      <c r="J855" s="30"/>
      <c r="K855" s="30"/>
      <c r="L855" s="30"/>
      <c r="M855" s="34"/>
      <c r="N855" s="30"/>
      <c r="O855" s="35" t="str">
        <f>IF(NOT(ISNUMBER(M855)),"",IFERROR(IF(L855="EUR",M855,IF(L855="IRR",M855/INDEX('Assumptions &amp; FX Reference'!$C$5:$C$25,MATCH(H855,'Assumptions &amp; FX Reference'!$A$5:$A$25,0)),IF(L855="USD",M855*INDEX('Assumptions &amp; FX Reference'!$B$5:$B$25,MATCH(H855,'Assumptions &amp; FX Reference'!$A$5:$A$25,0))/INDEX('Assumptions &amp; FX Reference'!$C$5:$C$25,MATCH(H855,'Assumptions &amp; FX Reference'!$A$5:$A$25,0)),""))),"(FX missing)"))</f>
        <v/>
      </c>
      <c r="P855" s="30"/>
      <c r="Q855" s="30"/>
      <c r="R855" s="30"/>
      <c r="S855" s="30"/>
      <c r="T855" s="30"/>
      <c r="U855" s="30"/>
      <c r="V855" s="30"/>
    </row>
    <row r="856" spans="1:22">
      <c r="A856" s="30"/>
      <c r="B856" s="30"/>
      <c r="C856" s="33" t="str">
        <f>IF(B856="","",IFERROR(INDEX('Master Database'!$D$5:$D$600,MATCH(B856,'Master Database'!$A$5:$A$600,0)),"(row not found)"))</f>
        <v/>
      </c>
      <c r="D856" s="33" t="str">
        <f>IF(B856="","",IFERROR(INDEX('Master Database'!$B$5:$B$600,MATCH(B856,'Master Database'!$A$5:$A$600,0)),"(row not found)"))</f>
        <v/>
      </c>
      <c r="E856" s="30"/>
      <c r="F856" s="33" t="str">
        <f>IF(E856="","",IFERROR(INDEX(Vendor_Register!$B$5:$B$205,MATCH(E856,Vendor_Register!$A$5:$A$205,0)),"(not in register)"))</f>
        <v/>
      </c>
      <c r="G856" s="33" t="str">
        <f>IF(E856="","",IFERROR(INDEX(Vendor_Register!$E$5:$E$205,MATCH(E856,Vendor_Register!$A$5:$A$205,0)),"(not in register)"))</f>
        <v/>
      </c>
      <c r="H856" s="30"/>
      <c r="I856" s="30"/>
      <c r="J856" s="30"/>
      <c r="K856" s="30"/>
      <c r="L856" s="30"/>
      <c r="M856" s="34"/>
      <c r="N856" s="30"/>
      <c r="O856" s="35" t="str">
        <f>IF(NOT(ISNUMBER(M856)),"",IFERROR(IF(L856="EUR",M856,IF(L856="IRR",M856/INDEX('Assumptions &amp; FX Reference'!$C$5:$C$25,MATCH(H856,'Assumptions &amp; FX Reference'!$A$5:$A$25,0)),IF(L856="USD",M856*INDEX('Assumptions &amp; FX Reference'!$B$5:$B$25,MATCH(H856,'Assumptions &amp; FX Reference'!$A$5:$A$25,0))/INDEX('Assumptions &amp; FX Reference'!$C$5:$C$25,MATCH(H856,'Assumptions &amp; FX Reference'!$A$5:$A$25,0)),""))),"(FX missing)"))</f>
        <v/>
      </c>
      <c r="P856" s="30"/>
      <c r="Q856" s="30"/>
      <c r="R856" s="30"/>
      <c r="S856" s="30"/>
      <c r="T856" s="30"/>
      <c r="U856" s="30"/>
      <c r="V856" s="30"/>
    </row>
    <row r="857" spans="1:22">
      <c r="A857" s="30"/>
      <c r="B857" s="30"/>
      <c r="C857" s="33" t="str">
        <f>IF(B857="","",IFERROR(INDEX('Master Database'!$D$5:$D$600,MATCH(B857,'Master Database'!$A$5:$A$600,0)),"(row not found)"))</f>
        <v/>
      </c>
      <c r="D857" s="33" t="str">
        <f>IF(B857="","",IFERROR(INDEX('Master Database'!$B$5:$B$600,MATCH(B857,'Master Database'!$A$5:$A$600,0)),"(row not found)"))</f>
        <v/>
      </c>
      <c r="E857" s="30"/>
      <c r="F857" s="33" t="str">
        <f>IF(E857="","",IFERROR(INDEX(Vendor_Register!$B$5:$B$205,MATCH(E857,Vendor_Register!$A$5:$A$205,0)),"(not in register)"))</f>
        <v/>
      </c>
      <c r="G857" s="33" t="str">
        <f>IF(E857="","",IFERROR(INDEX(Vendor_Register!$E$5:$E$205,MATCH(E857,Vendor_Register!$A$5:$A$205,0)),"(not in register)"))</f>
        <v/>
      </c>
      <c r="H857" s="30"/>
      <c r="I857" s="30"/>
      <c r="J857" s="30"/>
      <c r="K857" s="30"/>
      <c r="L857" s="30"/>
      <c r="M857" s="34"/>
      <c r="N857" s="30"/>
      <c r="O857" s="35" t="str">
        <f>IF(NOT(ISNUMBER(M857)),"",IFERROR(IF(L857="EUR",M857,IF(L857="IRR",M857/INDEX('Assumptions &amp; FX Reference'!$C$5:$C$25,MATCH(H857,'Assumptions &amp; FX Reference'!$A$5:$A$25,0)),IF(L857="USD",M857*INDEX('Assumptions &amp; FX Reference'!$B$5:$B$25,MATCH(H857,'Assumptions &amp; FX Reference'!$A$5:$A$25,0))/INDEX('Assumptions &amp; FX Reference'!$C$5:$C$25,MATCH(H857,'Assumptions &amp; FX Reference'!$A$5:$A$25,0)),""))),"(FX missing)"))</f>
        <v/>
      </c>
      <c r="P857" s="30"/>
      <c r="Q857" s="30"/>
      <c r="R857" s="30"/>
      <c r="S857" s="30"/>
      <c r="T857" s="30"/>
      <c r="U857" s="30"/>
      <c r="V857" s="30"/>
    </row>
    <row r="858" spans="1:22">
      <c r="A858" s="30"/>
      <c r="B858" s="30"/>
      <c r="C858" s="33" t="str">
        <f>IF(B858="","",IFERROR(INDEX('Master Database'!$D$5:$D$600,MATCH(B858,'Master Database'!$A$5:$A$600,0)),"(row not found)"))</f>
        <v/>
      </c>
      <c r="D858" s="33" t="str">
        <f>IF(B858="","",IFERROR(INDEX('Master Database'!$B$5:$B$600,MATCH(B858,'Master Database'!$A$5:$A$600,0)),"(row not found)"))</f>
        <v/>
      </c>
      <c r="E858" s="30"/>
      <c r="F858" s="33" t="str">
        <f>IF(E858="","",IFERROR(INDEX(Vendor_Register!$B$5:$B$205,MATCH(E858,Vendor_Register!$A$5:$A$205,0)),"(not in register)"))</f>
        <v/>
      </c>
      <c r="G858" s="33" t="str">
        <f>IF(E858="","",IFERROR(INDEX(Vendor_Register!$E$5:$E$205,MATCH(E858,Vendor_Register!$A$5:$A$205,0)),"(not in register)"))</f>
        <v/>
      </c>
      <c r="H858" s="30"/>
      <c r="I858" s="30"/>
      <c r="J858" s="30"/>
      <c r="K858" s="30"/>
      <c r="L858" s="30"/>
      <c r="M858" s="34"/>
      <c r="N858" s="30"/>
      <c r="O858" s="35" t="str">
        <f>IF(NOT(ISNUMBER(M858)),"",IFERROR(IF(L858="EUR",M858,IF(L858="IRR",M858/INDEX('Assumptions &amp; FX Reference'!$C$5:$C$25,MATCH(H858,'Assumptions &amp; FX Reference'!$A$5:$A$25,0)),IF(L858="USD",M858*INDEX('Assumptions &amp; FX Reference'!$B$5:$B$25,MATCH(H858,'Assumptions &amp; FX Reference'!$A$5:$A$25,0))/INDEX('Assumptions &amp; FX Reference'!$C$5:$C$25,MATCH(H858,'Assumptions &amp; FX Reference'!$A$5:$A$25,0)),""))),"(FX missing)"))</f>
        <v/>
      </c>
      <c r="P858" s="30"/>
      <c r="Q858" s="30"/>
      <c r="R858" s="30"/>
      <c r="S858" s="30"/>
      <c r="T858" s="30"/>
      <c r="U858" s="30"/>
      <c r="V858" s="30"/>
    </row>
    <row r="859" spans="1:22">
      <c r="A859" s="30"/>
      <c r="B859" s="30"/>
      <c r="C859" s="33" t="str">
        <f>IF(B859="","",IFERROR(INDEX('Master Database'!$D$5:$D$600,MATCH(B859,'Master Database'!$A$5:$A$600,0)),"(row not found)"))</f>
        <v/>
      </c>
      <c r="D859" s="33" t="str">
        <f>IF(B859="","",IFERROR(INDEX('Master Database'!$B$5:$B$600,MATCH(B859,'Master Database'!$A$5:$A$600,0)),"(row not found)"))</f>
        <v/>
      </c>
      <c r="E859" s="30"/>
      <c r="F859" s="33" t="str">
        <f>IF(E859="","",IFERROR(INDEX(Vendor_Register!$B$5:$B$205,MATCH(E859,Vendor_Register!$A$5:$A$205,0)),"(not in register)"))</f>
        <v/>
      </c>
      <c r="G859" s="33" t="str">
        <f>IF(E859="","",IFERROR(INDEX(Vendor_Register!$E$5:$E$205,MATCH(E859,Vendor_Register!$A$5:$A$205,0)),"(not in register)"))</f>
        <v/>
      </c>
      <c r="H859" s="30"/>
      <c r="I859" s="30"/>
      <c r="J859" s="30"/>
      <c r="K859" s="30"/>
      <c r="L859" s="30"/>
      <c r="M859" s="34"/>
      <c r="N859" s="30"/>
      <c r="O859" s="35" t="str">
        <f>IF(NOT(ISNUMBER(M859)),"",IFERROR(IF(L859="EUR",M859,IF(L859="IRR",M859/INDEX('Assumptions &amp; FX Reference'!$C$5:$C$25,MATCH(H859,'Assumptions &amp; FX Reference'!$A$5:$A$25,0)),IF(L859="USD",M859*INDEX('Assumptions &amp; FX Reference'!$B$5:$B$25,MATCH(H859,'Assumptions &amp; FX Reference'!$A$5:$A$25,0))/INDEX('Assumptions &amp; FX Reference'!$C$5:$C$25,MATCH(H859,'Assumptions &amp; FX Reference'!$A$5:$A$25,0)),""))),"(FX missing)"))</f>
        <v/>
      </c>
      <c r="P859" s="30"/>
      <c r="Q859" s="30"/>
      <c r="R859" s="30"/>
      <c r="S859" s="30"/>
      <c r="T859" s="30"/>
      <c r="U859" s="30"/>
      <c r="V859" s="30"/>
    </row>
    <row r="860" spans="1:22">
      <c r="A860" s="30"/>
      <c r="B860" s="30"/>
      <c r="C860" s="33" t="str">
        <f>IF(B860="","",IFERROR(INDEX('Master Database'!$D$5:$D$600,MATCH(B860,'Master Database'!$A$5:$A$600,0)),"(row not found)"))</f>
        <v/>
      </c>
      <c r="D860" s="33" t="str">
        <f>IF(B860="","",IFERROR(INDEX('Master Database'!$B$5:$B$600,MATCH(B860,'Master Database'!$A$5:$A$600,0)),"(row not found)"))</f>
        <v/>
      </c>
      <c r="E860" s="30"/>
      <c r="F860" s="33" t="str">
        <f>IF(E860="","",IFERROR(INDEX(Vendor_Register!$B$5:$B$205,MATCH(E860,Vendor_Register!$A$5:$A$205,0)),"(not in register)"))</f>
        <v/>
      </c>
      <c r="G860" s="33" t="str">
        <f>IF(E860="","",IFERROR(INDEX(Vendor_Register!$E$5:$E$205,MATCH(E860,Vendor_Register!$A$5:$A$205,0)),"(not in register)"))</f>
        <v/>
      </c>
      <c r="H860" s="30"/>
      <c r="I860" s="30"/>
      <c r="J860" s="30"/>
      <c r="K860" s="30"/>
      <c r="L860" s="30"/>
      <c r="M860" s="34"/>
      <c r="N860" s="30"/>
      <c r="O860" s="35" t="str">
        <f>IF(NOT(ISNUMBER(M860)),"",IFERROR(IF(L860="EUR",M860,IF(L860="IRR",M860/INDEX('Assumptions &amp; FX Reference'!$C$5:$C$25,MATCH(H860,'Assumptions &amp; FX Reference'!$A$5:$A$25,0)),IF(L860="USD",M860*INDEX('Assumptions &amp; FX Reference'!$B$5:$B$25,MATCH(H860,'Assumptions &amp; FX Reference'!$A$5:$A$25,0))/INDEX('Assumptions &amp; FX Reference'!$C$5:$C$25,MATCH(H860,'Assumptions &amp; FX Reference'!$A$5:$A$25,0)),""))),"(FX missing)"))</f>
        <v/>
      </c>
      <c r="P860" s="30"/>
      <c r="Q860" s="30"/>
      <c r="R860" s="30"/>
      <c r="S860" s="30"/>
      <c r="T860" s="30"/>
      <c r="U860" s="30"/>
      <c r="V860" s="30"/>
    </row>
    <row r="861" spans="1:22">
      <c r="A861" s="30"/>
      <c r="B861" s="30"/>
      <c r="C861" s="33" t="str">
        <f>IF(B861="","",IFERROR(INDEX('Master Database'!$D$5:$D$600,MATCH(B861,'Master Database'!$A$5:$A$600,0)),"(row not found)"))</f>
        <v/>
      </c>
      <c r="D861" s="33" t="str">
        <f>IF(B861="","",IFERROR(INDEX('Master Database'!$B$5:$B$600,MATCH(B861,'Master Database'!$A$5:$A$600,0)),"(row not found)"))</f>
        <v/>
      </c>
      <c r="E861" s="30"/>
      <c r="F861" s="33" t="str">
        <f>IF(E861="","",IFERROR(INDEX(Vendor_Register!$B$5:$B$205,MATCH(E861,Vendor_Register!$A$5:$A$205,0)),"(not in register)"))</f>
        <v/>
      </c>
      <c r="G861" s="33" t="str">
        <f>IF(E861="","",IFERROR(INDEX(Vendor_Register!$E$5:$E$205,MATCH(E861,Vendor_Register!$A$5:$A$205,0)),"(not in register)"))</f>
        <v/>
      </c>
      <c r="H861" s="30"/>
      <c r="I861" s="30"/>
      <c r="J861" s="30"/>
      <c r="K861" s="30"/>
      <c r="L861" s="30"/>
      <c r="M861" s="34"/>
      <c r="N861" s="30"/>
      <c r="O861" s="35" t="str">
        <f>IF(NOT(ISNUMBER(M861)),"",IFERROR(IF(L861="EUR",M861,IF(L861="IRR",M861/INDEX('Assumptions &amp; FX Reference'!$C$5:$C$25,MATCH(H861,'Assumptions &amp; FX Reference'!$A$5:$A$25,0)),IF(L861="USD",M861*INDEX('Assumptions &amp; FX Reference'!$B$5:$B$25,MATCH(H861,'Assumptions &amp; FX Reference'!$A$5:$A$25,0))/INDEX('Assumptions &amp; FX Reference'!$C$5:$C$25,MATCH(H861,'Assumptions &amp; FX Reference'!$A$5:$A$25,0)),""))),"(FX missing)"))</f>
        <v/>
      </c>
      <c r="P861" s="30"/>
      <c r="Q861" s="30"/>
      <c r="R861" s="30"/>
      <c r="S861" s="30"/>
      <c r="T861" s="30"/>
      <c r="U861" s="30"/>
      <c r="V861" s="30"/>
    </row>
    <row r="862" spans="1:22">
      <c r="A862" s="30"/>
      <c r="B862" s="30"/>
      <c r="C862" s="33" t="str">
        <f>IF(B862="","",IFERROR(INDEX('Master Database'!$D$5:$D$600,MATCH(B862,'Master Database'!$A$5:$A$600,0)),"(row not found)"))</f>
        <v/>
      </c>
      <c r="D862" s="33" t="str">
        <f>IF(B862="","",IFERROR(INDEX('Master Database'!$B$5:$B$600,MATCH(B862,'Master Database'!$A$5:$A$600,0)),"(row not found)"))</f>
        <v/>
      </c>
      <c r="E862" s="30"/>
      <c r="F862" s="33" t="str">
        <f>IF(E862="","",IFERROR(INDEX(Vendor_Register!$B$5:$B$205,MATCH(E862,Vendor_Register!$A$5:$A$205,0)),"(not in register)"))</f>
        <v/>
      </c>
      <c r="G862" s="33" t="str">
        <f>IF(E862="","",IFERROR(INDEX(Vendor_Register!$E$5:$E$205,MATCH(E862,Vendor_Register!$A$5:$A$205,0)),"(not in register)"))</f>
        <v/>
      </c>
      <c r="H862" s="30"/>
      <c r="I862" s="30"/>
      <c r="J862" s="30"/>
      <c r="K862" s="30"/>
      <c r="L862" s="30"/>
      <c r="M862" s="34"/>
      <c r="N862" s="30"/>
      <c r="O862" s="35" t="str">
        <f>IF(NOT(ISNUMBER(M862)),"",IFERROR(IF(L862="EUR",M862,IF(L862="IRR",M862/INDEX('Assumptions &amp; FX Reference'!$C$5:$C$25,MATCH(H862,'Assumptions &amp; FX Reference'!$A$5:$A$25,0)),IF(L862="USD",M862*INDEX('Assumptions &amp; FX Reference'!$B$5:$B$25,MATCH(H862,'Assumptions &amp; FX Reference'!$A$5:$A$25,0))/INDEX('Assumptions &amp; FX Reference'!$C$5:$C$25,MATCH(H862,'Assumptions &amp; FX Reference'!$A$5:$A$25,0)),""))),"(FX missing)"))</f>
        <v/>
      </c>
      <c r="P862" s="30"/>
      <c r="Q862" s="30"/>
      <c r="R862" s="30"/>
      <c r="S862" s="30"/>
      <c r="T862" s="30"/>
      <c r="U862" s="30"/>
      <c r="V862" s="30"/>
    </row>
    <row r="863" spans="1:22">
      <c r="A863" s="30"/>
      <c r="B863" s="30"/>
      <c r="C863" s="33" t="str">
        <f>IF(B863="","",IFERROR(INDEX('Master Database'!$D$5:$D$600,MATCH(B863,'Master Database'!$A$5:$A$600,0)),"(row not found)"))</f>
        <v/>
      </c>
      <c r="D863" s="33" t="str">
        <f>IF(B863="","",IFERROR(INDEX('Master Database'!$B$5:$B$600,MATCH(B863,'Master Database'!$A$5:$A$600,0)),"(row not found)"))</f>
        <v/>
      </c>
      <c r="E863" s="30"/>
      <c r="F863" s="33" t="str">
        <f>IF(E863="","",IFERROR(INDEX(Vendor_Register!$B$5:$B$205,MATCH(E863,Vendor_Register!$A$5:$A$205,0)),"(not in register)"))</f>
        <v/>
      </c>
      <c r="G863" s="33" t="str">
        <f>IF(E863="","",IFERROR(INDEX(Vendor_Register!$E$5:$E$205,MATCH(E863,Vendor_Register!$A$5:$A$205,0)),"(not in register)"))</f>
        <v/>
      </c>
      <c r="H863" s="30"/>
      <c r="I863" s="30"/>
      <c r="J863" s="30"/>
      <c r="K863" s="30"/>
      <c r="L863" s="30"/>
      <c r="M863" s="34"/>
      <c r="N863" s="30"/>
      <c r="O863" s="35" t="str">
        <f>IF(NOT(ISNUMBER(M863)),"",IFERROR(IF(L863="EUR",M863,IF(L863="IRR",M863/INDEX('Assumptions &amp; FX Reference'!$C$5:$C$25,MATCH(H863,'Assumptions &amp; FX Reference'!$A$5:$A$25,0)),IF(L863="USD",M863*INDEX('Assumptions &amp; FX Reference'!$B$5:$B$25,MATCH(H863,'Assumptions &amp; FX Reference'!$A$5:$A$25,0))/INDEX('Assumptions &amp; FX Reference'!$C$5:$C$25,MATCH(H863,'Assumptions &amp; FX Reference'!$A$5:$A$25,0)),""))),"(FX missing)"))</f>
        <v/>
      </c>
      <c r="P863" s="30"/>
      <c r="Q863" s="30"/>
      <c r="R863" s="30"/>
      <c r="S863" s="30"/>
      <c r="T863" s="30"/>
      <c r="U863" s="30"/>
      <c r="V863" s="30"/>
    </row>
    <row r="864" spans="1:22">
      <c r="A864" s="30"/>
      <c r="B864" s="30"/>
      <c r="C864" s="33" t="str">
        <f>IF(B864="","",IFERROR(INDEX('Master Database'!$D$5:$D$600,MATCH(B864,'Master Database'!$A$5:$A$600,0)),"(row not found)"))</f>
        <v/>
      </c>
      <c r="D864" s="33" t="str">
        <f>IF(B864="","",IFERROR(INDEX('Master Database'!$B$5:$B$600,MATCH(B864,'Master Database'!$A$5:$A$600,0)),"(row not found)"))</f>
        <v/>
      </c>
      <c r="E864" s="30"/>
      <c r="F864" s="33" t="str">
        <f>IF(E864="","",IFERROR(INDEX(Vendor_Register!$B$5:$B$205,MATCH(E864,Vendor_Register!$A$5:$A$205,0)),"(not in register)"))</f>
        <v/>
      </c>
      <c r="G864" s="33" t="str">
        <f>IF(E864="","",IFERROR(INDEX(Vendor_Register!$E$5:$E$205,MATCH(E864,Vendor_Register!$A$5:$A$205,0)),"(not in register)"))</f>
        <v/>
      </c>
      <c r="H864" s="30"/>
      <c r="I864" s="30"/>
      <c r="J864" s="30"/>
      <c r="K864" s="30"/>
      <c r="L864" s="30"/>
      <c r="M864" s="34"/>
      <c r="N864" s="30"/>
      <c r="O864" s="35" t="str">
        <f>IF(NOT(ISNUMBER(M864)),"",IFERROR(IF(L864="EUR",M864,IF(L864="IRR",M864/INDEX('Assumptions &amp; FX Reference'!$C$5:$C$25,MATCH(H864,'Assumptions &amp; FX Reference'!$A$5:$A$25,0)),IF(L864="USD",M864*INDEX('Assumptions &amp; FX Reference'!$B$5:$B$25,MATCH(H864,'Assumptions &amp; FX Reference'!$A$5:$A$25,0))/INDEX('Assumptions &amp; FX Reference'!$C$5:$C$25,MATCH(H864,'Assumptions &amp; FX Reference'!$A$5:$A$25,0)),""))),"(FX missing)"))</f>
        <v/>
      </c>
      <c r="P864" s="30"/>
      <c r="Q864" s="30"/>
      <c r="R864" s="30"/>
      <c r="S864" s="30"/>
      <c r="T864" s="30"/>
      <c r="U864" s="30"/>
      <c r="V864" s="30"/>
    </row>
    <row r="865" spans="1:22">
      <c r="A865" s="30"/>
      <c r="B865" s="30"/>
      <c r="C865" s="33" t="str">
        <f>IF(B865="","",IFERROR(INDEX('Master Database'!$D$5:$D$600,MATCH(B865,'Master Database'!$A$5:$A$600,0)),"(row not found)"))</f>
        <v/>
      </c>
      <c r="D865" s="33" t="str">
        <f>IF(B865="","",IFERROR(INDEX('Master Database'!$B$5:$B$600,MATCH(B865,'Master Database'!$A$5:$A$600,0)),"(row not found)"))</f>
        <v/>
      </c>
      <c r="E865" s="30"/>
      <c r="F865" s="33" t="str">
        <f>IF(E865="","",IFERROR(INDEX(Vendor_Register!$B$5:$B$205,MATCH(E865,Vendor_Register!$A$5:$A$205,0)),"(not in register)"))</f>
        <v/>
      </c>
      <c r="G865" s="33" t="str">
        <f>IF(E865="","",IFERROR(INDEX(Vendor_Register!$E$5:$E$205,MATCH(E865,Vendor_Register!$A$5:$A$205,0)),"(not in register)"))</f>
        <v/>
      </c>
      <c r="H865" s="30"/>
      <c r="I865" s="30"/>
      <c r="J865" s="30"/>
      <c r="K865" s="30"/>
      <c r="L865" s="30"/>
      <c r="M865" s="34"/>
      <c r="N865" s="30"/>
      <c r="O865" s="35" t="str">
        <f>IF(NOT(ISNUMBER(M865)),"",IFERROR(IF(L865="EUR",M865,IF(L865="IRR",M865/INDEX('Assumptions &amp; FX Reference'!$C$5:$C$25,MATCH(H865,'Assumptions &amp; FX Reference'!$A$5:$A$25,0)),IF(L865="USD",M865*INDEX('Assumptions &amp; FX Reference'!$B$5:$B$25,MATCH(H865,'Assumptions &amp; FX Reference'!$A$5:$A$25,0))/INDEX('Assumptions &amp; FX Reference'!$C$5:$C$25,MATCH(H865,'Assumptions &amp; FX Reference'!$A$5:$A$25,0)),""))),"(FX missing)"))</f>
        <v/>
      </c>
      <c r="P865" s="30"/>
      <c r="Q865" s="30"/>
      <c r="R865" s="30"/>
      <c r="S865" s="30"/>
      <c r="T865" s="30"/>
      <c r="U865" s="30"/>
      <c r="V865" s="30"/>
    </row>
    <row r="866" spans="1:22">
      <c r="A866" s="30"/>
      <c r="B866" s="30"/>
      <c r="C866" s="33" t="str">
        <f>IF(B866="","",IFERROR(INDEX('Master Database'!$D$5:$D$600,MATCH(B866,'Master Database'!$A$5:$A$600,0)),"(row not found)"))</f>
        <v/>
      </c>
      <c r="D866" s="33" t="str">
        <f>IF(B866="","",IFERROR(INDEX('Master Database'!$B$5:$B$600,MATCH(B866,'Master Database'!$A$5:$A$600,0)),"(row not found)"))</f>
        <v/>
      </c>
      <c r="E866" s="30"/>
      <c r="F866" s="33" t="str">
        <f>IF(E866="","",IFERROR(INDEX(Vendor_Register!$B$5:$B$205,MATCH(E866,Vendor_Register!$A$5:$A$205,0)),"(not in register)"))</f>
        <v/>
      </c>
      <c r="G866" s="33" t="str">
        <f>IF(E866="","",IFERROR(INDEX(Vendor_Register!$E$5:$E$205,MATCH(E866,Vendor_Register!$A$5:$A$205,0)),"(not in register)"))</f>
        <v/>
      </c>
      <c r="H866" s="30"/>
      <c r="I866" s="30"/>
      <c r="J866" s="30"/>
      <c r="K866" s="30"/>
      <c r="L866" s="30"/>
      <c r="M866" s="34"/>
      <c r="N866" s="30"/>
      <c r="O866" s="35" t="str">
        <f>IF(NOT(ISNUMBER(M866)),"",IFERROR(IF(L866="EUR",M866,IF(L866="IRR",M866/INDEX('Assumptions &amp; FX Reference'!$C$5:$C$25,MATCH(H866,'Assumptions &amp; FX Reference'!$A$5:$A$25,0)),IF(L866="USD",M866*INDEX('Assumptions &amp; FX Reference'!$B$5:$B$25,MATCH(H866,'Assumptions &amp; FX Reference'!$A$5:$A$25,0))/INDEX('Assumptions &amp; FX Reference'!$C$5:$C$25,MATCH(H866,'Assumptions &amp; FX Reference'!$A$5:$A$25,0)),""))),"(FX missing)"))</f>
        <v/>
      </c>
      <c r="P866" s="30"/>
      <c r="Q866" s="30"/>
      <c r="R866" s="30"/>
      <c r="S866" s="30"/>
      <c r="T866" s="30"/>
      <c r="U866" s="30"/>
      <c r="V866" s="30"/>
    </row>
    <row r="867" spans="1:22">
      <c r="A867" s="30"/>
      <c r="B867" s="30"/>
      <c r="C867" s="33" t="str">
        <f>IF(B867="","",IFERROR(INDEX('Master Database'!$D$5:$D$600,MATCH(B867,'Master Database'!$A$5:$A$600,0)),"(row not found)"))</f>
        <v/>
      </c>
      <c r="D867" s="33" t="str">
        <f>IF(B867="","",IFERROR(INDEX('Master Database'!$B$5:$B$600,MATCH(B867,'Master Database'!$A$5:$A$600,0)),"(row not found)"))</f>
        <v/>
      </c>
      <c r="E867" s="30"/>
      <c r="F867" s="33" t="str">
        <f>IF(E867="","",IFERROR(INDEX(Vendor_Register!$B$5:$B$205,MATCH(E867,Vendor_Register!$A$5:$A$205,0)),"(not in register)"))</f>
        <v/>
      </c>
      <c r="G867" s="33" t="str">
        <f>IF(E867="","",IFERROR(INDEX(Vendor_Register!$E$5:$E$205,MATCH(E867,Vendor_Register!$A$5:$A$205,0)),"(not in register)"))</f>
        <v/>
      </c>
      <c r="H867" s="30"/>
      <c r="I867" s="30"/>
      <c r="J867" s="30"/>
      <c r="K867" s="30"/>
      <c r="L867" s="30"/>
      <c r="M867" s="34"/>
      <c r="N867" s="30"/>
      <c r="O867" s="35" t="str">
        <f>IF(NOT(ISNUMBER(M867)),"",IFERROR(IF(L867="EUR",M867,IF(L867="IRR",M867/INDEX('Assumptions &amp; FX Reference'!$C$5:$C$25,MATCH(H867,'Assumptions &amp; FX Reference'!$A$5:$A$25,0)),IF(L867="USD",M867*INDEX('Assumptions &amp; FX Reference'!$B$5:$B$25,MATCH(H867,'Assumptions &amp; FX Reference'!$A$5:$A$25,0))/INDEX('Assumptions &amp; FX Reference'!$C$5:$C$25,MATCH(H867,'Assumptions &amp; FX Reference'!$A$5:$A$25,0)),""))),"(FX missing)"))</f>
        <v/>
      </c>
      <c r="P867" s="30"/>
      <c r="Q867" s="30"/>
      <c r="R867" s="30"/>
      <c r="S867" s="30"/>
      <c r="T867" s="30"/>
      <c r="U867" s="30"/>
      <c r="V867" s="30"/>
    </row>
    <row r="868" spans="1:22">
      <c r="A868" s="30"/>
      <c r="B868" s="30"/>
      <c r="C868" s="33" t="str">
        <f>IF(B868="","",IFERROR(INDEX('Master Database'!$D$5:$D$600,MATCH(B868,'Master Database'!$A$5:$A$600,0)),"(row not found)"))</f>
        <v/>
      </c>
      <c r="D868" s="33" t="str">
        <f>IF(B868="","",IFERROR(INDEX('Master Database'!$B$5:$B$600,MATCH(B868,'Master Database'!$A$5:$A$600,0)),"(row not found)"))</f>
        <v/>
      </c>
      <c r="E868" s="30"/>
      <c r="F868" s="33" t="str">
        <f>IF(E868="","",IFERROR(INDEX(Vendor_Register!$B$5:$B$205,MATCH(E868,Vendor_Register!$A$5:$A$205,0)),"(not in register)"))</f>
        <v/>
      </c>
      <c r="G868" s="33" t="str">
        <f>IF(E868="","",IFERROR(INDEX(Vendor_Register!$E$5:$E$205,MATCH(E868,Vendor_Register!$A$5:$A$205,0)),"(not in register)"))</f>
        <v/>
      </c>
      <c r="H868" s="30"/>
      <c r="I868" s="30"/>
      <c r="J868" s="30"/>
      <c r="K868" s="30"/>
      <c r="L868" s="30"/>
      <c r="M868" s="34"/>
      <c r="N868" s="30"/>
      <c r="O868" s="35" t="str">
        <f>IF(NOT(ISNUMBER(M868)),"",IFERROR(IF(L868="EUR",M868,IF(L868="IRR",M868/INDEX('Assumptions &amp; FX Reference'!$C$5:$C$25,MATCH(H868,'Assumptions &amp; FX Reference'!$A$5:$A$25,0)),IF(L868="USD",M868*INDEX('Assumptions &amp; FX Reference'!$B$5:$B$25,MATCH(H868,'Assumptions &amp; FX Reference'!$A$5:$A$25,0))/INDEX('Assumptions &amp; FX Reference'!$C$5:$C$25,MATCH(H868,'Assumptions &amp; FX Reference'!$A$5:$A$25,0)),""))),"(FX missing)"))</f>
        <v/>
      </c>
      <c r="P868" s="30"/>
      <c r="Q868" s="30"/>
      <c r="R868" s="30"/>
      <c r="S868" s="30"/>
      <c r="T868" s="30"/>
      <c r="U868" s="30"/>
      <c r="V868" s="30"/>
    </row>
    <row r="869" spans="1:22">
      <c r="A869" s="30"/>
      <c r="B869" s="30"/>
      <c r="C869" s="33" t="str">
        <f>IF(B869="","",IFERROR(INDEX('Master Database'!$D$5:$D$600,MATCH(B869,'Master Database'!$A$5:$A$600,0)),"(row not found)"))</f>
        <v/>
      </c>
      <c r="D869" s="33" t="str">
        <f>IF(B869="","",IFERROR(INDEX('Master Database'!$B$5:$B$600,MATCH(B869,'Master Database'!$A$5:$A$600,0)),"(row not found)"))</f>
        <v/>
      </c>
      <c r="E869" s="30"/>
      <c r="F869" s="33" t="str">
        <f>IF(E869="","",IFERROR(INDEX(Vendor_Register!$B$5:$B$205,MATCH(E869,Vendor_Register!$A$5:$A$205,0)),"(not in register)"))</f>
        <v/>
      </c>
      <c r="G869" s="33" t="str">
        <f>IF(E869="","",IFERROR(INDEX(Vendor_Register!$E$5:$E$205,MATCH(E869,Vendor_Register!$A$5:$A$205,0)),"(not in register)"))</f>
        <v/>
      </c>
      <c r="H869" s="30"/>
      <c r="I869" s="30"/>
      <c r="J869" s="30"/>
      <c r="K869" s="30"/>
      <c r="L869" s="30"/>
      <c r="M869" s="34"/>
      <c r="N869" s="30"/>
      <c r="O869" s="35" t="str">
        <f>IF(NOT(ISNUMBER(M869)),"",IFERROR(IF(L869="EUR",M869,IF(L869="IRR",M869/INDEX('Assumptions &amp; FX Reference'!$C$5:$C$25,MATCH(H869,'Assumptions &amp; FX Reference'!$A$5:$A$25,0)),IF(L869="USD",M869*INDEX('Assumptions &amp; FX Reference'!$B$5:$B$25,MATCH(H869,'Assumptions &amp; FX Reference'!$A$5:$A$25,0))/INDEX('Assumptions &amp; FX Reference'!$C$5:$C$25,MATCH(H869,'Assumptions &amp; FX Reference'!$A$5:$A$25,0)),""))),"(FX missing)"))</f>
        <v/>
      </c>
      <c r="P869" s="30"/>
      <c r="Q869" s="30"/>
      <c r="R869" s="30"/>
      <c r="S869" s="30"/>
      <c r="T869" s="30"/>
      <c r="U869" s="30"/>
      <c r="V869" s="30"/>
    </row>
    <row r="870" spans="1:22">
      <c r="A870" s="30"/>
      <c r="B870" s="30"/>
      <c r="C870" s="33" t="str">
        <f>IF(B870="","",IFERROR(INDEX('Master Database'!$D$5:$D$600,MATCH(B870,'Master Database'!$A$5:$A$600,0)),"(row not found)"))</f>
        <v/>
      </c>
      <c r="D870" s="33" t="str">
        <f>IF(B870="","",IFERROR(INDEX('Master Database'!$B$5:$B$600,MATCH(B870,'Master Database'!$A$5:$A$600,0)),"(row not found)"))</f>
        <v/>
      </c>
      <c r="E870" s="30"/>
      <c r="F870" s="33" t="str">
        <f>IF(E870="","",IFERROR(INDEX(Vendor_Register!$B$5:$B$205,MATCH(E870,Vendor_Register!$A$5:$A$205,0)),"(not in register)"))</f>
        <v/>
      </c>
      <c r="G870" s="33" t="str">
        <f>IF(E870="","",IFERROR(INDEX(Vendor_Register!$E$5:$E$205,MATCH(E870,Vendor_Register!$A$5:$A$205,0)),"(not in register)"))</f>
        <v/>
      </c>
      <c r="H870" s="30"/>
      <c r="I870" s="30"/>
      <c r="J870" s="30"/>
      <c r="K870" s="30"/>
      <c r="L870" s="30"/>
      <c r="M870" s="34"/>
      <c r="N870" s="30"/>
      <c r="O870" s="35" t="str">
        <f>IF(NOT(ISNUMBER(M870)),"",IFERROR(IF(L870="EUR",M870,IF(L870="IRR",M870/INDEX('Assumptions &amp; FX Reference'!$C$5:$C$25,MATCH(H870,'Assumptions &amp; FX Reference'!$A$5:$A$25,0)),IF(L870="USD",M870*INDEX('Assumptions &amp; FX Reference'!$B$5:$B$25,MATCH(H870,'Assumptions &amp; FX Reference'!$A$5:$A$25,0))/INDEX('Assumptions &amp; FX Reference'!$C$5:$C$25,MATCH(H870,'Assumptions &amp; FX Reference'!$A$5:$A$25,0)),""))),"(FX missing)"))</f>
        <v/>
      </c>
      <c r="P870" s="30"/>
      <c r="Q870" s="30"/>
      <c r="R870" s="30"/>
      <c r="S870" s="30"/>
      <c r="T870" s="30"/>
      <c r="U870" s="30"/>
      <c r="V870" s="30"/>
    </row>
    <row r="871" spans="1:22">
      <c r="A871" s="30"/>
      <c r="B871" s="30"/>
      <c r="C871" s="33" t="str">
        <f>IF(B871="","",IFERROR(INDEX('Master Database'!$D$5:$D$600,MATCH(B871,'Master Database'!$A$5:$A$600,0)),"(row not found)"))</f>
        <v/>
      </c>
      <c r="D871" s="33" t="str">
        <f>IF(B871="","",IFERROR(INDEX('Master Database'!$B$5:$B$600,MATCH(B871,'Master Database'!$A$5:$A$600,0)),"(row not found)"))</f>
        <v/>
      </c>
      <c r="E871" s="30"/>
      <c r="F871" s="33" t="str">
        <f>IF(E871="","",IFERROR(INDEX(Vendor_Register!$B$5:$B$205,MATCH(E871,Vendor_Register!$A$5:$A$205,0)),"(not in register)"))</f>
        <v/>
      </c>
      <c r="G871" s="33" t="str">
        <f>IF(E871="","",IFERROR(INDEX(Vendor_Register!$E$5:$E$205,MATCH(E871,Vendor_Register!$A$5:$A$205,0)),"(not in register)"))</f>
        <v/>
      </c>
      <c r="H871" s="30"/>
      <c r="I871" s="30"/>
      <c r="J871" s="30"/>
      <c r="K871" s="30"/>
      <c r="L871" s="30"/>
      <c r="M871" s="34"/>
      <c r="N871" s="30"/>
      <c r="O871" s="35" t="str">
        <f>IF(NOT(ISNUMBER(M871)),"",IFERROR(IF(L871="EUR",M871,IF(L871="IRR",M871/INDEX('Assumptions &amp; FX Reference'!$C$5:$C$25,MATCH(H871,'Assumptions &amp; FX Reference'!$A$5:$A$25,0)),IF(L871="USD",M871*INDEX('Assumptions &amp; FX Reference'!$B$5:$B$25,MATCH(H871,'Assumptions &amp; FX Reference'!$A$5:$A$25,0))/INDEX('Assumptions &amp; FX Reference'!$C$5:$C$25,MATCH(H871,'Assumptions &amp; FX Reference'!$A$5:$A$25,0)),""))),"(FX missing)"))</f>
        <v/>
      </c>
      <c r="P871" s="30"/>
      <c r="Q871" s="30"/>
      <c r="R871" s="30"/>
      <c r="S871" s="30"/>
      <c r="T871" s="30"/>
      <c r="U871" s="30"/>
      <c r="V871" s="30"/>
    </row>
    <row r="872" spans="1:22">
      <c r="A872" s="30"/>
      <c r="B872" s="30"/>
      <c r="C872" s="33" t="str">
        <f>IF(B872="","",IFERROR(INDEX('Master Database'!$D$5:$D$600,MATCH(B872,'Master Database'!$A$5:$A$600,0)),"(row not found)"))</f>
        <v/>
      </c>
      <c r="D872" s="33" t="str">
        <f>IF(B872="","",IFERROR(INDEX('Master Database'!$B$5:$B$600,MATCH(B872,'Master Database'!$A$5:$A$600,0)),"(row not found)"))</f>
        <v/>
      </c>
      <c r="E872" s="30"/>
      <c r="F872" s="33" t="str">
        <f>IF(E872="","",IFERROR(INDEX(Vendor_Register!$B$5:$B$205,MATCH(E872,Vendor_Register!$A$5:$A$205,0)),"(not in register)"))</f>
        <v/>
      </c>
      <c r="G872" s="33" t="str">
        <f>IF(E872="","",IFERROR(INDEX(Vendor_Register!$E$5:$E$205,MATCH(E872,Vendor_Register!$A$5:$A$205,0)),"(not in register)"))</f>
        <v/>
      </c>
      <c r="H872" s="30"/>
      <c r="I872" s="30"/>
      <c r="J872" s="30"/>
      <c r="K872" s="30"/>
      <c r="L872" s="30"/>
      <c r="M872" s="34"/>
      <c r="N872" s="30"/>
      <c r="O872" s="35" t="str">
        <f>IF(NOT(ISNUMBER(M872)),"",IFERROR(IF(L872="EUR",M872,IF(L872="IRR",M872/INDEX('Assumptions &amp; FX Reference'!$C$5:$C$25,MATCH(H872,'Assumptions &amp; FX Reference'!$A$5:$A$25,0)),IF(L872="USD",M872*INDEX('Assumptions &amp; FX Reference'!$B$5:$B$25,MATCH(H872,'Assumptions &amp; FX Reference'!$A$5:$A$25,0))/INDEX('Assumptions &amp; FX Reference'!$C$5:$C$25,MATCH(H872,'Assumptions &amp; FX Reference'!$A$5:$A$25,0)),""))),"(FX missing)"))</f>
        <v/>
      </c>
      <c r="P872" s="30"/>
      <c r="Q872" s="30"/>
      <c r="R872" s="30"/>
      <c r="S872" s="30"/>
      <c r="T872" s="30"/>
      <c r="U872" s="30"/>
      <c r="V872" s="30"/>
    </row>
    <row r="873" spans="1:22">
      <c r="A873" s="30"/>
      <c r="B873" s="30"/>
      <c r="C873" s="33" t="str">
        <f>IF(B873="","",IFERROR(INDEX('Master Database'!$D$5:$D$600,MATCH(B873,'Master Database'!$A$5:$A$600,0)),"(row not found)"))</f>
        <v/>
      </c>
      <c r="D873" s="33" t="str">
        <f>IF(B873="","",IFERROR(INDEX('Master Database'!$B$5:$B$600,MATCH(B873,'Master Database'!$A$5:$A$600,0)),"(row not found)"))</f>
        <v/>
      </c>
      <c r="E873" s="30"/>
      <c r="F873" s="33" t="str">
        <f>IF(E873="","",IFERROR(INDEX(Vendor_Register!$B$5:$B$205,MATCH(E873,Vendor_Register!$A$5:$A$205,0)),"(not in register)"))</f>
        <v/>
      </c>
      <c r="G873" s="33" t="str">
        <f>IF(E873="","",IFERROR(INDEX(Vendor_Register!$E$5:$E$205,MATCH(E873,Vendor_Register!$A$5:$A$205,0)),"(not in register)"))</f>
        <v/>
      </c>
      <c r="H873" s="30"/>
      <c r="I873" s="30"/>
      <c r="J873" s="30"/>
      <c r="K873" s="30"/>
      <c r="L873" s="30"/>
      <c r="M873" s="34"/>
      <c r="N873" s="30"/>
      <c r="O873" s="35" t="str">
        <f>IF(NOT(ISNUMBER(M873)),"",IFERROR(IF(L873="EUR",M873,IF(L873="IRR",M873/INDEX('Assumptions &amp; FX Reference'!$C$5:$C$25,MATCH(H873,'Assumptions &amp; FX Reference'!$A$5:$A$25,0)),IF(L873="USD",M873*INDEX('Assumptions &amp; FX Reference'!$B$5:$B$25,MATCH(H873,'Assumptions &amp; FX Reference'!$A$5:$A$25,0))/INDEX('Assumptions &amp; FX Reference'!$C$5:$C$25,MATCH(H873,'Assumptions &amp; FX Reference'!$A$5:$A$25,0)),""))),"(FX missing)"))</f>
        <v/>
      </c>
      <c r="P873" s="30"/>
      <c r="Q873" s="30"/>
      <c r="R873" s="30"/>
      <c r="S873" s="30"/>
      <c r="T873" s="30"/>
      <c r="U873" s="30"/>
      <c r="V873" s="30"/>
    </row>
    <row r="874" spans="1:22">
      <c r="A874" s="30"/>
      <c r="B874" s="30"/>
      <c r="C874" s="33" t="str">
        <f>IF(B874="","",IFERROR(INDEX('Master Database'!$D$5:$D$600,MATCH(B874,'Master Database'!$A$5:$A$600,0)),"(row not found)"))</f>
        <v/>
      </c>
      <c r="D874" s="33" t="str">
        <f>IF(B874="","",IFERROR(INDEX('Master Database'!$B$5:$B$600,MATCH(B874,'Master Database'!$A$5:$A$600,0)),"(row not found)"))</f>
        <v/>
      </c>
      <c r="E874" s="30"/>
      <c r="F874" s="33" t="str">
        <f>IF(E874="","",IFERROR(INDEX(Vendor_Register!$B$5:$B$205,MATCH(E874,Vendor_Register!$A$5:$A$205,0)),"(not in register)"))</f>
        <v/>
      </c>
      <c r="G874" s="33" t="str">
        <f>IF(E874="","",IFERROR(INDEX(Vendor_Register!$E$5:$E$205,MATCH(E874,Vendor_Register!$A$5:$A$205,0)),"(not in register)"))</f>
        <v/>
      </c>
      <c r="H874" s="30"/>
      <c r="I874" s="30"/>
      <c r="J874" s="30"/>
      <c r="K874" s="30"/>
      <c r="L874" s="30"/>
      <c r="M874" s="34"/>
      <c r="N874" s="30"/>
      <c r="O874" s="35" t="str">
        <f>IF(NOT(ISNUMBER(M874)),"",IFERROR(IF(L874="EUR",M874,IF(L874="IRR",M874/INDEX('Assumptions &amp; FX Reference'!$C$5:$C$25,MATCH(H874,'Assumptions &amp; FX Reference'!$A$5:$A$25,0)),IF(L874="USD",M874*INDEX('Assumptions &amp; FX Reference'!$B$5:$B$25,MATCH(H874,'Assumptions &amp; FX Reference'!$A$5:$A$25,0))/INDEX('Assumptions &amp; FX Reference'!$C$5:$C$25,MATCH(H874,'Assumptions &amp; FX Reference'!$A$5:$A$25,0)),""))),"(FX missing)"))</f>
        <v/>
      </c>
      <c r="P874" s="30"/>
      <c r="Q874" s="30"/>
      <c r="R874" s="30"/>
      <c r="S874" s="30"/>
      <c r="T874" s="30"/>
      <c r="U874" s="30"/>
      <c r="V874" s="30"/>
    </row>
    <row r="875" spans="1:22">
      <c r="A875" s="30"/>
      <c r="B875" s="30"/>
      <c r="C875" s="33" t="str">
        <f>IF(B875="","",IFERROR(INDEX('Master Database'!$D$5:$D$600,MATCH(B875,'Master Database'!$A$5:$A$600,0)),"(row not found)"))</f>
        <v/>
      </c>
      <c r="D875" s="33" t="str">
        <f>IF(B875="","",IFERROR(INDEX('Master Database'!$B$5:$B$600,MATCH(B875,'Master Database'!$A$5:$A$600,0)),"(row not found)"))</f>
        <v/>
      </c>
      <c r="E875" s="30"/>
      <c r="F875" s="33" t="str">
        <f>IF(E875="","",IFERROR(INDEX(Vendor_Register!$B$5:$B$205,MATCH(E875,Vendor_Register!$A$5:$A$205,0)),"(not in register)"))</f>
        <v/>
      </c>
      <c r="G875" s="33" t="str">
        <f>IF(E875="","",IFERROR(INDEX(Vendor_Register!$E$5:$E$205,MATCH(E875,Vendor_Register!$A$5:$A$205,0)),"(not in register)"))</f>
        <v/>
      </c>
      <c r="H875" s="30"/>
      <c r="I875" s="30"/>
      <c r="J875" s="30"/>
      <c r="K875" s="30"/>
      <c r="L875" s="30"/>
      <c r="M875" s="34"/>
      <c r="N875" s="30"/>
      <c r="O875" s="35" t="str">
        <f>IF(NOT(ISNUMBER(M875)),"",IFERROR(IF(L875="EUR",M875,IF(L875="IRR",M875/INDEX('Assumptions &amp; FX Reference'!$C$5:$C$25,MATCH(H875,'Assumptions &amp; FX Reference'!$A$5:$A$25,0)),IF(L875="USD",M875*INDEX('Assumptions &amp; FX Reference'!$B$5:$B$25,MATCH(H875,'Assumptions &amp; FX Reference'!$A$5:$A$25,0))/INDEX('Assumptions &amp; FX Reference'!$C$5:$C$25,MATCH(H875,'Assumptions &amp; FX Reference'!$A$5:$A$25,0)),""))),"(FX missing)"))</f>
        <v/>
      </c>
      <c r="P875" s="30"/>
      <c r="Q875" s="30"/>
      <c r="R875" s="30"/>
      <c r="S875" s="30"/>
      <c r="T875" s="30"/>
      <c r="U875" s="30"/>
      <c r="V875" s="30"/>
    </row>
    <row r="876" spans="1:22">
      <c r="A876" s="30"/>
      <c r="B876" s="30"/>
      <c r="C876" s="33" t="str">
        <f>IF(B876="","",IFERROR(INDEX('Master Database'!$D$5:$D$600,MATCH(B876,'Master Database'!$A$5:$A$600,0)),"(row not found)"))</f>
        <v/>
      </c>
      <c r="D876" s="33" t="str">
        <f>IF(B876="","",IFERROR(INDEX('Master Database'!$B$5:$B$600,MATCH(B876,'Master Database'!$A$5:$A$600,0)),"(row not found)"))</f>
        <v/>
      </c>
      <c r="E876" s="30"/>
      <c r="F876" s="33" t="str">
        <f>IF(E876="","",IFERROR(INDEX(Vendor_Register!$B$5:$B$205,MATCH(E876,Vendor_Register!$A$5:$A$205,0)),"(not in register)"))</f>
        <v/>
      </c>
      <c r="G876" s="33" t="str">
        <f>IF(E876="","",IFERROR(INDEX(Vendor_Register!$E$5:$E$205,MATCH(E876,Vendor_Register!$A$5:$A$205,0)),"(not in register)"))</f>
        <v/>
      </c>
      <c r="H876" s="30"/>
      <c r="I876" s="30"/>
      <c r="J876" s="30"/>
      <c r="K876" s="30"/>
      <c r="L876" s="30"/>
      <c r="M876" s="34"/>
      <c r="N876" s="30"/>
      <c r="O876" s="35" t="str">
        <f>IF(NOT(ISNUMBER(M876)),"",IFERROR(IF(L876="EUR",M876,IF(L876="IRR",M876/INDEX('Assumptions &amp; FX Reference'!$C$5:$C$25,MATCH(H876,'Assumptions &amp; FX Reference'!$A$5:$A$25,0)),IF(L876="USD",M876*INDEX('Assumptions &amp; FX Reference'!$B$5:$B$25,MATCH(H876,'Assumptions &amp; FX Reference'!$A$5:$A$25,0))/INDEX('Assumptions &amp; FX Reference'!$C$5:$C$25,MATCH(H876,'Assumptions &amp; FX Reference'!$A$5:$A$25,0)),""))),"(FX missing)"))</f>
        <v/>
      </c>
      <c r="P876" s="30"/>
      <c r="Q876" s="30"/>
      <c r="R876" s="30"/>
      <c r="S876" s="30"/>
      <c r="T876" s="30"/>
      <c r="U876" s="30"/>
      <c r="V876" s="30"/>
    </row>
    <row r="877" spans="1:22">
      <c r="A877" s="30"/>
      <c r="B877" s="30"/>
      <c r="C877" s="33" t="str">
        <f>IF(B877="","",IFERROR(INDEX('Master Database'!$D$5:$D$600,MATCH(B877,'Master Database'!$A$5:$A$600,0)),"(row not found)"))</f>
        <v/>
      </c>
      <c r="D877" s="33" t="str">
        <f>IF(B877="","",IFERROR(INDEX('Master Database'!$B$5:$B$600,MATCH(B877,'Master Database'!$A$5:$A$600,0)),"(row not found)"))</f>
        <v/>
      </c>
      <c r="E877" s="30"/>
      <c r="F877" s="33" t="str">
        <f>IF(E877="","",IFERROR(INDEX(Vendor_Register!$B$5:$B$205,MATCH(E877,Vendor_Register!$A$5:$A$205,0)),"(not in register)"))</f>
        <v/>
      </c>
      <c r="G877" s="33" t="str">
        <f>IF(E877="","",IFERROR(INDEX(Vendor_Register!$E$5:$E$205,MATCH(E877,Vendor_Register!$A$5:$A$205,0)),"(not in register)"))</f>
        <v/>
      </c>
      <c r="H877" s="30"/>
      <c r="I877" s="30"/>
      <c r="J877" s="30"/>
      <c r="K877" s="30"/>
      <c r="L877" s="30"/>
      <c r="M877" s="34"/>
      <c r="N877" s="30"/>
      <c r="O877" s="35" t="str">
        <f>IF(NOT(ISNUMBER(M877)),"",IFERROR(IF(L877="EUR",M877,IF(L877="IRR",M877/INDEX('Assumptions &amp; FX Reference'!$C$5:$C$25,MATCH(H877,'Assumptions &amp; FX Reference'!$A$5:$A$25,0)),IF(L877="USD",M877*INDEX('Assumptions &amp; FX Reference'!$B$5:$B$25,MATCH(H877,'Assumptions &amp; FX Reference'!$A$5:$A$25,0))/INDEX('Assumptions &amp; FX Reference'!$C$5:$C$25,MATCH(H877,'Assumptions &amp; FX Reference'!$A$5:$A$25,0)),""))),"(FX missing)"))</f>
        <v/>
      </c>
      <c r="P877" s="30"/>
      <c r="Q877" s="30"/>
      <c r="R877" s="30"/>
      <c r="S877" s="30"/>
      <c r="T877" s="30"/>
      <c r="U877" s="30"/>
      <c r="V877" s="30"/>
    </row>
    <row r="878" spans="1:22">
      <c r="A878" s="30"/>
      <c r="B878" s="30"/>
      <c r="C878" s="33" t="str">
        <f>IF(B878="","",IFERROR(INDEX('Master Database'!$D$5:$D$600,MATCH(B878,'Master Database'!$A$5:$A$600,0)),"(row not found)"))</f>
        <v/>
      </c>
      <c r="D878" s="33" t="str">
        <f>IF(B878="","",IFERROR(INDEX('Master Database'!$B$5:$B$600,MATCH(B878,'Master Database'!$A$5:$A$600,0)),"(row not found)"))</f>
        <v/>
      </c>
      <c r="E878" s="30"/>
      <c r="F878" s="33" t="str">
        <f>IF(E878="","",IFERROR(INDEX(Vendor_Register!$B$5:$B$205,MATCH(E878,Vendor_Register!$A$5:$A$205,0)),"(not in register)"))</f>
        <v/>
      </c>
      <c r="G878" s="33" t="str">
        <f>IF(E878="","",IFERROR(INDEX(Vendor_Register!$E$5:$E$205,MATCH(E878,Vendor_Register!$A$5:$A$205,0)),"(not in register)"))</f>
        <v/>
      </c>
      <c r="H878" s="30"/>
      <c r="I878" s="30"/>
      <c r="J878" s="30"/>
      <c r="K878" s="30"/>
      <c r="L878" s="30"/>
      <c r="M878" s="34"/>
      <c r="N878" s="30"/>
      <c r="O878" s="35" t="str">
        <f>IF(NOT(ISNUMBER(M878)),"",IFERROR(IF(L878="EUR",M878,IF(L878="IRR",M878/INDEX('Assumptions &amp; FX Reference'!$C$5:$C$25,MATCH(H878,'Assumptions &amp; FX Reference'!$A$5:$A$25,0)),IF(L878="USD",M878*INDEX('Assumptions &amp; FX Reference'!$B$5:$B$25,MATCH(H878,'Assumptions &amp; FX Reference'!$A$5:$A$25,0))/INDEX('Assumptions &amp; FX Reference'!$C$5:$C$25,MATCH(H878,'Assumptions &amp; FX Reference'!$A$5:$A$25,0)),""))),"(FX missing)"))</f>
        <v/>
      </c>
      <c r="P878" s="30"/>
      <c r="Q878" s="30"/>
      <c r="R878" s="30"/>
      <c r="S878" s="30"/>
      <c r="T878" s="30"/>
      <c r="U878" s="30"/>
      <c r="V878" s="30"/>
    </row>
    <row r="879" spans="1:22">
      <c r="A879" s="30"/>
      <c r="B879" s="30"/>
      <c r="C879" s="33" t="str">
        <f>IF(B879="","",IFERROR(INDEX('Master Database'!$D$5:$D$600,MATCH(B879,'Master Database'!$A$5:$A$600,0)),"(row not found)"))</f>
        <v/>
      </c>
      <c r="D879" s="33" t="str">
        <f>IF(B879="","",IFERROR(INDEX('Master Database'!$B$5:$B$600,MATCH(B879,'Master Database'!$A$5:$A$600,0)),"(row not found)"))</f>
        <v/>
      </c>
      <c r="E879" s="30"/>
      <c r="F879" s="33" t="str">
        <f>IF(E879="","",IFERROR(INDEX(Vendor_Register!$B$5:$B$205,MATCH(E879,Vendor_Register!$A$5:$A$205,0)),"(not in register)"))</f>
        <v/>
      </c>
      <c r="G879" s="33" t="str">
        <f>IF(E879="","",IFERROR(INDEX(Vendor_Register!$E$5:$E$205,MATCH(E879,Vendor_Register!$A$5:$A$205,0)),"(not in register)"))</f>
        <v/>
      </c>
      <c r="H879" s="30"/>
      <c r="I879" s="30"/>
      <c r="J879" s="30"/>
      <c r="K879" s="30"/>
      <c r="L879" s="30"/>
      <c r="M879" s="34"/>
      <c r="N879" s="30"/>
      <c r="O879" s="35" t="str">
        <f>IF(NOT(ISNUMBER(M879)),"",IFERROR(IF(L879="EUR",M879,IF(L879="IRR",M879/INDEX('Assumptions &amp; FX Reference'!$C$5:$C$25,MATCH(H879,'Assumptions &amp; FX Reference'!$A$5:$A$25,0)),IF(L879="USD",M879*INDEX('Assumptions &amp; FX Reference'!$B$5:$B$25,MATCH(H879,'Assumptions &amp; FX Reference'!$A$5:$A$25,0))/INDEX('Assumptions &amp; FX Reference'!$C$5:$C$25,MATCH(H879,'Assumptions &amp; FX Reference'!$A$5:$A$25,0)),""))),"(FX missing)"))</f>
        <v/>
      </c>
      <c r="P879" s="30"/>
      <c r="Q879" s="30"/>
      <c r="R879" s="30"/>
      <c r="S879" s="30"/>
      <c r="T879" s="30"/>
      <c r="U879" s="30"/>
      <c r="V879" s="30"/>
    </row>
    <row r="880" spans="1:22">
      <c r="A880" s="30"/>
      <c r="B880" s="30"/>
      <c r="C880" s="33" t="str">
        <f>IF(B880="","",IFERROR(INDEX('Master Database'!$D$5:$D$600,MATCH(B880,'Master Database'!$A$5:$A$600,0)),"(row not found)"))</f>
        <v/>
      </c>
      <c r="D880" s="33" t="str">
        <f>IF(B880="","",IFERROR(INDEX('Master Database'!$B$5:$B$600,MATCH(B880,'Master Database'!$A$5:$A$600,0)),"(row not found)"))</f>
        <v/>
      </c>
      <c r="E880" s="30"/>
      <c r="F880" s="33" t="str">
        <f>IF(E880="","",IFERROR(INDEX(Vendor_Register!$B$5:$B$205,MATCH(E880,Vendor_Register!$A$5:$A$205,0)),"(not in register)"))</f>
        <v/>
      </c>
      <c r="G880" s="33" t="str">
        <f>IF(E880="","",IFERROR(INDEX(Vendor_Register!$E$5:$E$205,MATCH(E880,Vendor_Register!$A$5:$A$205,0)),"(not in register)"))</f>
        <v/>
      </c>
      <c r="H880" s="30"/>
      <c r="I880" s="30"/>
      <c r="J880" s="30"/>
      <c r="K880" s="30"/>
      <c r="L880" s="30"/>
      <c r="M880" s="34"/>
      <c r="N880" s="30"/>
      <c r="O880" s="35" t="str">
        <f>IF(NOT(ISNUMBER(M880)),"",IFERROR(IF(L880="EUR",M880,IF(L880="IRR",M880/INDEX('Assumptions &amp; FX Reference'!$C$5:$C$25,MATCH(H880,'Assumptions &amp; FX Reference'!$A$5:$A$25,0)),IF(L880="USD",M880*INDEX('Assumptions &amp; FX Reference'!$B$5:$B$25,MATCH(H880,'Assumptions &amp; FX Reference'!$A$5:$A$25,0))/INDEX('Assumptions &amp; FX Reference'!$C$5:$C$25,MATCH(H880,'Assumptions &amp; FX Reference'!$A$5:$A$25,0)),""))),"(FX missing)"))</f>
        <v/>
      </c>
      <c r="P880" s="30"/>
      <c r="Q880" s="30"/>
      <c r="R880" s="30"/>
      <c r="S880" s="30"/>
      <c r="T880" s="30"/>
      <c r="U880" s="30"/>
      <c r="V880" s="30"/>
    </row>
    <row r="881" spans="1:22">
      <c r="A881" s="30"/>
      <c r="B881" s="30"/>
      <c r="C881" s="33" t="str">
        <f>IF(B881="","",IFERROR(INDEX('Master Database'!$D$5:$D$600,MATCH(B881,'Master Database'!$A$5:$A$600,0)),"(row not found)"))</f>
        <v/>
      </c>
      <c r="D881" s="33" t="str">
        <f>IF(B881="","",IFERROR(INDEX('Master Database'!$B$5:$B$600,MATCH(B881,'Master Database'!$A$5:$A$600,0)),"(row not found)"))</f>
        <v/>
      </c>
      <c r="E881" s="30"/>
      <c r="F881" s="33" t="str">
        <f>IF(E881="","",IFERROR(INDEX(Vendor_Register!$B$5:$B$205,MATCH(E881,Vendor_Register!$A$5:$A$205,0)),"(not in register)"))</f>
        <v/>
      </c>
      <c r="G881" s="33" t="str">
        <f>IF(E881="","",IFERROR(INDEX(Vendor_Register!$E$5:$E$205,MATCH(E881,Vendor_Register!$A$5:$A$205,0)),"(not in register)"))</f>
        <v/>
      </c>
      <c r="H881" s="30"/>
      <c r="I881" s="30"/>
      <c r="J881" s="30"/>
      <c r="K881" s="30"/>
      <c r="L881" s="30"/>
      <c r="M881" s="34"/>
      <c r="N881" s="30"/>
      <c r="O881" s="35" t="str">
        <f>IF(NOT(ISNUMBER(M881)),"",IFERROR(IF(L881="EUR",M881,IF(L881="IRR",M881/INDEX('Assumptions &amp; FX Reference'!$C$5:$C$25,MATCH(H881,'Assumptions &amp; FX Reference'!$A$5:$A$25,0)),IF(L881="USD",M881*INDEX('Assumptions &amp; FX Reference'!$B$5:$B$25,MATCH(H881,'Assumptions &amp; FX Reference'!$A$5:$A$25,0))/INDEX('Assumptions &amp; FX Reference'!$C$5:$C$25,MATCH(H881,'Assumptions &amp; FX Reference'!$A$5:$A$25,0)),""))),"(FX missing)"))</f>
        <v/>
      </c>
      <c r="P881" s="30"/>
      <c r="Q881" s="30"/>
      <c r="R881" s="30"/>
      <c r="S881" s="30"/>
      <c r="T881" s="30"/>
      <c r="U881" s="30"/>
      <c r="V881" s="30"/>
    </row>
    <row r="882" spans="1:22">
      <c r="A882" s="30"/>
      <c r="B882" s="30"/>
      <c r="C882" s="33" t="str">
        <f>IF(B882="","",IFERROR(INDEX('Master Database'!$D$5:$D$600,MATCH(B882,'Master Database'!$A$5:$A$600,0)),"(row not found)"))</f>
        <v/>
      </c>
      <c r="D882" s="33" t="str">
        <f>IF(B882="","",IFERROR(INDEX('Master Database'!$B$5:$B$600,MATCH(B882,'Master Database'!$A$5:$A$600,0)),"(row not found)"))</f>
        <v/>
      </c>
      <c r="E882" s="30"/>
      <c r="F882" s="33" t="str">
        <f>IF(E882="","",IFERROR(INDEX(Vendor_Register!$B$5:$B$205,MATCH(E882,Vendor_Register!$A$5:$A$205,0)),"(not in register)"))</f>
        <v/>
      </c>
      <c r="G882" s="33" t="str">
        <f>IF(E882="","",IFERROR(INDEX(Vendor_Register!$E$5:$E$205,MATCH(E882,Vendor_Register!$A$5:$A$205,0)),"(not in register)"))</f>
        <v/>
      </c>
      <c r="H882" s="30"/>
      <c r="I882" s="30"/>
      <c r="J882" s="30"/>
      <c r="K882" s="30"/>
      <c r="L882" s="30"/>
      <c r="M882" s="34"/>
      <c r="N882" s="30"/>
      <c r="O882" s="35" t="str">
        <f>IF(NOT(ISNUMBER(M882)),"",IFERROR(IF(L882="EUR",M882,IF(L882="IRR",M882/INDEX('Assumptions &amp; FX Reference'!$C$5:$C$25,MATCH(H882,'Assumptions &amp; FX Reference'!$A$5:$A$25,0)),IF(L882="USD",M882*INDEX('Assumptions &amp; FX Reference'!$B$5:$B$25,MATCH(H882,'Assumptions &amp; FX Reference'!$A$5:$A$25,0))/INDEX('Assumptions &amp; FX Reference'!$C$5:$C$25,MATCH(H882,'Assumptions &amp; FX Reference'!$A$5:$A$25,0)),""))),"(FX missing)"))</f>
        <v/>
      </c>
      <c r="P882" s="30"/>
      <c r="Q882" s="30"/>
      <c r="R882" s="30"/>
      <c r="S882" s="30"/>
      <c r="T882" s="30"/>
      <c r="U882" s="30"/>
      <c r="V882" s="30"/>
    </row>
    <row r="883" spans="1:22">
      <c r="A883" s="30"/>
      <c r="B883" s="30"/>
      <c r="C883" s="33" t="str">
        <f>IF(B883="","",IFERROR(INDEX('Master Database'!$D$5:$D$600,MATCH(B883,'Master Database'!$A$5:$A$600,0)),"(row not found)"))</f>
        <v/>
      </c>
      <c r="D883" s="33" t="str">
        <f>IF(B883="","",IFERROR(INDEX('Master Database'!$B$5:$B$600,MATCH(B883,'Master Database'!$A$5:$A$600,0)),"(row not found)"))</f>
        <v/>
      </c>
      <c r="E883" s="30"/>
      <c r="F883" s="33" t="str">
        <f>IF(E883="","",IFERROR(INDEX(Vendor_Register!$B$5:$B$205,MATCH(E883,Vendor_Register!$A$5:$A$205,0)),"(not in register)"))</f>
        <v/>
      </c>
      <c r="G883" s="33" t="str">
        <f>IF(E883="","",IFERROR(INDEX(Vendor_Register!$E$5:$E$205,MATCH(E883,Vendor_Register!$A$5:$A$205,0)),"(not in register)"))</f>
        <v/>
      </c>
      <c r="H883" s="30"/>
      <c r="I883" s="30"/>
      <c r="J883" s="30"/>
      <c r="K883" s="30"/>
      <c r="L883" s="30"/>
      <c r="M883" s="34"/>
      <c r="N883" s="30"/>
      <c r="O883" s="35" t="str">
        <f>IF(NOT(ISNUMBER(M883)),"",IFERROR(IF(L883="EUR",M883,IF(L883="IRR",M883/INDEX('Assumptions &amp; FX Reference'!$C$5:$C$25,MATCH(H883,'Assumptions &amp; FX Reference'!$A$5:$A$25,0)),IF(L883="USD",M883*INDEX('Assumptions &amp; FX Reference'!$B$5:$B$25,MATCH(H883,'Assumptions &amp; FX Reference'!$A$5:$A$25,0))/INDEX('Assumptions &amp; FX Reference'!$C$5:$C$25,MATCH(H883,'Assumptions &amp; FX Reference'!$A$5:$A$25,0)),""))),"(FX missing)"))</f>
        <v/>
      </c>
      <c r="P883" s="30"/>
      <c r="Q883" s="30"/>
      <c r="R883" s="30"/>
      <c r="S883" s="30"/>
      <c r="T883" s="30"/>
      <c r="U883" s="30"/>
      <c r="V883" s="30"/>
    </row>
    <row r="884" spans="1:22">
      <c r="A884" s="30"/>
      <c r="B884" s="30"/>
      <c r="C884" s="33" t="str">
        <f>IF(B884="","",IFERROR(INDEX('Master Database'!$D$5:$D$600,MATCH(B884,'Master Database'!$A$5:$A$600,0)),"(row not found)"))</f>
        <v/>
      </c>
      <c r="D884" s="33" t="str">
        <f>IF(B884="","",IFERROR(INDEX('Master Database'!$B$5:$B$600,MATCH(B884,'Master Database'!$A$5:$A$600,0)),"(row not found)"))</f>
        <v/>
      </c>
      <c r="E884" s="30"/>
      <c r="F884" s="33" t="str">
        <f>IF(E884="","",IFERROR(INDEX(Vendor_Register!$B$5:$B$205,MATCH(E884,Vendor_Register!$A$5:$A$205,0)),"(not in register)"))</f>
        <v/>
      </c>
      <c r="G884" s="33" t="str">
        <f>IF(E884="","",IFERROR(INDEX(Vendor_Register!$E$5:$E$205,MATCH(E884,Vendor_Register!$A$5:$A$205,0)),"(not in register)"))</f>
        <v/>
      </c>
      <c r="H884" s="30"/>
      <c r="I884" s="30"/>
      <c r="J884" s="30"/>
      <c r="K884" s="30"/>
      <c r="L884" s="30"/>
      <c r="M884" s="34"/>
      <c r="N884" s="30"/>
      <c r="O884" s="35" t="str">
        <f>IF(NOT(ISNUMBER(M884)),"",IFERROR(IF(L884="EUR",M884,IF(L884="IRR",M884/INDEX('Assumptions &amp; FX Reference'!$C$5:$C$25,MATCH(H884,'Assumptions &amp; FX Reference'!$A$5:$A$25,0)),IF(L884="USD",M884*INDEX('Assumptions &amp; FX Reference'!$B$5:$B$25,MATCH(H884,'Assumptions &amp; FX Reference'!$A$5:$A$25,0))/INDEX('Assumptions &amp; FX Reference'!$C$5:$C$25,MATCH(H884,'Assumptions &amp; FX Reference'!$A$5:$A$25,0)),""))),"(FX missing)"))</f>
        <v/>
      </c>
      <c r="P884" s="30"/>
      <c r="Q884" s="30"/>
      <c r="R884" s="30"/>
      <c r="S884" s="30"/>
      <c r="T884" s="30"/>
      <c r="U884" s="30"/>
      <c r="V884" s="30"/>
    </row>
    <row r="885" spans="1:22">
      <c r="A885" s="30"/>
      <c r="B885" s="30"/>
      <c r="C885" s="33" t="str">
        <f>IF(B885="","",IFERROR(INDEX('Master Database'!$D$5:$D$600,MATCH(B885,'Master Database'!$A$5:$A$600,0)),"(row not found)"))</f>
        <v/>
      </c>
      <c r="D885" s="33" t="str">
        <f>IF(B885="","",IFERROR(INDEX('Master Database'!$B$5:$B$600,MATCH(B885,'Master Database'!$A$5:$A$600,0)),"(row not found)"))</f>
        <v/>
      </c>
      <c r="E885" s="30"/>
      <c r="F885" s="33" t="str">
        <f>IF(E885="","",IFERROR(INDEX(Vendor_Register!$B$5:$B$205,MATCH(E885,Vendor_Register!$A$5:$A$205,0)),"(not in register)"))</f>
        <v/>
      </c>
      <c r="G885" s="33" t="str">
        <f>IF(E885="","",IFERROR(INDEX(Vendor_Register!$E$5:$E$205,MATCH(E885,Vendor_Register!$A$5:$A$205,0)),"(not in register)"))</f>
        <v/>
      </c>
      <c r="H885" s="30"/>
      <c r="I885" s="30"/>
      <c r="J885" s="30"/>
      <c r="K885" s="30"/>
      <c r="L885" s="30"/>
      <c r="M885" s="34"/>
      <c r="N885" s="30"/>
      <c r="O885" s="35" t="str">
        <f>IF(NOT(ISNUMBER(M885)),"",IFERROR(IF(L885="EUR",M885,IF(L885="IRR",M885/INDEX('Assumptions &amp; FX Reference'!$C$5:$C$25,MATCH(H885,'Assumptions &amp; FX Reference'!$A$5:$A$25,0)),IF(L885="USD",M885*INDEX('Assumptions &amp; FX Reference'!$B$5:$B$25,MATCH(H885,'Assumptions &amp; FX Reference'!$A$5:$A$25,0))/INDEX('Assumptions &amp; FX Reference'!$C$5:$C$25,MATCH(H885,'Assumptions &amp; FX Reference'!$A$5:$A$25,0)),""))),"(FX missing)"))</f>
        <v/>
      </c>
      <c r="P885" s="30"/>
      <c r="Q885" s="30"/>
      <c r="R885" s="30"/>
      <c r="S885" s="30"/>
      <c r="T885" s="30"/>
      <c r="U885" s="30"/>
      <c r="V885" s="30"/>
    </row>
    <row r="886" spans="1:22">
      <c r="A886" s="30"/>
      <c r="B886" s="30"/>
      <c r="C886" s="33" t="str">
        <f>IF(B886="","",IFERROR(INDEX('Master Database'!$D$5:$D$600,MATCH(B886,'Master Database'!$A$5:$A$600,0)),"(row not found)"))</f>
        <v/>
      </c>
      <c r="D886" s="33" t="str">
        <f>IF(B886="","",IFERROR(INDEX('Master Database'!$B$5:$B$600,MATCH(B886,'Master Database'!$A$5:$A$600,0)),"(row not found)"))</f>
        <v/>
      </c>
      <c r="E886" s="30"/>
      <c r="F886" s="33" t="str">
        <f>IF(E886="","",IFERROR(INDEX(Vendor_Register!$B$5:$B$205,MATCH(E886,Vendor_Register!$A$5:$A$205,0)),"(not in register)"))</f>
        <v/>
      </c>
      <c r="G886" s="33" t="str">
        <f>IF(E886="","",IFERROR(INDEX(Vendor_Register!$E$5:$E$205,MATCH(E886,Vendor_Register!$A$5:$A$205,0)),"(not in register)"))</f>
        <v/>
      </c>
      <c r="H886" s="30"/>
      <c r="I886" s="30"/>
      <c r="J886" s="30"/>
      <c r="K886" s="30"/>
      <c r="L886" s="30"/>
      <c r="M886" s="34"/>
      <c r="N886" s="30"/>
      <c r="O886" s="35" t="str">
        <f>IF(NOT(ISNUMBER(M886)),"",IFERROR(IF(L886="EUR",M886,IF(L886="IRR",M886/INDEX('Assumptions &amp; FX Reference'!$C$5:$C$25,MATCH(H886,'Assumptions &amp; FX Reference'!$A$5:$A$25,0)),IF(L886="USD",M886*INDEX('Assumptions &amp; FX Reference'!$B$5:$B$25,MATCH(H886,'Assumptions &amp; FX Reference'!$A$5:$A$25,0))/INDEX('Assumptions &amp; FX Reference'!$C$5:$C$25,MATCH(H886,'Assumptions &amp; FX Reference'!$A$5:$A$25,0)),""))),"(FX missing)"))</f>
        <v/>
      </c>
      <c r="P886" s="30"/>
      <c r="Q886" s="30"/>
      <c r="R886" s="30"/>
      <c r="S886" s="30"/>
      <c r="T886" s="30"/>
      <c r="U886" s="30"/>
      <c r="V886" s="30"/>
    </row>
    <row r="887" spans="1:22">
      <c r="A887" s="30"/>
      <c r="B887" s="30"/>
      <c r="C887" s="33" t="str">
        <f>IF(B887="","",IFERROR(INDEX('Master Database'!$D$5:$D$600,MATCH(B887,'Master Database'!$A$5:$A$600,0)),"(row not found)"))</f>
        <v/>
      </c>
      <c r="D887" s="33" t="str">
        <f>IF(B887="","",IFERROR(INDEX('Master Database'!$B$5:$B$600,MATCH(B887,'Master Database'!$A$5:$A$600,0)),"(row not found)"))</f>
        <v/>
      </c>
      <c r="E887" s="30"/>
      <c r="F887" s="33" t="str">
        <f>IF(E887="","",IFERROR(INDEX(Vendor_Register!$B$5:$B$205,MATCH(E887,Vendor_Register!$A$5:$A$205,0)),"(not in register)"))</f>
        <v/>
      </c>
      <c r="G887" s="33" t="str">
        <f>IF(E887="","",IFERROR(INDEX(Vendor_Register!$E$5:$E$205,MATCH(E887,Vendor_Register!$A$5:$A$205,0)),"(not in register)"))</f>
        <v/>
      </c>
      <c r="H887" s="30"/>
      <c r="I887" s="30"/>
      <c r="J887" s="30"/>
      <c r="K887" s="30"/>
      <c r="L887" s="30"/>
      <c r="M887" s="34"/>
      <c r="N887" s="30"/>
      <c r="O887" s="35" t="str">
        <f>IF(NOT(ISNUMBER(M887)),"",IFERROR(IF(L887="EUR",M887,IF(L887="IRR",M887/INDEX('Assumptions &amp; FX Reference'!$C$5:$C$25,MATCH(H887,'Assumptions &amp; FX Reference'!$A$5:$A$25,0)),IF(L887="USD",M887*INDEX('Assumptions &amp; FX Reference'!$B$5:$B$25,MATCH(H887,'Assumptions &amp; FX Reference'!$A$5:$A$25,0))/INDEX('Assumptions &amp; FX Reference'!$C$5:$C$25,MATCH(H887,'Assumptions &amp; FX Reference'!$A$5:$A$25,0)),""))),"(FX missing)"))</f>
        <v/>
      </c>
      <c r="P887" s="30"/>
      <c r="Q887" s="30"/>
      <c r="R887" s="30"/>
      <c r="S887" s="30"/>
      <c r="T887" s="30"/>
      <c r="U887" s="30"/>
      <c r="V887" s="30"/>
    </row>
    <row r="888" spans="1:22">
      <c r="A888" s="30"/>
      <c r="B888" s="30"/>
      <c r="C888" s="33" t="str">
        <f>IF(B888="","",IFERROR(INDEX('Master Database'!$D$5:$D$600,MATCH(B888,'Master Database'!$A$5:$A$600,0)),"(row not found)"))</f>
        <v/>
      </c>
      <c r="D888" s="33" t="str">
        <f>IF(B888="","",IFERROR(INDEX('Master Database'!$B$5:$B$600,MATCH(B888,'Master Database'!$A$5:$A$600,0)),"(row not found)"))</f>
        <v/>
      </c>
      <c r="E888" s="30"/>
      <c r="F888" s="33" t="str">
        <f>IF(E888="","",IFERROR(INDEX(Vendor_Register!$B$5:$B$205,MATCH(E888,Vendor_Register!$A$5:$A$205,0)),"(not in register)"))</f>
        <v/>
      </c>
      <c r="G888" s="33" t="str">
        <f>IF(E888="","",IFERROR(INDEX(Vendor_Register!$E$5:$E$205,MATCH(E888,Vendor_Register!$A$5:$A$205,0)),"(not in register)"))</f>
        <v/>
      </c>
      <c r="H888" s="30"/>
      <c r="I888" s="30"/>
      <c r="J888" s="30"/>
      <c r="K888" s="30"/>
      <c r="L888" s="30"/>
      <c r="M888" s="34"/>
      <c r="N888" s="30"/>
      <c r="O888" s="35" t="str">
        <f>IF(NOT(ISNUMBER(M888)),"",IFERROR(IF(L888="EUR",M888,IF(L888="IRR",M888/INDEX('Assumptions &amp; FX Reference'!$C$5:$C$25,MATCH(H888,'Assumptions &amp; FX Reference'!$A$5:$A$25,0)),IF(L888="USD",M888*INDEX('Assumptions &amp; FX Reference'!$B$5:$B$25,MATCH(H888,'Assumptions &amp; FX Reference'!$A$5:$A$25,0))/INDEX('Assumptions &amp; FX Reference'!$C$5:$C$25,MATCH(H888,'Assumptions &amp; FX Reference'!$A$5:$A$25,0)),""))),"(FX missing)"))</f>
        <v/>
      </c>
      <c r="P888" s="30"/>
      <c r="Q888" s="30"/>
      <c r="R888" s="30"/>
      <c r="S888" s="30"/>
      <c r="T888" s="30"/>
      <c r="U888" s="30"/>
      <c r="V888" s="30"/>
    </row>
    <row r="889" spans="1:22">
      <c r="A889" s="30"/>
      <c r="B889" s="30"/>
      <c r="C889" s="33" t="str">
        <f>IF(B889="","",IFERROR(INDEX('Master Database'!$D$5:$D$600,MATCH(B889,'Master Database'!$A$5:$A$600,0)),"(row not found)"))</f>
        <v/>
      </c>
      <c r="D889" s="33" t="str">
        <f>IF(B889="","",IFERROR(INDEX('Master Database'!$B$5:$B$600,MATCH(B889,'Master Database'!$A$5:$A$600,0)),"(row not found)"))</f>
        <v/>
      </c>
      <c r="E889" s="30"/>
      <c r="F889" s="33" t="str">
        <f>IF(E889="","",IFERROR(INDEX(Vendor_Register!$B$5:$B$205,MATCH(E889,Vendor_Register!$A$5:$A$205,0)),"(not in register)"))</f>
        <v/>
      </c>
      <c r="G889" s="33" t="str">
        <f>IF(E889="","",IFERROR(INDEX(Vendor_Register!$E$5:$E$205,MATCH(E889,Vendor_Register!$A$5:$A$205,0)),"(not in register)"))</f>
        <v/>
      </c>
      <c r="H889" s="30"/>
      <c r="I889" s="30"/>
      <c r="J889" s="30"/>
      <c r="K889" s="30"/>
      <c r="L889" s="30"/>
      <c r="M889" s="34"/>
      <c r="N889" s="30"/>
      <c r="O889" s="35" t="str">
        <f>IF(NOT(ISNUMBER(M889)),"",IFERROR(IF(L889="EUR",M889,IF(L889="IRR",M889/INDEX('Assumptions &amp; FX Reference'!$C$5:$C$25,MATCH(H889,'Assumptions &amp; FX Reference'!$A$5:$A$25,0)),IF(L889="USD",M889*INDEX('Assumptions &amp; FX Reference'!$B$5:$B$25,MATCH(H889,'Assumptions &amp; FX Reference'!$A$5:$A$25,0))/INDEX('Assumptions &amp; FX Reference'!$C$5:$C$25,MATCH(H889,'Assumptions &amp; FX Reference'!$A$5:$A$25,0)),""))),"(FX missing)"))</f>
        <v/>
      </c>
      <c r="P889" s="30"/>
      <c r="Q889" s="30"/>
      <c r="R889" s="30"/>
      <c r="S889" s="30"/>
      <c r="T889" s="30"/>
      <c r="U889" s="30"/>
      <c r="V889" s="30"/>
    </row>
    <row r="890" spans="1:22">
      <c r="A890" s="30"/>
      <c r="B890" s="30"/>
      <c r="C890" s="33" t="str">
        <f>IF(B890="","",IFERROR(INDEX('Master Database'!$D$5:$D$600,MATCH(B890,'Master Database'!$A$5:$A$600,0)),"(row not found)"))</f>
        <v/>
      </c>
      <c r="D890" s="33" t="str">
        <f>IF(B890="","",IFERROR(INDEX('Master Database'!$B$5:$B$600,MATCH(B890,'Master Database'!$A$5:$A$600,0)),"(row not found)"))</f>
        <v/>
      </c>
      <c r="E890" s="30"/>
      <c r="F890" s="33" t="str">
        <f>IF(E890="","",IFERROR(INDEX(Vendor_Register!$B$5:$B$205,MATCH(E890,Vendor_Register!$A$5:$A$205,0)),"(not in register)"))</f>
        <v/>
      </c>
      <c r="G890" s="33" t="str">
        <f>IF(E890="","",IFERROR(INDEX(Vendor_Register!$E$5:$E$205,MATCH(E890,Vendor_Register!$A$5:$A$205,0)),"(not in register)"))</f>
        <v/>
      </c>
      <c r="H890" s="30"/>
      <c r="I890" s="30"/>
      <c r="J890" s="30"/>
      <c r="K890" s="30"/>
      <c r="L890" s="30"/>
      <c r="M890" s="34"/>
      <c r="N890" s="30"/>
      <c r="O890" s="35" t="str">
        <f>IF(NOT(ISNUMBER(M890)),"",IFERROR(IF(L890="EUR",M890,IF(L890="IRR",M890/INDEX('Assumptions &amp; FX Reference'!$C$5:$C$25,MATCH(H890,'Assumptions &amp; FX Reference'!$A$5:$A$25,0)),IF(L890="USD",M890*INDEX('Assumptions &amp; FX Reference'!$B$5:$B$25,MATCH(H890,'Assumptions &amp; FX Reference'!$A$5:$A$25,0))/INDEX('Assumptions &amp; FX Reference'!$C$5:$C$25,MATCH(H890,'Assumptions &amp; FX Reference'!$A$5:$A$25,0)),""))),"(FX missing)"))</f>
        <v/>
      </c>
      <c r="P890" s="30"/>
      <c r="Q890" s="30"/>
      <c r="R890" s="30"/>
      <c r="S890" s="30"/>
      <c r="T890" s="30"/>
      <c r="U890" s="30"/>
      <c r="V890" s="30"/>
    </row>
    <row r="891" spans="1:22">
      <c r="A891" s="30"/>
      <c r="B891" s="30"/>
      <c r="C891" s="33" t="str">
        <f>IF(B891="","",IFERROR(INDEX('Master Database'!$D$5:$D$600,MATCH(B891,'Master Database'!$A$5:$A$600,0)),"(row not found)"))</f>
        <v/>
      </c>
      <c r="D891" s="33" t="str">
        <f>IF(B891="","",IFERROR(INDEX('Master Database'!$B$5:$B$600,MATCH(B891,'Master Database'!$A$5:$A$600,0)),"(row not found)"))</f>
        <v/>
      </c>
      <c r="E891" s="30"/>
      <c r="F891" s="33" t="str">
        <f>IF(E891="","",IFERROR(INDEX(Vendor_Register!$B$5:$B$205,MATCH(E891,Vendor_Register!$A$5:$A$205,0)),"(not in register)"))</f>
        <v/>
      </c>
      <c r="G891" s="33" t="str">
        <f>IF(E891="","",IFERROR(INDEX(Vendor_Register!$E$5:$E$205,MATCH(E891,Vendor_Register!$A$5:$A$205,0)),"(not in register)"))</f>
        <v/>
      </c>
      <c r="H891" s="30"/>
      <c r="I891" s="30"/>
      <c r="J891" s="30"/>
      <c r="K891" s="30"/>
      <c r="L891" s="30"/>
      <c r="M891" s="34"/>
      <c r="N891" s="30"/>
      <c r="O891" s="35" t="str">
        <f>IF(NOT(ISNUMBER(M891)),"",IFERROR(IF(L891="EUR",M891,IF(L891="IRR",M891/INDEX('Assumptions &amp; FX Reference'!$C$5:$C$25,MATCH(H891,'Assumptions &amp; FX Reference'!$A$5:$A$25,0)),IF(L891="USD",M891*INDEX('Assumptions &amp; FX Reference'!$B$5:$B$25,MATCH(H891,'Assumptions &amp; FX Reference'!$A$5:$A$25,0))/INDEX('Assumptions &amp; FX Reference'!$C$5:$C$25,MATCH(H891,'Assumptions &amp; FX Reference'!$A$5:$A$25,0)),""))),"(FX missing)"))</f>
        <v/>
      </c>
      <c r="P891" s="30"/>
      <c r="Q891" s="30"/>
      <c r="R891" s="30"/>
      <c r="S891" s="30"/>
      <c r="T891" s="30"/>
      <c r="U891" s="30"/>
      <c r="V891" s="30"/>
    </row>
    <row r="892" spans="1:22">
      <c r="A892" s="30"/>
      <c r="B892" s="30"/>
      <c r="C892" s="33" t="str">
        <f>IF(B892="","",IFERROR(INDEX('Master Database'!$D$5:$D$600,MATCH(B892,'Master Database'!$A$5:$A$600,0)),"(row not found)"))</f>
        <v/>
      </c>
      <c r="D892" s="33" t="str">
        <f>IF(B892="","",IFERROR(INDEX('Master Database'!$B$5:$B$600,MATCH(B892,'Master Database'!$A$5:$A$600,0)),"(row not found)"))</f>
        <v/>
      </c>
      <c r="E892" s="30"/>
      <c r="F892" s="33" t="str">
        <f>IF(E892="","",IFERROR(INDEX(Vendor_Register!$B$5:$B$205,MATCH(E892,Vendor_Register!$A$5:$A$205,0)),"(not in register)"))</f>
        <v/>
      </c>
      <c r="G892" s="33" t="str">
        <f>IF(E892="","",IFERROR(INDEX(Vendor_Register!$E$5:$E$205,MATCH(E892,Vendor_Register!$A$5:$A$205,0)),"(not in register)"))</f>
        <v/>
      </c>
      <c r="H892" s="30"/>
      <c r="I892" s="30"/>
      <c r="J892" s="30"/>
      <c r="K892" s="30"/>
      <c r="L892" s="30"/>
      <c r="M892" s="34"/>
      <c r="N892" s="30"/>
      <c r="O892" s="35" t="str">
        <f>IF(NOT(ISNUMBER(M892)),"",IFERROR(IF(L892="EUR",M892,IF(L892="IRR",M892/INDEX('Assumptions &amp; FX Reference'!$C$5:$C$25,MATCH(H892,'Assumptions &amp; FX Reference'!$A$5:$A$25,0)),IF(L892="USD",M892*INDEX('Assumptions &amp; FX Reference'!$B$5:$B$25,MATCH(H892,'Assumptions &amp; FX Reference'!$A$5:$A$25,0))/INDEX('Assumptions &amp; FX Reference'!$C$5:$C$25,MATCH(H892,'Assumptions &amp; FX Reference'!$A$5:$A$25,0)),""))),"(FX missing)"))</f>
        <v/>
      </c>
      <c r="P892" s="30"/>
      <c r="Q892" s="30"/>
      <c r="R892" s="30"/>
      <c r="S892" s="30"/>
      <c r="T892" s="30"/>
      <c r="U892" s="30"/>
      <c r="V892" s="30"/>
    </row>
    <row r="893" spans="1:22">
      <c r="A893" s="30"/>
      <c r="B893" s="30"/>
      <c r="C893" s="33" t="str">
        <f>IF(B893="","",IFERROR(INDEX('Master Database'!$D$5:$D$600,MATCH(B893,'Master Database'!$A$5:$A$600,0)),"(row not found)"))</f>
        <v/>
      </c>
      <c r="D893" s="33" t="str">
        <f>IF(B893="","",IFERROR(INDEX('Master Database'!$B$5:$B$600,MATCH(B893,'Master Database'!$A$5:$A$600,0)),"(row not found)"))</f>
        <v/>
      </c>
      <c r="E893" s="30"/>
      <c r="F893" s="33" t="str">
        <f>IF(E893="","",IFERROR(INDEX(Vendor_Register!$B$5:$B$205,MATCH(E893,Vendor_Register!$A$5:$A$205,0)),"(not in register)"))</f>
        <v/>
      </c>
      <c r="G893" s="33" t="str">
        <f>IF(E893="","",IFERROR(INDEX(Vendor_Register!$E$5:$E$205,MATCH(E893,Vendor_Register!$A$5:$A$205,0)),"(not in register)"))</f>
        <v/>
      </c>
      <c r="H893" s="30"/>
      <c r="I893" s="30"/>
      <c r="J893" s="30"/>
      <c r="K893" s="30"/>
      <c r="L893" s="30"/>
      <c r="M893" s="34"/>
      <c r="N893" s="30"/>
      <c r="O893" s="35" t="str">
        <f>IF(NOT(ISNUMBER(M893)),"",IFERROR(IF(L893="EUR",M893,IF(L893="IRR",M893/INDEX('Assumptions &amp; FX Reference'!$C$5:$C$25,MATCH(H893,'Assumptions &amp; FX Reference'!$A$5:$A$25,0)),IF(L893="USD",M893*INDEX('Assumptions &amp; FX Reference'!$B$5:$B$25,MATCH(H893,'Assumptions &amp; FX Reference'!$A$5:$A$25,0))/INDEX('Assumptions &amp; FX Reference'!$C$5:$C$25,MATCH(H893,'Assumptions &amp; FX Reference'!$A$5:$A$25,0)),""))),"(FX missing)"))</f>
        <v/>
      </c>
      <c r="P893" s="30"/>
      <c r="Q893" s="30"/>
      <c r="R893" s="30"/>
      <c r="S893" s="30"/>
      <c r="T893" s="30"/>
      <c r="U893" s="30"/>
      <c r="V893" s="30"/>
    </row>
    <row r="894" spans="1:22">
      <c r="A894" s="30"/>
      <c r="B894" s="30"/>
      <c r="C894" s="33" t="str">
        <f>IF(B894="","",IFERROR(INDEX('Master Database'!$D$5:$D$600,MATCH(B894,'Master Database'!$A$5:$A$600,0)),"(row not found)"))</f>
        <v/>
      </c>
      <c r="D894" s="33" t="str">
        <f>IF(B894="","",IFERROR(INDEX('Master Database'!$B$5:$B$600,MATCH(B894,'Master Database'!$A$5:$A$600,0)),"(row not found)"))</f>
        <v/>
      </c>
      <c r="E894" s="30"/>
      <c r="F894" s="33" t="str">
        <f>IF(E894="","",IFERROR(INDEX(Vendor_Register!$B$5:$B$205,MATCH(E894,Vendor_Register!$A$5:$A$205,0)),"(not in register)"))</f>
        <v/>
      </c>
      <c r="G894" s="33" t="str">
        <f>IF(E894="","",IFERROR(INDEX(Vendor_Register!$E$5:$E$205,MATCH(E894,Vendor_Register!$A$5:$A$205,0)),"(not in register)"))</f>
        <v/>
      </c>
      <c r="H894" s="30"/>
      <c r="I894" s="30"/>
      <c r="J894" s="30"/>
      <c r="K894" s="30"/>
      <c r="L894" s="30"/>
      <c r="M894" s="34"/>
      <c r="N894" s="30"/>
      <c r="O894" s="35" t="str">
        <f>IF(NOT(ISNUMBER(M894)),"",IFERROR(IF(L894="EUR",M894,IF(L894="IRR",M894/INDEX('Assumptions &amp; FX Reference'!$C$5:$C$25,MATCH(H894,'Assumptions &amp; FX Reference'!$A$5:$A$25,0)),IF(L894="USD",M894*INDEX('Assumptions &amp; FX Reference'!$B$5:$B$25,MATCH(H894,'Assumptions &amp; FX Reference'!$A$5:$A$25,0))/INDEX('Assumptions &amp; FX Reference'!$C$5:$C$25,MATCH(H894,'Assumptions &amp; FX Reference'!$A$5:$A$25,0)),""))),"(FX missing)"))</f>
        <v/>
      </c>
      <c r="P894" s="30"/>
      <c r="Q894" s="30"/>
      <c r="R894" s="30"/>
      <c r="S894" s="30"/>
      <c r="T894" s="30"/>
      <c r="U894" s="30"/>
      <c r="V894" s="30"/>
    </row>
    <row r="895" spans="1:22">
      <c r="A895" s="30"/>
      <c r="B895" s="30"/>
      <c r="C895" s="33" t="str">
        <f>IF(B895="","",IFERROR(INDEX('Master Database'!$D$5:$D$600,MATCH(B895,'Master Database'!$A$5:$A$600,0)),"(row not found)"))</f>
        <v/>
      </c>
      <c r="D895" s="33" t="str">
        <f>IF(B895="","",IFERROR(INDEX('Master Database'!$B$5:$B$600,MATCH(B895,'Master Database'!$A$5:$A$600,0)),"(row not found)"))</f>
        <v/>
      </c>
      <c r="E895" s="30"/>
      <c r="F895" s="33" t="str">
        <f>IF(E895="","",IFERROR(INDEX(Vendor_Register!$B$5:$B$205,MATCH(E895,Vendor_Register!$A$5:$A$205,0)),"(not in register)"))</f>
        <v/>
      </c>
      <c r="G895" s="33" t="str">
        <f>IF(E895="","",IFERROR(INDEX(Vendor_Register!$E$5:$E$205,MATCH(E895,Vendor_Register!$A$5:$A$205,0)),"(not in register)"))</f>
        <v/>
      </c>
      <c r="H895" s="30"/>
      <c r="I895" s="30"/>
      <c r="J895" s="30"/>
      <c r="K895" s="30"/>
      <c r="L895" s="30"/>
      <c r="M895" s="34"/>
      <c r="N895" s="30"/>
      <c r="O895" s="35" t="str">
        <f>IF(NOT(ISNUMBER(M895)),"",IFERROR(IF(L895="EUR",M895,IF(L895="IRR",M895/INDEX('Assumptions &amp; FX Reference'!$C$5:$C$25,MATCH(H895,'Assumptions &amp; FX Reference'!$A$5:$A$25,0)),IF(L895="USD",M895*INDEX('Assumptions &amp; FX Reference'!$B$5:$B$25,MATCH(H895,'Assumptions &amp; FX Reference'!$A$5:$A$25,0))/INDEX('Assumptions &amp; FX Reference'!$C$5:$C$25,MATCH(H895,'Assumptions &amp; FX Reference'!$A$5:$A$25,0)),""))),"(FX missing)"))</f>
        <v/>
      </c>
      <c r="P895" s="30"/>
      <c r="Q895" s="30"/>
      <c r="R895" s="30"/>
      <c r="S895" s="30"/>
      <c r="T895" s="30"/>
      <c r="U895" s="30"/>
      <c r="V895" s="30"/>
    </row>
    <row r="896" spans="1:22">
      <c r="A896" s="30"/>
      <c r="B896" s="30"/>
      <c r="C896" s="33" t="str">
        <f>IF(B896="","",IFERROR(INDEX('Master Database'!$D$5:$D$600,MATCH(B896,'Master Database'!$A$5:$A$600,0)),"(row not found)"))</f>
        <v/>
      </c>
      <c r="D896" s="33" t="str">
        <f>IF(B896="","",IFERROR(INDEX('Master Database'!$B$5:$B$600,MATCH(B896,'Master Database'!$A$5:$A$600,0)),"(row not found)"))</f>
        <v/>
      </c>
      <c r="E896" s="30"/>
      <c r="F896" s="33" t="str">
        <f>IF(E896="","",IFERROR(INDEX(Vendor_Register!$B$5:$B$205,MATCH(E896,Vendor_Register!$A$5:$A$205,0)),"(not in register)"))</f>
        <v/>
      </c>
      <c r="G896" s="33" t="str">
        <f>IF(E896="","",IFERROR(INDEX(Vendor_Register!$E$5:$E$205,MATCH(E896,Vendor_Register!$A$5:$A$205,0)),"(not in register)"))</f>
        <v/>
      </c>
      <c r="H896" s="30"/>
      <c r="I896" s="30"/>
      <c r="J896" s="30"/>
      <c r="K896" s="30"/>
      <c r="L896" s="30"/>
      <c r="M896" s="34"/>
      <c r="N896" s="30"/>
      <c r="O896" s="35" t="str">
        <f>IF(NOT(ISNUMBER(M896)),"",IFERROR(IF(L896="EUR",M896,IF(L896="IRR",M896/INDEX('Assumptions &amp; FX Reference'!$C$5:$C$25,MATCH(H896,'Assumptions &amp; FX Reference'!$A$5:$A$25,0)),IF(L896="USD",M896*INDEX('Assumptions &amp; FX Reference'!$B$5:$B$25,MATCH(H896,'Assumptions &amp; FX Reference'!$A$5:$A$25,0))/INDEX('Assumptions &amp; FX Reference'!$C$5:$C$25,MATCH(H896,'Assumptions &amp; FX Reference'!$A$5:$A$25,0)),""))),"(FX missing)"))</f>
        <v/>
      </c>
      <c r="P896" s="30"/>
      <c r="Q896" s="30"/>
      <c r="R896" s="30"/>
      <c r="S896" s="30"/>
      <c r="T896" s="30"/>
      <c r="U896" s="30"/>
      <c r="V896" s="30"/>
    </row>
    <row r="897" spans="1:22">
      <c r="A897" s="30"/>
      <c r="B897" s="30"/>
      <c r="C897" s="33" t="str">
        <f>IF(B897="","",IFERROR(INDEX('Master Database'!$D$5:$D$600,MATCH(B897,'Master Database'!$A$5:$A$600,0)),"(row not found)"))</f>
        <v/>
      </c>
      <c r="D897" s="33" t="str">
        <f>IF(B897="","",IFERROR(INDEX('Master Database'!$B$5:$B$600,MATCH(B897,'Master Database'!$A$5:$A$600,0)),"(row not found)"))</f>
        <v/>
      </c>
      <c r="E897" s="30"/>
      <c r="F897" s="33" t="str">
        <f>IF(E897="","",IFERROR(INDEX(Vendor_Register!$B$5:$B$205,MATCH(E897,Vendor_Register!$A$5:$A$205,0)),"(not in register)"))</f>
        <v/>
      </c>
      <c r="G897" s="33" t="str">
        <f>IF(E897="","",IFERROR(INDEX(Vendor_Register!$E$5:$E$205,MATCH(E897,Vendor_Register!$A$5:$A$205,0)),"(not in register)"))</f>
        <v/>
      </c>
      <c r="H897" s="30"/>
      <c r="I897" s="30"/>
      <c r="J897" s="30"/>
      <c r="K897" s="30"/>
      <c r="L897" s="30"/>
      <c r="M897" s="34"/>
      <c r="N897" s="30"/>
      <c r="O897" s="35" t="str">
        <f>IF(NOT(ISNUMBER(M897)),"",IFERROR(IF(L897="EUR",M897,IF(L897="IRR",M897/INDEX('Assumptions &amp; FX Reference'!$C$5:$C$25,MATCH(H897,'Assumptions &amp; FX Reference'!$A$5:$A$25,0)),IF(L897="USD",M897*INDEX('Assumptions &amp; FX Reference'!$B$5:$B$25,MATCH(H897,'Assumptions &amp; FX Reference'!$A$5:$A$25,0))/INDEX('Assumptions &amp; FX Reference'!$C$5:$C$25,MATCH(H897,'Assumptions &amp; FX Reference'!$A$5:$A$25,0)),""))),"(FX missing)"))</f>
        <v/>
      </c>
      <c r="P897" s="30"/>
      <c r="Q897" s="30"/>
      <c r="R897" s="30"/>
      <c r="S897" s="30"/>
      <c r="T897" s="30"/>
      <c r="U897" s="30"/>
      <c r="V897" s="30"/>
    </row>
    <row r="898" spans="1:22">
      <c r="A898" s="30"/>
      <c r="B898" s="30"/>
      <c r="C898" s="33" t="str">
        <f>IF(B898="","",IFERROR(INDEX('Master Database'!$D$5:$D$600,MATCH(B898,'Master Database'!$A$5:$A$600,0)),"(row not found)"))</f>
        <v/>
      </c>
      <c r="D898" s="33" t="str">
        <f>IF(B898="","",IFERROR(INDEX('Master Database'!$B$5:$B$600,MATCH(B898,'Master Database'!$A$5:$A$600,0)),"(row not found)"))</f>
        <v/>
      </c>
      <c r="E898" s="30"/>
      <c r="F898" s="33" t="str">
        <f>IF(E898="","",IFERROR(INDEX(Vendor_Register!$B$5:$B$205,MATCH(E898,Vendor_Register!$A$5:$A$205,0)),"(not in register)"))</f>
        <v/>
      </c>
      <c r="G898" s="33" t="str">
        <f>IF(E898="","",IFERROR(INDEX(Vendor_Register!$E$5:$E$205,MATCH(E898,Vendor_Register!$A$5:$A$205,0)),"(not in register)"))</f>
        <v/>
      </c>
      <c r="H898" s="30"/>
      <c r="I898" s="30"/>
      <c r="J898" s="30"/>
      <c r="K898" s="30"/>
      <c r="L898" s="30"/>
      <c r="M898" s="34"/>
      <c r="N898" s="30"/>
      <c r="O898" s="35" t="str">
        <f>IF(NOT(ISNUMBER(M898)),"",IFERROR(IF(L898="EUR",M898,IF(L898="IRR",M898/INDEX('Assumptions &amp; FX Reference'!$C$5:$C$25,MATCH(H898,'Assumptions &amp; FX Reference'!$A$5:$A$25,0)),IF(L898="USD",M898*INDEX('Assumptions &amp; FX Reference'!$B$5:$B$25,MATCH(H898,'Assumptions &amp; FX Reference'!$A$5:$A$25,0))/INDEX('Assumptions &amp; FX Reference'!$C$5:$C$25,MATCH(H898,'Assumptions &amp; FX Reference'!$A$5:$A$25,0)),""))),"(FX missing)"))</f>
        <v/>
      </c>
      <c r="P898" s="30"/>
      <c r="Q898" s="30"/>
      <c r="R898" s="30"/>
      <c r="S898" s="30"/>
      <c r="T898" s="30"/>
      <c r="U898" s="30"/>
      <c r="V898" s="30"/>
    </row>
    <row r="899" spans="1:22">
      <c r="A899" s="30"/>
      <c r="B899" s="30"/>
      <c r="C899" s="33" t="str">
        <f>IF(B899="","",IFERROR(INDEX('Master Database'!$D$5:$D$600,MATCH(B899,'Master Database'!$A$5:$A$600,0)),"(row not found)"))</f>
        <v/>
      </c>
      <c r="D899" s="33" t="str">
        <f>IF(B899="","",IFERROR(INDEX('Master Database'!$B$5:$B$600,MATCH(B899,'Master Database'!$A$5:$A$600,0)),"(row not found)"))</f>
        <v/>
      </c>
      <c r="E899" s="30"/>
      <c r="F899" s="33" t="str">
        <f>IF(E899="","",IFERROR(INDEX(Vendor_Register!$B$5:$B$205,MATCH(E899,Vendor_Register!$A$5:$A$205,0)),"(not in register)"))</f>
        <v/>
      </c>
      <c r="G899" s="33" t="str">
        <f>IF(E899="","",IFERROR(INDEX(Vendor_Register!$E$5:$E$205,MATCH(E899,Vendor_Register!$A$5:$A$205,0)),"(not in register)"))</f>
        <v/>
      </c>
      <c r="H899" s="30"/>
      <c r="I899" s="30"/>
      <c r="J899" s="30"/>
      <c r="K899" s="30"/>
      <c r="L899" s="30"/>
      <c r="M899" s="34"/>
      <c r="N899" s="30"/>
      <c r="O899" s="35" t="str">
        <f>IF(NOT(ISNUMBER(M899)),"",IFERROR(IF(L899="EUR",M899,IF(L899="IRR",M899/INDEX('Assumptions &amp; FX Reference'!$C$5:$C$25,MATCH(H899,'Assumptions &amp; FX Reference'!$A$5:$A$25,0)),IF(L899="USD",M899*INDEX('Assumptions &amp; FX Reference'!$B$5:$B$25,MATCH(H899,'Assumptions &amp; FX Reference'!$A$5:$A$25,0))/INDEX('Assumptions &amp; FX Reference'!$C$5:$C$25,MATCH(H899,'Assumptions &amp; FX Reference'!$A$5:$A$25,0)),""))),"(FX missing)"))</f>
        <v/>
      </c>
      <c r="P899" s="30"/>
      <c r="Q899" s="30"/>
      <c r="R899" s="30"/>
      <c r="S899" s="30"/>
      <c r="T899" s="30"/>
      <c r="U899" s="30"/>
      <c r="V899" s="30"/>
    </row>
    <row r="900" spans="1:22">
      <c r="A900" s="30"/>
      <c r="B900" s="30"/>
      <c r="C900" s="33" t="str">
        <f>IF(B900="","",IFERROR(INDEX('Master Database'!$D$5:$D$600,MATCH(B900,'Master Database'!$A$5:$A$600,0)),"(row not found)"))</f>
        <v/>
      </c>
      <c r="D900" s="33" t="str">
        <f>IF(B900="","",IFERROR(INDEX('Master Database'!$B$5:$B$600,MATCH(B900,'Master Database'!$A$5:$A$600,0)),"(row not found)"))</f>
        <v/>
      </c>
      <c r="E900" s="30"/>
      <c r="F900" s="33" t="str">
        <f>IF(E900="","",IFERROR(INDEX(Vendor_Register!$B$5:$B$205,MATCH(E900,Vendor_Register!$A$5:$A$205,0)),"(not in register)"))</f>
        <v/>
      </c>
      <c r="G900" s="33" t="str">
        <f>IF(E900="","",IFERROR(INDEX(Vendor_Register!$E$5:$E$205,MATCH(E900,Vendor_Register!$A$5:$A$205,0)),"(not in register)"))</f>
        <v/>
      </c>
      <c r="H900" s="30"/>
      <c r="I900" s="30"/>
      <c r="J900" s="30"/>
      <c r="K900" s="30"/>
      <c r="L900" s="30"/>
      <c r="M900" s="34"/>
      <c r="N900" s="30"/>
      <c r="O900" s="35" t="str">
        <f>IF(NOT(ISNUMBER(M900)),"",IFERROR(IF(L900="EUR",M900,IF(L900="IRR",M900/INDEX('Assumptions &amp; FX Reference'!$C$5:$C$25,MATCH(H900,'Assumptions &amp; FX Reference'!$A$5:$A$25,0)),IF(L900="USD",M900*INDEX('Assumptions &amp; FX Reference'!$B$5:$B$25,MATCH(H900,'Assumptions &amp; FX Reference'!$A$5:$A$25,0))/INDEX('Assumptions &amp; FX Reference'!$C$5:$C$25,MATCH(H900,'Assumptions &amp; FX Reference'!$A$5:$A$25,0)),""))),"(FX missing)"))</f>
        <v/>
      </c>
      <c r="P900" s="30"/>
      <c r="Q900" s="30"/>
      <c r="R900" s="30"/>
      <c r="S900" s="30"/>
      <c r="T900" s="30"/>
      <c r="U900" s="30"/>
      <c r="V900" s="30"/>
    </row>
    <row r="901" spans="1:22">
      <c r="A901" s="30"/>
      <c r="B901" s="30"/>
      <c r="C901" s="33" t="str">
        <f>IF(B901="","",IFERROR(INDEX('Master Database'!$D$5:$D$600,MATCH(B901,'Master Database'!$A$5:$A$600,0)),"(row not found)"))</f>
        <v/>
      </c>
      <c r="D901" s="33" t="str">
        <f>IF(B901="","",IFERROR(INDEX('Master Database'!$B$5:$B$600,MATCH(B901,'Master Database'!$A$5:$A$600,0)),"(row not found)"))</f>
        <v/>
      </c>
      <c r="E901" s="30"/>
      <c r="F901" s="33" t="str">
        <f>IF(E901="","",IFERROR(INDEX(Vendor_Register!$B$5:$B$205,MATCH(E901,Vendor_Register!$A$5:$A$205,0)),"(not in register)"))</f>
        <v/>
      </c>
      <c r="G901" s="33" t="str">
        <f>IF(E901="","",IFERROR(INDEX(Vendor_Register!$E$5:$E$205,MATCH(E901,Vendor_Register!$A$5:$A$205,0)),"(not in register)"))</f>
        <v/>
      </c>
      <c r="H901" s="30"/>
      <c r="I901" s="30"/>
      <c r="J901" s="30"/>
      <c r="K901" s="30"/>
      <c r="L901" s="30"/>
      <c r="M901" s="34"/>
      <c r="N901" s="30"/>
      <c r="O901" s="35" t="str">
        <f>IF(NOT(ISNUMBER(M901)),"",IFERROR(IF(L901="EUR",M901,IF(L901="IRR",M901/INDEX('Assumptions &amp; FX Reference'!$C$5:$C$25,MATCH(H901,'Assumptions &amp; FX Reference'!$A$5:$A$25,0)),IF(L901="USD",M901*INDEX('Assumptions &amp; FX Reference'!$B$5:$B$25,MATCH(H901,'Assumptions &amp; FX Reference'!$A$5:$A$25,0))/INDEX('Assumptions &amp; FX Reference'!$C$5:$C$25,MATCH(H901,'Assumptions &amp; FX Reference'!$A$5:$A$25,0)),""))),"(FX missing)"))</f>
        <v/>
      </c>
      <c r="P901" s="30"/>
      <c r="Q901" s="30"/>
      <c r="R901" s="30"/>
      <c r="S901" s="30"/>
      <c r="T901" s="30"/>
      <c r="U901" s="30"/>
      <c r="V901" s="30"/>
    </row>
    <row r="902" spans="1:22">
      <c r="A902" s="30"/>
      <c r="B902" s="30"/>
      <c r="C902" s="33" t="str">
        <f>IF(B902="","",IFERROR(INDEX('Master Database'!$D$5:$D$600,MATCH(B902,'Master Database'!$A$5:$A$600,0)),"(row not found)"))</f>
        <v/>
      </c>
      <c r="D902" s="33" t="str">
        <f>IF(B902="","",IFERROR(INDEX('Master Database'!$B$5:$B$600,MATCH(B902,'Master Database'!$A$5:$A$600,0)),"(row not found)"))</f>
        <v/>
      </c>
      <c r="E902" s="30"/>
      <c r="F902" s="33" t="str">
        <f>IF(E902="","",IFERROR(INDEX(Vendor_Register!$B$5:$B$205,MATCH(E902,Vendor_Register!$A$5:$A$205,0)),"(not in register)"))</f>
        <v/>
      </c>
      <c r="G902" s="33" t="str">
        <f>IF(E902="","",IFERROR(INDEX(Vendor_Register!$E$5:$E$205,MATCH(E902,Vendor_Register!$A$5:$A$205,0)),"(not in register)"))</f>
        <v/>
      </c>
      <c r="H902" s="30"/>
      <c r="I902" s="30"/>
      <c r="J902" s="30"/>
      <c r="K902" s="30"/>
      <c r="L902" s="30"/>
      <c r="M902" s="34"/>
      <c r="N902" s="30"/>
      <c r="O902" s="35" t="str">
        <f>IF(NOT(ISNUMBER(M902)),"",IFERROR(IF(L902="EUR",M902,IF(L902="IRR",M902/INDEX('Assumptions &amp; FX Reference'!$C$5:$C$25,MATCH(H902,'Assumptions &amp; FX Reference'!$A$5:$A$25,0)),IF(L902="USD",M902*INDEX('Assumptions &amp; FX Reference'!$B$5:$B$25,MATCH(H902,'Assumptions &amp; FX Reference'!$A$5:$A$25,0))/INDEX('Assumptions &amp; FX Reference'!$C$5:$C$25,MATCH(H902,'Assumptions &amp; FX Reference'!$A$5:$A$25,0)),""))),"(FX missing)"))</f>
        <v/>
      </c>
      <c r="P902" s="30"/>
      <c r="Q902" s="30"/>
      <c r="R902" s="30"/>
      <c r="S902" s="30"/>
      <c r="T902" s="30"/>
      <c r="U902" s="30"/>
      <c r="V902" s="30"/>
    </row>
    <row r="903" spans="1:22">
      <c r="A903" s="30"/>
      <c r="B903" s="30"/>
      <c r="C903" s="33" t="str">
        <f>IF(B903="","",IFERROR(INDEX('Master Database'!$D$5:$D$600,MATCH(B903,'Master Database'!$A$5:$A$600,0)),"(row not found)"))</f>
        <v/>
      </c>
      <c r="D903" s="33" t="str">
        <f>IF(B903="","",IFERROR(INDEX('Master Database'!$B$5:$B$600,MATCH(B903,'Master Database'!$A$5:$A$600,0)),"(row not found)"))</f>
        <v/>
      </c>
      <c r="E903" s="30"/>
      <c r="F903" s="33" t="str">
        <f>IF(E903="","",IFERROR(INDEX(Vendor_Register!$B$5:$B$205,MATCH(E903,Vendor_Register!$A$5:$A$205,0)),"(not in register)"))</f>
        <v/>
      </c>
      <c r="G903" s="33" t="str">
        <f>IF(E903="","",IFERROR(INDEX(Vendor_Register!$E$5:$E$205,MATCH(E903,Vendor_Register!$A$5:$A$205,0)),"(not in register)"))</f>
        <v/>
      </c>
      <c r="H903" s="30"/>
      <c r="I903" s="30"/>
      <c r="J903" s="30"/>
      <c r="K903" s="30"/>
      <c r="L903" s="30"/>
      <c r="M903" s="34"/>
      <c r="N903" s="30"/>
      <c r="O903" s="35" t="str">
        <f>IF(NOT(ISNUMBER(M903)),"",IFERROR(IF(L903="EUR",M903,IF(L903="IRR",M903/INDEX('Assumptions &amp; FX Reference'!$C$5:$C$25,MATCH(H903,'Assumptions &amp; FX Reference'!$A$5:$A$25,0)),IF(L903="USD",M903*INDEX('Assumptions &amp; FX Reference'!$B$5:$B$25,MATCH(H903,'Assumptions &amp; FX Reference'!$A$5:$A$25,0))/INDEX('Assumptions &amp; FX Reference'!$C$5:$C$25,MATCH(H903,'Assumptions &amp; FX Reference'!$A$5:$A$25,0)),""))),"(FX missing)"))</f>
        <v/>
      </c>
      <c r="P903" s="30"/>
      <c r="Q903" s="30"/>
      <c r="R903" s="30"/>
      <c r="S903" s="30"/>
      <c r="T903" s="30"/>
      <c r="U903" s="30"/>
      <c r="V903" s="30"/>
    </row>
    <row r="904" spans="1:22">
      <c r="A904" s="30"/>
      <c r="B904" s="30"/>
      <c r="C904" s="33" t="str">
        <f>IF(B904="","",IFERROR(INDEX('Master Database'!$D$5:$D$600,MATCH(B904,'Master Database'!$A$5:$A$600,0)),"(row not found)"))</f>
        <v/>
      </c>
      <c r="D904" s="33" t="str">
        <f>IF(B904="","",IFERROR(INDEX('Master Database'!$B$5:$B$600,MATCH(B904,'Master Database'!$A$5:$A$600,0)),"(row not found)"))</f>
        <v/>
      </c>
      <c r="E904" s="30"/>
      <c r="F904" s="33" t="str">
        <f>IF(E904="","",IFERROR(INDEX(Vendor_Register!$B$5:$B$205,MATCH(E904,Vendor_Register!$A$5:$A$205,0)),"(not in register)"))</f>
        <v/>
      </c>
      <c r="G904" s="33" t="str">
        <f>IF(E904="","",IFERROR(INDEX(Vendor_Register!$E$5:$E$205,MATCH(E904,Vendor_Register!$A$5:$A$205,0)),"(not in register)"))</f>
        <v/>
      </c>
      <c r="H904" s="30"/>
      <c r="I904" s="30"/>
      <c r="J904" s="30"/>
      <c r="K904" s="30"/>
      <c r="L904" s="30"/>
      <c r="M904" s="34"/>
      <c r="N904" s="30"/>
      <c r="O904" s="35" t="str">
        <f>IF(NOT(ISNUMBER(M904)),"",IFERROR(IF(L904="EUR",M904,IF(L904="IRR",M904/INDEX('Assumptions &amp; FX Reference'!$C$5:$C$25,MATCH(H904,'Assumptions &amp; FX Reference'!$A$5:$A$25,0)),IF(L904="USD",M904*INDEX('Assumptions &amp; FX Reference'!$B$5:$B$25,MATCH(H904,'Assumptions &amp; FX Reference'!$A$5:$A$25,0))/INDEX('Assumptions &amp; FX Reference'!$C$5:$C$25,MATCH(H904,'Assumptions &amp; FX Reference'!$A$5:$A$25,0)),""))),"(FX missing)"))</f>
        <v/>
      </c>
      <c r="P904" s="30"/>
      <c r="Q904" s="30"/>
      <c r="R904" s="30"/>
      <c r="S904" s="30"/>
      <c r="T904" s="30"/>
      <c r="U904" s="30"/>
      <c r="V904" s="30"/>
    </row>
    <row r="905" spans="1:22">
      <c r="A905" s="30"/>
      <c r="B905" s="30"/>
      <c r="C905" s="33" t="str">
        <f>IF(B905="","",IFERROR(INDEX('Master Database'!$D$5:$D$600,MATCH(B905,'Master Database'!$A$5:$A$600,0)),"(row not found)"))</f>
        <v/>
      </c>
      <c r="D905" s="33" t="str">
        <f>IF(B905="","",IFERROR(INDEX('Master Database'!$B$5:$B$600,MATCH(B905,'Master Database'!$A$5:$A$600,0)),"(row not found)"))</f>
        <v/>
      </c>
      <c r="E905" s="30"/>
      <c r="F905" s="33" t="str">
        <f>IF(E905="","",IFERROR(INDEX(Vendor_Register!$B$5:$B$205,MATCH(E905,Vendor_Register!$A$5:$A$205,0)),"(not in register)"))</f>
        <v/>
      </c>
      <c r="G905" s="33" t="str">
        <f>IF(E905="","",IFERROR(INDEX(Vendor_Register!$E$5:$E$205,MATCH(E905,Vendor_Register!$A$5:$A$205,0)),"(not in register)"))</f>
        <v/>
      </c>
      <c r="H905" s="30"/>
      <c r="I905" s="30"/>
      <c r="J905" s="30"/>
      <c r="K905" s="30"/>
      <c r="L905" s="30"/>
      <c r="M905" s="34"/>
      <c r="N905" s="30"/>
      <c r="O905" s="35" t="str">
        <f>IF(NOT(ISNUMBER(M905)),"",IFERROR(IF(L905="EUR",M905,IF(L905="IRR",M905/INDEX('Assumptions &amp; FX Reference'!$C$5:$C$25,MATCH(H905,'Assumptions &amp; FX Reference'!$A$5:$A$25,0)),IF(L905="USD",M905*INDEX('Assumptions &amp; FX Reference'!$B$5:$B$25,MATCH(H905,'Assumptions &amp; FX Reference'!$A$5:$A$25,0))/INDEX('Assumptions &amp; FX Reference'!$C$5:$C$25,MATCH(H905,'Assumptions &amp; FX Reference'!$A$5:$A$25,0)),""))),"(FX missing)"))</f>
        <v/>
      </c>
      <c r="P905" s="30"/>
      <c r="Q905" s="30"/>
      <c r="R905" s="30"/>
      <c r="S905" s="30"/>
      <c r="T905" s="30"/>
      <c r="U905" s="30"/>
      <c r="V905" s="30"/>
    </row>
    <row r="906" spans="1:22">
      <c r="A906" s="30"/>
      <c r="B906" s="30"/>
      <c r="C906" s="33" t="str">
        <f>IF(B906="","",IFERROR(INDEX('Master Database'!$D$5:$D$600,MATCH(B906,'Master Database'!$A$5:$A$600,0)),"(row not found)"))</f>
        <v/>
      </c>
      <c r="D906" s="33" t="str">
        <f>IF(B906="","",IFERROR(INDEX('Master Database'!$B$5:$B$600,MATCH(B906,'Master Database'!$A$5:$A$600,0)),"(row not found)"))</f>
        <v/>
      </c>
      <c r="E906" s="30"/>
      <c r="F906" s="33" t="str">
        <f>IF(E906="","",IFERROR(INDEX(Vendor_Register!$B$5:$B$205,MATCH(E906,Vendor_Register!$A$5:$A$205,0)),"(not in register)"))</f>
        <v/>
      </c>
      <c r="G906" s="33" t="str">
        <f>IF(E906="","",IFERROR(INDEX(Vendor_Register!$E$5:$E$205,MATCH(E906,Vendor_Register!$A$5:$A$205,0)),"(not in register)"))</f>
        <v/>
      </c>
      <c r="H906" s="30"/>
      <c r="I906" s="30"/>
      <c r="J906" s="30"/>
      <c r="K906" s="30"/>
      <c r="L906" s="30"/>
      <c r="M906" s="34"/>
      <c r="N906" s="30"/>
      <c r="O906" s="35" t="str">
        <f>IF(NOT(ISNUMBER(M906)),"",IFERROR(IF(L906="EUR",M906,IF(L906="IRR",M906/INDEX('Assumptions &amp; FX Reference'!$C$5:$C$25,MATCH(H906,'Assumptions &amp; FX Reference'!$A$5:$A$25,0)),IF(L906="USD",M906*INDEX('Assumptions &amp; FX Reference'!$B$5:$B$25,MATCH(H906,'Assumptions &amp; FX Reference'!$A$5:$A$25,0))/INDEX('Assumptions &amp; FX Reference'!$C$5:$C$25,MATCH(H906,'Assumptions &amp; FX Reference'!$A$5:$A$25,0)),""))),"(FX missing)"))</f>
        <v/>
      </c>
      <c r="P906" s="30"/>
      <c r="Q906" s="30"/>
      <c r="R906" s="30"/>
      <c r="S906" s="30"/>
      <c r="T906" s="30"/>
      <c r="U906" s="30"/>
      <c r="V906" s="30"/>
    </row>
    <row r="907" spans="1:22">
      <c r="A907" s="30"/>
      <c r="B907" s="30"/>
      <c r="C907" s="33" t="str">
        <f>IF(B907="","",IFERROR(INDEX('Master Database'!$D$5:$D$600,MATCH(B907,'Master Database'!$A$5:$A$600,0)),"(row not found)"))</f>
        <v/>
      </c>
      <c r="D907" s="33" t="str">
        <f>IF(B907="","",IFERROR(INDEX('Master Database'!$B$5:$B$600,MATCH(B907,'Master Database'!$A$5:$A$600,0)),"(row not found)"))</f>
        <v/>
      </c>
      <c r="E907" s="30"/>
      <c r="F907" s="33" t="str">
        <f>IF(E907="","",IFERROR(INDEX(Vendor_Register!$B$5:$B$205,MATCH(E907,Vendor_Register!$A$5:$A$205,0)),"(not in register)"))</f>
        <v/>
      </c>
      <c r="G907" s="33" t="str">
        <f>IF(E907="","",IFERROR(INDEX(Vendor_Register!$E$5:$E$205,MATCH(E907,Vendor_Register!$A$5:$A$205,0)),"(not in register)"))</f>
        <v/>
      </c>
      <c r="H907" s="30"/>
      <c r="I907" s="30"/>
      <c r="J907" s="30"/>
      <c r="K907" s="30"/>
      <c r="L907" s="30"/>
      <c r="M907" s="34"/>
      <c r="N907" s="30"/>
      <c r="O907" s="35" t="str">
        <f>IF(NOT(ISNUMBER(M907)),"",IFERROR(IF(L907="EUR",M907,IF(L907="IRR",M907/INDEX('Assumptions &amp; FX Reference'!$C$5:$C$25,MATCH(H907,'Assumptions &amp; FX Reference'!$A$5:$A$25,0)),IF(L907="USD",M907*INDEX('Assumptions &amp; FX Reference'!$B$5:$B$25,MATCH(H907,'Assumptions &amp; FX Reference'!$A$5:$A$25,0))/INDEX('Assumptions &amp; FX Reference'!$C$5:$C$25,MATCH(H907,'Assumptions &amp; FX Reference'!$A$5:$A$25,0)),""))),"(FX missing)"))</f>
        <v/>
      </c>
      <c r="P907" s="30"/>
      <c r="Q907" s="30"/>
      <c r="R907" s="30"/>
      <c r="S907" s="30"/>
      <c r="T907" s="30"/>
      <c r="U907" s="30"/>
      <c r="V907" s="30"/>
    </row>
    <row r="908" spans="1:22">
      <c r="A908" s="30"/>
      <c r="B908" s="30"/>
      <c r="C908" s="33" t="str">
        <f>IF(B908="","",IFERROR(INDEX('Master Database'!$D$5:$D$600,MATCH(B908,'Master Database'!$A$5:$A$600,0)),"(row not found)"))</f>
        <v/>
      </c>
      <c r="D908" s="33" t="str">
        <f>IF(B908="","",IFERROR(INDEX('Master Database'!$B$5:$B$600,MATCH(B908,'Master Database'!$A$5:$A$600,0)),"(row not found)"))</f>
        <v/>
      </c>
      <c r="E908" s="30"/>
      <c r="F908" s="33" t="str">
        <f>IF(E908="","",IFERROR(INDEX(Vendor_Register!$B$5:$B$205,MATCH(E908,Vendor_Register!$A$5:$A$205,0)),"(not in register)"))</f>
        <v/>
      </c>
      <c r="G908" s="33" t="str">
        <f>IF(E908="","",IFERROR(INDEX(Vendor_Register!$E$5:$E$205,MATCH(E908,Vendor_Register!$A$5:$A$205,0)),"(not in register)"))</f>
        <v/>
      </c>
      <c r="H908" s="30"/>
      <c r="I908" s="30"/>
      <c r="J908" s="30"/>
      <c r="K908" s="30"/>
      <c r="L908" s="30"/>
      <c r="M908" s="34"/>
      <c r="N908" s="30"/>
      <c r="O908" s="35" t="str">
        <f>IF(NOT(ISNUMBER(M908)),"",IFERROR(IF(L908="EUR",M908,IF(L908="IRR",M908/INDEX('Assumptions &amp; FX Reference'!$C$5:$C$25,MATCH(H908,'Assumptions &amp; FX Reference'!$A$5:$A$25,0)),IF(L908="USD",M908*INDEX('Assumptions &amp; FX Reference'!$B$5:$B$25,MATCH(H908,'Assumptions &amp; FX Reference'!$A$5:$A$25,0))/INDEX('Assumptions &amp; FX Reference'!$C$5:$C$25,MATCH(H908,'Assumptions &amp; FX Reference'!$A$5:$A$25,0)),""))),"(FX missing)"))</f>
        <v/>
      </c>
      <c r="P908" s="30"/>
      <c r="Q908" s="30"/>
      <c r="R908" s="30"/>
      <c r="S908" s="30"/>
      <c r="T908" s="30"/>
      <c r="U908" s="30"/>
      <c r="V908" s="30"/>
    </row>
    <row r="909" spans="1:22">
      <c r="A909" s="30"/>
      <c r="B909" s="30"/>
      <c r="C909" s="33" t="str">
        <f>IF(B909="","",IFERROR(INDEX('Master Database'!$D$5:$D$600,MATCH(B909,'Master Database'!$A$5:$A$600,0)),"(row not found)"))</f>
        <v/>
      </c>
      <c r="D909" s="33" t="str">
        <f>IF(B909="","",IFERROR(INDEX('Master Database'!$B$5:$B$600,MATCH(B909,'Master Database'!$A$5:$A$600,0)),"(row not found)"))</f>
        <v/>
      </c>
      <c r="E909" s="30"/>
      <c r="F909" s="33" t="str">
        <f>IF(E909="","",IFERROR(INDEX(Vendor_Register!$B$5:$B$205,MATCH(E909,Vendor_Register!$A$5:$A$205,0)),"(not in register)"))</f>
        <v/>
      </c>
      <c r="G909" s="33" t="str">
        <f>IF(E909="","",IFERROR(INDEX(Vendor_Register!$E$5:$E$205,MATCH(E909,Vendor_Register!$A$5:$A$205,0)),"(not in register)"))</f>
        <v/>
      </c>
      <c r="H909" s="30"/>
      <c r="I909" s="30"/>
      <c r="J909" s="30"/>
      <c r="K909" s="30"/>
      <c r="L909" s="30"/>
      <c r="M909" s="34"/>
      <c r="N909" s="30"/>
      <c r="O909" s="35" t="str">
        <f>IF(NOT(ISNUMBER(M909)),"",IFERROR(IF(L909="EUR",M909,IF(L909="IRR",M909/INDEX('Assumptions &amp; FX Reference'!$C$5:$C$25,MATCH(H909,'Assumptions &amp; FX Reference'!$A$5:$A$25,0)),IF(L909="USD",M909*INDEX('Assumptions &amp; FX Reference'!$B$5:$B$25,MATCH(H909,'Assumptions &amp; FX Reference'!$A$5:$A$25,0))/INDEX('Assumptions &amp; FX Reference'!$C$5:$C$25,MATCH(H909,'Assumptions &amp; FX Reference'!$A$5:$A$25,0)),""))),"(FX missing)"))</f>
        <v/>
      </c>
      <c r="P909" s="30"/>
      <c r="Q909" s="30"/>
      <c r="R909" s="30"/>
      <c r="S909" s="30"/>
      <c r="T909" s="30"/>
      <c r="U909" s="30"/>
      <c r="V909" s="30"/>
    </row>
    <row r="910" spans="1:22">
      <c r="A910" s="30"/>
      <c r="B910" s="30"/>
      <c r="C910" s="33" t="str">
        <f>IF(B910="","",IFERROR(INDEX('Master Database'!$D$5:$D$600,MATCH(B910,'Master Database'!$A$5:$A$600,0)),"(row not found)"))</f>
        <v/>
      </c>
      <c r="D910" s="33" t="str">
        <f>IF(B910="","",IFERROR(INDEX('Master Database'!$B$5:$B$600,MATCH(B910,'Master Database'!$A$5:$A$600,0)),"(row not found)"))</f>
        <v/>
      </c>
      <c r="E910" s="30"/>
      <c r="F910" s="33" t="str">
        <f>IF(E910="","",IFERROR(INDEX(Vendor_Register!$B$5:$B$205,MATCH(E910,Vendor_Register!$A$5:$A$205,0)),"(not in register)"))</f>
        <v/>
      </c>
      <c r="G910" s="33" t="str">
        <f>IF(E910="","",IFERROR(INDEX(Vendor_Register!$E$5:$E$205,MATCH(E910,Vendor_Register!$A$5:$A$205,0)),"(not in register)"))</f>
        <v/>
      </c>
      <c r="H910" s="30"/>
      <c r="I910" s="30"/>
      <c r="J910" s="30"/>
      <c r="K910" s="30"/>
      <c r="L910" s="30"/>
      <c r="M910" s="34"/>
      <c r="N910" s="30"/>
      <c r="O910" s="35" t="str">
        <f>IF(NOT(ISNUMBER(M910)),"",IFERROR(IF(L910="EUR",M910,IF(L910="IRR",M910/INDEX('Assumptions &amp; FX Reference'!$C$5:$C$25,MATCH(H910,'Assumptions &amp; FX Reference'!$A$5:$A$25,0)),IF(L910="USD",M910*INDEX('Assumptions &amp; FX Reference'!$B$5:$B$25,MATCH(H910,'Assumptions &amp; FX Reference'!$A$5:$A$25,0))/INDEX('Assumptions &amp; FX Reference'!$C$5:$C$25,MATCH(H910,'Assumptions &amp; FX Reference'!$A$5:$A$25,0)),""))),"(FX missing)"))</f>
        <v/>
      </c>
      <c r="P910" s="30"/>
      <c r="Q910" s="30"/>
      <c r="R910" s="30"/>
      <c r="S910" s="30"/>
      <c r="T910" s="30"/>
      <c r="U910" s="30"/>
      <c r="V910" s="30"/>
    </row>
    <row r="911" spans="1:22">
      <c r="A911" s="30"/>
      <c r="B911" s="30"/>
      <c r="C911" s="33" t="str">
        <f>IF(B911="","",IFERROR(INDEX('Master Database'!$D$5:$D$600,MATCH(B911,'Master Database'!$A$5:$A$600,0)),"(row not found)"))</f>
        <v/>
      </c>
      <c r="D911" s="33" t="str">
        <f>IF(B911="","",IFERROR(INDEX('Master Database'!$B$5:$B$600,MATCH(B911,'Master Database'!$A$5:$A$600,0)),"(row not found)"))</f>
        <v/>
      </c>
      <c r="E911" s="30"/>
      <c r="F911" s="33" t="str">
        <f>IF(E911="","",IFERROR(INDEX(Vendor_Register!$B$5:$B$205,MATCH(E911,Vendor_Register!$A$5:$A$205,0)),"(not in register)"))</f>
        <v/>
      </c>
      <c r="G911" s="33" t="str">
        <f>IF(E911="","",IFERROR(INDEX(Vendor_Register!$E$5:$E$205,MATCH(E911,Vendor_Register!$A$5:$A$205,0)),"(not in register)"))</f>
        <v/>
      </c>
      <c r="H911" s="30"/>
      <c r="I911" s="30"/>
      <c r="J911" s="30"/>
      <c r="K911" s="30"/>
      <c r="L911" s="30"/>
      <c r="M911" s="34"/>
      <c r="N911" s="30"/>
      <c r="O911" s="35" t="str">
        <f>IF(NOT(ISNUMBER(M911)),"",IFERROR(IF(L911="EUR",M911,IF(L911="IRR",M911/INDEX('Assumptions &amp; FX Reference'!$C$5:$C$25,MATCH(H911,'Assumptions &amp; FX Reference'!$A$5:$A$25,0)),IF(L911="USD",M911*INDEX('Assumptions &amp; FX Reference'!$B$5:$B$25,MATCH(H911,'Assumptions &amp; FX Reference'!$A$5:$A$25,0))/INDEX('Assumptions &amp; FX Reference'!$C$5:$C$25,MATCH(H911,'Assumptions &amp; FX Reference'!$A$5:$A$25,0)),""))),"(FX missing)"))</f>
        <v/>
      </c>
      <c r="P911" s="30"/>
      <c r="Q911" s="30"/>
      <c r="R911" s="30"/>
      <c r="S911" s="30"/>
      <c r="T911" s="30"/>
      <c r="U911" s="30"/>
      <c r="V911" s="30"/>
    </row>
    <row r="912" spans="1:22">
      <c r="A912" s="30"/>
      <c r="B912" s="30"/>
      <c r="C912" s="33" t="str">
        <f>IF(B912="","",IFERROR(INDEX('Master Database'!$D$5:$D$600,MATCH(B912,'Master Database'!$A$5:$A$600,0)),"(row not found)"))</f>
        <v/>
      </c>
      <c r="D912" s="33" t="str">
        <f>IF(B912="","",IFERROR(INDEX('Master Database'!$B$5:$B$600,MATCH(B912,'Master Database'!$A$5:$A$600,0)),"(row not found)"))</f>
        <v/>
      </c>
      <c r="E912" s="30"/>
      <c r="F912" s="33" t="str">
        <f>IF(E912="","",IFERROR(INDEX(Vendor_Register!$B$5:$B$205,MATCH(E912,Vendor_Register!$A$5:$A$205,0)),"(not in register)"))</f>
        <v/>
      </c>
      <c r="G912" s="33" t="str">
        <f>IF(E912="","",IFERROR(INDEX(Vendor_Register!$E$5:$E$205,MATCH(E912,Vendor_Register!$A$5:$A$205,0)),"(not in register)"))</f>
        <v/>
      </c>
      <c r="H912" s="30"/>
      <c r="I912" s="30"/>
      <c r="J912" s="30"/>
      <c r="K912" s="30"/>
      <c r="L912" s="30"/>
      <c r="M912" s="34"/>
      <c r="N912" s="30"/>
      <c r="O912" s="35" t="str">
        <f>IF(NOT(ISNUMBER(M912)),"",IFERROR(IF(L912="EUR",M912,IF(L912="IRR",M912/INDEX('Assumptions &amp; FX Reference'!$C$5:$C$25,MATCH(H912,'Assumptions &amp; FX Reference'!$A$5:$A$25,0)),IF(L912="USD",M912*INDEX('Assumptions &amp; FX Reference'!$B$5:$B$25,MATCH(H912,'Assumptions &amp; FX Reference'!$A$5:$A$25,0))/INDEX('Assumptions &amp; FX Reference'!$C$5:$C$25,MATCH(H912,'Assumptions &amp; FX Reference'!$A$5:$A$25,0)),""))),"(FX missing)"))</f>
        <v/>
      </c>
      <c r="P912" s="30"/>
      <c r="Q912" s="30"/>
      <c r="R912" s="30"/>
      <c r="S912" s="30"/>
      <c r="T912" s="30"/>
      <c r="U912" s="30"/>
      <c r="V912" s="30"/>
    </row>
    <row r="913" spans="1:22">
      <c r="A913" s="30"/>
      <c r="B913" s="30"/>
      <c r="C913" s="33" t="str">
        <f>IF(B913="","",IFERROR(INDEX('Master Database'!$D$5:$D$600,MATCH(B913,'Master Database'!$A$5:$A$600,0)),"(row not found)"))</f>
        <v/>
      </c>
      <c r="D913" s="33" t="str">
        <f>IF(B913="","",IFERROR(INDEX('Master Database'!$B$5:$B$600,MATCH(B913,'Master Database'!$A$5:$A$600,0)),"(row not found)"))</f>
        <v/>
      </c>
      <c r="E913" s="30"/>
      <c r="F913" s="33" t="str">
        <f>IF(E913="","",IFERROR(INDEX(Vendor_Register!$B$5:$B$205,MATCH(E913,Vendor_Register!$A$5:$A$205,0)),"(not in register)"))</f>
        <v/>
      </c>
      <c r="G913" s="33" t="str">
        <f>IF(E913="","",IFERROR(INDEX(Vendor_Register!$E$5:$E$205,MATCH(E913,Vendor_Register!$A$5:$A$205,0)),"(not in register)"))</f>
        <v/>
      </c>
      <c r="H913" s="30"/>
      <c r="I913" s="30"/>
      <c r="J913" s="30"/>
      <c r="K913" s="30"/>
      <c r="L913" s="30"/>
      <c r="M913" s="34"/>
      <c r="N913" s="30"/>
      <c r="O913" s="35" t="str">
        <f>IF(NOT(ISNUMBER(M913)),"",IFERROR(IF(L913="EUR",M913,IF(L913="IRR",M913/INDEX('Assumptions &amp; FX Reference'!$C$5:$C$25,MATCH(H913,'Assumptions &amp; FX Reference'!$A$5:$A$25,0)),IF(L913="USD",M913*INDEX('Assumptions &amp; FX Reference'!$B$5:$B$25,MATCH(H913,'Assumptions &amp; FX Reference'!$A$5:$A$25,0))/INDEX('Assumptions &amp; FX Reference'!$C$5:$C$25,MATCH(H913,'Assumptions &amp; FX Reference'!$A$5:$A$25,0)),""))),"(FX missing)"))</f>
        <v/>
      </c>
      <c r="P913" s="30"/>
      <c r="Q913" s="30"/>
      <c r="R913" s="30"/>
      <c r="S913" s="30"/>
      <c r="T913" s="30"/>
      <c r="U913" s="30"/>
      <c r="V913" s="30"/>
    </row>
    <row r="914" spans="1:22">
      <c r="A914" s="30"/>
      <c r="B914" s="30"/>
      <c r="C914" s="33" t="str">
        <f>IF(B914="","",IFERROR(INDEX('Master Database'!$D$5:$D$600,MATCH(B914,'Master Database'!$A$5:$A$600,0)),"(row not found)"))</f>
        <v/>
      </c>
      <c r="D914" s="33" t="str">
        <f>IF(B914="","",IFERROR(INDEX('Master Database'!$B$5:$B$600,MATCH(B914,'Master Database'!$A$5:$A$600,0)),"(row not found)"))</f>
        <v/>
      </c>
      <c r="E914" s="30"/>
      <c r="F914" s="33" t="str">
        <f>IF(E914="","",IFERROR(INDEX(Vendor_Register!$B$5:$B$205,MATCH(E914,Vendor_Register!$A$5:$A$205,0)),"(not in register)"))</f>
        <v/>
      </c>
      <c r="G914" s="33" t="str">
        <f>IF(E914="","",IFERROR(INDEX(Vendor_Register!$E$5:$E$205,MATCH(E914,Vendor_Register!$A$5:$A$205,0)),"(not in register)"))</f>
        <v/>
      </c>
      <c r="H914" s="30"/>
      <c r="I914" s="30"/>
      <c r="J914" s="30"/>
      <c r="K914" s="30"/>
      <c r="L914" s="30"/>
      <c r="M914" s="34"/>
      <c r="N914" s="30"/>
      <c r="O914" s="35" t="str">
        <f>IF(NOT(ISNUMBER(M914)),"",IFERROR(IF(L914="EUR",M914,IF(L914="IRR",M914/INDEX('Assumptions &amp; FX Reference'!$C$5:$C$25,MATCH(H914,'Assumptions &amp; FX Reference'!$A$5:$A$25,0)),IF(L914="USD",M914*INDEX('Assumptions &amp; FX Reference'!$B$5:$B$25,MATCH(H914,'Assumptions &amp; FX Reference'!$A$5:$A$25,0))/INDEX('Assumptions &amp; FX Reference'!$C$5:$C$25,MATCH(H914,'Assumptions &amp; FX Reference'!$A$5:$A$25,0)),""))),"(FX missing)"))</f>
        <v/>
      </c>
      <c r="P914" s="30"/>
      <c r="Q914" s="30"/>
      <c r="R914" s="30"/>
      <c r="S914" s="30"/>
      <c r="T914" s="30"/>
      <c r="U914" s="30"/>
      <c r="V914" s="30"/>
    </row>
    <row r="915" spans="1:22">
      <c r="A915" s="30"/>
      <c r="B915" s="30"/>
      <c r="C915" s="33" t="str">
        <f>IF(B915="","",IFERROR(INDEX('Master Database'!$D$5:$D$600,MATCH(B915,'Master Database'!$A$5:$A$600,0)),"(row not found)"))</f>
        <v/>
      </c>
      <c r="D915" s="33" t="str">
        <f>IF(B915="","",IFERROR(INDEX('Master Database'!$B$5:$B$600,MATCH(B915,'Master Database'!$A$5:$A$600,0)),"(row not found)"))</f>
        <v/>
      </c>
      <c r="E915" s="30"/>
      <c r="F915" s="33" t="str">
        <f>IF(E915="","",IFERROR(INDEX(Vendor_Register!$B$5:$B$205,MATCH(E915,Vendor_Register!$A$5:$A$205,0)),"(not in register)"))</f>
        <v/>
      </c>
      <c r="G915" s="33" t="str">
        <f>IF(E915="","",IFERROR(INDEX(Vendor_Register!$E$5:$E$205,MATCH(E915,Vendor_Register!$A$5:$A$205,0)),"(not in register)"))</f>
        <v/>
      </c>
      <c r="H915" s="30"/>
      <c r="I915" s="30"/>
      <c r="J915" s="30"/>
      <c r="K915" s="30"/>
      <c r="L915" s="30"/>
      <c r="M915" s="34"/>
      <c r="N915" s="30"/>
      <c r="O915" s="35" t="str">
        <f>IF(NOT(ISNUMBER(M915)),"",IFERROR(IF(L915="EUR",M915,IF(L915="IRR",M915/INDEX('Assumptions &amp; FX Reference'!$C$5:$C$25,MATCH(H915,'Assumptions &amp; FX Reference'!$A$5:$A$25,0)),IF(L915="USD",M915*INDEX('Assumptions &amp; FX Reference'!$B$5:$B$25,MATCH(H915,'Assumptions &amp; FX Reference'!$A$5:$A$25,0))/INDEX('Assumptions &amp; FX Reference'!$C$5:$C$25,MATCH(H915,'Assumptions &amp; FX Reference'!$A$5:$A$25,0)),""))),"(FX missing)"))</f>
        <v/>
      </c>
      <c r="P915" s="30"/>
      <c r="Q915" s="30"/>
      <c r="R915" s="30"/>
      <c r="S915" s="30"/>
      <c r="T915" s="30"/>
      <c r="U915" s="30"/>
      <c r="V915" s="30"/>
    </row>
    <row r="916" spans="1:22">
      <c r="A916" s="30"/>
      <c r="B916" s="30"/>
      <c r="C916" s="33" t="str">
        <f>IF(B916="","",IFERROR(INDEX('Master Database'!$D$5:$D$600,MATCH(B916,'Master Database'!$A$5:$A$600,0)),"(row not found)"))</f>
        <v/>
      </c>
      <c r="D916" s="33" t="str">
        <f>IF(B916="","",IFERROR(INDEX('Master Database'!$B$5:$B$600,MATCH(B916,'Master Database'!$A$5:$A$600,0)),"(row not found)"))</f>
        <v/>
      </c>
      <c r="E916" s="30"/>
      <c r="F916" s="33" t="str">
        <f>IF(E916="","",IFERROR(INDEX(Vendor_Register!$B$5:$B$205,MATCH(E916,Vendor_Register!$A$5:$A$205,0)),"(not in register)"))</f>
        <v/>
      </c>
      <c r="G916" s="33" t="str">
        <f>IF(E916="","",IFERROR(INDEX(Vendor_Register!$E$5:$E$205,MATCH(E916,Vendor_Register!$A$5:$A$205,0)),"(not in register)"))</f>
        <v/>
      </c>
      <c r="H916" s="30"/>
      <c r="I916" s="30"/>
      <c r="J916" s="30"/>
      <c r="K916" s="30"/>
      <c r="L916" s="30"/>
      <c r="M916" s="34"/>
      <c r="N916" s="30"/>
      <c r="O916" s="35" t="str">
        <f>IF(NOT(ISNUMBER(M916)),"",IFERROR(IF(L916="EUR",M916,IF(L916="IRR",M916/INDEX('Assumptions &amp; FX Reference'!$C$5:$C$25,MATCH(H916,'Assumptions &amp; FX Reference'!$A$5:$A$25,0)),IF(L916="USD",M916*INDEX('Assumptions &amp; FX Reference'!$B$5:$B$25,MATCH(H916,'Assumptions &amp; FX Reference'!$A$5:$A$25,0))/INDEX('Assumptions &amp; FX Reference'!$C$5:$C$25,MATCH(H916,'Assumptions &amp; FX Reference'!$A$5:$A$25,0)),""))),"(FX missing)"))</f>
        <v/>
      </c>
      <c r="P916" s="30"/>
      <c r="Q916" s="30"/>
      <c r="R916" s="30"/>
      <c r="S916" s="30"/>
      <c r="T916" s="30"/>
      <c r="U916" s="30"/>
      <c r="V916" s="30"/>
    </row>
    <row r="917" spans="1:22">
      <c r="A917" s="30"/>
      <c r="B917" s="30"/>
      <c r="C917" s="33" t="str">
        <f>IF(B917="","",IFERROR(INDEX('Master Database'!$D$5:$D$600,MATCH(B917,'Master Database'!$A$5:$A$600,0)),"(row not found)"))</f>
        <v/>
      </c>
      <c r="D917" s="33" t="str">
        <f>IF(B917="","",IFERROR(INDEX('Master Database'!$B$5:$B$600,MATCH(B917,'Master Database'!$A$5:$A$600,0)),"(row not found)"))</f>
        <v/>
      </c>
      <c r="E917" s="30"/>
      <c r="F917" s="33" t="str">
        <f>IF(E917="","",IFERROR(INDEX(Vendor_Register!$B$5:$B$205,MATCH(E917,Vendor_Register!$A$5:$A$205,0)),"(not in register)"))</f>
        <v/>
      </c>
      <c r="G917" s="33" t="str">
        <f>IF(E917="","",IFERROR(INDEX(Vendor_Register!$E$5:$E$205,MATCH(E917,Vendor_Register!$A$5:$A$205,0)),"(not in register)"))</f>
        <v/>
      </c>
      <c r="H917" s="30"/>
      <c r="I917" s="30"/>
      <c r="J917" s="30"/>
      <c r="K917" s="30"/>
      <c r="L917" s="30"/>
      <c r="M917" s="34"/>
      <c r="N917" s="30"/>
      <c r="O917" s="35" t="str">
        <f>IF(NOT(ISNUMBER(M917)),"",IFERROR(IF(L917="EUR",M917,IF(L917="IRR",M917/INDEX('Assumptions &amp; FX Reference'!$C$5:$C$25,MATCH(H917,'Assumptions &amp; FX Reference'!$A$5:$A$25,0)),IF(L917="USD",M917*INDEX('Assumptions &amp; FX Reference'!$B$5:$B$25,MATCH(H917,'Assumptions &amp; FX Reference'!$A$5:$A$25,0))/INDEX('Assumptions &amp; FX Reference'!$C$5:$C$25,MATCH(H917,'Assumptions &amp; FX Reference'!$A$5:$A$25,0)),""))),"(FX missing)"))</f>
        <v/>
      </c>
      <c r="P917" s="30"/>
      <c r="Q917" s="30"/>
      <c r="R917" s="30"/>
      <c r="S917" s="30"/>
      <c r="T917" s="30"/>
      <c r="U917" s="30"/>
      <c r="V917" s="30"/>
    </row>
    <row r="918" spans="1:22">
      <c r="A918" s="30"/>
      <c r="B918" s="30"/>
      <c r="C918" s="33" t="str">
        <f>IF(B918="","",IFERROR(INDEX('Master Database'!$D$5:$D$600,MATCH(B918,'Master Database'!$A$5:$A$600,0)),"(row not found)"))</f>
        <v/>
      </c>
      <c r="D918" s="33" t="str">
        <f>IF(B918="","",IFERROR(INDEX('Master Database'!$B$5:$B$600,MATCH(B918,'Master Database'!$A$5:$A$600,0)),"(row not found)"))</f>
        <v/>
      </c>
      <c r="E918" s="30"/>
      <c r="F918" s="33" t="str">
        <f>IF(E918="","",IFERROR(INDEX(Vendor_Register!$B$5:$B$205,MATCH(E918,Vendor_Register!$A$5:$A$205,0)),"(not in register)"))</f>
        <v/>
      </c>
      <c r="G918" s="33" t="str">
        <f>IF(E918="","",IFERROR(INDEX(Vendor_Register!$E$5:$E$205,MATCH(E918,Vendor_Register!$A$5:$A$205,0)),"(not in register)"))</f>
        <v/>
      </c>
      <c r="H918" s="30"/>
      <c r="I918" s="30"/>
      <c r="J918" s="30"/>
      <c r="K918" s="30"/>
      <c r="L918" s="30"/>
      <c r="M918" s="34"/>
      <c r="N918" s="30"/>
      <c r="O918" s="35" t="str">
        <f>IF(NOT(ISNUMBER(M918)),"",IFERROR(IF(L918="EUR",M918,IF(L918="IRR",M918/INDEX('Assumptions &amp; FX Reference'!$C$5:$C$25,MATCH(H918,'Assumptions &amp; FX Reference'!$A$5:$A$25,0)),IF(L918="USD",M918*INDEX('Assumptions &amp; FX Reference'!$B$5:$B$25,MATCH(H918,'Assumptions &amp; FX Reference'!$A$5:$A$25,0))/INDEX('Assumptions &amp; FX Reference'!$C$5:$C$25,MATCH(H918,'Assumptions &amp; FX Reference'!$A$5:$A$25,0)),""))),"(FX missing)"))</f>
        <v/>
      </c>
      <c r="P918" s="30"/>
      <c r="Q918" s="30"/>
      <c r="R918" s="30"/>
      <c r="S918" s="30"/>
      <c r="T918" s="30"/>
      <c r="U918" s="30"/>
      <c r="V918" s="30"/>
    </row>
    <row r="919" spans="1:22">
      <c r="A919" s="30"/>
      <c r="B919" s="30"/>
      <c r="C919" s="33" t="str">
        <f>IF(B919="","",IFERROR(INDEX('Master Database'!$D$5:$D$600,MATCH(B919,'Master Database'!$A$5:$A$600,0)),"(row not found)"))</f>
        <v/>
      </c>
      <c r="D919" s="33" t="str">
        <f>IF(B919="","",IFERROR(INDEX('Master Database'!$B$5:$B$600,MATCH(B919,'Master Database'!$A$5:$A$600,0)),"(row not found)"))</f>
        <v/>
      </c>
      <c r="E919" s="30"/>
      <c r="F919" s="33" t="str">
        <f>IF(E919="","",IFERROR(INDEX(Vendor_Register!$B$5:$B$205,MATCH(E919,Vendor_Register!$A$5:$A$205,0)),"(not in register)"))</f>
        <v/>
      </c>
      <c r="G919" s="33" t="str">
        <f>IF(E919="","",IFERROR(INDEX(Vendor_Register!$E$5:$E$205,MATCH(E919,Vendor_Register!$A$5:$A$205,0)),"(not in register)"))</f>
        <v/>
      </c>
      <c r="H919" s="30"/>
      <c r="I919" s="30"/>
      <c r="J919" s="30"/>
      <c r="K919" s="30"/>
      <c r="L919" s="30"/>
      <c r="M919" s="34"/>
      <c r="N919" s="30"/>
      <c r="O919" s="35" t="str">
        <f>IF(NOT(ISNUMBER(M919)),"",IFERROR(IF(L919="EUR",M919,IF(L919="IRR",M919/INDEX('Assumptions &amp; FX Reference'!$C$5:$C$25,MATCH(H919,'Assumptions &amp; FX Reference'!$A$5:$A$25,0)),IF(L919="USD",M919*INDEX('Assumptions &amp; FX Reference'!$B$5:$B$25,MATCH(H919,'Assumptions &amp; FX Reference'!$A$5:$A$25,0))/INDEX('Assumptions &amp; FX Reference'!$C$5:$C$25,MATCH(H919,'Assumptions &amp; FX Reference'!$A$5:$A$25,0)),""))),"(FX missing)"))</f>
        <v/>
      </c>
      <c r="P919" s="30"/>
      <c r="Q919" s="30"/>
      <c r="R919" s="30"/>
      <c r="S919" s="30"/>
      <c r="T919" s="30"/>
      <c r="U919" s="30"/>
      <c r="V919" s="30"/>
    </row>
    <row r="920" spans="1:22">
      <c r="A920" s="30"/>
      <c r="B920" s="30"/>
      <c r="C920" s="33" t="str">
        <f>IF(B920="","",IFERROR(INDEX('Master Database'!$D$5:$D$600,MATCH(B920,'Master Database'!$A$5:$A$600,0)),"(row not found)"))</f>
        <v/>
      </c>
      <c r="D920" s="33" t="str">
        <f>IF(B920="","",IFERROR(INDEX('Master Database'!$B$5:$B$600,MATCH(B920,'Master Database'!$A$5:$A$600,0)),"(row not found)"))</f>
        <v/>
      </c>
      <c r="E920" s="30"/>
      <c r="F920" s="33" t="str">
        <f>IF(E920="","",IFERROR(INDEX(Vendor_Register!$B$5:$B$205,MATCH(E920,Vendor_Register!$A$5:$A$205,0)),"(not in register)"))</f>
        <v/>
      </c>
      <c r="G920" s="33" t="str">
        <f>IF(E920="","",IFERROR(INDEX(Vendor_Register!$E$5:$E$205,MATCH(E920,Vendor_Register!$A$5:$A$205,0)),"(not in register)"))</f>
        <v/>
      </c>
      <c r="H920" s="30"/>
      <c r="I920" s="30"/>
      <c r="J920" s="30"/>
      <c r="K920" s="30"/>
      <c r="L920" s="30"/>
      <c r="M920" s="34"/>
      <c r="N920" s="30"/>
      <c r="O920" s="35" t="str">
        <f>IF(NOT(ISNUMBER(M920)),"",IFERROR(IF(L920="EUR",M920,IF(L920="IRR",M920/INDEX('Assumptions &amp; FX Reference'!$C$5:$C$25,MATCH(H920,'Assumptions &amp; FX Reference'!$A$5:$A$25,0)),IF(L920="USD",M920*INDEX('Assumptions &amp; FX Reference'!$B$5:$B$25,MATCH(H920,'Assumptions &amp; FX Reference'!$A$5:$A$25,0))/INDEX('Assumptions &amp; FX Reference'!$C$5:$C$25,MATCH(H920,'Assumptions &amp; FX Reference'!$A$5:$A$25,0)),""))),"(FX missing)"))</f>
        <v/>
      </c>
      <c r="P920" s="30"/>
      <c r="Q920" s="30"/>
      <c r="R920" s="30"/>
      <c r="S920" s="30"/>
      <c r="T920" s="30"/>
      <c r="U920" s="30"/>
      <c r="V920" s="30"/>
    </row>
    <row r="921" spans="1:22">
      <c r="A921" s="30"/>
      <c r="B921" s="30"/>
      <c r="C921" s="33" t="str">
        <f>IF(B921="","",IFERROR(INDEX('Master Database'!$D$5:$D$600,MATCH(B921,'Master Database'!$A$5:$A$600,0)),"(row not found)"))</f>
        <v/>
      </c>
      <c r="D921" s="33" t="str">
        <f>IF(B921="","",IFERROR(INDEX('Master Database'!$B$5:$B$600,MATCH(B921,'Master Database'!$A$5:$A$600,0)),"(row not found)"))</f>
        <v/>
      </c>
      <c r="E921" s="30"/>
      <c r="F921" s="33" t="str">
        <f>IF(E921="","",IFERROR(INDEX(Vendor_Register!$B$5:$B$205,MATCH(E921,Vendor_Register!$A$5:$A$205,0)),"(not in register)"))</f>
        <v/>
      </c>
      <c r="G921" s="33" t="str">
        <f>IF(E921="","",IFERROR(INDEX(Vendor_Register!$E$5:$E$205,MATCH(E921,Vendor_Register!$A$5:$A$205,0)),"(not in register)"))</f>
        <v/>
      </c>
      <c r="H921" s="30"/>
      <c r="I921" s="30"/>
      <c r="J921" s="30"/>
      <c r="K921" s="30"/>
      <c r="L921" s="30"/>
      <c r="M921" s="34"/>
      <c r="N921" s="30"/>
      <c r="O921" s="35" t="str">
        <f>IF(NOT(ISNUMBER(M921)),"",IFERROR(IF(L921="EUR",M921,IF(L921="IRR",M921/INDEX('Assumptions &amp; FX Reference'!$C$5:$C$25,MATCH(H921,'Assumptions &amp; FX Reference'!$A$5:$A$25,0)),IF(L921="USD",M921*INDEX('Assumptions &amp; FX Reference'!$B$5:$B$25,MATCH(H921,'Assumptions &amp; FX Reference'!$A$5:$A$25,0))/INDEX('Assumptions &amp; FX Reference'!$C$5:$C$25,MATCH(H921,'Assumptions &amp; FX Reference'!$A$5:$A$25,0)),""))),"(FX missing)"))</f>
        <v/>
      </c>
      <c r="P921" s="30"/>
      <c r="Q921" s="30"/>
      <c r="R921" s="30"/>
      <c r="S921" s="30"/>
      <c r="T921" s="30"/>
      <c r="U921" s="30"/>
      <c r="V921" s="30"/>
    </row>
    <row r="922" spans="1:22">
      <c r="A922" s="30"/>
      <c r="B922" s="30"/>
      <c r="C922" s="33" t="str">
        <f>IF(B922="","",IFERROR(INDEX('Master Database'!$D$5:$D$600,MATCH(B922,'Master Database'!$A$5:$A$600,0)),"(row not found)"))</f>
        <v/>
      </c>
      <c r="D922" s="33" t="str">
        <f>IF(B922="","",IFERROR(INDEX('Master Database'!$B$5:$B$600,MATCH(B922,'Master Database'!$A$5:$A$600,0)),"(row not found)"))</f>
        <v/>
      </c>
      <c r="E922" s="30"/>
      <c r="F922" s="33" t="str">
        <f>IF(E922="","",IFERROR(INDEX(Vendor_Register!$B$5:$B$205,MATCH(E922,Vendor_Register!$A$5:$A$205,0)),"(not in register)"))</f>
        <v/>
      </c>
      <c r="G922" s="33" t="str">
        <f>IF(E922="","",IFERROR(INDEX(Vendor_Register!$E$5:$E$205,MATCH(E922,Vendor_Register!$A$5:$A$205,0)),"(not in register)"))</f>
        <v/>
      </c>
      <c r="H922" s="30"/>
      <c r="I922" s="30"/>
      <c r="J922" s="30"/>
      <c r="K922" s="30"/>
      <c r="L922" s="30"/>
      <c r="M922" s="34"/>
      <c r="N922" s="30"/>
      <c r="O922" s="35" t="str">
        <f>IF(NOT(ISNUMBER(M922)),"",IFERROR(IF(L922="EUR",M922,IF(L922="IRR",M922/INDEX('Assumptions &amp; FX Reference'!$C$5:$C$25,MATCH(H922,'Assumptions &amp; FX Reference'!$A$5:$A$25,0)),IF(L922="USD",M922*INDEX('Assumptions &amp; FX Reference'!$B$5:$B$25,MATCH(H922,'Assumptions &amp; FX Reference'!$A$5:$A$25,0))/INDEX('Assumptions &amp; FX Reference'!$C$5:$C$25,MATCH(H922,'Assumptions &amp; FX Reference'!$A$5:$A$25,0)),""))),"(FX missing)"))</f>
        <v/>
      </c>
      <c r="P922" s="30"/>
      <c r="Q922" s="30"/>
      <c r="R922" s="30"/>
      <c r="S922" s="30"/>
      <c r="T922" s="30"/>
      <c r="U922" s="30"/>
      <c r="V922" s="30"/>
    </row>
    <row r="923" spans="1:22">
      <c r="A923" s="30"/>
      <c r="B923" s="30"/>
      <c r="C923" s="33" t="str">
        <f>IF(B923="","",IFERROR(INDEX('Master Database'!$D$5:$D$600,MATCH(B923,'Master Database'!$A$5:$A$600,0)),"(row not found)"))</f>
        <v/>
      </c>
      <c r="D923" s="33" t="str">
        <f>IF(B923="","",IFERROR(INDEX('Master Database'!$B$5:$B$600,MATCH(B923,'Master Database'!$A$5:$A$600,0)),"(row not found)"))</f>
        <v/>
      </c>
      <c r="E923" s="30"/>
      <c r="F923" s="33" t="str">
        <f>IF(E923="","",IFERROR(INDEX(Vendor_Register!$B$5:$B$205,MATCH(E923,Vendor_Register!$A$5:$A$205,0)),"(not in register)"))</f>
        <v/>
      </c>
      <c r="G923" s="33" t="str">
        <f>IF(E923="","",IFERROR(INDEX(Vendor_Register!$E$5:$E$205,MATCH(E923,Vendor_Register!$A$5:$A$205,0)),"(not in register)"))</f>
        <v/>
      </c>
      <c r="H923" s="30"/>
      <c r="I923" s="30"/>
      <c r="J923" s="30"/>
      <c r="K923" s="30"/>
      <c r="L923" s="30"/>
      <c r="M923" s="34"/>
      <c r="N923" s="30"/>
      <c r="O923" s="35" t="str">
        <f>IF(NOT(ISNUMBER(M923)),"",IFERROR(IF(L923="EUR",M923,IF(L923="IRR",M923/INDEX('Assumptions &amp; FX Reference'!$C$5:$C$25,MATCH(H923,'Assumptions &amp; FX Reference'!$A$5:$A$25,0)),IF(L923="USD",M923*INDEX('Assumptions &amp; FX Reference'!$B$5:$B$25,MATCH(H923,'Assumptions &amp; FX Reference'!$A$5:$A$25,0))/INDEX('Assumptions &amp; FX Reference'!$C$5:$C$25,MATCH(H923,'Assumptions &amp; FX Reference'!$A$5:$A$25,0)),""))),"(FX missing)"))</f>
        <v/>
      </c>
      <c r="P923" s="30"/>
      <c r="Q923" s="30"/>
      <c r="R923" s="30"/>
      <c r="S923" s="30"/>
      <c r="T923" s="30"/>
      <c r="U923" s="30"/>
      <c r="V923" s="30"/>
    </row>
    <row r="924" spans="1:22">
      <c r="A924" s="30"/>
      <c r="B924" s="30"/>
      <c r="C924" s="33" t="str">
        <f>IF(B924="","",IFERROR(INDEX('Master Database'!$D$5:$D$600,MATCH(B924,'Master Database'!$A$5:$A$600,0)),"(row not found)"))</f>
        <v/>
      </c>
      <c r="D924" s="33" t="str">
        <f>IF(B924="","",IFERROR(INDEX('Master Database'!$B$5:$B$600,MATCH(B924,'Master Database'!$A$5:$A$600,0)),"(row not found)"))</f>
        <v/>
      </c>
      <c r="E924" s="30"/>
      <c r="F924" s="33" t="str">
        <f>IF(E924="","",IFERROR(INDEX(Vendor_Register!$B$5:$B$205,MATCH(E924,Vendor_Register!$A$5:$A$205,0)),"(not in register)"))</f>
        <v/>
      </c>
      <c r="G924" s="33" t="str">
        <f>IF(E924="","",IFERROR(INDEX(Vendor_Register!$E$5:$E$205,MATCH(E924,Vendor_Register!$A$5:$A$205,0)),"(not in register)"))</f>
        <v/>
      </c>
      <c r="H924" s="30"/>
      <c r="I924" s="30"/>
      <c r="J924" s="30"/>
      <c r="K924" s="30"/>
      <c r="L924" s="30"/>
      <c r="M924" s="34"/>
      <c r="N924" s="30"/>
      <c r="O924" s="35" t="str">
        <f>IF(NOT(ISNUMBER(M924)),"",IFERROR(IF(L924="EUR",M924,IF(L924="IRR",M924/INDEX('Assumptions &amp; FX Reference'!$C$5:$C$25,MATCH(H924,'Assumptions &amp; FX Reference'!$A$5:$A$25,0)),IF(L924="USD",M924*INDEX('Assumptions &amp; FX Reference'!$B$5:$B$25,MATCH(H924,'Assumptions &amp; FX Reference'!$A$5:$A$25,0))/INDEX('Assumptions &amp; FX Reference'!$C$5:$C$25,MATCH(H924,'Assumptions &amp; FX Reference'!$A$5:$A$25,0)),""))),"(FX missing)"))</f>
        <v/>
      </c>
      <c r="P924" s="30"/>
      <c r="Q924" s="30"/>
      <c r="R924" s="30"/>
      <c r="S924" s="30"/>
      <c r="T924" s="30"/>
      <c r="U924" s="30"/>
      <c r="V924" s="30"/>
    </row>
    <row r="925" spans="1:22">
      <c r="A925" s="30"/>
      <c r="B925" s="30"/>
      <c r="C925" s="33" t="str">
        <f>IF(B925="","",IFERROR(INDEX('Master Database'!$D$5:$D$600,MATCH(B925,'Master Database'!$A$5:$A$600,0)),"(row not found)"))</f>
        <v/>
      </c>
      <c r="D925" s="33" t="str">
        <f>IF(B925="","",IFERROR(INDEX('Master Database'!$B$5:$B$600,MATCH(B925,'Master Database'!$A$5:$A$600,0)),"(row not found)"))</f>
        <v/>
      </c>
      <c r="E925" s="30"/>
      <c r="F925" s="33" t="str">
        <f>IF(E925="","",IFERROR(INDEX(Vendor_Register!$B$5:$B$205,MATCH(E925,Vendor_Register!$A$5:$A$205,0)),"(not in register)"))</f>
        <v/>
      </c>
      <c r="G925" s="33" t="str">
        <f>IF(E925="","",IFERROR(INDEX(Vendor_Register!$E$5:$E$205,MATCH(E925,Vendor_Register!$A$5:$A$205,0)),"(not in register)"))</f>
        <v/>
      </c>
      <c r="H925" s="30"/>
      <c r="I925" s="30"/>
      <c r="J925" s="30"/>
      <c r="K925" s="30"/>
      <c r="L925" s="30"/>
      <c r="M925" s="34"/>
      <c r="N925" s="30"/>
      <c r="O925" s="35" t="str">
        <f>IF(NOT(ISNUMBER(M925)),"",IFERROR(IF(L925="EUR",M925,IF(L925="IRR",M925/INDEX('Assumptions &amp; FX Reference'!$C$5:$C$25,MATCH(H925,'Assumptions &amp; FX Reference'!$A$5:$A$25,0)),IF(L925="USD",M925*INDEX('Assumptions &amp; FX Reference'!$B$5:$B$25,MATCH(H925,'Assumptions &amp; FX Reference'!$A$5:$A$25,0))/INDEX('Assumptions &amp; FX Reference'!$C$5:$C$25,MATCH(H925,'Assumptions &amp; FX Reference'!$A$5:$A$25,0)),""))),"(FX missing)"))</f>
        <v/>
      </c>
      <c r="P925" s="30"/>
      <c r="Q925" s="30"/>
      <c r="R925" s="30"/>
      <c r="S925" s="30"/>
      <c r="T925" s="30"/>
      <c r="U925" s="30"/>
      <c r="V925" s="30"/>
    </row>
    <row r="926" spans="1:22">
      <c r="A926" s="30"/>
      <c r="B926" s="30"/>
      <c r="C926" s="33" t="str">
        <f>IF(B926="","",IFERROR(INDEX('Master Database'!$D$5:$D$600,MATCH(B926,'Master Database'!$A$5:$A$600,0)),"(row not found)"))</f>
        <v/>
      </c>
      <c r="D926" s="33" t="str">
        <f>IF(B926="","",IFERROR(INDEX('Master Database'!$B$5:$B$600,MATCH(B926,'Master Database'!$A$5:$A$600,0)),"(row not found)"))</f>
        <v/>
      </c>
      <c r="E926" s="30"/>
      <c r="F926" s="33" t="str">
        <f>IF(E926="","",IFERROR(INDEX(Vendor_Register!$B$5:$B$205,MATCH(E926,Vendor_Register!$A$5:$A$205,0)),"(not in register)"))</f>
        <v/>
      </c>
      <c r="G926" s="33" t="str">
        <f>IF(E926="","",IFERROR(INDEX(Vendor_Register!$E$5:$E$205,MATCH(E926,Vendor_Register!$A$5:$A$205,0)),"(not in register)"))</f>
        <v/>
      </c>
      <c r="H926" s="30"/>
      <c r="I926" s="30"/>
      <c r="J926" s="30"/>
      <c r="K926" s="30"/>
      <c r="L926" s="30"/>
      <c r="M926" s="34"/>
      <c r="N926" s="30"/>
      <c r="O926" s="35" t="str">
        <f>IF(NOT(ISNUMBER(M926)),"",IFERROR(IF(L926="EUR",M926,IF(L926="IRR",M926/INDEX('Assumptions &amp; FX Reference'!$C$5:$C$25,MATCH(H926,'Assumptions &amp; FX Reference'!$A$5:$A$25,0)),IF(L926="USD",M926*INDEX('Assumptions &amp; FX Reference'!$B$5:$B$25,MATCH(H926,'Assumptions &amp; FX Reference'!$A$5:$A$25,0))/INDEX('Assumptions &amp; FX Reference'!$C$5:$C$25,MATCH(H926,'Assumptions &amp; FX Reference'!$A$5:$A$25,0)),""))),"(FX missing)"))</f>
        <v/>
      </c>
      <c r="P926" s="30"/>
      <c r="Q926" s="30"/>
      <c r="R926" s="30"/>
      <c r="S926" s="30"/>
      <c r="T926" s="30"/>
      <c r="U926" s="30"/>
      <c r="V926" s="30"/>
    </row>
    <row r="927" spans="1:22">
      <c r="A927" s="30"/>
      <c r="B927" s="30"/>
      <c r="C927" s="33" t="str">
        <f>IF(B927="","",IFERROR(INDEX('Master Database'!$D$5:$D$600,MATCH(B927,'Master Database'!$A$5:$A$600,0)),"(row not found)"))</f>
        <v/>
      </c>
      <c r="D927" s="33" t="str">
        <f>IF(B927="","",IFERROR(INDEX('Master Database'!$B$5:$B$600,MATCH(B927,'Master Database'!$A$5:$A$600,0)),"(row not found)"))</f>
        <v/>
      </c>
      <c r="E927" s="30"/>
      <c r="F927" s="33" t="str">
        <f>IF(E927="","",IFERROR(INDEX(Vendor_Register!$B$5:$B$205,MATCH(E927,Vendor_Register!$A$5:$A$205,0)),"(not in register)"))</f>
        <v/>
      </c>
      <c r="G927" s="33" t="str">
        <f>IF(E927="","",IFERROR(INDEX(Vendor_Register!$E$5:$E$205,MATCH(E927,Vendor_Register!$A$5:$A$205,0)),"(not in register)"))</f>
        <v/>
      </c>
      <c r="H927" s="30"/>
      <c r="I927" s="30"/>
      <c r="J927" s="30"/>
      <c r="K927" s="30"/>
      <c r="L927" s="30"/>
      <c r="M927" s="34"/>
      <c r="N927" s="30"/>
      <c r="O927" s="35" t="str">
        <f>IF(NOT(ISNUMBER(M927)),"",IFERROR(IF(L927="EUR",M927,IF(L927="IRR",M927/INDEX('Assumptions &amp; FX Reference'!$C$5:$C$25,MATCH(H927,'Assumptions &amp; FX Reference'!$A$5:$A$25,0)),IF(L927="USD",M927*INDEX('Assumptions &amp; FX Reference'!$B$5:$B$25,MATCH(H927,'Assumptions &amp; FX Reference'!$A$5:$A$25,0))/INDEX('Assumptions &amp; FX Reference'!$C$5:$C$25,MATCH(H927,'Assumptions &amp; FX Reference'!$A$5:$A$25,0)),""))),"(FX missing)"))</f>
        <v/>
      </c>
      <c r="P927" s="30"/>
      <c r="Q927" s="30"/>
      <c r="R927" s="30"/>
      <c r="S927" s="30"/>
      <c r="T927" s="30"/>
      <c r="U927" s="30"/>
      <c r="V927" s="30"/>
    </row>
    <row r="928" spans="1:22">
      <c r="A928" s="30"/>
      <c r="B928" s="30"/>
      <c r="C928" s="33" t="str">
        <f>IF(B928="","",IFERROR(INDEX('Master Database'!$D$5:$D$600,MATCH(B928,'Master Database'!$A$5:$A$600,0)),"(row not found)"))</f>
        <v/>
      </c>
      <c r="D928" s="33" t="str">
        <f>IF(B928="","",IFERROR(INDEX('Master Database'!$B$5:$B$600,MATCH(B928,'Master Database'!$A$5:$A$600,0)),"(row not found)"))</f>
        <v/>
      </c>
      <c r="E928" s="30"/>
      <c r="F928" s="33" t="str">
        <f>IF(E928="","",IFERROR(INDEX(Vendor_Register!$B$5:$B$205,MATCH(E928,Vendor_Register!$A$5:$A$205,0)),"(not in register)"))</f>
        <v/>
      </c>
      <c r="G928" s="33" t="str">
        <f>IF(E928="","",IFERROR(INDEX(Vendor_Register!$E$5:$E$205,MATCH(E928,Vendor_Register!$A$5:$A$205,0)),"(not in register)"))</f>
        <v/>
      </c>
      <c r="H928" s="30"/>
      <c r="I928" s="30"/>
      <c r="J928" s="30"/>
      <c r="K928" s="30"/>
      <c r="L928" s="30"/>
      <c r="M928" s="34"/>
      <c r="N928" s="30"/>
      <c r="O928" s="35" t="str">
        <f>IF(NOT(ISNUMBER(M928)),"",IFERROR(IF(L928="EUR",M928,IF(L928="IRR",M928/INDEX('Assumptions &amp; FX Reference'!$C$5:$C$25,MATCH(H928,'Assumptions &amp; FX Reference'!$A$5:$A$25,0)),IF(L928="USD",M928*INDEX('Assumptions &amp; FX Reference'!$B$5:$B$25,MATCH(H928,'Assumptions &amp; FX Reference'!$A$5:$A$25,0))/INDEX('Assumptions &amp; FX Reference'!$C$5:$C$25,MATCH(H928,'Assumptions &amp; FX Reference'!$A$5:$A$25,0)),""))),"(FX missing)"))</f>
        <v/>
      </c>
      <c r="P928" s="30"/>
      <c r="Q928" s="30"/>
      <c r="R928" s="30"/>
      <c r="S928" s="30"/>
      <c r="T928" s="30"/>
      <c r="U928" s="30"/>
      <c r="V928" s="30"/>
    </row>
    <row r="929" spans="1:22">
      <c r="A929" s="30"/>
      <c r="B929" s="30"/>
      <c r="C929" s="33" t="str">
        <f>IF(B929="","",IFERROR(INDEX('Master Database'!$D$5:$D$600,MATCH(B929,'Master Database'!$A$5:$A$600,0)),"(row not found)"))</f>
        <v/>
      </c>
      <c r="D929" s="33" t="str">
        <f>IF(B929="","",IFERROR(INDEX('Master Database'!$B$5:$B$600,MATCH(B929,'Master Database'!$A$5:$A$600,0)),"(row not found)"))</f>
        <v/>
      </c>
      <c r="E929" s="30"/>
      <c r="F929" s="33" t="str">
        <f>IF(E929="","",IFERROR(INDEX(Vendor_Register!$B$5:$B$205,MATCH(E929,Vendor_Register!$A$5:$A$205,0)),"(not in register)"))</f>
        <v/>
      </c>
      <c r="G929" s="33" t="str">
        <f>IF(E929="","",IFERROR(INDEX(Vendor_Register!$E$5:$E$205,MATCH(E929,Vendor_Register!$A$5:$A$205,0)),"(not in register)"))</f>
        <v/>
      </c>
      <c r="H929" s="30"/>
      <c r="I929" s="30"/>
      <c r="J929" s="30"/>
      <c r="K929" s="30"/>
      <c r="L929" s="30"/>
      <c r="M929" s="34"/>
      <c r="N929" s="30"/>
      <c r="O929" s="35" t="str">
        <f>IF(NOT(ISNUMBER(M929)),"",IFERROR(IF(L929="EUR",M929,IF(L929="IRR",M929/INDEX('Assumptions &amp; FX Reference'!$C$5:$C$25,MATCH(H929,'Assumptions &amp; FX Reference'!$A$5:$A$25,0)),IF(L929="USD",M929*INDEX('Assumptions &amp; FX Reference'!$B$5:$B$25,MATCH(H929,'Assumptions &amp; FX Reference'!$A$5:$A$25,0))/INDEX('Assumptions &amp; FX Reference'!$C$5:$C$25,MATCH(H929,'Assumptions &amp; FX Reference'!$A$5:$A$25,0)),""))),"(FX missing)"))</f>
        <v/>
      </c>
      <c r="P929" s="30"/>
      <c r="Q929" s="30"/>
      <c r="R929" s="30"/>
      <c r="S929" s="30"/>
      <c r="T929" s="30"/>
      <c r="U929" s="30"/>
      <c r="V929" s="30"/>
    </row>
    <row r="930" spans="1:22">
      <c r="A930" s="30"/>
      <c r="B930" s="30"/>
      <c r="C930" s="33" t="str">
        <f>IF(B930="","",IFERROR(INDEX('Master Database'!$D$5:$D$600,MATCH(B930,'Master Database'!$A$5:$A$600,0)),"(row not found)"))</f>
        <v/>
      </c>
      <c r="D930" s="33" t="str">
        <f>IF(B930="","",IFERROR(INDEX('Master Database'!$B$5:$B$600,MATCH(B930,'Master Database'!$A$5:$A$600,0)),"(row not found)"))</f>
        <v/>
      </c>
      <c r="E930" s="30"/>
      <c r="F930" s="33" t="str">
        <f>IF(E930="","",IFERROR(INDEX(Vendor_Register!$B$5:$B$205,MATCH(E930,Vendor_Register!$A$5:$A$205,0)),"(not in register)"))</f>
        <v/>
      </c>
      <c r="G930" s="33" t="str">
        <f>IF(E930="","",IFERROR(INDEX(Vendor_Register!$E$5:$E$205,MATCH(E930,Vendor_Register!$A$5:$A$205,0)),"(not in register)"))</f>
        <v/>
      </c>
      <c r="H930" s="30"/>
      <c r="I930" s="30"/>
      <c r="J930" s="30"/>
      <c r="K930" s="30"/>
      <c r="L930" s="30"/>
      <c r="M930" s="34"/>
      <c r="N930" s="30"/>
      <c r="O930" s="35" t="str">
        <f>IF(NOT(ISNUMBER(M930)),"",IFERROR(IF(L930="EUR",M930,IF(L930="IRR",M930/INDEX('Assumptions &amp; FX Reference'!$C$5:$C$25,MATCH(H930,'Assumptions &amp; FX Reference'!$A$5:$A$25,0)),IF(L930="USD",M930*INDEX('Assumptions &amp; FX Reference'!$B$5:$B$25,MATCH(H930,'Assumptions &amp; FX Reference'!$A$5:$A$25,0))/INDEX('Assumptions &amp; FX Reference'!$C$5:$C$25,MATCH(H930,'Assumptions &amp; FX Reference'!$A$5:$A$25,0)),""))),"(FX missing)"))</f>
        <v/>
      </c>
      <c r="P930" s="30"/>
      <c r="Q930" s="30"/>
      <c r="R930" s="30"/>
      <c r="S930" s="30"/>
      <c r="T930" s="30"/>
      <c r="U930" s="30"/>
      <c r="V930" s="30"/>
    </row>
    <row r="931" spans="1:22">
      <c r="A931" s="30"/>
      <c r="B931" s="30"/>
      <c r="C931" s="33" t="str">
        <f>IF(B931="","",IFERROR(INDEX('Master Database'!$D$5:$D$600,MATCH(B931,'Master Database'!$A$5:$A$600,0)),"(row not found)"))</f>
        <v/>
      </c>
      <c r="D931" s="33" t="str">
        <f>IF(B931="","",IFERROR(INDEX('Master Database'!$B$5:$B$600,MATCH(B931,'Master Database'!$A$5:$A$600,0)),"(row not found)"))</f>
        <v/>
      </c>
      <c r="E931" s="30"/>
      <c r="F931" s="33" t="str">
        <f>IF(E931="","",IFERROR(INDEX(Vendor_Register!$B$5:$B$205,MATCH(E931,Vendor_Register!$A$5:$A$205,0)),"(not in register)"))</f>
        <v/>
      </c>
      <c r="G931" s="33" t="str">
        <f>IF(E931="","",IFERROR(INDEX(Vendor_Register!$E$5:$E$205,MATCH(E931,Vendor_Register!$A$5:$A$205,0)),"(not in register)"))</f>
        <v/>
      </c>
      <c r="H931" s="30"/>
      <c r="I931" s="30"/>
      <c r="J931" s="30"/>
      <c r="K931" s="30"/>
      <c r="L931" s="30"/>
      <c r="M931" s="34"/>
      <c r="N931" s="30"/>
      <c r="O931" s="35" t="str">
        <f>IF(NOT(ISNUMBER(M931)),"",IFERROR(IF(L931="EUR",M931,IF(L931="IRR",M931/INDEX('Assumptions &amp; FX Reference'!$C$5:$C$25,MATCH(H931,'Assumptions &amp; FX Reference'!$A$5:$A$25,0)),IF(L931="USD",M931*INDEX('Assumptions &amp; FX Reference'!$B$5:$B$25,MATCH(H931,'Assumptions &amp; FX Reference'!$A$5:$A$25,0))/INDEX('Assumptions &amp; FX Reference'!$C$5:$C$25,MATCH(H931,'Assumptions &amp; FX Reference'!$A$5:$A$25,0)),""))),"(FX missing)"))</f>
        <v/>
      </c>
      <c r="P931" s="30"/>
      <c r="Q931" s="30"/>
      <c r="R931" s="30"/>
      <c r="S931" s="30"/>
      <c r="T931" s="30"/>
      <c r="U931" s="30"/>
      <c r="V931" s="30"/>
    </row>
    <row r="932" spans="1:22">
      <c r="A932" s="30"/>
      <c r="B932" s="30"/>
      <c r="C932" s="33" t="str">
        <f>IF(B932="","",IFERROR(INDEX('Master Database'!$D$5:$D$600,MATCH(B932,'Master Database'!$A$5:$A$600,0)),"(row not found)"))</f>
        <v/>
      </c>
      <c r="D932" s="33" t="str">
        <f>IF(B932="","",IFERROR(INDEX('Master Database'!$B$5:$B$600,MATCH(B932,'Master Database'!$A$5:$A$600,0)),"(row not found)"))</f>
        <v/>
      </c>
      <c r="E932" s="30"/>
      <c r="F932" s="33" t="str">
        <f>IF(E932="","",IFERROR(INDEX(Vendor_Register!$B$5:$B$205,MATCH(E932,Vendor_Register!$A$5:$A$205,0)),"(not in register)"))</f>
        <v/>
      </c>
      <c r="G932" s="33" t="str">
        <f>IF(E932="","",IFERROR(INDEX(Vendor_Register!$E$5:$E$205,MATCH(E932,Vendor_Register!$A$5:$A$205,0)),"(not in register)"))</f>
        <v/>
      </c>
      <c r="H932" s="30"/>
      <c r="I932" s="30"/>
      <c r="J932" s="30"/>
      <c r="K932" s="30"/>
      <c r="L932" s="30"/>
      <c r="M932" s="34"/>
      <c r="N932" s="30"/>
      <c r="O932" s="35" t="str">
        <f>IF(NOT(ISNUMBER(M932)),"",IFERROR(IF(L932="EUR",M932,IF(L932="IRR",M932/INDEX('Assumptions &amp; FX Reference'!$C$5:$C$25,MATCH(H932,'Assumptions &amp; FX Reference'!$A$5:$A$25,0)),IF(L932="USD",M932*INDEX('Assumptions &amp; FX Reference'!$B$5:$B$25,MATCH(H932,'Assumptions &amp; FX Reference'!$A$5:$A$25,0))/INDEX('Assumptions &amp; FX Reference'!$C$5:$C$25,MATCH(H932,'Assumptions &amp; FX Reference'!$A$5:$A$25,0)),""))),"(FX missing)"))</f>
        <v/>
      </c>
      <c r="P932" s="30"/>
      <c r="Q932" s="30"/>
      <c r="R932" s="30"/>
      <c r="S932" s="30"/>
      <c r="T932" s="30"/>
      <c r="U932" s="30"/>
      <c r="V932" s="30"/>
    </row>
    <row r="933" spans="1:22">
      <c r="A933" s="30"/>
      <c r="B933" s="30"/>
      <c r="C933" s="33" t="str">
        <f>IF(B933="","",IFERROR(INDEX('Master Database'!$D$5:$D$600,MATCH(B933,'Master Database'!$A$5:$A$600,0)),"(row not found)"))</f>
        <v/>
      </c>
      <c r="D933" s="33" t="str">
        <f>IF(B933="","",IFERROR(INDEX('Master Database'!$B$5:$B$600,MATCH(B933,'Master Database'!$A$5:$A$600,0)),"(row not found)"))</f>
        <v/>
      </c>
      <c r="E933" s="30"/>
      <c r="F933" s="33" t="str">
        <f>IF(E933="","",IFERROR(INDEX(Vendor_Register!$B$5:$B$205,MATCH(E933,Vendor_Register!$A$5:$A$205,0)),"(not in register)"))</f>
        <v/>
      </c>
      <c r="G933" s="33" t="str">
        <f>IF(E933="","",IFERROR(INDEX(Vendor_Register!$E$5:$E$205,MATCH(E933,Vendor_Register!$A$5:$A$205,0)),"(not in register)"))</f>
        <v/>
      </c>
      <c r="H933" s="30"/>
      <c r="I933" s="30"/>
      <c r="J933" s="30"/>
      <c r="K933" s="30"/>
      <c r="L933" s="30"/>
      <c r="M933" s="34"/>
      <c r="N933" s="30"/>
      <c r="O933" s="35" t="str">
        <f>IF(NOT(ISNUMBER(M933)),"",IFERROR(IF(L933="EUR",M933,IF(L933="IRR",M933/INDEX('Assumptions &amp; FX Reference'!$C$5:$C$25,MATCH(H933,'Assumptions &amp; FX Reference'!$A$5:$A$25,0)),IF(L933="USD",M933*INDEX('Assumptions &amp; FX Reference'!$B$5:$B$25,MATCH(H933,'Assumptions &amp; FX Reference'!$A$5:$A$25,0))/INDEX('Assumptions &amp; FX Reference'!$C$5:$C$25,MATCH(H933,'Assumptions &amp; FX Reference'!$A$5:$A$25,0)),""))),"(FX missing)"))</f>
        <v/>
      </c>
      <c r="P933" s="30"/>
      <c r="Q933" s="30"/>
      <c r="R933" s="30"/>
      <c r="S933" s="30"/>
      <c r="T933" s="30"/>
      <c r="U933" s="30"/>
      <c r="V933" s="30"/>
    </row>
    <row r="934" spans="1:22">
      <c r="A934" s="30"/>
      <c r="B934" s="30"/>
      <c r="C934" s="33" t="str">
        <f>IF(B934="","",IFERROR(INDEX('Master Database'!$D$5:$D$600,MATCH(B934,'Master Database'!$A$5:$A$600,0)),"(row not found)"))</f>
        <v/>
      </c>
      <c r="D934" s="33" t="str">
        <f>IF(B934="","",IFERROR(INDEX('Master Database'!$B$5:$B$600,MATCH(B934,'Master Database'!$A$5:$A$600,0)),"(row not found)"))</f>
        <v/>
      </c>
      <c r="E934" s="30"/>
      <c r="F934" s="33" t="str">
        <f>IF(E934="","",IFERROR(INDEX(Vendor_Register!$B$5:$B$205,MATCH(E934,Vendor_Register!$A$5:$A$205,0)),"(not in register)"))</f>
        <v/>
      </c>
      <c r="G934" s="33" t="str">
        <f>IF(E934="","",IFERROR(INDEX(Vendor_Register!$E$5:$E$205,MATCH(E934,Vendor_Register!$A$5:$A$205,0)),"(not in register)"))</f>
        <v/>
      </c>
      <c r="H934" s="30"/>
      <c r="I934" s="30"/>
      <c r="J934" s="30"/>
      <c r="K934" s="30"/>
      <c r="L934" s="30"/>
      <c r="M934" s="34"/>
      <c r="N934" s="30"/>
      <c r="O934" s="35" t="str">
        <f>IF(NOT(ISNUMBER(M934)),"",IFERROR(IF(L934="EUR",M934,IF(L934="IRR",M934/INDEX('Assumptions &amp; FX Reference'!$C$5:$C$25,MATCH(H934,'Assumptions &amp; FX Reference'!$A$5:$A$25,0)),IF(L934="USD",M934*INDEX('Assumptions &amp; FX Reference'!$B$5:$B$25,MATCH(H934,'Assumptions &amp; FX Reference'!$A$5:$A$25,0))/INDEX('Assumptions &amp; FX Reference'!$C$5:$C$25,MATCH(H934,'Assumptions &amp; FX Reference'!$A$5:$A$25,0)),""))),"(FX missing)"))</f>
        <v/>
      </c>
      <c r="P934" s="30"/>
      <c r="Q934" s="30"/>
      <c r="R934" s="30"/>
      <c r="S934" s="30"/>
      <c r="T934" s="30"/>
      <c r="U934" s="30"/>
      <c r="V934" s="30"/>
    </row>
    <row r="935" spans="1:22">
      <c r="A935" s="30"/>
      <c r="B935" s="30"/>
      <c r="C935" s="33" t="str">
        <f>IF(B935="","",IFERROR(INDEX('Master Database'!$D$5:$D$600,MATCH(B935,'Master Database'!$A$5:$A$600,0)),"(row not found)"))</f>
        <v/>
      </c>
      <c r="D935" s="33" t="str">
        <f>IF(B935="","",IFERROR(INDEX('Master Database'!$B$5:$B$600,MATCH(B935,'Master Database'!$A$5:$A$600,0)),"(row not found)"))</f>
        <v/>
      </c>
      <c r="E935" s="30"/>
      <c r="F935" s="33" t="str">
        <f>IF(E935="","",IFERROR(INDEX(Vendor_Register!$B$5:$B$205,MATCH(E935,Vendor_Register!$A$5:$A$205,0)),"(not in register)"))</f>
        <v/>
      </c>
      <c r="G935" s="33" t="str">
        <f>IF(E935="","",IFERROR(INDEX(Vendor_Register!$E$5:$E$205,MATCH(E935,Vendor_Register!$A$5:$A$205,0)),"(not in register)"))</f>
        <v/>
      </c>
      <c r="H935" s="30"/>
      <c r="I935" s="30"/>
      <c r="J935" s="30"/>
      <c r="K935" s="30"/>
      <c r="L935" s="30"/>
      <c r="M935" s="34"/>
      <c r="N935" s="30"/>
      <c r="O935" s="35" t="str">
        <f>IF(NOT(ISNUMBER(M935)),"",IFERROR(IF(L935="EUR",M935,IF(L935="IRR",M935/INDEX('Assumptions &amp; FX Reference'!$C$5:$C$25,MATCH(H935,'Assumptions &amp; FX Reference'!$A$5:$A$25,0)),IF(L935="USD",M935*INDEX('Assumptions &amp; FX Reference'!$B$5:$B$25,MATCH(H935,'Assumptions &amp; FX Reference'!$A$5:$A$25,0))/INDEX('Assumptions &amp; FX Reference'!$C$5:$C$25,MATCH(H935,'Assumptions &amp; FX Reference'!$A$5:$A$25,0)),""))),"(FX missing)"))</f>
        <v/>
      </c>
      <c r="P935" s="30"/>
      <c r="Q935" s="30"/>
      <c r="R935" s="30"/>
      <c r="S935" s="30"/>
      <c r="T935" s="30"/>
      <c r="U935" s="30"/>
      <c r="V935" s="30"/>
    </row>
    <row r="936" spans="1:22">
      <c r="A936" s="30"/>
      <c r="B936" s="30"/>
      <c r="C936" s="33" t="str">
        <f>IF(B936="","",IFERROR(INDEX('Master Database'!$D$5:$D$600,MATCH(B936,'Master Database'!$A$5:$A$600,0)),"(row not found)"))</f>
        <v/>
      </c>
      <c r="D936" s="33" t="str">
        <f>IF(B936="","",IFERROR(INDEX('Master Database'!$B$5:$B$600,MATCH(B936,'Master Database'!$A$5:$A$600,0)),"(row not found)"))</f>
        <v/>
      </c>
      <c r="E936" s="30"/>
      <c r="F936" s="33" t="str">
        <f>IF(E936="","",IFERROR(INDEX(Vendor_Register!$B$5:$B$205,MATCH(E936,Vendor_Register!$A$5:$A$205,0)),"(not in register)"))</f>
        <v/>
      </c>
      <c r="G936" s="33" t="str">
        <f>IF(E936="","",IFERROR(INDEX(Vendor_Register!$E$5:$E$205,MATCH(E936,Vendor_Register!$A$5:$A$205,0)),"(not in register)"))</f>
        <v/>
      </c>
      <c r="H936" s="30"/>
      <c r="I936" s="30"/>
      <c r="J936" s="30"/>
      <c r="K936" s="30"/>
      <c r="L936" s="30"/>
      <c r="M936" s="34"/>
      <c r="N936" s="30"/>
      <c r="O936" s="35" t="str">
        <f>IF(NOT(ISNUMBER(M936)),"",IFERROR(IF(L936="EUR",M936,IF(L936="IRR",M936/INDEX('Assumptions &amp; FX Reference'!$C$5:$C$25,MATCH(H936,'Assumptions &amp; FX Reference'!$A$5:$A$25,0)),IF(L936="USD",M936*INDEX('Assumptions &amp; FX Reference'!$B$5:$B$25,MATCH(H936,'Assumptions &amp; FX Reference'!$A$5:$A$25,0))/INDEX('Assumptions &amp; FX Reference'!$C$5:$C$25,MATCH(H936,'Assumptions &amp; FX Reference'!$A$5:$A$25,0)),""))),"(FX missing)"))</f>
        <v/>
      </c>
      <c r="P936" s="30"/>
      <c r="Q936" s="30"/>
      <c r="R936" s="30"/>
      <c r="S936" s="30"/>
      <c r="T936" s="30"/>
      <c r="U936" s="30"/>
      <c r="V936" s="30"/>
    </row>
    <row r="937" spans="1:22">
      <c r="A937" s="30"/>
      <c r="B937" s="30"/>
      <c r="C937" s="33" t="str">
        <f>IF(B937="","",IFERROR(INDEX('Master Database'!$D$5:$D$600,MATCH(B937,'Master Database'!$A$5:$A$600,0)),"(row not found)"))</f>
        <v/>
      </c>
      <c r="D937" s="33" t="str">
        <f>IF(B937="","",IFERROR(INDEX('Master Database'!$B$5:$B$600,MATCH(B937,'Master Database'!$A$5:$A$600,0)),"(row not found)"))</f>
        <v/>
      </c>
      <c r="E937" s="30"/>
      <c r="F937" s="33" t="str">
        <f>IF(E937="","",IFERROR(INDEX(Vendor_Register!$B$5:$B$205,MATCH(E937,Vendor_Register!$A$5:$A$205,0)),"(not in register)"))</f>
        <v/>
      </c>
      <c r="G937" s="33" t="str">
        <f>IF(E937="","",IFERROR(INDEX(Vendor_Register!$E$5:$E$205,MATCH(E937,Vendor_Register!$A$5:$A$205,0)),"(not in register)"))</f>
        <v/>
      </c>
      <c r="H937" s="30"/>
      <c r="I937" s="30"/>
      <c r="J937" s="30"/>
      <c r="K937" s="30"/>
      <c r="L937" s="30"/>
      <c r="M937" s="34"/>
      <c r="N937" s="30"/>
      <c r="O937" s="35" t="str">
        <f>IF(NOT(ISNUMBER(M937)),"",IFERROR(IF(L937="EUR",M937,IF(L937="IRR",M937/INDEX('Assumptions &amp; FX Reference'!$C$5:$C$25,MATCH(H937,'Assumptions &amp; FX Reference'!$A$5:$A$25,0)),IF(L937="USD",M937*INDEX('Assumptions &amp; FX Reference'!$B$5:$B$25,MATCH(H937,'Assumptions &amp; FX Reference'!$A$5:$A$25,0))/INDEX('Assumptions &amp; FX Reference'!$C$5:$C$25,MATCH(H937,'Assumptions &amp; FX Reference'!$A$5:$A$25,0)),""))),"(FX missing)"))</f>
        <v/>
      </c>
      <c r="P937" s="30"/>
      <c r="Q937" s="30"/>
      <c r="R937" s="30"/>
      <c r="S937" s="30"/>
      <c r="T937" s="30"/>
      <c r="U937" s="30"/>
      <c r="V937" s="30"/>
    </row>
    <row r="938" spans="1:22">
      <c r="A938" s="30"/>
      <c r="B938" s="30"/>
      <c r="C938" s="33" t="str">
        <f>IF(B938="","",IFERROR(INDEX('Master Database'!$D$5:$D$600,MATCH(B938,'Master Database'!$A$5:$A$600,0)),"(row not found)"))</f>
        <v/>
      </c>
      <c r="D938" s="33" t="str">
        <f>IF(B938="","",IFERROR(INDEX('Master Database'!$B$5:$B$600,MATCH(B938,'Master Database'!$A$5:$A$600,0)),"(row not found)"))</f>
        <v/>
      </c>
      <c r="E938" s="30"/>
      <c r="F938" s="33" t="str">
        <f>IF(E938="","",IFERROR(INDEX(Vendor_Register!$B$5:$B$205,MATCH(E938,Vendor_Register!$A$5:$A$205,0)),"(not in register)"))</f>
        <v/>
      </c>
      <c r="G938" s="33" t="str">
        <f>IF(E938="","",IFERROR(INDEX(Vendor_Register!$E$5:$E$205,MATCH(E938,Vendor_Register!$A$5:$A$205,0)),"(not in register)"))</f>
        <v/>
      </c>
      <c r="H938" s="30"/>
      <c r="I938" s="30"/>
      <c r="J938" s="30"/>
      <c r="K938" s="30"/>
      <c r="L938" s="30"/>
      <c r="M938" s="34"/>
      <c r="N938" s="30"/>
      <c r="O938" s="35" t="str">
        <f>IF(NOT(ISNUMBER(M938)),"",IFERROR(IF(L938="EUR",M938,IF(L938="IRR",M938/INDEX('Assumptions &amp; FX Reference'!$C$5:$C$25,MATCH(H938,'Assumptions &amp; FX Reference'!$A$5:$A$25,0)),IF(L938="USD",M938*INDEX('Assumptions &amp; FX Reference'!$B$5:$B$25,MATCH(H938,'Assumptions &amp; FX Reference'!$A$5:$A$25,0))/INDEX('Assumptions &amp; FX Reference'!$C$5:$C$25,MATCH(H938,'Assumptions &amp; FX Reference'!$A$5:$A$25,0)),""))),"(FX missing)"))</f>
        <v/>
      </c>
      <c r="P938" s="30"/>
      <c r="Q938" s="30"/>
      <c r="R938" s="30"/>
      <c r="S938" s="30"/>
      <c r="T938" s="30"/>
      <c r="U938" s="30"/>
      <c r="V938" s="30"/>
    </row>
    <row r="939" spans="1:22">
      <c r="A939" s="30"/>
      <c r="B939" s="30"/>
      <c r="C939" s="33" t="str">
        <f>IF(B939="","",IFERROR(INDEX('Master Database'!$D$5:$D$600,MATCH(B939,'Master Database'!$A$5:$A$600,0)),"(row not found)"))</f>
        <v/>
      </c>
      <c r="D939" s="33" t="str">
        <f>IF(B939="","",IFERROR(INDEX('Master Database'!$B$5:$B$600,MATCH(B939,'Master Database'!$A$5:$A$600,0)),"(row not found)"))</f>
        <v/>
      </c>
      <c r="E939" s="30"/>
      <c r="F939" s="33" t="str">
        <f>IF(E939="","",IFERROR(INDEX(Vendor_Register!$B$5:$B$205,MATCH(E939,Vendor_Register!$A$5:$A$205,0)),"(not in register)"))</f>
        <v/>
      </c>
      <c r="G939" s="33" t="str">
        <f>IF(E939="","",IFERROR(INDEX(Vendor_Register!$E$5:$E$205,MATCH(E939,Vendor_Register!$A$5:$A$205,0)),"(not in register)"))</f>
        <v/>
      </c>
      <c r="H939" s="30"/>
      <c r="I939" s="30"/>
      <c r="J939" s="30"/>
      <c r="K939" s="30"/>
      <c r="L939" s="30"/>
      <c r="M939" s="34"/>
      <c r="N939" s="30"/>
      <c r="O939" s="35" t="str">
        <f>IF(NOT(ISNUMBER(M939)),"",IFERROR(IF(L939="EUR",M939,IF(L939="IRR",M939/INDEX('Assumptions &amp; FX Reference'!$C$5:$C$25,MATCH(H939,'Assumptions &amp; FX Reference'!$A$5:$A$25,0)),IF(L939="USD",M939*INDEX('Assumptions &amp; FX Reference'!$B$5:$B$25,MATCH(H939,'Assumptions &amp; FX Reference'!$A$5:$A$25,0))/INDEX('Assumptions &amp; FX Reference'!$C$5:$C$25,MATCH(H939,'Assumptions &amp; FX Reference'!$A$5:$A$25,0)),""))),"(FX missing)"))</f>
        <v/>
      </c>
      <c r="P939" s="30"/>
      <c r="Q939" s="30"/>
      <c r="R939" s="30"/>
      <c r="S939" s="30"/>
      <c r="T939" s="30"/>
      <c r="U939" s="30"/>
      <c r="V939" s="30"/>
    </row>
    <row r="940" spans="1:22">
      <c r="A940" s="30"/>
      <c r="B940" s="30"/>
      <c r="C940" s="33" t="str">
        <f>IF(B940="","",IFERROR(INDEX('Master Database'!$D$5:$D$600,MATCH(B940,'Master Database'!$A$5:$A$600,0)),"(row not found)"))</f>
        <v/>
      </c>
      <c r="D940" s="33" t="str">
        <f>IF(B940="","",IFERROR(INDEX('Master Database'!$B$5:$B$600,MATCH(B940,'Master Database'!$A$5:$A$600,0)),"(row not found)"))</f>
        <v/>
      </c>
      <c r="E940" s="30"/>
      <c r="F940" s="33" t="str">
        <f>IF(E940="","",IFERROR(INDEX(Vendor_Register!$B$5:$B$205,MATCH(E940,Vendor_Register!$A$5:$A$205,0)),"(not in register)"))</f>
        <v/>
      </c>
      <c r="G940" s="33" t="str">
        <f>IF(E940="","",IFERROR(INDEX(Vendor_Register!$E$5:$E$205,MATCH(E940,Vendor_Register!$A$5:$A$205,0)),"(not in register)"))</f>
        <v/>
      </c>
      <c r="H940" s="30"/>
      <c r="I940" s="30"/>
      <c r="J940" s="30"/>
      <c r="K940" s="30"/>
      <c r="L940" s="30"/>
      <c r="M940" s="34"/>
      <c r="N940" s="30"/>
      <c r="O940" s="35" t="str">
        <f>IF(NOT(ISNUMBER(M940)),"",IFERROR(IF(L940="EUR",M940,IF(L940="IRR",M940/INDEX('Assumptions &amp; FX Reference'!$C$5:$C$25,MATCH(H940,'Assumptions &amp; FX Reference'!$A$5:$A$25,0)),IF(L940="USD",M940*INDEX('Assumptions &amp; FX Reference'!$B$5:$B$25,MATCH(H940,'Assumptions &amp; FX Reference'!$A$5:$A$25,0))/INDEX('Assumptions &amp; FX Reference'!$C$5:$C$25,MATCH(H940,'Assumptions &amp; FX Reference'!$A$5:$A$25,0)),""))),"(FX missing)"))</f>
        <v/>
      </c>
      <c r="P940" s="30"/>
      <c r="Q940" s="30"/>
      <c r="R940" s="30"/>
      <c r="S940" s="30"/>
      <c r="T940" s="30"/>
      <c r="U940" s="30"/>
      <c r="V940" s="30"/>
    </row>
    <row r="941" spans="1:22">
      <c r="A941" s="30"/>
      <c r="B941" s="30"/>
      <c r="C941" s="33" t="str">
        <f>IF(B941="","",IFERROR(INDEX('Master Database'!$D$5:$D$600,MATCH(B941,'Master Database'!$A$5:$A$600,0)),"(row not found)"))</f>
        <v/>
      </c>
      <c r="D941" s="33" t="str">
        <f>IF(B941="","",IFERROR(INDEX('Master Database'!$B$5:$B$600,MATCH(B941,'Master Database'!$A$5:$A$600,0)),"(row not found)"))</f>
        <v/>
      </c>
      <c r="E941" s="30"/>
      <c r="F941" s="33" t="str">
        <f>IF(E941="","",IFERROR(INDEX(Vendor_Register!$B$5:$B$205,MATCH(E941,Vendor_Register!$A$5:$A$205,0)),"(not in register)"))</f>
        <v/>
      </c>
      <c r="G941" s="33" t="str">
        <f>IF(E941="","",IFERROR(INDEX(Vendor_Register!$E$5:$E$205,MATCH(E941,Vendor_Register!$A$5:$A$205,0)),"(not in register)"))</f>
        <v/>
      </c>
      <c r="H941" s="30"/>
      <c r="I941" s="30"/>
      <c r="J941" s="30"/>
      <c r="K941" s="30"/>
      <c r="L941" s="30"/>
      <c r="M941" s="34"/>
      <c r="N941" s="30"/>
      <c r="O941" s="35" t="str">
        <f>IF(NOT(ISNUMBER(M941)),"",IFERROR(IF(L941="EUR",M941,IF(L941="IRR",M941/INDEX('Assumptions &amp; FX Reference'!$C$5:$C$25,MATCH(H941,'Assumptions &amp; FX Reference'!$A$5:$A$25,0)),IF(L941="USD",M941*INDEX('Assumptions &amp; FX Reference'!$B$5:$B$25,MATCH(H941,'Assumptions &amp; FX Reference'!$A$5:$A$25,0))/INDEX('Assumptions &amp; FX Reference'!$C$5:$C$25,MATCH(H941,'Assumptions &amp; FX Reference'!$A$5:$A$25,0)),""))),"(FX missing)"))</f>
        <v/>
      </c>
      <c r="P941" s="30"/>
      <c r="Q941" s="30"/>
      <c r="R941" s="30"/>
      <c r="S941" s="30"/>
      <c r="T941" s="30"/>
      <c r="U941" s="30"/>
      <c r="V941" s="30"/>
    </row>
    <row r="942" spans="1:22">
      <c r="A942" s="30"/>
      <c r="B942" s="30"/>
      <c r="C942" s="33" t="str">
        <f>IF(B942="","",IFERROR(INDEX('Master Database'!$D$5:$D$600,MATCH(B942,'Master Database'!$A$5:$A$600,0)),"(row not found)"))</f>
        <v/>
      </c>
      <c r="D942" s="33" t="str">
        <f>IF(B942="","",IFERROR(INDEX('Master Database'!$B$5:$B$600,MATCH(B942,'Master Database'!$A$5:$A$600,0)),"(row not found)"))</f>
        <v/>
      </c>
      <c r="E942" s="30"/>
      <c r="F942" s="33" t="str">
        <f>IF(E942="","",IFERROR(INDEX(Vendor_Register!$B$5:$B$205,MATCH(E942,Vendor_Register!$A$5:$A$205,0)),"(not in register)"))</f>
        <v/>
      </c>
      <c r="G942" s="33" t="str">
        <f>IF(E942="","",IFERROR(INDEX(Vendor_Register!$E$5:$E$205,MATCH(E942,Vendor_Register!$A$5:$A$205,0)),"(not in register)"))</f>
        <v/>
      </c>
      <c r="H942" s="30"/>
      <c r="I942" s="30"/>
      <c r="J942" s="30"/>
      <c r="K942" s="30"/>
      <c r="L942" s="30"/>
      <c r="M942" s="34"/>
      <c r="N942" s="30"/>
      <c r="O942" s="35" t="str">
        <f>IF(NOT(ISNUMBER(M942)),"",IFERROR(IF(L942="EUR",M942,IF(L942="IRR",M942/INDEX('Assumptions &amp; FX Reference'!$C$5:$C$25,MATCH(H942,'Assumptions &amp; FX Reference'!$A$5:$A$25,0)),IF(L942="USD",M942*INDEX('Assumptions &amp; FX Reference'!$B$5:$B$25,MATCH(H942,'Assumptions &amp; FX Reference'!$A$5:$A$25,0))/INDEX('Assumptions &amp; FX Reference'!$C$5:$C$25,MATCH(H942,'Assumptions &amp; FX Reference'!$A$5:$A$25,0)),""))),"(FX missing)"))</f>
        <v/>
      </c>
      <c r="P942" s="30"/>
      <c r="Q942" s="30"/>
      <c r="R942" s="30"/>
      <c r="S942" s="30"/>
      <c r="T942" s="30"/>
      <c r="U942" s="30"/>
      <c r="V942" s="30"/>
    </row>
    <row r="943" spans="1:22">
      <c r="A943" s="30"/>
      <c r="B943" s="30"/>
      <c r="C943" s="33" t="str">
        <f>IF(B943="","",IFERROR(INDEX('Master Database'!$D$5:$D$600,MATCH(B943,'Master Database'!$A$5:$A$600,0)),"(row not found)"))</f>
        <v/>
      </c>
      <c r="D943" s="33" t="str">
        <f>IF(B943="","",IFERROR(INDEX('Master Database'!$B$5:$B$600,MATCH(B943,'Master Database'!$A$5:$A$600,0)),"(row not found)"))</f>
        <v/>
      </c>
      <c r="E943" s="30"/>
      <c r="F943" s="33" t="str">
        <f>IF(E943="","",IFERROR(INDEX(Vendor_Register!$B$5:$B$205,MATCH(E943,Vendor_Register!$A$5:$A$205,0)),"(not in register)"))</f>
        <v/>
      </c>
      <c r="G943" s="33" t="str">
        <f>IF(E943="","",IFERROR(INDEX(Vendor_Register!$E$5:$E$205,MATCH(E943,Vendor_Register!$A$5:$A$205,0)),"(not in register)"))</f>
        <v/>
      </c>
      <c r="H943" s="30"/>
      <c r="I943" s="30"/>
      <c r="J943" s="30"/>
      <c r="K943" s="30"/>
      <c r="L943" s="30"/>
      <c r="M943" s="34"/>
      <c r="N943" s="30"/>
      <c r="O943" s="35" t="str">
        <f>IF(NOT(ISNUMBER(M943)),"",IFERROR(IF(L943="EUR",M943,IF(L943="IRR",M943/INDEX('Assumptions &amp; FX Reference'!$C$5:$C$25,MATCH(H943,'Assumptions &amp; FX Reference'!$A$5:$A$25,0)),IF(L943="USD",M943*INDEX('Assumptions &amp; FX Reference'!$B$5:$B$25,MATCH(H943,'Assumptions &amp; FX Reference'!$A$5:$A$25,0))/INDEX('Assumptions &amp; FX Reference'!$C$5:$C$25,MATCH(H943,'Assumptions &amp; FX Reference'!$A$5:$A$25,0)),""))),"(FX missing)"))</f>
        <v/>
      </c>
      <c r="P943" s="30"/>
      <c r="Q943" s="30"/>
      <c r="R943" s="30"/>
      <c r="S943" s="30"/>
      <c r="T943" s="30"/>
      <c r="U943" s="30"/>
      <c r="V943" s="30"/>
    </row>
    <row r="944" spans="1:22">
      <c r="A944" s="30"/>
      <c r="B944" s="30"/>
      <c r="C944" s="33" t="str">
        <f>IF(B944="","",IFERROR(INDEX('Master Database'!$D$5:$D$600,MATCH(B944,'Master Database'!$A$5:$A$600,0)),"(row not found)"))</f>
        <v/>
      </c>
      <c r="D944" s="33" t="str">
        <f>IF(B944="","",IFERROR(INDEX('Master Database'!$B$5:$B$600,MATCH(B944,'Master Database'!$A$5:$A$600,0)),"(row not found)"))</f>
        <v/>
      </c>
      <c r="E944" s="30"/>
      <c r="F944" s="33" t="str">
        <f>IF(E944="","",IFERROR(INDEX(Vendor_Register!$B$5:$B$205,MATCH(E944,Vendor_Register!$A$5:$A$205,0)),"(not in register)"))</f>
        <v/>
      </c>
      <c r="G944" s="33" t="str">
        <f>IF(E944="","",IFERROR(INDEX(Vendor_Register!$E$5:$E$205,MATCH(E944,Vendor_Register!$A$5:$A$205,0)),"(not in register)"))</f>
        <v/>
      </c>
      <c r="H944" s="30"/>
      <c r="I944" s="30"/>
      <c r="J944" s="30"/>
      <c r="K944" s="30"/>
      <c r="L944" s="30"/>
      <c r="M944" s="34"/>
      <c r="N944" s="30"/>
      <c r="O944" s="35" t="str">
        <f>IF(NOT(ISNUMBER(M944)),"",IFERROR(IF(L944="EUR",M944,IF(L944="IRR",M944/INDEX('Assumptions &amp; FX Reference'!$C$5:$C$25,MATCH(H944,'Assumptions &amp; FX Reference'!$A$5:$A$25,0)),IF(L944="USD",M944*INDEX('Assumptions &amp; FX Reference'!$B$5:$B$25,MATCH(H944,'Assumptions &amp; FX Reference'!$A$5:$A$25,0))/INDEX('Assumptions &amp; FX Reference'!$C$5:$C$25,MATCH(H944,'Assumptions &amp; FX Reference'!$A$5:$A$25,0)),""))),"(FX missing)"))</f>
        <v/>
      </c>
      <c r="P944" s="30"/>
      <c r="Q944" s="30"/>
      <c r="R944" s="30"/>
      <c r="S944" s="30"/>
      <c r="T944" s="30"/>
      <c r="U944" s="30"/>
      <c r="V944" s="30"/>
    </row>
    <row r="945" spans="1:22">
      <c r="A945" s="30"/>
      <c r="B945" s="30"/>
      <c r="C945" s="33" t="str">
        <f>IF(B945="","",IFERROR(INDEX('Master Database'!$D$5:$D$600,MATCH(B945,'Master Database'!$A$5:$A$600,0)),"(row not found)"))</f>
        <v/>
      </c>
      <c r="D945" s="33" t="str">
        <f>IF(B945="","",IFERROR(INDEX('Master Database'!$B$5:$B$600,MATCH(B945,'Master Database'!$A$5:$A$600,0)),"(row not found)"))</f>
        <v/>
      </c>
      <c r="E945" s="30"/>
      <c r="F945" s="33" t="str">
        <f>IF(E945="","",IFERROR(INDEX(Vendor_Register!$B$5:$B$205,MATCH(E945,Vendor_Register!$A$5:$A$205,0)),"(not in register)"))</f>
        <v/>
      </c>
      <c r="G945" s="33" t="str">
        <f>IF(E945="","",IFERROR(INDEX(Vendor_Register!$E$5:$E$205,MATCH(E945,Vendor_Register!$A$5:$A$205,0)),"(not in register)"))</f>
        <v/>
      </c>
      <c r="H945" s="30"/>
      <c r="I945" s="30"/>
      <c r="J945" s="30"/>
      <c r="K945" s="30"/>
      <c r="L945" s="30"/>
      <c r="M945" s="34"/>
      <c r="N945" s="30"/>
      <c r="O945" s="35" t="str">
        <f>IF(NOT(ISNUMBER(M945)),"",IFERROR(IF(L945="EUR",M945,IF(L945="IRR",M945/INDEX('Assumptions &amp; FX Reference'!$C$5:$C$25,MATCH(H945,'Assumptions &amp; FX Reference'!$A$5:$A$25,0)),IF(L945="USD",M945*INDEX('Assumptions &amp; FX Reference'!$B$5:$B$25,MATCH(H945,'Assumptions &amp; FX Reference'!$A$5:$A$25,0))/INDEX('Assumptions &amp; FX Reference'!$C$5:$C$25,MATCH(H945,'Assumptions &amp; FX Reference'!$A$5:$A$25,0)),""))),"(FX missing)"))</f>
        <v/>
      </c>
      <c r="P945" s="30"/>
      <c r="Q945" s="30"/>
      <c r="R945" s="30"/>
      <c r="S945" s="30"/>
      <c r="T945" s="30"/>
      <c r="U945" s="30"/>
      <c r="V945" s="30"/>
    </row>
    <row r="946" spans="1:22">
      <c r="A946" s="30"/>
      <c r="B946" s="30"/>
      <c r="C946" s="33" t="str">
        <f>IF(B946="","",IFERROR(INDEX('Master Database'!$D$5:$D$600,MATCH(B946,'Master Database'!$A$5:$A$600,0)),"(row not found)"))</f>
        <v/>
      </c>
      <c r="D946" s="33" t="str">
        <f>IF(B946="","",IFERROR(INDEX('Master Database'!$B$5:$B$600,MATCH(B946,'Master Database'!$A$5:$A$600,0)),"(row not found)"))</f>
        <v/>
      </c>
      <c r="E946" s="30"/>
      <c r="F946" s="33" t="str">
        <f>IF(E946="","",IFERROR(INDEX(Vendor_Register!$B$5:$B$205,MATCH(E946,Vendor_Register!$A$5:$A$205,0)),"(not in register)"))</f>
        <v/>
      </c>
      <c r="G946" s="33" t="str">
        <f>IF(E946="","",IFERROR(INDEX(Vendor_Register!$E$5:$E$205,MATCH(E946,Vendor_Register!$A$5:$A$205,0)),"(not in register)"))</f>
        <v/>
      </c>
      <c r="H946" s="30"/>
      <c r="I946" s="30"/>
      <c r="J946" s="30"/>
      <c r="K946" s="30"/>
      <c r="L946" s="30"/>
      <c r="M946" s="34"/>
      <c r="N946" s="30"/>
      <c r="O946" s="35" t="str">
        <f>IF(NOT(ISNUMBER(M946)),"",IFERROR(IF(L946="EUR",M946,IF(L946="IRR",M946/INDEX('Assumptions &amp; FX Reference'!$C$5:$C$25,MATCH(H946,'Assumptions &amp; FX Reference'!$A$5:$A$25,0)),IF(L946="USD",M946*INDEX('Assumptions &amp; FX Reference'!$B$5:$B$25,MATCH(H946,'Assumptions &amp; FX Reference'!$A$5:$A$25,0))/INDEX('Assumptions &amp; FX Reference'!$C$5:$C$25,MATCH(H946,'Assumptions &amp; FX Reference'!$A$5:$A$25,0)),""))),"(FX missing)"))</f>
        <v/>
      </c>
      <c r="P946" s="30"/>
      <c r="Q946" s="30"/>
      <c r="R946" s="30"/>
      <c r="S946" s="30"/>
      <c r="T946" s="30"/>
      <c r="U946" s="30"/>
      <c r="V946" s="30"/>
    </row>
    <row r="947" spans="1:22">
      <c r="A947" s="30"/>
      <c r="B947" s="30"/>
      <c r="C947" s="33" t="str">
        <f>IF(B947="","",IFERROR(INDEX('Master Database'!$D$5:$D$600,MATCH(B947,'Master Database'!$A$5:$A$600,0)),"(row not found)"))</f>
        <v/>
      </c>
      <c r="D947" s="33" t="str">
        <f>IF(B947="","",IFERROR(INDEX('Master Database'!$B$5:$B$600,MATCH(B947,'Master Database'!$A$5:$A$600,0)),"(row not found)"))</f>
        <v/>
      </c>
      <c r="E947" s="30"/>
      <c r="F947" s="33" t="str">
        <f>IF(E947="","",IFERROR(INDEX(Vendor_Register!$B$5:$B$205,MATCH(E947,Vendor_Register!$A$5:$A$205,0)),"(not in register)"))</f>
        <v/>
      </c>
      <c r="G947" s="33" t="str">
        <f>IF(E947="","",IFERROR(INDEX(Vendor_Register!$E$5:$E$205,MATCH(E947,Vendor_Register!$A$5:$A$205,0)),"(not in register)"))</f>
        <v/>
      </c>
      <c r="H947" s="30"/>
      <c r="I947" s="30"/>
      <c r="J947" s="30"/>
      <c r="K947" s="30"/>
      <c r="L947" s="30"/>
      <c r="M947" s="34"/>
      <c r="N947" s="30"/>
      <c r="O947" s="35" t="str">
        <f>IF(NOT(ISNUMBER(M947)),"",IFERROR(IF(L947="EUR",M947,IF(L947="IRR",M947/INDEX('Assumptions &amp; FX Reference'!$C$5:$C$25,MATCH(H947,'Assumptions &amp; FX Reference'!$A$5:$A$25,0)),IF(L947="USD",M947*INDEX('Assumptions &amp; FX Reference'!$B$5:$B$25,MATCH(H947,'Assumptions &amp; FX Reference'!$A$5:$A$25,0))/INDEX('Assumptions &amp; FX Reference'!$C$5:$C$25,MATCH(H947,'Assumptions &amp; FX Reference'!$A$5:$A$25,0)),""))),"(FX missing)"))</f>
        <v/>
      </c>
      <c r="P947" s="30"/>
      <c r="Q947" s="30"/>
      <c r="R947" s="30"/>
      <c r="S947" s="30"/>
      <c r="T947" s="30"/>
      <c r="U947" s="30"/>
      <c r="V947" s="30"/>
    </row>
    <row r="948" spans="1:22">
      <c r="A948" s="30"/>
      <c r="B948" s="30"/>
      <c r="C948" s="33" t="str">
        <f>IF(B948="","",IFERROR(INDEX('Master Database'!$D$5:$D$600,MATCH(B948,'Master Database'!$A$5:$A$600,0)),"(row not found)"))</f>
        <v/>
      </c>
      <c r="D948" s="33" t="str">
        <f>IF(B948="","",IFERROR(INDEX('Master Database'!$B$5:$B$600,MATCH(B948,'Master Database'!$A$5:$A$600,0)),"(row not found)"))</f>
        <v/>
      </c>
      <c r="E948" s="30"/>
      <c r="F948" s="33" t="str">
        <f>IF(E948="","",IFERROR(INDEX(Vendor_Register!$B$5:$B$205,MATCH(E948,Vendor_Register!$A$5:$A$205,0)),"(not in register)"))</f>
        <v/>
      </c>
      <c r="G948" s="33" t="str">
        <f>IF(E948="","",IFERROR(INDEX(Vendor_Register!$E$5:$E$205,MATCH(E948,Vendor_Register!$A$5:$A$205,0)),"(not in register)"))</f>
        <v/>
      </c>
      <c r="H948" s="30"/>
      <c r="I948" s="30"/>
      <c r="J948" s="30"/>
      <c r="K948" s="30"/>
      <c r="L948" s="30"/>
      <c r="M948" s="34"/>
      <c r="N948" s="30"/>
      <c r="O948" s="35" t="str">
        <f>IF(NOT(ISNUMBER(M948)),"",IFERROR(IF(L948="EUR",M948,IF(L948="IRR",M948/INDEX('Assumptions &amp; FX Reference'!$C$5:$C$25,MATCH(H948,'Assumptions &amp; FX Reference'!$A$5:$A$25,0)),IF(L948="USD",M948*INDEX('Assumptions &amp; FX Reference'!$B$5:$B$25,MATCH(H948,'Assumptions &amp; FX Reference'!$A$5:$A$25,0))/INDEX('Assumptions &amp; FX Reference'!$C$5:$C$25,MATCH(H948,'Assumptions &amp; FX Reference'!$A$5:$A$25,0)),""))),"(FX missing)"))</f>
        <v/>
      </c>
      <c r="P948" s="30"/>
      <c r="Q948" s="30"/>
      <c r="R948" s="30"/>
      <c r="S948" s="30"/>
      <c r="T948" s="30"/>
      <c r="U948" s="30"/>
      <c r="V948" s="30"/>
    </row>
    <row r="949" spans="1:22">
      <c r="A949" s="30"/>
      <c r="B949" s="30"/>
      <c r="C949" s="33" t="str">
        <f>IF(B949="","",IFERROR(INDEX('Master Database'!$D$5:$D$600,MATCH(B949,'Master Database'!$A$5:$A$600,0)),"(row not found)"))</f>
        <v/>
      </c>
      <c r="D949" s="33" t="str">
        <f>IF(B949="","",IFERROR(INDEX('Master Database'!$B$5:$B$600,MATCH(B949,'Master Database'!$A$5:$A$600,0)),"(row not found)"))</f>
        <v/>
      </c>
      <c r="E949" s="30"/>
      <c r="F949" s="33" t="str">
        <f>IF(E949="","",IFERROR(INDEX(Vendor_Register!$B$5:$B$205,MATCH(E949,Vendor_Register!$A$5:$A$205,0)),"(not in register)"))</f>
        <v/>
      </c>
      <c r="G949" s="33" t="str">
        <f>IF(E949="","",IFERROR(INDEX(Vendor_Register!$E$5:$E$205,MATCH(E949,Vendor_Register!$A$5:$A$205,0)),"(not in register)"))</f>
        <v/>
      </c>
      <c r="H949" s="30"/>
      <c r="I949" s="30"/>
      <c r="J949" s="30"/>
      <c r="K949" s="30"/>
      <c r="L949" s="30"/>
      <c r="M949" s="34"/>
      <c r="N949" s="30"/>
      <c r="O949" s="35" t="str">
        <f>IF(NOT(ISNUMBER(M949)),"",IFERROR(IF(L949="EUR",M949,IF(L949="IRR",M949/INDEX('Assumptions &amp; FX Reference'!$C$5:$C$25,MATCH(H949,'Assumptions &amp; FX Reference'!$A$5:$A$25,0)),IF(L949="USD",M949*INDEX('Assumptions &amp; FX Reference'!$B$5:$B$25,MATCH(H949,'Assumptions &amp; FX Reference'!$A$5:$A$25,0))/INDEX('Assumptions &amp; FX Reference'!$C$5:$C$25,MATCH(H949,'Assumptions &amp; FX Reference'!$A$5:$A$25,0)),""))),"(FX missing)"))</f>
        <v/>
      </c>
      <c r="P949" s="30"/>
      <c r="Q949" s="30"/>
      <c r="R949" s="30"/>
      <c r="S949" s="30"/>
      <c r="T949" s="30"/>
      <c r="U949" s="30"/>
      <c r="V949" s="30"/>
    </row>
    <row r="950" spans="1:22">
      <c r="A950" s="30"/>
      <c r="B950" s="30"/>
      <c r="C950" s="33" t="str">
        <f>IF(B950="","",IFERROR(INDEX('Master Database'!$D$5:$D$600,MATCH(B950,'Master Database'!$A$5:$A$600,0)),"(row not found)"))</f>
        <v/>
      </c>
      <c r="D950" s="33" t="str">
        <f>IF(B950="","",IFERROR(INDEX('Master Database'!$B$5:$B$600,MATCH(B950,'Master Database'!$A$5:$A$600,0)),"(row not found)"))</f>
        <v/>
      </c>
      <c r="E950" s="30"/>
      <c r="F950" s="33" t="str">
        <f>IF(E950="","",IFERROR(INDEX(Vendor_Register!$B$5:$B$205,MATCH(E950,Vendor_Register!$A$5:$A$205,0)),"(not in register)"))</f>
        <v/>
      </c>
      <c r="G950" s="33" t="str">
        <f>IF(E950="","",IFERROR(INDEX(Vendor_Register!$E$5:$E$205,MATCH(E950,Vendor_Register!$A$5:$A$205,0)),"(not in register)"))</f>
        <v/>
      </c>
      <c r="H950" s="30"/>
      <c r="I950" s="30"/>
      <c r="J950" s="30"/>
      <c r="K950" s="30"/>
      <c r="L950" s="30"/>
      <c r="M950" s="34"/>
      <c r="N950" s="30"/>
      <c r="O950" s="35" t="str">
        <f>IF(NOT(ISNUMBER(M950)),"",IFERROR(IF(L950="EUR",M950,IF(L950="IRR",M950/INDEX('Assumptions &amp; FX Reference'!$C$5:$C$25,MATCH(H950,'Assumptions &amp; FX Reference'!$A$5:$A$25,0)),IF(L950="USD",M950*INDEX('Assumptions &amp; FX Reference'!$B$5:$B$25,MATCH(H950,'Assumptions &amp; FX Reference'!$A$5:$A$25,0))/INDEX('Assumptions &amp; FX Reference'!$C$5:$C$25,MATCH(H950,'Assumptions &amp; FX Reference'!$A$5:$A$25,0)),""))),"(FX missing)"))</f>
        <v/>
      </c>
      <c r="P950" s="30"/>
      <c r="Q950" s="30"/>
      <c r="R950" s="30"/>
      <c r="S950" s="30"/>
      <c r="T950" s="30"/>
      <c r="U950" s="30"/>
      <c r="V950" s="30"/>
    </row>
    <row r="951" spans="1:22">
      <c r="A951" s="30"/>
      <c r="B951" s="30"/>
      <c r="C951" s="33" t="str">
        <f>IF(B951="","",IFERROR(INDEX('Master Database'!$D$5:$D$600,MATCH(B951,'Master Database'!$A$5:$A$600,0)),"(row not found)"))</f>
        <v/>
      </c>
      <c r="D951" s="33" t="str">
        <f>IF(B951="","",IFERROR(INDEX('Master Database'!$B$5:$B$600,MATCH(B951,'Master Database'!$A$5:$A$600,0)),"(row not found)"))</f>
        <v/>
      </c>
      <c r="E951" s="30"/>
      <c r="F951" s="33" t="str">
        <f>IF(E951="","",IFERROR(INDEX(Vendor_Register!$B$5:$B$205,MATCH(E951,Vendor_Register!$A$5:$A$205,0)),"(not in register)"))</f>
        <v/>
      </c>
      <c r="G951" s="33" t="str">
        <f>IF(E951="","",IFERROR(INDEX(Vendor_Register!$E$5:$E$205,MATCH(E951,Vendor_Register!$A$5:$A$205,0)),"(not in register)"))</f>
        <v/>
      </c>
      <c r="H951" s="30"/>
      <c r="I951" s="30"/>
      <c r="J951" s="30"/>
      <c r="K951" s="30"/>
      <c r="L951" s="30"/>
      <c r="M951" s="34"/>
      <c r="N951" s="30"/>
      <c r="O951" s="35" t="str">
        <f>IF(NOT(ISNUMBER(M951)),"",IFERROR(IF(L951="EUR",M951,IF(L951="IRR",M951/INDEX('Assumptions &amp; FX Reference'!$C$5:$C$25,MATCH(H951,'Assumptions &amp; FX Reference'!$A$5:$A$25,0)),IF(L951="USD",M951*INDEX('Assumptions &amp; FX Reference'!$B$5:$B$25,MATCH(H951,'Assumptions &amp; FX Reference'!$A$5:$A$25,0))/INDEX('Assumptions &amp; FX Reference'!$C$5:$C$25,MATCH(H951,'Assumptions &amp; FX Reference'!$A$5:$A$25,0)),""))),"(FX missing)"))</f>
        <v/>
      </c>
      <c r="P951" s="30"/>
      <c r="Q951" s="30"/>
      <c r="R951" s="30"/>
      <c r="S951" s="30"/>
      <c r="T951" s="30"/>
      <c r="U951" s="30"/>
      <c r="V951" s="30"/>
    </row>
    <row r="952" spans="1:22">
      <c r="A952" s="30"/>
      <c r="B952" s="30"/>
      <c r="C952" s="33" t="str">
        <f>IF(B952="","",IFERROR(INDEX('Master Database'!$D$5:$D$600,MATCH(B952,'Master Database'!$A$5:$A$600,0)),"(row not found)"))</f>
        <v/>
      </c>
      <c r="D952" s="33" t="str">
        <f>IF(B952="","",IFERROR(INDEX('Master Database'!$B$5:$B$600,MATCH(B952,'Master Database'!$A$5:$A$600,0)),"(row not found)"))</f>
        <v/>
      </c>
      <c r="E952" s="30"/>
      <c r="F952" s="33" t="str">
        <f>IF(E952="","",IFERROR(INDEX(Vendor_Register!$B$5:$B$205,MATCH(E952,Vendor_Register!$A$5:$A$205,0)),"(not in register)"))</f>
        <v/>
      </c>
      <c r="G952" s="33" t="str">
        <f>IF(E952="","",IFERROR(INDEX(Vendor_Register!$E$5:$E$205,MATCH(E952,Vendor_Register!$A$5:$A$205,0)),"(not in register)"))</f>
        <v/>
      </c>
      <c r="H952" s="30"/>
      <c r="I952" s="30"/>
      <c r="J952" s="30"/>
      <c r="K952" s="30"/>
      <c r="L952" s="30"/>
      <c r="M952" s="34"/>
      <c r="N952" s="30"/>
      <c r="O952" s="35" t="str">
        <f>IF(NOT(ISNUMBER(M952)),"",IFERROR(IF(L952="EUR",M952,IF(L952="IRR",M952/INDEX('Assumptions &amp; FX Reference'!$C$5:$C$25,MATCH(H952,'Assumptions &amp; FX Reference'!$A$5:$A$25,0)),IF(L952="USD",M952*INDEX('Assumptions &amp; FX Reference'!$B$5:$B$25,MATCH(H952,'Assumptions &amp; FX Reference'!$A$5:$A$25,0))/INDEX('Assumptions &amp; FX Reference'!$C$5:$C$25,MATCH(H952,'Assumptions &amp; FX Reference'!$A$5:$A$25,0)),""))),"(FX missing)"))</f>
        <v/>
      </c>
      <c r="P952" s="30"/>
      <c r="Q952" s="30"/>
      <c r="R952" s="30"/>
      <c r="S952" s="30"/>
      <c r="T952" s="30"/>
      <c r="U952" s="30"/>
      <c r="V952" s="30"/>
    </row>
    <row r="953" spans="1:22">
      <c r="A953" s="30"/>
      <c r="B953" s="30"/>
      <c r="C953" s="33" t="str">
        <f>IF(B953="","",IFERROR(INDEX('Master Database'!$D$5:$D$600,MATCH(B953,'Master Database'!$A$5:$A$600,0)),"(row not found)"))</f>
        <v/>
      </c>
      <c r="D953" s="33" t="str">
        <f>IF(B953="","",IFERROR(INDEX('Master Database'!$B$5:$B$600,MATCH(B953,'Master Database'!$A$5:$A$600,0)),"(row not found)"))</f>
        <v/>
      </c>
      <c r="E953" s="30"/>
      <c r="F953" s="33" t="str">
        <f>IF(E953="","",IFERROR(INDEX(Vendor_Register!$B$5:$B$205,MATCH(E953,Vendor_Register!$A$5:$A$205,0)),"(not in register)"))</f>
        <v/>
      </c>
      <c r="G953" s="33" t="str">
        <f>IF(E953="","",IFERROR(INDEX(Vendor_Register!$E$5:$E$205,MATCH(E953,Vendor_Register!$A$5:$A$205,0)),"(not in register)"))</f>
        <v/>
      </c>
      <c r="H953" s="30"/>
      <c r="I953" s="30"/>
      <c r="J953" s="30"/>
      <c r="K953" s="30"/>
      <c r="L953" s="30"/>
      <c r="M953" s="34"/>
      <c r="N953" s="30"/>
      <c r="O953" s="35" t="str">
        <f>IF(NOT(ISNUMBER(M953)),"",IFERROR(IF(L953="EUR",M953,IF(L953="IRR",M953/INDEX('Assumptions &amp; FX Reference'!$C$5:$C$25,MATCH(H953,'Assumptions &amp; FX Reference'!$A$5:$A$25,0)),IF(L953="USD",M953*INDEX('Assumptions &amp; FX Reference'!$B$5:$B$25,MATCH(H953,'Assumptions &amp; FX Reference'!$A$5:$A$25,0))/INDEX('Assumptions &amp; FX Reference'!$C$5:$C$25,MATCH(H953,'Assumptions &amp; FX Reference'!$A$5:$A$25,0)),""))),"(FX missing)"))</f>
        <v/>
      </c>
      <c r="P953" s="30"/>
      <c r="Q953" s="30"/>
      <c r="R953" s="30"/>
      <c r="S953" s="30"/>
      <c r="T953" s="30"/>
      <c r="U953" s="30"/>
      <c r="V953" s="30"/>
    </row>
    <row r="954" spans="1:22">
      <c r="A954" s="30"/>
      <c r="B954" s="30"/>
      <c r="C954" s="33" t="str">
        <f>IF(B954="","",IFERROR(INDEX('Master Database'!$D$5:$D$600,MATCH(B954,'Master Database'!$A$5:$A$600,0)),"(row not found)"))</f>
        <v/>
      </c>
      <c r="D954" s="33" t="str">
        <f>IF(B954="","",IFERROR(INDEX('Master Database'!$B$5:$B$600,MATCH(B954,'Master Database'!$A$5:$A$600,0)),"(row not found)"))</f>
        <v/>
      </c>
      <c r="E954" s="30"/>
      <c r="F954" s="33" t="str">
        <f>IF(E954="","",IFERROR(INDEX(Vendor_Register!$B$5:$B$205,MATCH(E954,Vendor_Register!$A$5:$A$205,0)),"(not in register)"))</f>
        <v/>
      </c>
      <c r="G954" s="33" t="str">
        <f>IF(E954="","",IFERROR(INDEX(Vendor_Register!$E$5:$E$205,MATCH(E954,Vendor_Register!$A$5:$A$205,0)),"(not in register)"))</f>
        <v/>
      </c>
      <c r="H954" s="30"/>
      <c r="I954" s="30"/>
      <c r="J954" s="30"/>
      <c r="K954" s="30"/>
      <c r="L954" s="30"/>
      <c r="M954" s="34"/>
      <c r="N954" s="30"/>
      <c r="O954" s="35" t="str">
        <f>IF(NOT(ISNUMBER(M954)),"",IFERROR(IF(L954="EUR",M954,IF(L954="IRR",M954/INDEX('Assumptions &amp; FX Reference'!$C$5:$C$25,MATCH(H954,'Assumptions &amp; FX Reference'!$A$5:$A$25,0)),IF(L954="USD",M954*INDEX('Assumptions &amp; FX Reference'!$B$5:$B$25,MATCH(H954,'Assumptions &amp; FX Reference'!$A$5:$A$25,0))/INDEX('Assumptions &amp; FX Reference'!$C$5:$C$25,MATCH(H954,'Assumptions &amp; FX Reference'!$A$5:$A$25,0)),""))),"(FX missing)"))</f>
        <v/>
      </c>
      <c r="P954" s="30"/>
      <c r="Q954" s="30"/>
      <c r="R954" s="30"/>
      <c r="S954" s="30"/>
      <c r="T954" s="30"/>
      <c r="U954" s="30"/>
      <c r="V954" s="30"/>
    </row>
    <row r="955" spans="1:22">
      <c r="A955" s="30"/>
      <c r="B955" s="30"/>
      <c r="C955" s="33" t="str">
        <f>IF(B955="","",IFERROR(INDEX('Master Database'!$D$5:$D$600,MATCH(B955,'Master Database'!$A$5:$A$600,0)),"(row not found)"))</f>
        <v/>
      </c>
      <c r="D955" s="33" t="str">
        <f>IF(B955="","",IFERROR(INDEX('Master Database'!$B$5:$B$600,MATCH(B955,'Master Database'!$A$5:$A$600,0)),"(row not found)"))</f>
        <v/>
      </c>
      <c r="E955" s="30"/>
      <c r="F955" s="33" t="str">
        <f>IF(E955="","",IFERROR(INDEX(Vendor_Register!$B$5:$B$205,MATCH(E955,Vendor_Register!$A$5:$A$205,0)),"(not in register)"))</f>
        <v/>
      </c>
      <c r="G955" s="33" t="str">
        <f>IF(E955="","",IFERROR(INDEX(Vendor_Register!$E$5:$E$205,MATCH(E955,Vendor_Register!$A$5:$A$205,0)),"(not in register)"))</f>
        <v/>
      </c>
      <c r="H955" s="30"/>
      <c r="I955" s="30"/>
      <c r="J955" s="30"/>
      <c r="K955" s="30"/>
      <c r="L955" s="30"/>
      <c r="M955" s="34"/>
      <c r="N955" s="30"/>
      <c r="O955" s="35" t="str">
        <f>IF(NOT(ISNUMBER(M955)),"",IFERROR(IF(L955="EUR",M955,IF(L955="IRR",M955/INDEX('Assumptions &amp; FX Reference'!$C$5:$C$25,MATCH(H955,'Assumptions &amp; FX Reference'!$A$5:$A$25,0)),IF(L955="USD",M955*INDEX('Assumptions &amp; FX Reference'!$B$5:$B$25,MATCH(H955,'Assumptions &amp; FX Reference'!$A$5:$A$25,0))/INDEX('Assumptions &amp; FX Reference'!$C$5:$C$25,MATCH(H955,'Assumptions &amp; FX Reference'!$A$5:$A$25,0)),""))),"(FX missing)"))</f>
        <v/>
      </c>
      <c r="P955" s="30"/>
      <c r="Q955" s="30"/>
      <c r="R955" s="30"/>
      <c r="S955" s="30"/>
      <c r="T955" s="30"/>
      <c r="U955" s="30"/>
      <c r="V955" s="30"/>
    </row>
    <row r="956" spans="1:22">
      <c r="A956" s="30"/>
      <c r="B956" s="30"/>
      <c r="C956" s="33" t="str">
        <f>IF(B956="","",IFERROR(INDEX('Master Database'!$D$5:$D$600,MATCH(B956,'Master Database'!$A$5:$A$600,0)),"(row not found)"))</f>
        <v/>
      </c>
      <c r="D956" s="33" t="str">
        <f>IF(B956="","",IFERROR(INDEX('Master Database'!$B$5:$B$600,MATCH(B956,'Master Database'!$A$5:$A$600,0)),"(row not found)"))</f>
        <v/>
      </c>
      <c r="E956" s="30"/>
      <c r="F956" s="33" t="str">
        <f>IF(E956="","",IFERROR(INDEX(Vendor_Register!$B$5:$B$205,MATCH(E956,Vendor_Register!$A$5:$A$205,0)),"(not in register)"))</f>
        <v/>
      </c>
      <c r="G956" s="33" t="str">
        <f>IF(E956="","",IFERROR(INDEX(Vendor_Register!$E$5:$E$205,MATCH(E956,Vendor_Register!$A$5:$A$205,0)),"(not in register)"))</f>
        <v/>
      </c>
      <c r="H956" s="30"/>
      <c r="I956" s="30"/>
      <c r="J956" s="30"/>
      <c r="K956" s="30"/>
      <c r="L956" s="30"/>
      <c r="M956" s="34"/>
      <c r="N956" s="30"/>
      <c r="O956" s="35" t="str">
        <f>IF(NOT(ISNUMBER(M956)),"",IFERROR(IF(L956="EUR",M956,IF(L956="IRR",M956/INDEX('Assumptions &amp; FX Reference'!$C$5:$C$25,MATCH(H956,'Assumptions &amp; FX Reference'!$A$5:$A$25,0)),IF(L956="USD",M956*INDEX('Assumptions &amp; FX Reference'!$B$5:$B$25,MATCH(H956,'Assumptions &amp; FX Reference'!$A$5:$A$25,0))/INDEX('Assumptions &amp; FX Reference'!$C$5:$C$25,MATCH(H956,'Assumptions &amp; FX Reference'!$A$5:$A$25,0)),""))),"(FX missing)"))</f>
        <v/>
      </c>
      <c r="P956" s="30"/>
      <c r="Q956" s="30"/>
      <c r="R956" s="30"/>
      <c r="S956" s="30"/>
      <c r="T956" s="30"/>
      <c r="U956" s="30"/>
      <c r="V956" s="30"/>
    </row>
    <row r="957" spans="1:22">
      <c r="A957" s="30"/>
      <c r="B957" s="30"/>
      <c r="C957" s="33" t="str">
        <f>IF(B957="","",IFERROR(INDEX('Master Database'!$D$5:$D$600,MATCH(B957,'Master Database'!$A$5:$A$600,0)),"(row not found)"))</f>
        <v/>
      </c>
      <c r="D957" s="33" t="str">
        <f>IF(B957="","",IFERROR(INDEX('Master Database'!$B$5:$B$600,MATCH(B957,'Master Database'!$A$5:$A$600,0)),"(row not found)"))</f>
        <v/>
      </c>
      <c r="E957" s="30"/>
      <c r="F957" s="33" t="str">
        <f>IF(E957="","",IFERROR(INDEX(Vendor_Register!$B$5:$B$205,MATCH(E957,Vendor_Register!$A$5:$A$205,0)),"(not in register)"))</f>
        <v/>
      </c>
      <c r="G957" s="33" t="str">
        <f>IF(E957="","",IFERROR(INDEX(Vendor_Register!$E$5:$E$205,MATCH(E957,Vendor_Register!$A$5:$A$205,0)),"(not in register)"))</f>
        <v/>
      </c>
      <c r="H957" s="30"/>
      <c r="I957" s="30"/>
      <c r="J957" s="30"/>
      <c r="K957" s="30"/>
      <c r="L957" s="30"/>
      <c r="M957" s="34"/>
      <c r="N957" s="30"/>
      <c r="O957" s="35" t="str">
        <f>IF(NOT(ISNUMBER(M957)),"",IFERROR(IF(L957="EUR",M957,IF(L957="IRR",M957/INDEX('Assumptions &amp; FX Reference'!$C$5:$C$25,MATCH(H957,'Assumptions &amp; FX Reference'!$A$5:$A$25,0)),IF(L957="USD",M957*INDEX('Assumptions &amp; FX Reference'!$B$5:$B$25,MATCH(H957,'Assumptions &amp; FX Reference'!$A$5:$A$25,0))/INDEX('Assumptions &amp; FX Reference'!$C$5:$C$25,MATCH(H957,'Assumptions &amp; FX Reference'!$A$5:$A$25,0)),""))),"(FX missing)"))</f>
        <v/>
      </c>
      <c r="P957" s="30"/>
      <c r="Q957" s="30"/>
      <c r="R957" s="30"/>
      <c r="S957" s="30"/>
      <c r="T957" s="30"/>
      <c r="U957" s="30"/>
      <c r="V957" s="30"/>
    </row>
    <row r="958" spans="1:22">
      <c r="A958" s="30"/>
      <c r="B958" s="30"/>
      <c r="C958" s="33" t="str">
        <f>IF(B958="","",IFERROR(INDEX('Master Database'!$D$5:$D$600,MATCH(B958,'Master Database'!$A$5:$A$600,0)),"(row not found)"))</f>
        <v/>
      </c>
      <c r="D958" s="33" t="str">
        <f>IF(B958="","",IFERROR(INDEX('Master Database'!$B$5:$B$600,MATCH(B958,'Master Database'!$A$5:$A$600,0)),"(row not found)"))</f>
        <v/>
      </c>
      <c r="E958" s="30"/>
      <c r="F958" s="33" t="str">
        <f>IF(E958="","",IFERROR(INDEX(Vendor_Register!$B$5:$B$205,MATCH(E958,Vendor_Register!$A$5:$A$205,0)),"(not in register)"))</f>
        <v/>
      </c>
      <c r="G958" s="33" t="str">
        <f>IF(E958="","",IFERROR(INDEX(Vendor_Register!$E$5:$E$205,MATCH(E958,Vendor_Register!$A$5:$A$205,0)),"(not in register)"))</f>
        <v/>
      </c>
      <c r="H958" s="30"/>
      <c r="I958" s="30"/>
      <c r="J958" s="30"/>
      <c r="K958" s="30"/>
      <c r="L958" s="30"/>
      <c r="M958" s="34"/>
      <c r="N958" s="30"/>
      <c r="O958" s="35" t="str">
        <f>IF(NOT(ISNUMBER(M958)),"",IFERROR(IF(L958="EUR",M958,IF(L958="IRR",M958/INDEX('Assumptions &amp; FX Reference'!$C$5:$C$25,MATCH(H958,'Assumptions &amp; FX Reference'!$A$5:$A$25,0)),IF(L958="USD",M958*INDEX('Assumptions &amp; FX Reference'!$B$5:$B$25,MATCH(H958,'Assumptions &amp; FX Reference'!$A$5:$A$25,0))/INDEX('Assumptions &amp; FX Reference'!$C$5:$C$25,MATCH(H958,'Assumptions &amp; FX Reference'!$A$5:$A$25,0)),""))),"(FX missing)"))</f>
        <v/>
      </c>
      <c r="P958" s="30"/>
      <c r="Q958" s="30"/>
      <c r="R958" s="30"/>
      <c r="S958" s="30"/>
      <c r="T958" s="30"/>
      <c r="U958" s="30"/>
      <c r="V958" s="30"/>
    </row>
    <row r="959" spans="1:22">
      <c r="A959" s="30"/>
      <c r="B959" s="30"/>
      <c r="C959" s="33" t="str">
        <f>IF(B959="","",IFERROR(INDEX('Master Database'!$D$5:$D$600,MATCH(B959,'Master Database'!$A$5:$A$600,0)),"(row not found)"))</f>
        <v/>
      </c>
      <c r="D959" s="33" t="str">
        <f>IF(B959="","",IFERROR(INDEX('Master Database'!$B$5:$B$600,MATCH(B959,'Master Database'!$A$5:$A$600,0)),"(row not found)"))</f>
        <v/>
      </c>
      <c r="E959" s="30"/>
      <c r="F959" s="33" t="str">
        <f>IF(E959="","",IFERROR(INDEX(Vendor_Register!$B$5:$B$205,MATCH(E959,Vendor_Register!$A$5:$A$205,0)),"(not in register)"))</f>
        <v/>
      </c>
      <c r="G959" s="33" t="str">
        <f>IF(E959="","",IFERROR(INDEX(Vendor_Register!$E$5:$E$205,MATCH(E959,Vendor_Register!$A$5:$A$205,0)),"(not in register)"))</f>
        <v/>
      </c>
      <c r="H959" s="30"/>
      <c r="I959" s="30"/>
      <c r="J959" s="30"/>
      <c r="K959" s="30"/>
      <c r="L959" s="30"/>
      <c r="M959" s="34"/>
      <c r="N959" s="30"/>
      <c r="O959" s="35" t="str">
        <f>IF(NOT(ISNUMBER(M959)),"",IFERROR(IF(L959="EUR",M959,IF(L959="IRR",M959/INDEX('Assumptions &amp; FX Reference'!$C$5:$C$25,MATCH(H959,'Assumptions &amp; FX Reference'!$A$5:$A$25,0)),IF(L959="USD",M959*INDEX('Assumptions &amp; FX Reference'!$B$5:$B$25,MATCH(H959,'Assumptions &amp; FX Reference'!$A$5:$A$25,0))/INDEX('Assumptions &amp; FX Reference'!$C$5:$C$25,MATCH(H959,'Assumptions &amp; FX Reference'!$A$5:$A$25,0)),""))),"(FX missing)"))</f>
        <v/>
      </c>
      <c r="P959" s="30"/>
      <c r="Q959" s="30"/>
      <c r="R959" s="30"/>
      <c r="S959" s="30"/>
      <c r="T959" s="30"/>
      <c r="U959" s="30"/>
      <c r="V959" s="30"/>
    </row>
    <row r="960" spans="1:22">
      <c r="A960" s="30"/>
      <c r="B960" s="30"/>
      <c r="C960" s="33" t="str">
        <f>IF(B960="","",IFERROR(INDEX('Master Database'!$D$5:$D$600,MATCH(B960,'Master Database'!$A$5:$A$600,0)),"(row not found)"))</f>
        <v/>
      </c>
      <c r="D960" s="33" t="str">
        <f>IF(B960="","",IFERROR(INDEX('Master Database'!$B$5:$B$600,MATCH(B960,'Master Database'!$A$5:$A$600,0)),"(row not found)"))</f>
        <v/>
      </c>
      <c r="E960" s="30"/>
      <c r="F960" s="33" t="str">
        <f>IF(E960="","",IFERROR(INDEX(Vendor_Register!$B$5:$B$205,MATCH(E960,Vendor_Register!$A$5:$A$205,0)),"(not in register)"))</f>
        <v/>
      </c>
      <c r="G960" s="33" t="str">
        <f>IF(E960="","",IFERROR(INDEX(Vendor_Register!$E$5:$E$205,MATCH(E960,Vendor_Register!$A$5:$A$205,0)),"(not in register)"))</f>
        <v/>
      </c>
      <c r="H960" s="30"/>
      <c r="I960" s="30"/>
      <c r="J960" s="30"/>
      <c r="K960" s="30"/>
      <c r="L960" s="30"/>
      <c r="M960" s="34"/>
      <c r="N960" s="30"/>
      <c r="O960" s="35" t="str">
        <f>IF(NOT(ISNUMBER(M960)),"",IFERROR(IF(L960="EUR",M960,IF(L960="IRR",M960/INDEX('Assumptions &amp; FX Reference'!$C$5:$C$25,MATCH(H960,'Assumptions &amp; FX Reference'!$A$5:$A$25,0)),IF(L960="USD",M960*INDEX('Assumptions &amp; FX Reference'!$B$5:$B$25,MATCH(H960,'Assumptions &amp; FX Reference'!$A$5:$A$25,0))/INDEX('Assumptions &amp; FX Reference'!$C$5:$C$25,MATCH(H960,'Assumptions &amp; FX Reference'!$A$5:$A$25,0)),""))),"(FX missing)"))</f>
        <v/>
      </c>
      <c r="P960" s="30"/>
      <c r="Q960" s="30"/>
      <c r="R960" s="30"/>
      <c r="S960" s="30"/>
      <c r="T960" s="30"/>
      <c r="U960" s="30"/>
      <c r="V960" s="30"/>
    </row>
    <row r="961" spans="1:22">
      <c r="A961" s="30"/>
      <c r="B961" s="30"/>
      <c r="C961" s="33" t="str">
        <f>IF(B961="","",IFERROR(INDEX('Master Database'!$D$5:$D$600,MATCH(B961,'Master Database'!$A$5:$A$600,0)),"(row not found)"))</f>
        <v/>
      </c>
      <c r="D961" s="33" t="str">
        <f>IF(B961="","",IFERROR(INDEX('Master Database'!$B$5:$B$600,MATCH(B961,'Master Database'!$A$5:$A$600,0)),"(row not found)"))</f>
        <v/>
      </c>
      <c r="E961" s="30"/>
      <c r="F961" s="33" t="str">
        <f>IF(E961="","",IFERROR(INDEX(Vendor_Register!$B$5:$B$205,MATCH(E961,Vendor_Register!$A$5:$A$205,0)),"(not in register)"))</f>
        <v/>
      </c>
      <c r="G961" s="33" t="str">
        <f>IF(E961="","",IFERROR(INDEX(Vendor_Register!$E$5:$E$205,MATCH(E961,Vendor_Register!$A$5:$A$205,0)),"(not in register)"))</f>
        <v/>
      </c>
      <c r="H961" s="30"/>
      <c r="I961" s="30"/>
      <c r="J961" s="30"/>
      <c r="K961" s="30"/>
      <c r="L961" s="30"/>
      <c r="M961" s="34"/>
      <c r="N961" s="30"/>
      <c r="O961" s="35" t="str">
        <f>IF(NOT(ISNUMBER(M961)),"",IFERROR(IF(L961="EUR",M961,IF(L961="IRR",M961/INDEX('Assumptions &amp; FX Reference'!$C$5:$C$25,MATCH(H961,'Assumptions &amp; FX Reference'!$A$5:$A$25,0)),IF(L961="USD",M961*INDEX('Assumptions &amp; FX Reference'!$B$5:$B$25,MATCH(H961,'Assumptions &amp; FX Reference'!$A$5:$A$25,0))/INDEX('Assumptions &amp; FX Reference'!$C$5:$C$25,MATCH(H961,'Assumptions &amp; FX Reference'!$A$5:$A$25,0)),""))),"(FX missing)"))</f>
        <v/>
      </c>
      <c r="P961" s="30"/>
      <c r="Q961" s="30"/>
      <c r="R961" s="30"/>
      <c r="S961" s="30"/>
      <c r="T961" s="30"/>
      <c r="U961" s="30"/>
      <c r="V961" s="30"/>
    </row>
    <row r="962" spans="1:22">
      <c r="A962" s="30"/>
      <c r="B962" s="30"/>
      <c r="C962" s="33" t="str">
        <f>IF(B962="","",IFERROR(INDEX('Master Database'!$D$5:$D$600,MATCH(B962,'Master Database'!$A$5:$A$600,0)),"(row not found)"))</f>
        <v/>
      </c>
      <c r="D962" s="33" t="str">
        <f>IF(B962="","",IFERROR(INDEX('Master Database'!$B$5:$B$600,MATCH(B962,'Master Database'!$A$5:$A$600,0)),"(row not found)"))</f>
        <v/>
      </c>
      <c r="E962" s="30"/>
      <c r="F962" s="33" t="str">
        <f>IF(E962="","",IFERROR(INDEX(Vendor_Register!$B$5:$B$205,MATCH(E962,Vendor_Register!$A$5:$A$205,0)),"(not in register)"))</f>
        <v/>
      </c>
      <c r="G962" s="33" t="str">
        <f>IF(E962="","",IFERROR(INDEX(Vendor_Register!$E$5:$E$205,MATCH(E962,Vendor_Register!$A$5:$A$205,0)),"(not in register)"))</f>
        <v/>
      </c>
      <c r="H962" s="30"/>
      <c r="I962" s="30"/>
      <c r="J962" s="30"/>
      <c r="K962" s="30"/>
      <c r="L962" s="30"/>
      <c r="M962" s="34"/>
      <c r="N962" s="30"/>
      <c r="O962" s="35" t="str">
        <f>IF(NOT(ISNUMBER(M962)),"",IFERROR(IF(L962="EUR",M962,IF(L962="IRR",M962/INDEX('Assumptions &amp; FX Reference'!$C$5:$C$25,MATCH(H962,'Assumptions &amp; FX Reference'!$A$5:$A$25,0)),IF(L962="USD",M962*INDEX('Assumptions &amp; FX Reference'!$B$5:$B$25,MATCH(H962,'Assumptions &amp; FX Reference'!$A$5:$A$25,0))/INDEX('Assumptions &amp; FX Reference'!$C$5:$C$25,MATCH(H962,'Assumptions &amp; FX Reference'!$A$5:$A$25,0)),""))),"(FX missing)"))</f>
        <v/>
      </c>
      <c r="P962" s="30"/>
      <c r="Q962" s="30"/>
      <c r="R962" s="30"/>
      <c r="S962" s="30"/>
      <c r="T962" s="30"/>
      <c r="U962" s="30"/>
      <c r="V962" s="30"/>
    </row>
    <row r="963" spans="1:22">
      <c r="A963" s="30"/>
      <c r="B963" s="30"/>
      <c r="C963" s="33" t="str">
        <f>IF(B963="","",IFERROR(INDEX('Master Database'!$D$5:$D$600,MATCH(B963,'Master Database'!$A$5:$A$600,0)),"(row not found)"))</f>
        <v/>
      </c>
      <c r="D963" s="33" t="str">
        <f>IF(B963="","",IFERROR(INDEX('Master Database'!$B$5:$B$600,MATCH(B963,'Master Database'!$A$5:$A$600,0)),"(row not found)"))</f>
        <v/>
      </c>
      <c r="E963" s="30"/>
      <c r="F963" s="33" t="str">
        <f>IF(E963="","",IFERROR(INDEX(Vendor_Register!$B$5:$B$205,MATCH(E963,Vendor_Register!$A$5:$A$205,0)),"(not in register)"))</f>
        <v/>
      </c>
      <c r="G963" s="33" t="str">
        <f>IF(E963="","",IFERROR(INDEX(Vendor_Register!$E$5:$E$205,MATCH(E963,Vendor_Register!$A$5:$A$205,0)),"(not in register)"))</f>
        <v/>
      </c>
      <c r="H963" s="30"/>
      <c r="I963" s="30"/>
      <c r="J963" s="30"/>
      <c r="K963" s="30"/>
      <c r="L963" s="30"/>
      <c r="M963" s="34"/>
      <c r="N963" s="30"/>
      <c r="O963" s="35" t="str">
        <f>IF(NOT(ISNUMBER(M963)),"",IFERROR(IF(L963="EUR",M963,IF(L963="IRR",M963/INDEX('Assumptions &amp; FX Reference'!$C$5:$C$25,MATCH(H963,'Assumptions &amp; FX Reference'!$A$5:$A$25,0)),IF(L963="USD",M963*INDEX('Assumptions &amp; FX Reference'!$B$5:$B$25,MATCH(H963,'Assumptions &amp; FX Reference'!$A$5:$A$25,0))/INDEX('Assumptions &amp; FX Reference'!$C$5:$C$25,MATCH(H963,'Assumptions &amp; FX Reference'!$A$5:$A$25,0)),""))),"(FX missing)"))</f>
        <v/>
      </c>
      <c r="P963" s="30"/>
      <c r="Q963" s="30"/>
      <c r="R963" s="30"/>
      <c r="S963" s="30"/>
      <c r="T963" s="30"/>
      <c r="U963" s="30"/>
      <c r="V963" s="30"/>
    </row>
    <row r="964" spans="1:22">
      <c r="A964" s="30"/>
      <c r="B964" s="30"/>
      <c r="C964" s="33" t="str">
        <f>IF(B964="","",IFERROR(INDEX('Master Database'!$D$5:$D$600,MATCH(B964,'Master Database'!$A$5:$A$600,0)),"(row not found)"))</f>
        <v/>
      </c>
      <c r="D964" s="33" t="str">
        <f>IF(B964="","",IFERROR(INDEX('Master Database'!$B$5:$B$600,MATCH(B964,'Master Database'!$A$5:$A$600,0)),"(row not found)"))</f>
        <v/>
      </c>
      <c r="E964" s="30"/>
      <c r="F964" s="33" t="str">
        <f>IF(E964="","",IFERROR(INDEX(Vendor_Register!$B$5:$B$205,MATCH(E964,Vendor_Register!$A$5:$A$205,0)),"(not in register)"))</f>
        <v/>
      </c>
      <c r="G964" s="33" t="str">
        <f>IF(E964="","",IFERROR(INDEX(Vendor_Register!$E$5:$E$205,MATCH(E964,Vendor_Register!$A$5:$A$205,0)),"(not in register)"))</f>
        <v/>
      </c>
      <c r="H964" s="30"/>
      <c r="I964" s="30"/>
      <c r="J964" s="30"/>
      <c r="K964" s="30"/>
      <c r="L964" s="30"/>
      <c r="M964" s="34"/>
      <c r="N964" s="30"/>
      <c r="O964" s="35" t="str">
        <f>IF(NOT(ISNUMBER(M964)),"",IFERROR(IF(L964="EUR",M964,IF(L964="IRR",M964/INDEX('Assumptions &amp; FX Reference'!$C$5:$C$25,MATCH(H964,'Assumptions &amp; FX Reference'!$A$5:$A$25,0)),IF(L964="USD",M964*INDEX('Assumptions &amp; FX Reference'!$B$5:$B$25,MATCH(H964,'Assumptions &amp; FX Reference'!$A$5:$A$25,0))/INDEX('Assumptions &amp; FX Reference'!$C$5:$C$25,MATCH(H964,'Assumptions &amp; FX Reference'!$A$5:$A$25,0)),""))),"(FX missing)"))</f>
        <v/>
      </c>
      <c r="P964" s="30"/>
      <c r="Q964" s="30"/>
      <c r="R964" s="30"/>
      <c r="S964" s="30"/>
      <c r="T964" s="30"/>
      <c r="U964" s="30"/>
      <c r="V964" s="30"/>
    </row>
    <row r="965" spans="1:22">
      <c r="A965" s="30"/>
      <c r="B965" s="30"/>
      <c r="C965" s="33" t="str">
        <f>IF(B965="","",IFERROR(INDEX('Master Database'!$D$5:$D$600,MATCH(B965,'Master Database'!$A$5:$A$600,0)),"(row not found)"))</f>
        <v/>
      </c>
      <c r="D965" s="33" t="str">
        <f>IF(B965="","",IFERROR(INDEX('Master Database'!$B$5:$B$600,MATCH(B965,'Master Database'!$A$5:$A$600,0)),"(row not found)"))</f>
        <v/>
      </c>
      <c r="E965" s="30"/>
      <c r="F965" s="33" t="str">
        <f>IF(E965="","",IFERROR(INDEX(Vendor_Register!$B$5:$B$205,MATCH(E965,Vendor_Register!$A$5:$A$205,0)),"(not in register)"))</f>
        <v/>
      </c>
      <c r="G965" s="33" t="str">
        <f>IF(E965="","",IFERROR(INDEX(Vendor_Register!$E$5:$E$205,MATCH(E965,Vendor_Register!$A$5:$A$205,0)),"(not in register)"))</f>
        <v/>
      </c>
      <c r="H965" s="30"/>
      <c r="I965" s="30"/>
      <c r="J965" s="30"/>
      <c r="K965" s="30"/>
      <c r="L965" s="30"/>
      <c r="M965" s="34"/>
      <c r="N965" s="30"/>
      <c r="O965" s="35" t="str">
        <f>IF(NOT(ISNUMBER(M965)),"",IFERROR(IF(L965="EUR",M965,IF(L965="IRR",M965/INDEX('Assumptions &amp; FX Reference'!$C$5:$C$25,MATCH(H965,'Assumptions &amp; FX Reference'!$A$5:$A$25,0)),IF(L965="USD",M965*INDEX('Assumptions &amp; FX Reference'!$B$5:$B$25,MATCH(H965,'Assumptions &amp; FX Reference'!$A$5:$A$25,0))/INDEX('Assumptions &amp; FX Reference'!$C$5:$C$25,MATCH(H965,'Assumptions &amp; FX Reference'!$A$5:$A$25,0)),""))),"(FX missing)"))</f>
        <v/>
      </c>
      <c r="P965" s="30"/>
      <c r="Q965" s="30"/>
      <c r="R965" s="30"/>
      <c r="S965" s="30"/>
      <c r="T965" s="30"/>
      <c r="U965" s="30"/>
      <c r="V965" s="30"/>
    </row>
    <row r="966" spans="1:22">
      <c r="A966" s="30"/>
      <c r="B966" s="30"/>
      <c r="C966" s="33" t="str">
        <f>IF(B966="","",IFERROR(INDEX('Master Database'!$D$5:$D$600,MATCH(B966,'Master Database'!$A$5:$A$600,0)),"(row not found)"))</f>
        <v/>
      </c>
      <c r="D966" s="33" t="str">
        <f>IF(B966="","",IFERROR(INDEX('Master Database'!$B$5:$B$600,MATCH(B966,'Master Database'!$A$5:$A$600,0)),"(row not found)"))</f>
        <v/>
      </c>
      <c r="E966" s="30"/>
      <c r="F966" s="33" t="str">
        <f>IF(E966="","",IFERROR(INDEX(Vendor_Register!$B$5:$B$205,MATCH(E966,Vendor_Register!$A$5:$A$205,0)),"(not in register)"))</f>
        <v/>
      </c>
      <c r="G966" s="33" t="str">
        <f>IF(E966="","",IFERROR(INDEX(Vendor_Register!$E$5:$E$205,MATCH(E966,Vendor_Register!$A$5:$A$205,0)),"(not in register)"))</f>
        <v/>
      </c>
      <c r="H966" s="30"/>
      <c r="I966" s="30"/>
      <c r="J966" s="30"/>
      <c r="K966" s="30"/>
      <c r="L966" s="30"/>
      <c r="M966" s="34"/>
      <c r="N966" s="30"/>
      <c r="O966" s="35" t="str">
        <f>IF(NOT(ISNUMBER(M966)),"",IFERROR(IF(L966="EUR",M966,IF(L966="IRR",M966/INDEX('Assumptions &amp; FX Reference'!$C$5:$C$25,MATCH(H966,'Assumptions &amp; FX Reference'!$A$5:$A$25,0)),IF(L966="USD",M966*INDEX('Assumptions &amp; FX Reference'!$B$5:$B$25,MATCH(H966,'Assumptions &amp; FX Reference'!$A$5:$A$25,0))/INDEX('Assumptions &amp; FX Reference'!$C$5:$C$25,MATCH(H966,'Assumptions &amp; FX Reference'!$A$5:$A$25,0)),""))),"(FX missing)"))</f>
        <v/>
      </c>
      <c r="P966" s="30"/>
      <c r="Q966" s="30"/>
      <c r="R966" s="30"/>
      <c r="S966" s="30"/>
      <c r="T966" s="30"/>
      <c r="U966" s="30"/>
      <c r="V966" s="30"/>
    </row>
    <row r="967" spans="1:22">
      <c r="A967" s="30"/>
      <c r="B967" s="30"/>
      <c r="C967" s="33" t="str">
        <f>IF(B967="","",IFERROR(INDEX('Master Database'!$D$5:$D$600,MATCH(B967,'Master Database'!$A$5:$A$600,0)),"(row not found)"))</f>
        <v/>
      </c>
      <c r="D967" s="33" t="str">
        <f>IF(B967="","",IFERROR(INDEX('Master Database'!$B$5:$B$600,MATCH(B967,'Master Database'!$A$5:$A$600,0)),"(row not found)"))</f>
        <v/>
      </c>
      <c r="E967" s="30"/>
      <c r="F967" s="33" t="str">
        <f>IF(E967="","",IFERROR(INDEX(Vendor_Register!$B$5:$B$205,MATCH(E967,Vendor_Register!$A$5:$A$205,0)),"(not in register)"))</f>
        <v/>
      </c>
      <c r="G967" s="33" t="str">
        <f>IF(E967="","",IFERROR(INDEX(Vendor_Register!$E$5:$E$205,MATCH(E967,Vendor_Register!$A$5:$A$205,0)),"(not in register)"))</f>
        <v/>
      </c>
      <c r="H967" s="30"/>
      <c r="I967" s="30"/>
      <c r="J967" s="30"/>
      <c r="K967" s="30"/>
      <c r="L967" s="30"/>
      <c r="M967" s="34"/>
      <c r="N967" s="30"/>
      <c r="O967" s="35" t="str">
        <f>IF(NOT(ISNUMBER(M967)),"",IFERROR(IF(L967="EUR",M967,IF(L967="IRR",M967/INDEX('Assumptions &amp; FX Reference'!$C$5:$C$25,MATCH(H967,'Assumptions &amp; FX Reference'!$A$5:$A$25,0)),IF(L967="USD",M967*INDEX('Assumptions &amp; FX Reference'!$B$5:$B$25,MATCH(H967,'Assumptions &amp; FX Reference'!$A$5:$A$25,0))/INDEX('Assumptions &amp; FX Reference'!$C$5:$C$25,MATCH(H967,'Assumptions &amp; FX Reference'!$A$5:$A$25,0)),""))),"(FX missing)"))</f>
        <v/>
      </c>
      <c r="P967" s="30"/>
      <c r="Q967" s="30"/>
      <c r="R967" s="30"/>
      <c r="S967" s="30"/>
      <c r="T967" s="30"/>
      <c r="U967" s="30"/>
      <c r="V967" s="30"/>
    </row>
    <row r="968" spans="1:22">
      <c r="A968" s="30"/>
      <c r="B968" s="30"/>
      <c r="C968" s="33" t="str">
        <f>IF(B968="","",IFERROR(INDEX('Master Database'!$D$5:$D$600,MATCH(B968,'Master Database'!$A$5:$A$600,0)),"(row not found)"))</f>
        <v/>
      </c>
      <c r="D968" s="33" t="str">
        <f>IF(B968="","",IFERROR(INDEX('Master Database'!$B$5:$B$600,MATCH(B968,'Master Database'!$A$5:$A$600,0)),"(row not found)"))</f>
        <v/>
      </c>
      <c r="E968" s="30"/>
      <c r="F968" s="33" t="str">
        <f>IF(E968="","",IFERROR(INDEX(Vendor_Register!$B$5:$B$205,MATCH(E968,Vendor_Register!$A$5:$A$205,0)),"(not in register)"))</f>
        <v/>
      </c>
      <c r="G968" s="33" t="str">
        <f>IF(E968="","",IFERROR(INDEX(Vendor_Register!$E$5:$E$205,MATCH(E968,Vendor_Register!$A$5:$A$205,0)),"(not in register)"))</f>
        <v/>
      </c>
      <c r="H968" s="30"/>
      <c r="I968" s="30"/>
      <c r="J968" s="30"/>
      <c r="K968" s="30"/>
      <c r="L968" s="30"/>
      <c r="M968" s="34"/>
      <c r="N968" s="30"/>
      <c r="O968" s="35" t="str">
        <f>IF(NOT(ISNUMBER(M968)),"",IFERROR(IF(L968="EUR",M968,IF(L968="IRR",M968/INDEX('Assumptions &amp; FX Reference'!$C$5:$C$25,MATCH(H968,'Assumptions &amp; FX Reference'!$A$5:$A$25,0)),IF(L968="USD",M968*INDEX('Assumptions &amp; FX Reference'!$B$5:$B$25,MATCH(H968,'Assumptions &amp; FX Reference'!$A$5:$A$25,0))/INDEX('Assumptions &amp; FX Reference'!$C$5:$C$25,MATCH(H968,'Assumptions &amp; FX Reference'!$A$5:$A$25,0)),""))),"(FX missing)"))</f>
        <v/>
      </c>
      <c r="P968" s="30"/>
      <c r="Q968" s="30"/>
      <c r="R968" s="30"/>
      <c r="S968" s="30"/>
      <c r="T968" s="30"/>
      <c r="U968" s="30"/>
      <c r="V968" s="30"/>
    </row>
    <row r="969" spans="1:22">
      <c r="A969" s="30"/>
      <c r="B969" s="30"/>
      <c r="C969" s="33" t="str">
        <f>IF(B969="","",IFERROR(INDEX('Master Database'!$D$5:$D$600,MATCH(B969,'Master Database'!$A$5:$A$600,0)),"(row not found)"))</f>
        <v/>
      </c>
      <c r="D969" s="33" t="str">
        <f>IF(B969="","",IFERROR(INDEX('Master Database'!$B$5:$B$600,MATCH(B969,'Master Database'!$A$5:$A$600,0)),"(row not found)"))</f>
        <v/>
      </c>
      <c r="E969" s="30"/>
      <c r="F969" s="33" t="str">
        <f>IF(E969="","",IFERROR(INDEX(Vendor_Register!$B$5:$B$205,MATCH(E969,Vendor_Register!$A$5:$A$205,0)),"(not in register)"))</f>
        <v/>
      </c>
      <c r="G969" s="33" t="str">
        <f>IF(E969="","",IFERROR(INDEX(Vendor_Register!$E$5:$E$205,MATCH(E969,Vendor_Register!$A$5:$A$205,0)),"(not in register)"))</f>
        <v/>
      </c>
      <c r="H969" s="30"/>
      <c r="I969" s="30"/>
      <c r="J969" s="30"/>
      <c r="K969" s="30"/>
      <c r="L969" s="30"/>
      <c r="M969" s="34"/>
      <c r="N969" s="30"/>
      <c r="O969" s="35" t="str">
        <f>IF(NOT(ISNUMBER(M969)),"",IFERROR(IF(L969="EUR",M969,IF(L969="IRR",M969/INDEX('Assumptions &amp; FX Reference'!$C$5:$C$25,MATCH(H969,'Assumptions &amp; FX Reference'!$A$5:$A$25,0)),IF(L969="USD",M969*INDEX('Assumptions &amp; FX Reference'!$B$5:$B$25,MATCH(H969,'Assumptions &amp; FX Reference'!$A$5:$A$25,0))/INDEX('Assumptions &amp; FX Reference'!$C$5:$C$25,MATCH(H969,'Assumptions &amp; FX Reference'!$A$5:$A$25,0)),""))),"(FX missing)"))</f>
        <v/>
      </c>
      <c r="P969" s="30"/>
      <c r="Q969" s="30"/>
      <c r="R969" s="30"/>
      <c r="S969" s="30"/>
      <c r="T969" s="30"/>
      <c r="U969" s="30"/>
      <c r="V969" s="30"/>
    </row>
    <row r="970" spans="1:22">
      <c r="A970" s="30"/>
      <c r="B970" s="30"/>
      <c r="C970" s="33" t="str">
        <f>IF(B970="","",IFERROR(INDEX('Master Database'!$D$5:$D$600,MATCH(B970,'Master Database'!$A$5:$A$600,0)),"(row not found)"))</f>
        <v/>
      </c>
      <c r="D970" s="33" t="str">
        <f>IF(B970="","",IFERROR(INDEX('Master Database'!$B$5:$B$600,MATCH(B970,'Master Database'!$A$5:$A$600,0)),"(row not found)"))</f>
        <v/>
      </c>
      <c r="E970" s="30"/>
      <c r="F970" s="33" t="str">
        <f>IF(E970="","",IFERROR(INDEX(Vendor_Register!$B$5:$B$205,MATCH(E970,Vendor_Register!$A$5:$A$205,0)),"(not in register)"))</f>
        <v/>
      </c>
      <c r="G970" s="33" t="str">
        <f>IF(E970="","",IFERROR(INDEX(Vendor_Register!$E$5:$E$205,MATCH(E970,Vendor_Register!$A$5:$A$205,0)),"(not in register)"))</f>
        <v/>
      </c>
      <c r="H970" s="30"/>
      <c r="I970" s="30"/>
      <c r="J970" s="30"/>
      <c r="K970" s="30"/>
      <c r="L970" s="30"/>
      <c r="M970" s="34"/>
      <c r="N970" s="30"/>
      <c r="O970" s="35" t="str">
        <f>IF(NOT(ISNUMBER(M970)),"",IFERROR(IF(L970="EUR",M970,IF(L970="IRR",M970/INDEX('Assumptions &amp; FX Reference'!$C$5:$C$25,MATCH(H970,'Assumptions &amp; FX Reference'!$A$5:$A$25,0)),IF(L970="USD",M970*INDEX('Assumptions &amp; FX Reference'!$B$5:$B$25,MATCH(H970,'Assumptions &amp; FX Reference'!$A$5:$A$25,0))/INDEX('Assumptions &amp; FX Reference'!$C$5:$C$25,MATCH(H970,'Assumptions &amp; FX Reference'!$A$5:$A$25,0)),""))),"(FX missing)"))</f>
        <v/>
      </c>
      <c r="P970" s="30"/>
      <c r="Q970" s="30"/>
      <c r="R970" s="30"/>
      <c r="S970" s="30"/>
      <c r="T970" s="30"/>
      <c r="U970" s="30"/>
      <c r="V970" s="30"/>
    </row>
    <row r="971" spans="1:22">
      <c r="A971" s="30"/>
      <c r="B971" s="30"/>
      <c r="C971" s="33" t="str">
        <f>IF(B971="","",IFERROR(INDEX('Master Database'!$D$5:$D$600,MATCH(B971,'Master Database'!$A$5:$A$600,0)),"(row not found)"))</f>
        <v/>
      </c>
      <c r="D971" s="33" t="str">
        <f>IF(B971="","",IFERROR(INDEX('Master Database'!$B$5:$B$600,MATCH(B971,'Master Database'!$A$5:$A$600,0)),"(row not found)"))</f>
        <v/>
      </c>
      <c r="E971" s="30"/>
      <c r="F971" s="33" t="str">
        <f>IF(E971="","",IFERROR(INDEX(Vendor_Register!$B$5:$B$205,MATCH(E971,Vendor_Register!$A$5:$A$205,0)),"(not in register)"))</f>
        <v/>
      </c>
      <c r="G971" s="33" t="str">
        <f>IF(E971="","",IFERROR(INDEX(Vendor_Register!$E$5:$E$205,MATCH(E971,Vendor_Register!$A$5:$A$205,0)),"(not in register)"))</f>
        <v/>
      </c>
      <c r="H971" s="30"/>
      <c r="I971" s="30"/>
      <c r="J971" s="30"/>
      <c r="K971" s="30"/>
      <c r="L971" s="30"/>
      <c r="M971" s="34"/>
      <c r="N971" s="30"/>
      <c r="O971" s="35" t="str">
        <f>IF(NOT(ISNUMBER(M971)),"",IFERROR(IF(L971="EUR",M971,IF(L971="IRR",M971/INDEX('Assumptions &amp; FX Reference'!$C$5:$C$25,MATCH(H971,'Assumptions &amp; FX Reference'!$A$5:$A$25,0)),IF(L971="USD",M971*INDEX('Assumptions &amp; FX Reference'!$B$5:$B$25,MATCH(H971,'Assumptions &amp; FX Reference'!$A$5:$A$25,0))/INDEX('Assumptions &amp; FX Reference'!$C$5:$C$25,MATCH(H971,'Assumptions &amp; FX Reference'!$A$5:$A$25,0)),""))),"(FX missing)"))</f>
        <v/>
      </c>
      <c r="P971" s="30"/>
      <c r="Q971" s="30"/>
      <c r="R971" s="30"/>
      <c r="S971" s="30"/>
      <c r="T971" s="30"/>
      <c r="U971" s="30"/>
      <c r="V971" s="30"/>
    </row>
    <row r="972" spans="1:22">
      <c r="A972" s="30"/>
      <c r="B972" s="30"/>
      <c r="C972" s="33" t="str">
        <f>IF(B972="","",IFERROR(INDEX('Master Database'!$D$5:$D$600,MATCH(B972,'Master Database'!$A$5:$A$600,0)),"(row not found)"))</f>
        <v/>
      </c>
      <c r="D972" s="33" t="str">
        <f>IF(B972="","",IFERROR(INDEX('Master Database'!$B$5:$B$600,MATCH(B972,'Master Database'!$A$5:$A$600,0)),"(row not found)"))</f>
        <v/>
      </c>
      <c r="E972" s="30"/>
      <c r="F972" s="33" t="str">
        <f>IF(E972="","",IFERROR(INDEX(Vendor_Register!$B$5:$B$205,MATCH(E972,Vendor_Register!$A$5:$A$205,0)),"(not in register)"))</f>
        <v/>
      </c>
      <c r="G972" s="33" t="str">
        <f>IF(E972="","",IFERROR(INDEX(Vendor_Register!$E$5:$E$205,MATCH(E972,Vendor_Register!$A$5:$A$205,0)),"(not in register)"))</f>
        <v/>
      </c>
      <c r="H972" s="30"/>
      <c r="I972" s="30"/>
      <c r="J972" s="30"/>
      <c r="K972" s="30"/>
      <c r="L972" s="30"/>
      <c r="M972" s="34"/>
      <c r="N972" s="30"/>
      <c r="O972" s="35" t="str">
        <f>IF(NOT(ISNUMBER(M972)),"",IFERROR(IF(L972="EUR",M972,IF(L972="IRR",M972/INDEX('Assumptions &amp; FX Reference'!$C$5:$C$25,MATCH(H972,'Assumptions &amp; FX Reference'!$A$5:$A$25,0)),IF(L972="USD",M972*INDEX('Assumptions &amp; FX Reference'!$B$5:$B$25,MATCH(H972,'Assumptions &amp; FX Reference'!$A$5:$A$25,0))/INDEX('Assumptions &amp; FX Reference'!$C$5:$C$25,MATCH(H972,'Assumptions &amp; FX Reference'!$A$5:$A$25,0)),""))),"(FX missing)"))</f>
        <v/>
      </c>
      <c r="P972" s="30"/>
      <c r="Q972" s="30"/>
      <c r="R972" s="30"/>
      <c r="S972" s="30"/>
      <c r="T972" s="30"/>
      <c r="U972" s="30"/>
      <c r="V972" s="30"/>
    </row>
    <row r="973" spans="1:22">
      <c r="A973" s="30"/>
      <c r="B973" s="30"/>
      <c r="C973" s="33" t="str">
        <f>IF(B973="","",IFERROR(INDEX('Master Database'!$D$5:$D$600,MATCH(B973,'Master Database'!$A$5:$A$600,0)),"(row not found)"))</f>
        <v/>
      </c>
      <c r="D973" s="33" t="str">
        <f>IF(B973="","",IFERROR(INDEX('Master Database'!$B$5:$B$600,MATCH(B973,'Master Database'!$A$5:$A$600,0)),"(row not found)"))</f>
        <v/>
      </c>
      <c r="E973" s="30"/>
      <c r="F973" s="33" t="str">
        <f>IF(E973="","",IFERROR(INDEX(Vendor_Register!$B$5:$B$205,MATCH(E973,Vendor_Register!$A$5:$A$205,0)),"(not in register)"))</f>
        <v/>
      </c>
      <c r="G973" s="33" t="str">
        <f>IF(E973="","",IFERROR(INDEX(Vendor_Register!$E$5:$E$205,MATCH(E973,Vendor_Register!$A$5:$A$205,0)),"(not in register)"))</f>
        <v/>
      </c>
      <c r="H973" s="30"/>
      <c r="I973" s="30"/>
      <c r="J973" s="30"/>
      <c r="K973" s="30"/>
      <c r="L973" s="30"/>
      <c r="M973" s="34"/>
      <c r="N973" s="30"/>
      <c r="O973" s="35" t="str">
        <f>IF(NOT(ISNUMBER(M973)),"",IFERROR(IF(L973="EUR",M973,IF(L973="IRR",M973/INDEX('Assumptions &amp; FX Reference'!$C$5:$C$25,MATCH(H973,'Assumptions &amp; FX Reference'!$A$5:$A$25,0)),IF(L973="USD",M973*INDEX('Assumptions &amp; FX Reference'!$B$5:$B$25,MATCH(H973,'Assumptions &amp; FX Reference'!$A$5:$A$25,0))/INDEX('Assumptions &amp; FX Reference'!$C$5:$C$25,MATCH(H973,'Assumptions &amp; FX Reference'!$A$5:$A$25,0)),""))),"(FX missing)"))</f>
        <v/>
      </c>
      <c r="P973" s="30"/>
      <c r="Q973" s="30"/>
      <c r="R973" s="30"/>
      <c r="S973" s="30"/>
      <c r="T973" s="30"/>
      <c r="U973" s="30"/>
      <c r="V973" s="30"/>
    </row>
    <row r="974" spans="1:22">
      <c r="A974" s="30"/>
      <c r="B974" s="30"/>
      <c r="C974" s="33" t="str">
        <f>IF(B974="","",IFERROR(INDEX('Master Database'!$D$5:$D$600,MATCH(B974,'Master Database'!$A$5:$A$600,0)),"(row not found)"))</f>
        <v/>
      </c>
      <c r="D974" s="33" t="str">
        <f>IF(B974="","",IFERROR(INDEX('Master Database'!$B$5:$B$600,MATCH(B974,'Master Database'!$A$5:$A$600,0)),"(row not found)"))</f>
        <v/>
      </c>
      <c r="E974" s="30"/>
      <c r="F974" s="33" t="str">
        <f>IF(E974="","",IFERROR(INDEX(Vendor_Register!$B$5:$B$205,MATCH(E974,Vendor_Register!$A$5:$A$205,0)),"(not in register)"))</f>
        <v/>
      </c>
      <c r="G974" s="33" t="str">
        <f>IF(E974="","",IFERROR(INDEX(Vendor_Register!$E$5:$E$205,MATCH(E974,Vendor_Register!$A$5:$A$205,0)),"(not in register)"))</f>
        <v/>
      </c>
      <c r="H974" s="30"/>
      <c r="I974" s="30"/>
      <c r="J974" s="30"/>
      <c r="K974" s="30"/>
      <c r="L974" s="30"/>
      <c r="M974" s="34"/>
      <c r="N974" s="30"/>
      <c r="O974" s="35" t="str">
        <f>IF(NOT(ISNUMBER(M974)),"",IFERROR(IF(L974="EUR",M974,IF(L974="IRR",M974/INDEX('Assumptions &amp; FX Reference'!$C$5:$C$25,MATCH(H974,'Assumptions &amp; FX Reference'!$A$5:$A$25,0)),IF(L974="USD",M974*INDEX('Assumptions &amp; FX Reference'!$B$5:$B$25,MATCH(H974,'Assumptions &amp; FX Reference'!$A$5:$A$25,0))/INDEX('Assumptions &amp; FX Reference'!$C$5:$C$25,MATCH(H974,'Assumptions &amp; FX Reference'!$A$5:$A$25,0)),""))),"(FX missing)"))</f>
        <v/>
      </c>
      <c r="P974" s="30"/>
      <c r="Q974" s="30"/>
      <c r="R974" s="30"/>
      <c r="S974" s="30"/>
      <c r="T974" s="30"/>
      <c r="U974" s="30"/>
      <c r="V974" s="30"/>
    </row>
    <row r="975" spans="1:22">
      <c r="A975" s="30"/>
      <c r="B975" s="30"/>
      <c r="C975" s="33" t="str">
        <f>IF(B975="","",IFERROR(INDEX('Master Database'!$D$5:$D$600,MATCH(B975,'Master Database'!$A$5:$A$600,0)),"(row not found)"))</f>
        <v/>
      </c>
      <c r="D975" s="33" t="str">
        <f>IF(B975="","",IFERROR(INDEX('Master Database'!$B$5:$B$600,MATCH(B975,'Master Database'!$A$5:$A$600,0)),"(row not found)"))</f>
        <v/>
      </c>
      <c r="E975" s="30"/>
      <c r="F975" s="33" t="str">
        <f>IF(E975="","",IFERROR(INDEX(Vendor_Register!$B$5:$B$205,MATCH(E975,Vendor_Register!$A$5:$A$205,0)),"(not in register)"))</f>
        <v/>
      </c>
      <c r="G975" s="33" t="str">
        <f>IF(E975="","",IFERROR(INDEX(Vendor_Register!$E$5:$E$205,MATCH(E975,Vendor_Register!$A$5:$A$205,0)),"(not in register)"))</f>
        <v/>
      </c>
      <c r="H975" s="30"/>
      <c r="I975" s="30"/>
      <c r="J975" s="30"/>
      <c r="K975" s="30"/>
      <c r="L975" s="30"/>
      <c r="M975" s="34"/>
      <c r="N975" s="30"/>
      <c r="O975" s="35" t="str">
        <f>IF(NOT(ISNUMBER(M975)),"",IFERROR(IF(L975="EUR",M975,IF(L975="IRR",M975/INDEX('Assumptions &amp; FX Reference'!$C$5:$C$25,MATCH(H975,'Assumptions &amp; FX Reference'!$A$5:$A$25,0)),IF(L975="USD",M975*INDEX('Assumptions &amp; FX Reference'!$B$5:$B$25,MATCH(H975,'Assumptions &amp; FX Reference'!$A$5:$A$25,0))/INDEX('Assumptions &amp; FX Reference'!$C$5:$C$25,MATCH(H975,'Assumptions &amp; FX Reference'!$A$5:$A$25,0)),""))),"(FX missing)"))</f>
        <v/>
      </c>
      <c r="P975" s="30"/>
      <c r="Q975" s="30"/>
      <c r="R975" s="30"/>
      <c r="S975" s="30"/>
      <c r="T975" s="30"/>
      <c r="U975" s="30"/>
      <c r="V975" s="30"/>
    </row>
    <row r="976" spans="1:22">
      <c r="A976" s="30"/>
      <c r="B976" s="30"/>
      <c r="C976" s="33" t="str">
        <f>IF(B976="","",IFERROR(INDEX('Master Database'!$D$5:$D$600,MATCH(B976,'Master Database'!$A$5:$A$600,0)),"(row not found)"))</f>
        <v/>
      </c>
      <c r="D976" s="33" t="str">
        <f>IF(B976="","",IFERROR(INDEX('Master Database'!$B$5:$B$600,MATCH(B976,'Master Database'!$A$5:$A$600,0)),"(row not found)"))</f>
        <v/>
      </c>
      <c r="E976" s="30"/>
      <c r="F976" s="33" t="str">
        <f>IF(E976="","",IFERROR(INDEX(Vendor_Register!$B$5:$B$205,MATCH(E976,Vendor_Register!$A$5:$A$205,0)),"(not in register)"))</f>
        <v/>
      </c>
      <c r="G976" s="33" t="str">
        <f>IF(E976="","",IFERROR(INDEX(Vendor_Register!$E$5:$E$205,MATCH(E976,Vendor_Register!$A$5:$A$205,0)),"(not in register)"))</f>
        <v/>
      </c>
      <c r="H976" s="30"/>
      <c r="I976" s="30"/>
      <c r="J976" s="30"/>
      <c r="K976" s="30"/>
      <c r="L976" s="30"/>
      <c r="M976" s="34"/>
      <c r="N976" s="30"/>
      <c r="O976" s="35" t="str">
        <f>IF(NOT(ISNUMBER(M976)),"",IFERROR(IF(L976="EUR",M976,IF(L976="IRR",M976/INDEX('Assumptions &amp; FX Reference'!$C$5:$C$25,MATCH(H976,'Assumptions &amp; FX Reference'!$A$5:$A$25,0)),IF(L976="USD",M976*INDEX('Assumptions &amp; FX Reference'!$B$5:$B$25,MATCH(H976,'Assumptions &amp; FX Reference'!$A$5:$A$25,0))/INDEX('Assumptions &amp; FX Reference'!$C$5:$C$25,MATCH(H976,'Assumptions &amp; FX Reference'!$A$5:$A$25,0)),""))),"(FX missing)"))</f>
        <v/>
      </c>
      <c r="P976" s="30"/>
      <c r="Q976" s="30"/>
      <c r="R976" s="30"/>
      <c r="S976" s="30"/>
      <c r="T976" s="30"/>
      <c r="U976" s="30"/>
      <c r="V976" s="30"/>
    </row>
    <row r="977" spans="1:22">
      <c r="A977" s="30"/>
      <c r="B977" s="30"/>
      <c r="C977" s="33" t="str">
        <f>IF(B977="","",IFERROR(INDEX('Master Database'!$D$5:$D$600,MATCH(B977,'Master Database'!$A$5:$A$600,0)),"(row not found)"))</f>
        <v/>
      </c>
      <c r="D977" s="33" t="str">
        <f>IF(B977="","",IFERROR(INDEX('Master Database'!$B$5:$B$600,MATCH(B977,'Master Database'!$A$5:$A$600,0)),"(row not found)"))</f>
        <v/>
      </c>
      <c r="E977" s="30"/>
      <c r="F977" s="33" t="str">
        <f>IF(E977="","",IFERROR(INDEX(Vendor_Register!$B$5:$B$205,MATCH(E977,Vendor_Register!$A$5:$A$205,0)),"(not in register)"))</f>
        <v/>
      </c>
      <c r="G977" s="33" t="str">
        <f>IF(E977="","",IFERROR(INDEX(Vendor_Register!$E$5:$E$205,MATCH(E977,Vendor_Register!$A$5:$A$205,0)),"(not in register)"))</f>
        <v/>
      </c>
      <c r="H977" s="30"/>
      <c r="I977" s="30"/>
      <c r="J977" s="30"/>
      <c r="K977" s="30"/>
      <c r="L977" s="30"/>
      <c r="M977" s="34"/>
      <c r="N977" s="30"/>
      <c r="O977" s="35" t="str">
        <f>IF(NOT(ISNUMBER(M977)),"",IFERROR(IF(L977="EUR",M977,IF(L977="IRR",M977/INDEX('Assumptions &amp; FX Reference'!$C$5:$C$25,MATCH(H977,'Assumptions &amp; FX Reference'!$A$5:$A$25,0)),IF(L977="USD",M977*INDEX('Assumptions &amp; FX Reference'!$B$5:$B$25,MATCH(H977,'Assumptions &amp; FX Reference'!$A$5:$A$25,0))/INDEX('Assumptions &amp; FX Reference'!$C$5:$C$25,MATCH(H977,'Assumptions &amp; FX Reference'!$A$5:$A$25,0)),""))),"(FX missing)"))</f>
        <v/>
      </c>
      <c r="P977" s="30"/>
      <c r="Q977" s="30"/>
      <c r="R977" s="30"/>
      <c r="S977" s="30"/>
      <c r="T977" s="30"/>
      <c r="U977" s="30"/>
      <c r="V977" s="30"/>
    </row>
    <row r="978" spans="1:22">
      <c r="A978" s="30"/>
      <c r="B978" s="30"/>
      <c r="C978" s="33" t="str">
        <f>IF(B978="","",IFERROR(INDEX('Master Database'!$D$5:$D$600,MATCH(B978,'Master Database'!$A$5:$A$600,0)),"(row not found)"))</f>
        <v/>
      </c>
      <c r="D978" s="33" t="str">
        <f>IF(B978="","",IFERROR(INDEX('Master Database'!$B$5:$B$600,MATCH(B978,'Master Database'!$A$5:$A$600,0)),"(row not found)"))</f>
        <v/>
      </c>
      <c r="E978" s="30"/>
      <c r="F978" s="33" t="str">
        <f>IF(E978="","",IFERROR(INDEX(Vendor_Register!$B$5:$B$205,MATCH(E978,Vendor_Register!$A$5:$A$205,0)),"(not in register)"))</f>
        <v/>
      </c>
      <c r="G978" s="33" t="str">
        <f>IF(E978="","",IFERROR(INDEX(Vendor_Register!$E$5:$E$205,MATCH(E978,Vendor_Register!$A$5:$A$205,0)),"(not in register)"))</f>
        <v/>
      </c>
      <c r="H978" s="30"/>
      <c r="I978" s="30"/>
      <c r="J978" s="30"/>
      <c r="K978" s="30"/>
      <c r="L978" s="30"/>
      <c r="M978" s="34"/>
      <c r="N978" s="30"/>
      <c r="O978" s="35" t="str">
        <f>IF(NOT(ISNUMBER(M978)),"",IFERROR(IF(L978="EUR",M978,IF(L978="IRR",M978/INDEX('Assumptions &amp; FX Reference'!$C$5:$C$25,MATCH(H978,'Assumptions &amp; FX Reference'!$A$5:$A$25,0)),IF(L978="USD",M978*INDEX('Assumptions &amp; FX Reference'!$B$5:$B$25,MATCH(H978,'Assumptions &amp; FX Reference'!$A$5:$A$25,0))/INDEX('Assumptions &amp; FX Reference'!$C$5:$C$25,MATCH(H978,'Assumptions &amp; FX Reference'!$A$5:$A$25,0)),""))),"(FX missing)"))</f>
        <v/>
      </c>
      <c r="P978" s="30"/>
      <c r="Q978" s="30"/>
      <c r="R978" s="30"/>
      <c r="S978" s="30"/>
      <c r="T978" s="30"/>
      <c r="U978" s="30"/>
      <c r="V978" s="30"/>
    </row>
    <row r="979" spans="1:22">
      <c r="A979" s="30"/>
      <c r="B979" s="30"/>
      <c r="C979" s="33" t="str">
        <f>IF(B979="","",IFERROR(INDEX('Master Database'!$D$5:$D$600,MATCH(B979,'Master Database'!$A$5:$A$600,0)),"(row not found)"))</f>
        <v/>
      </c>
      <c r="D979" s="33" t="str">
        <f>IF(B979="","",IFERROR(INDEX('Master Database'!$B$5:$B$600,MATCH(B979,'Master Database'!$A$5:$A$600,0)),"(row not found)"))</f>
        <v/>
      </c>
      <c r="E979" s="30"/>
      <c r="F979" s="33" t="str">
        <f>IF(E979="","",IFERROR(INDEX(Vendor_Register!$B$5:$B$205,MATCH(E979,Vendor_Register!$A$5:$A$205,0)),"(not in register)"))</f>
        <v/>
      </c>
      <c r="G979" s="33" t="str">
        <f>IF(E979="","",IFERROR(INDEX(Vendor_Register!$E$5:$E$205,MATCH(E979,Vendor_Register!$A$5:$A$205,0)),"(not in register)"))</f>
        <v/>
      </c>
      <c r="H979" s="30"/>
      <c r="I979" s="30"/>
      <c r="J979" s="30"/>
      <c r="K979" s="30"/>
      <c r="L979" s="30"/>
      <c r="M979" s="34"/>
      <c r="N979" s="30"/>
      <c r="O979" s="35" t="str">
        <f>IF(NOT(ISNUMBER(M979)),"",IFERROR(IF(L979="EUR",M979,IF(L979="IRR",M979/INDEX('Assumptions &amp; FX Reference'!$C$5:$C$25,MATCH(H979,'Assumptions &amp; FX Reference'!$A$5:$A$25,0)),IF(L979="USD",M979*INDEX('Assumptions &amp; FX Reference'!$B$5:$B$25,MATCH(H979,'Assumptions &amp; FX Reference'!$A$5:$A$25,0))/INDEX('Assumptions &amp; FX Reference'!$C$5:$C$25,MATCH(H979,'Assumptions &amp; FX Reference'!$A$5:$A$25,0)),""))),"(FX missing)"))</f>
        <v/>
      </c>
      <c r="P979" s="30"/>
      <c r="Q979" s="30"/>
      <c r="R979" s="30"/>
      <c r="S979" s="30"/>
      <c r="T979" s="30"/>
      <c r="U979" s="30"/>
      <c r="V979" s="30"/>
    </row>
    <row r="980" spans="1:22">
      <c r="A980" s="30"/>
      <c r="B980" s="30"/>
      <c r="C980" s="33" t="str">
        <f>IF(B980="","",IFERROR(INDEX('Master Database'!$D$5:$D$600,MATCH(B980,'Master Database'!$A$5:$A$600,0)),"(row not found)"))</f>
        <v/>
      </c>
      <c r="D980" s="33" t="str">
        <f>IF(B980="","",IFERROR(INDEX('Master Database'!$B$5:$B$600,MATCH(B980,'Master Database'!$A$5:$A$600,0)),"(row not found)"))</f>
        <v/>
      </c>
      <c r="E980" s="30"/>
      <c r="F980" s="33" t="str">
        <f>IF(E980="","",IFERROR(INDEX(Vendor_Register!$B$5:$B$205,MATCH(E980,Vendor_Register!$A$5:$A$205,0)),"(not in register)"))</f>
        <v/>
      </c>
      <c r="G980" s="33" t="str">
        <f>IF(E980="","",IFERROR(INDEX(Vendor_Register!$E$5:$E$205,MATCH(E980,Vendor_Register!$A$5:$A$205,0)),"(not in register)"))</f>
        <v/>
      </c>
      <c r="H980" s="30"/>
      <c r="I980" s="30"/>
      <c r="J980" s="30"/>
      <c r="K980" s="30"/>
      <c r="L980" s="30"/>
      <c r="M980" s="34"/>
      <c r="N980" s="30"/>
      <c r="O980" s="35" t="str">
        <f>IF(NOT(ISNUMBER(M980)),"",IFERROR(IF(L980="EUR",M980,IF(L980="IRR",M980/INDEX('Assumptions &amp; FX Reference'!$C$5:$C$25,MATCH(H980,'Assumptions &amp; FX Reference'!$A$5:$A$25,0)),IF(L980="USD",M980*INDEX('Assumptions &amp; FX Reference'!$B$5:$B$25,MATCH(H980,'Assumptions &amp; FX Reference'!$A$5:$A$25,0))/INDEX('Assumptions &amp; FX Reference'!$C$5:$C$25,MATCH(H980,'Assumptions &amp; FX Reference'!$A$5:$A$25,0)),""))),"(FX missing)"))</f>
        <v/>
      </c>
      <c r="P980" s="30"/>
      <c r="Q980" s="30"/>
      <c r="R980" s="30"/>
      <c r="S980" s="30"/>
      <c r="T980" s="30"/>
      <c r="U980" s="30"/>
      <c r="V980" s="30"/>
    </row>
    <row r="981" spans="1:22">
      <c r="A981" s="30"/>
      <c r="B981" s="30"/>
      <c r="C981" s="33" t="str">
        <f>IF(B981="","",IFERROR(INDEX('Master Database'!$D$5:$D$600,MATCH(B981,'Master Database'!$A$5:$A$600,0)),"(row not found)"))</f>
        <v/>
      </c>
      <c r="D981" s="33" t="str">
        <f>IF(B981="","",IFERROR(INDEX('Master Database'!$B$5:$B$600,MATCH(B981,'Master Database'!$A$5:$A$600,0)),"(row not found)"))</f>
        <v/>
      </c>
      <c r="E981" s="30"/>
      <c r="F981" s="33" t="str">
        <f>IF(E981="","",IFERROR(INDEX(Vendor_Register!$B$5:$B$205,MATCH(E981,Vendor_Register!$A$5:$A$205,0)),"(not in register)"))</f>
        <v/>
      </c>
      <c r="G981" s="33" t="str">
        <f>IF(E981="","",IFERROR(INDEX(Vendor_Register!$E$5:$E$205,MATCH(E981,Vendor_Register!$A$5:$A$205,0)),"(not in register)"))</f>
        <v/>
      </c>
      <c r="H981" s="30"/>
      <c r="I981" s="30"/>
      <c r="J981" s="30"/>
      <c r="K981" s="30"/>
      <c r="L981" s="30"/>
      <c r="M981" s="34"/>
      <c r="N981" s="30"/>
      <c r="O981" s="35" t="str">
        <f>IF(NOT(ISNUMBER(M981)),"",IFERROR(IF(L981="EUR",M981,IF(L981="IRR",M981/INDEX('Assumptions &amp; FX Reference'!$C$5:$C$25,MATCH(H981,'Assumptions &amp; FX Reference'!$A$5:$A$25,0)),IF(L981="USD",M981*INDEX('Assumptions &amp; FX Reference'!$B$5:$B$25,MATCH(H981,'Assumptions &amp; FX Reference'!$A$5:$A$25,0))/INDEX('Assumptions &amp; FX Reference'!$C$5:$C$25,MATCH(H981,'Assumptions &amp; FX Reference'!$A$5:$A$25,0)),""))),"(FX missing)"))</f>
        <v/>
      </c>
      <c r="P981" s="30"/>
      <c r="Q981" s="30"/>
      <c r="R981" s="30"/>
      <c r="S981" s="30"/>
      <c r="T981" s="30"/>
      <c r="U981" s="30"/>
      <c r="V981" s="30"/>
    </row>
    <row r="982" spans="1:22">
      <c r="A982" s="30"/>
      <c r="B982" s="30"/>
      <c r="C982" s="33" t="str">
        <f>IF(B982="","",IFERROR(INDEX('Master Database'!$D$5:$D$600,MATCH(B982,'Master Database'!$A$5:$A$600,0)),"(row not found)"))</f>
        <v/>
      </c>
      <c r="D982" s="33" t="str">
        <f>IF(B982="","",IFERROR(INDEX('Master Database'!$B$5:$B$600,MATCH(B982,'Master Database'!$A$5:$A$600,0)),"(row not found)"))</f>
        <v/>
      </c>
      <c r="E982" s="30"/>
      <c r="F982" s="33" t="str">
        <f>IF(E982="","",IFERROR(INDEX(Vendor_Register!$B$5:$B$205,MATCH(E982,Vendor_Register!$A$5:$A$205,0)),"(not in register)"))</f>
        <v/>
      </c>
      <c r="G982" s="33" t="str">
        <f>IF(E982="","",IFERROR(INDEX(Vendor_Register!$E$5:$E$205,MATCH(E982,Vendor_Register!$A$5:$A$205,0)),"(not in register)"))</f>
        <v/>
      </c>
      <c r="H982" s="30"/>
      <c r="I982" s="30"/>
      <c r="J982" s="30"/>
      <c r="K982" s="30"/>
      <c r="L982" s="30"/>
      <c r="M982" s="34"/>
      <c r="N982" s="30"/>
      <c r="O982" s="35" t="str">
        <f>IF(NOT(ISNUMBER(M982)),"",IFERROR(IF(L982="EUR",M982,IF(L982="IRR",M982/INDEX('Assumptions &amp; FX Reference'!$C$5:$C$25,MATCH(H982,'Assumptions &amp; FX Reference'!$A$5:$A$25,0)),IF(L982="USD",M982*INDEX('Assumptions &amp; FX Reference'!$B$5:$B$25,MATCH(H982,'Assumptions &amp; FX Reference'!$A$5:$A$25,0))/INDEX('Assumptions &amp; FX Reference'!$C$5:$C$25,MATCH(H982,'Assumptions &amp; FX Reference'!$A$5:$A$25,0)),""))),"(FX missing)"))</f>
        <v/>
      </c>
      <c r="P982" s="30"/>
      <c r="Q982" s="30"/>
      <c r="R982" s="30"/>
      <c r="S982" s="30"/>
      <c r="T982" s="30"/>
      <c r="U982" s="30"/>
      <c r="V982" s="30"/>
    </row>
    <row r="983" spans="1:22">
      <c r="A983" s="30"/>
      <c r="B983" s="30"/>
      <c r="C983" s="33" t="str">
        <f>IF(B983="","",IFERROR(INDEX('Master Database'!$D$5:$D$600,MATCH(B983,'Master Database'!$A$5:$A$600,0)),"(row not found)"))</f>
        <v/>
      </c>
      <c r="D983" s="33" t="str">
        <f>IF(B983="","",IFERROR(INDEX('Master Database'!$B$5:$B$600,MATCH(B983,'Master Database'!$A$5:$A$600,0)),"(row not found)"))</f>
        <v/>
      </c>
      <c r="E983" s="30"/>
      <c r="F983" s="33" t="str">
        <f>IF(E983="","",IFERROR(INDEX(Vendor_Register!$B$5:$B$205,MATCH(E983,Vendor_Register!$A$5:$A$205,0)),"(not in register)"))</f>
        <v/>
      </c>
      <c r="G983" s="33" t="str">
        <f>IF(E983="","",IFERROR(INDEX(Vendor_Register!$E$5:$E$205,MATCH(E983,Vendor_Register!$A$5:$A$205,0)),"(not in register)"))</f>
        <v/>
      </c>
      <c r="H983" s="30"/>
      <c r="I983" s="30"/>
      <c r="J983" s="30"/>
      <c r="K983" s="30"/>
      <c r="L983" s="30"/>
      <c r="M983" s="34"/>
      <c r="N983" s="30"/>
      <c r="O983" s="35" t="str">
        <f>IF(NOT(ISNUMBER(M983)),"",IFERROR(IF(L983="EUR",M983,IF(L983="IRR",M983/INDEX('Assumptions &amp; FX Reference'!$C$5:$C$25,MATCH(H983,'Assumptions &amp; FX Reference'!$A$5:$A$25,0)),IF(L983="USD",M983*INDEX('Assumptions &amp; FX Reference'!$B$5:$B$25,MATCH(H983,'Assumptions &amp; FX Reference'!$A$5:$A$25,0))/INDEX('Assumptions &amp; FX Reference'!$C$5:$C$25,MATCH(H983,'Assumptions &amp; FX Reference'!$A$5:$A$25,0)),""))),"(FX missing)"))</f>
        <v/>
      </c>
      <c r="P983" s="30"/>
      <c r="Q983" s="30"/>
      <c r="R983" s="30"/>
      <c r="S983" s="30"/>
      <c r="T983" s="30"/>
      <c r="U983" s="30"/>
      <c r="V983" s="30"/>
    </row>
    <row r="984" spans="1:22">
      <c r="A984" s="30"/>
      <c r="B984" s="30"/>
      <c r="C984" s="33" t="str">
        <f>IF(B984="","",IFERROR(INDEX('Master Database'!$D$5:$D$600,MATCH(B984,'Master Database'!$A$5:$A$600,0)),"(row not found)"))</f>
        <v/>
      </c>
      <c r="D984" s="33" t="str">
        <f>IF(B984="","",IFERROR(INDEX('Master Database'!$B$5:$B$600,MATCH(B984,'Master Database'!$A$5:$A$600,0)),"(row not found)"))</f>
        <v/>
      </c>
      <c r="E984" s="30"/>
      <c r="F984" s="33" t="str">
        <f>IF(E984="","",IFERROR(INDEX(Vendor_Register!$B$5:$B$205,MATCH(E984,Vendor_Register!$A$5:$A$205,0)),"(not in register)"))</f>
        <v/>
      </c>
      <c r="G984" s="33" t="str">
        <f>IF(E984="","",IFERROR(INDEX(Vendor_Register!$E$5:$E$205,MATCH(E984,Vendor_Register!$A$5:$A$205,0)),"(not in register)"))</f>
        <v/>
      </c>
      <c r="H984" s="30"/>
      <c r="I984" s="30"/>
      <c r="J984" s="30"/>
      <c r="K984" s="30"/>
      <c r="L984" s="30"/>
      <c r="M984" s="34"/>
      <c r="N984" s="30"/>
      <c r="O984" s="35" t="str">
        <f>IF(NOT(ISNUMBER(M984)),"",IFERROR(IF(L984="EUR",M984,IF(L984="IRR",M984/INDEX('Assumptions &amp; FX Reference'!$C$5:$C$25,MATCH(H984,'Assumptions &amp; FX Reference'!$A$5:$A$25,0)),IF(L984="USD",M984*INDEX('Assumptions &amp; FX Reference'!$B$5:$B$25,MATCH(H984,'Assumptions &amp; FX Reference'!$A$5:$A$25,0))/INDEX('Assumptions &amp; FX Reference'!$C$5:$C$25,MATCH(H984,'Assumptions &amp; FX Reference'!$A$5:$A$25,0)),""))),"(FX missing)"))</f>
        <v/>
      </c>
      <c r="P984" s="30"/>
      <c r="Q984" s="30"/>
      <c r="R984" s="30"/>
      <c r="S984" s="30"/>
      <c r="T984" s="30"/>
      <c r="U984" s="30"/>
      <c r="V984" s="30"/>
    </row>
    <row r="985" spans="1:22">
      <c r="A985" s="30"/>
      <c r="B985" s="30"/>
      <c r="C985" s="33" t="str">
        <f>IF(B985="","",IFERROR(INDEX('Master Database'!$D$5:$D$600,MATCH(B985,'Master Database'!$A$5:$A$600,0)),"(row not found)"))</f>
        <v/>
      </c>
      <c r="D985" s="33" t="str">
        <f>IF(B985="","",IFERROR(INDEX('Master Database'!$B$5:$B$600,MATCH(B985,'Master Database'!$A$5:$A$600,0)),"(row not found)"))</f>
        <v/>
      </c>
      <c r="E985" s="30"/>
      <c r="F985" s="33" t="str">
        <f>IF(E985="","",IFERROR(INDEX(Vendor_Register!$B$5:$B$205,MATCH(E985,Vendor_Register!$A$5:$A$205,0)),"(not in register)"))</f>
        <v/>
      </c>
      <c r="G985" s="33" t="str">
        <f>IF(E985="","",IFERROR(INDEX(Vendor_Register!$E$5:$E$205,MATCH(E985,Vendor_Register!$A$5:$A$205,0)),"(not in register)"))</f>
        <v/>
      </c>
      <c r="H985" s="30"/>
      <c r="I985" s="30"/>
      <c r="J985" s="30"/>
      <c r="K985" s="30"/>
      <c r="L985" s="30"/>
      <c r="M985" s="34"/>
      <c r="N985" s="30"/>
      <c r="O985" s="35" t="str">
        <f>IF(NOT(ISNUMBER(M985)),"",IFERROR(IF(L985="EUR",M985,IF(L985="IRR",M985/INDEX('Assumptions &amp; FX Reference'!$C$5:$C$25,MATCH(H985,'Assumptions &amp; FX Reference'!$A$5:$A$25,0)),IF(L985="USD",M985*INDEX('Assumptions &amp; FX Reference'!$B$5:$B$25,MATCH(H985,'Assumptions &amp; FX Reference'!$A$5:$A$25,0))/INDEX('Assumptions &amp; FX Reference'!$C$5:$C$25,MATCH(H985,'Assumptions &amp; FX Reference'!$A$5:$A$25,0)),""))),"(FX missing)"))</f>
        <v/>
      </c>
      <c r="P985" s="30"/>
      <c r="Q985" s="30"/>
      <c r="R985" s="30"/>
      <c r="S985" s="30"/>
      <c r="T985" s="30"/>
      <c r="U985" s="30"/>
      <c r="V985" s="30"/>
    </row>
    <row r="986" spans="1:22">
      <c r="A986" s="30"/>
      <c r="B986" s="30"/>
      <c r="C986" s="33" t="str">
        <f>IF(B986="","",IFERROR(INDEX('Master Database'!$D$5:$D$600,MATCH(B986,'Master Database'!$A$5:$A$600,0)),"(row not found)"))</f>
        <v/>
      </c>
      <c r="D986" s="33" t="str">
        <f>IF(B986="","",IFERROR(INDEX('Master Database'!$B$5:$B$600,MATCH(B986,'Master Database'!$A$5:$A$600,0)),"(row not found)"))</f>
        <v/>
      </c>
      <c r="E986" s="30"/>
      <c r="F986" s="33" t="str">
        <f>IF(E986="","",IFERROR(INDEX(Vendor_Register!$B$5:$B$205,MATCH(E986,Vendor_Register!$A$5:$A$205,0)),"(not in register)"))</f>
        <v/>
      </c>
      <c r="G986" s="33" t="str">
        <f>IF(E986="","",IFERROR(INDEX(Vendor_Register!$E$5:$E$205,MATCH(E986,Vendor_Register!$A$5:$A$205,0)),"(not in register)"))</f>
        <v/>
      </c>
      <c r="H986" s="30"/>
      <c r="I986" s="30"/>
      <c r="J986" s="30"/>
      <c r="K986" s="30"/>
      <c r="L986" s="30"/>
      <c r="M986" s="34"/>
      <c r="N986" s="30"/>
      <c r="O986" s="35" t="str">
        <f>IF(NOT(ISNUMBER(M986)),"",IFERROR(IF(L986="EUR",M986,IF(L986="IRR",M986/INDEX('Assumptions &amp; FX Reference'!$C$5:$C$25,MATCH(H986,'Assumptions &amp; FX Reference'!$A$5:$A$25,0)),IF(L986="USD",M986*INDEX('Assumptions &amp; FX Reference'!$B$5:$B$25,MATCH(H986,'Assumptions &amp; FX Reference'!$A$5:$A$25,0))/INDEX('Assumptions &amp; FX Reference'!$C$5:$C$25,MATCH(H986,'Assumptions &amp; FX Reference'!$A$5:$A$25,0)),""))),"(FX missing)"))</f>
        <v/>
      </c>
      <c r="P986" s="30"/>
      <c r="Q986" s="30"/>
      <c r="R986" s="30"/>
      <c r="S986" s="30"/>
      <c r="T986" s="30"/>
      <c r="U986" s="30"/>
      <c r="V986" s="30"/>
    </row>
    <row r="987" spans="1:22">
      <c r="A987" s="30"/>
      <c r="B987" s="30"/>
      <c r="C987" s="33" t="str">
        <f>IF(B987="","",IFERROR(INDEX('Master Database'!$D$5:$D$600,MATCH(B987,'Master Database'!$A$5:$A$600,0)),"(row not found)"))</f>
        <v/>
      </c>
      <c r="D987" s="33" t="str">
        <f>IF(B987="","",IFERROR(INDEX('Master Database'!$B$5:$B$600,MATCH(B987,'Master Database'!$A$5:$A$600,0)),"(row not found)"))</f>
        <v/>
      </c>
      <c r="E987" s="30"/>
      <c r="F987" s="33" t="str">
        <f>IF(E987="","",IFERROR(INDEX(Vendor_Register!$B$5:$B$205,MATCH(E987,Vendor_Register!$A$5:$A$205,0)),"(not in register)"))</f>
        <v/>
      </c>
      <c r="G987" s="33" t="str">
        <f>IF(E987="","",IFERROR(INDEX(Vendor_Register!$E$5:$E$205,MATCH(E987,Vendor_Register!$A$5:$A$205,0)),"(not in register)"))</f>
        <v/>
      </c>
      <c r="H987" s="30"/>
      <c r="I987" s="30"/>
      <c r="J987" s="30"/>
      <c r="K987" s="30"/>
      <c r="L987" s="30"/>
      <c r="M987" s="34"/>
      <c r="N987" s="30"/>
      <c r="O987" s="35" t="str">
        <f>IF(NOT(ISNUMBER(M987)),"",IFERROR(IF(L987="EUR",M987,IF(L987="IRR",M987/INDEX('Assumptions &amp; FX Reference'!$C$5:$C$25,MATCH(H987,'Assumptions &amp; FX Reference'!$A$5:$A$25,0)),IF(L987="USD",M987*INDEX('Assumptions &amp; FX Reference'!$B$5:$B$25,MATCH(H987,'Assumptions &amp; FX Reference'!$A$5:$A$25,0))/INDEX('Assumptions &amp; FX Reference'!$C$5:$C$25,MATCH(H987,'Assumptions &amp; FX Reference'!$A$5:$A$25,0)),""))),"(FX missing)"))</f>
        <v/>
      </c>
      <c r="P987" s="30"/>
      <c r="Q987" s="30"/>
      <c r="R987" s="30"/>
      <c r="S987" s="30"/>
      <c r="T987" s="30"/>
      <c r="U987" s="30"/>
      <c r="V987" s="30"/>
    </row>
    <row r="988" spans="1:22">
      <c r="A988" s="30"/>
      <c r="B988" s="30"/>
      <c r="C988" s="33" t="str">
        <f>IF(B988="","",IFERROR(INDEX('Master Database'!$D$5:$D$600,MATCH(B988,'Master Database'!$A$5:$A$600,0)),"(row not found)"))</f>
        <v/>
      </c>
      <c r="D988" s="33" t="str">
        <f>IF(B988="","",IFERROR(INDEX('Master Database'!$B$5:$B$600,MATCH(B988,'Master Database'!$A$5:$A$600,0)),"(row not found)"))</f>
        <v/>
      </c>
      <c r="E988" s="30"/>
      <c r="F988" s="33" t="str">
        <f>IF(E988="","",IFERROR(INDEX(Vendor_Register!$B$5:$B$205,MATCH(E988,Vendor_Register!$A$5:$A$205,0)),"(not in register)"))</f>
        <v/>
      </c>
      <c r="G988" s="33" t="str">
        <f>IF(E988="","",IFERROR(INDEX(Vendor_Register!$E$5:$E$205,MATCH(E988,Vendor_Register!$A$5:$A$205,0)),"(not in register)"))</f>
        <v/>
      </c>
      <c r="H988" s="30"/>
      <c r="I988" s="30"/>
      <c r="J988" s="30"/>
      <c r="K988" s="30"/>
      <c r="L988" s="30"/>
      <c r="M988" s="34"/>
      <c r="N988" s="30"/>
      <c r="O988" s="35" t="str">
        <f>IF(NOT(ISNUMBER(M988)),"",IFERROR(IF(L988="EUR",M988,IF(L988="IRR",M988/INDEX('Assumptions &amp; FX Reference'!$C$5:$C$25,MATCH(H988,'Assumptions &amp; FX Reference'!$A$5:$A$25,0)),IF(L988="USD",M988*INDEX('Assumptions &amp; FX Reference'!$B$5:$B$25,MATCH(H988,'Assumptions &amp; FX Reference'!$A$5:$A$25,0))/INDEX('Assumptions &amp; FX Reference'!$C$5:$C$25,MATCH(H988,'Assumptions &amp; FX Reference'!$A$5:$A$25,0)),""))),"(FX missing)"))</f>
        <v/>
      </c>
      <c r="P988" s="30"/>
      <c r="Q988" s="30"/>
      <c r="R988" s="30"/>
      <c r="S988" s="30"/>
      <c r="T988" s="30"/>
      <c r="U988" s="30"/>
      <c r="V988" s="30"/>
    </row>
    <row r="989" spans="1:22">
      <c r="A989" s="30"/>
      <c r="B989" s="30"/>
      <c r="C989" s="33" t="str">
        <f>IF(B989="","",IFERROR(INDEX('Master Database'!$D$5:$D$600,MATCH(B989,'Master Database'!$A$5:$A$600,0)),"(row not found)"))</f>
        <v/>
      </c>
      <c r="D989" s="33" t="str">
        <f>IF(B989="","",IFERROR(INDEX('Master Database'!$B$5:$B$600,MATCH(B989,'Master Database'!$A$5:$A$600,0)),"(row not found)"))</f>
        <v/>
      </c>
      <c r="E989" s="30"/>
      <c r="F989" s="33" t="str">
        <f>IF(E989="","",IFERROR(INDEX(Vendor_Register!$B$5:$B$205,MATCH(E989,Vendor_Register!$A$5:$A$205,0)),"(not in register)"))</f>
        <v/>
      </c>
      <c r="G989" s="33" t="str">
        <f>IF(E989="","",IFERROR(INDEX(Vendor_Register!$E$5:$E$205,MATCH(E989,Vendor_Register!$A$5:$A$205,0)),"(not in register)"))</f>
        <v/>
      </c>
      <c r="H989" s="30"/>
      <c r="I989" s="30"/>
      <c r="J989" s="30"/>
      <c r="K989" s="30"/>
      <c r="L989" s="30"/>
      <c r="M989" s="34"/>
      <c r="N989" s="30"/>
      <c r="O989" s="35" t="str">
        <f>IF(NOT(ISNUMBER(M989)),"",IFERROR(IF(L989="EUR",M989,IF(L989="IRR",M989/INDEX('Assumptions &amp; FX Reference'!$C$5:$C$25,MATCH(H989,'Assumptions &amp; FX Reference'!$A$5:$A$25,0)),IF(L989="USD",M989*INDEX('Assumptions &amp; FX Reference'!$B$5:$B$25,MATCH(H989,'Assumptions &amp; FX Reference'!$A$5:$A$25,0))/INDEX('Assumptions &amp; FX Reference'!$C$5:$C$25,MATCH(H989,'Assumptions &amp; FX Reference'!$A$5:$A$25,0)),""))),"(FX missing)"))</f>
        <v/>
      </c>
      <c r="P989" s="30"/>
      <c r="Q989" s="30"/>
      <c r="R989" s="30"/>
      <c r="S989" s="30"/>
      <c r="T989" s="30"/>
      <c r="U989" s="30"/>
      <c r="V989" s="30"/>
    </row>
    <row r="990" spans="1:22">
      <c r="A990" s="30"/>
      <c r="B990" s="30"/>
      <c r="C990" s="33" t="str">
        <f>IF(B990="","",IFERROR(INDEX('Master Database'!$D$5:$D$600,MATCH(B990,'Master Database'!$A$5:$A$600,0)),"(row not found)"))</f>
        <v/>
      </c>
      <c r="D990" s="33" t="str">
        <f>IF(B990="","",IFERROR(INDEX('Master Database'!$B$5:$B$600,MATCH(B990,'Master Database'!$A$5:$A$600,0)),"(row not found)"))</f>
        <v/>
      </c>
      <c r="E990" s="30"/>
      <c r="F990" s="33" t="str">
        <f>IF(E990="","",IFERROR(INDEX(Vendor_Register!$B$5:$B$205,MATCH(E990,Vendor_Register!$A$5:$A$205,0)),"(not in register)"))</f>
        <v/>
      </c>
      <c r="G990" s="33" t="str">
        <f>IF(E990="","",IFERROR(INDEX(Vendor_Register!$E$5:$E$205,MATCH(E990,Vendor_Register!$A$5:$A$205,0)),"(not in register)"))</f>
        <v/>
      </c>
      <c r="H990" s="30"/>
      <c r="I990" s="30"/>
      <c r="J990" s="30"/>
      <c r="K990" s="30"/>
      <c r="L990" s="30"/>
      <c r="M990" s="34"/>
      <c r="N990" s="30"/>
      <c r="O990" s="35" t="str">
        <f>IF(NOT(ISNUMBER(M990)),"",IFERROR(IF(L990="EUR",M990,IF(L990="IRR",M990/INDEX('Assumptions &amp; FX Reference'!$C$5:$C$25,MATCH(H990,'Assumptions &amp; FX Reference'!$A$5:$A$25,0)),IF(L990="USD",M990*INDEX('Assumptions &amp; FX Reference'!$B$5:$B$25,MATCH(H990,'Assumptions &amp; FX Reference'!$A$5:$A$25,0))/INDEX('Assumptions &amp; FX Reference'!$C$5:$C$25,MATCH(H990,'Assumptions &amp; FX Reference'!$A$5:$A$25,0)),""))),"(FX missing)"))</f>
        <v/>
      </c>
      <c r="P990" s="30"/>
      <c r="Q990" s="30"/>
      <c r="R990" s="30"/>
      <c r="S990" s="30"/>
      <c r="T990" s="30"/>
      <c r="U990" s="30"/>
      <c r="V990" s="30"/>
    </row>
    <row r="991" spans="1:22">
      <c r="A991" s="30"/>
      <c r="B991" s="30"/>
      <c r="C991" s="33" t="str">
        <f>IF(B991="","",IFERROR(INDEX('Master Database'!$D$5:$D$600,MATCH(B991,'Master Database'!$A$5:$A$600,0)),"(row not found)"))</f>
        <v/>
      </c>
      <c r="D991" s="33" t="str">
        <f>IF(B991="","",IFERROR(INDEX('Master Database'!$B$5:$B$600,MATCH(B991,'Master Database'!$A$5:$A$600,0)),"(row not found)"))</f>
        <v/>
      </c>
      <c r="E991" s="30"/>
      <c r="F991" s="33" t="str">
        <f>IF(E991="","",IFERROR(INDEX(Vendor_Register!$B$5:$B$205,MATCH(E991,Vendor_Register!$A$5:$A$205,0)),"(not in register)"))</f>
        <v/>
      </c>
      <c r="G991" s="33" t="str">
        <f>IF(E991="","",IFERROR(INDEX(Vendor_Register!$E$5:$E$205,MATCH(E991,Vendor_Register!$A$5:$A$205,0)),"(not in register)"))</f>
        <v/>
      </c>
      <c r="H991" s="30"/>
      <c r="I991" s="30"/>
      <c r="J991" s="30"/>
      <c r="K991" s="30"/>
      <c r="L991" s="30"/>
      <c r="M991" s="34"/>
      <c r="N991" s="30"/>
      <c r="O991" s="35" t="str">
        <f>IF(NOT(ISNUMBER(M991)),"",IFERROR(IF(L991="EUR",M991,IF(L991="IRR",M991/INDEX('Assumptions &amp; FX Reference'!$C$5:$C$25,MATCH(H991,'Assumptions &amp; FX Reference'!$A$5:$A$25,0)),IF(L991="USD",M991*INDEX('Assumptions &amp; FX Reference'!$B$5:$B$25,MATCH(H991,'Assumptions &amp; FX Reference'!$A$5:$A$25,0))/INDEX('Assumptions &amp; FX Reference'!$C$5:$C$25,MATCH(H991,'Assumptions &amp; FX Reference'!$A$5:$A$25,0)),""))),"(FX missing)"))</f>
        <v/>
      </c>
      <c r="P991" s="30"/>
      <c r="Q991" s="30"/>
      <c r="R991" s="30"/>
      <c r="S991" s="30"/>
      <c r="T991" s="30"/>
      <c r="U991" s="30"/>
      <c r="V991" s="30"/>
    </row>
    <row r="992" spans="1:22">
      <c r="A992" s="30"/>
      <c r="B992" s="30"/>
      <c r="C992" s="33" t="str">
        <f>IF(B992="","",IFERROR(INDEX('Master Database'!$D$5:$D$600,MATCH(B992,'Master Database'!$A$5:$A$600,0)),"(row not found)"))</f>
        <v/>
      </c>
      <c r="D992" s="33" t="str">
        <f>IF(B992="","",IFERROR(INDEX('Master Database'!$B$5:$B$600,MATCH(B992,'Master Database'!$A$5:$A$600,0)),"(row not found)"))</f>
        <v/>
      </c>
      <c r="E992" s="30"/>
      <c r="F992" s="33" t="str">
        <f>IF(E992="","",IFERROR(INDEX(Vendor_Register!$B$5:$B$205,MATCH(E992,Vendor_Register!$A$5:$A$205,0)),"(not in register)"))</f>
        <v/>
      </c>
      <c r="G992" s="33" t="str">
        <f>IF(E992="","",IFERROR(INDEX(Vendor_Register!$E$5:$E$205,MATCH(E992,Vendor_Register!$A$5:$A$205,0)),"(not in register)"))</f>
        <v/>
      </c>
      <c r="H992" s="30"/>
      <c r="I992" s="30"/>
      <c r="J992" s="30"/>
      <c r="K992" s="30"/>
      <c r="L992" s="30"/>
      <c r="M992" s="34"/>
      <c r="N992" s="30"/>
      <c r="O992" s="35" t="str">
        <f>IF(NOT(ISNUMBER(M992)),"",IFERROR(IF(L992="EUR",M992,IF(L992="IRR",M992/INDEX('Assumptions &amp; FX Reference'!$C$5:$C$25,MATCH(H992,'Assumptions &amp; FX Reference'!$A$5:$A$25,0)),IF(L992="USD",M992*INDEX('Assumptions &amp; FX Reference'!$B$5:$B$25,MATCH(H992,'Assumptions &amp; FX Reference'!$A$5:$A$25,0))/INDEX('Assumptions &amp; FX Reference'!$C$5:$C$25,MATCH(H992,'Assumptions &amp; FX Reference'!$A$5:$A$25,0)),""))),"(FX missing)"))</f>
        <v/>
      </c>
      <c r="P992" s="30"/>
      <c r="Q992" s="30"/>
      <c r="R992" s="30"/>
      <c r="S992" s="30"/>
      <c r="T992" s="30"/>
      <c r="U992" s="30"/>
      <c r="V992" s="30"/>
    </row>
    <row r="993" spans="1:22">
      <c r="A993" s="30"/>
      <c r="B993" s="30"/>
      <c r="C993" s="33" t="str">
        <f>IF(B993="","",IFERROR(INDEX('Master Database'!$D$5:$D$600,MATCH(B993,'Master Database'!$A$5:$A$600,0)),"(row not found)"))</f>
        <v/>
      </c>
      <c r="D993" s="33" t="str">
        <f>IF(B993="","",IFERROR(INDEX('Master Database'!$B$5:$B$600,MATCH(B993,'Master Database'!$A$5:$A$600,0)),"(row not found)"))</f>
        <v/>
      </c>
      <c r="E993" s="30"/>
      <c r="F993" s="33" t="str">
        <f>IF(E993="","",IFERROR(INDEX(Vendor_Register!$B$5:$B$205,MATCH(E993,Vendor_Register!$A$5:$A$205,0)),"(not in register)"))</f>
        <v/>
      </c>
      <c r="G993" s="33" t="str">
        <f>IF(E993="","",IFERROR(INDEX(Vendor_Register!$E$5:$E$205,MATCH(E993,Vendor_Register!$A$5:$A$205,0)),"(not in register)"))</f>
        <v/>
      </c>
      <c r="H993" s="30"/>
      <c r="I993" s="30"/>
      <c r="J993" s="30"/>
      <c r="K993" s="30"/>
      <c r="L993" s="30"/>
      <c r="M993" s="34"/>
      <c r="N993" s="30"/>
      <c r="O993" s="35" t="str">
        <f>IF(NOT(ISNUMBER(M993)),"",IFERROR(IF(L993="EUR",M993,IF(L993="IRR",M993/INDEX('Assumptions &amp; FX Reference'!$C$5:$C$25,MATCH(H993,'Assumptions &amp; FX Reference'!$A$5:$A$25,0)),IF(L993="USD",M993*INDEX('Assumptions &amp; FX Reference'!$B$5:$B$25,MATCH(H993,'Assumptions &amp; FX Reference'!$A$5:$A$25,0))/INDEX('Assumptions &amp; FX Reference'!$C$5:$C$25,MATCH(H993,'Assumptions &amp; FX Reference'!$A$5:$A$25,0)),""))),"(FX missing)"))</f>
        <v/>
      </c>
      <c r="P993" s="30"/>
      <c r="Q993" s="30"/>
      <c r="R993" s="30"/>
      <c r="S993" s="30"/>
      <c r="T993" s="30"/>
      <c r="U993" s="30"/>
      <c r="V993" s="30"/>
    </row>
    <row r="994" spans="1:22">
      <c r="A994" s="30"/>
      <c r="B994" s="30"/>
      <c r="C994" s="33" t="str">
        <f>IF(B994="","",IFERROR(INDEX('Master Database'!$D$5:$D$600,MATCH(B994,'Master Database'!$A$5:$A$600,0)),"(row not found)"))</f>
        <v/>
      </c>
      <c r="D994" s="33" t="str">
        <f>IF(B994="","",IFERROR(INDEX('Master Database'!$B$5:$B$600,MATCH(B994,'Master Database'!$A$5:$A$600,0)),"(row not found)"))</f>
        <v/>
      </c>
      <c r="E994" s="30"/>
      <c r="F994" s="33" t="str">
        <f>IF(E994="","",IFERROR(INDEX(Vendor_Register!$B$5:$B$205,MATCH(E994,Vendor_Register!$A$5:$A$205,0)),"(not in register)"))</f>
        <v/>
      </c>
      <c r="G994" s="33" t="str">
        <f>IF(E994="","",IFERROR(INDEX(Vendor_Register!$E$5:$E$205,MATCH(E994,Vendor_Register!$A$5:$A$205,0)),"(not in register)"))</f>
        <v/>
      </c>
      <c r="H994" s="30"/>
      <c r="I994" s="30"/>
      <c r="J994" s="30"/>
      <c r="K994" s="30"/>
      <c r="L994" s="30"/>
      <c r="M994" s="34"/>
      <c r="N994" s="30"/>
      <c r="O994" s="35" t="str">
        <f>IF(NOT(ISNUMBER(M994)),"",IFERROR(IF(L994="EUR",M994,IF(L994="IRR",M994/INDEX('Assumptions &amp; FX Reference'!$C$5:$C$25,MATCH(H994,'Assumptions &amp; FX Reference'!$A$5:$A$25,0)),IF(L994="USD",M994*INDEX('Assumptions &amp; FX Reference'!$B$5:$B$25,MATCH(H994,'Assumptions &amp; FX Reference'!$A$5:$A$25,0))/INDEX('Assumptions &amp; FX Reference'!$C$5:$C$25,MATCH(H994,'Assumptions &amp; FX Reference'!$A$5:$A$25,0)),""))),"(FX missing)"))</f>
        <v/>
      </c>
      <c r="P994" s="30"/>
      <c r="Q994" s="30"/>
      <c r="R994" s="30"/>
      <c r="S994" s="30"/>
      <c r="T994" s="30"/>
      <c r="U994" s="30"/>
      <c r="V994" s="30"/>
    </row>
    <row r="995" spans="1:22">
      <c r="A995" s="30"/>
      <c r="B995" s="30"/>
      <c r="C995" s="33" t="str">
        <f>IF(B995="","",IFERROR(INDEX('Master Database'!$D$5:$D$600,MATCH(B995,'Master Database'!$A$5:$A$600,0)),"(row not found)"))</f>
        <v/>
      </c>
      <c r="D995" s="33" t="str">
        <f>IF(B995="","",IFERROR(INDEX('Master Database'!$B$5:$B$600,MATCH(B995,'Master Database'!$A$5:$A$600,0)),"(row not found)"))</f>
        <v/>
      </c>
      <c r="E995" s="30"/>
      <c r="F995" s="33" t="str">
        <f>IF(E995="","",IFERROR(INDEX(Vendor_Register!$B$5:$B$205,MATCH(E995,Vendor_Register!$A$5:$A$205,0)),"(not in register)"))</f>
        <v/>
      </c>
      <c r="G995" s="33" t="str">
        <f>IF(E995="","",IFERROR(INDEX(Vendor_Register!$E$5:$E$205,MATCH(E995,Vendor_Register!$A$5:$A$205,0)),"(not in register)"))</f>
        <v/>
      </c>
      <c r="H995" s="30"/>
      <c r="I995" s="30"/>
      <c r="J995" s="30"/>
      <c r="K995" s="30"/>
      <c r="L995" s="30"/>
      <c r="M995" s="34"/>
      <c r="N995" s="30"/>
      <c r="O995" s="35" t="str">
        <f>IF(NOT(ISNUMBER(M995)),"",IFERROR(IF(L995="EUR",M995,IF(L995="IRR",M995/INDEX('Assumptions &amp; FX Reference'!$C$5:$C$25,MATCH(H995,'Assumptions &amp; FX Reference'!$A$5:$A$25,0)),IF(L995="USD",M995*INDEX('Assumptions &amp; FX Reference'!$B$5:$B$25,MATCH(H995,'Assumptions &amp; FX Reference'!$A$5:$A$25,0))/INDEX('Assumptions &amp; FX Reference'!$C$5:$C$25,MATCH(H995,'Assumptions &amp; FX Reference'!$A$5:$A$25,0)),""))),"(FX missing)"))</f>
        <v/>
      </c>
      <c r="P995" s="30"/>
      <c r="Q995" s="30"/>
      <c r="R995" s="30"/>
      <c r="S995" s="30"/>
      <c r="T995" s="30"/>
      <c r="U995" s="30"/>
      <c r="V995" s="30"/>
    </row>
    <row r="996" spans="1:22">
      <c r="A996" s="30"/>
      <c r="B996" s="30"/>
      <c r="C996" s="33" t="str">
        <f>IF(B996="","",IFERROR(INDEX('Master Database'!$D$5:$D$600,MATCH(B996,'Master Database'!$A$5:$A$600,0)),"(row not found)"))</f>
        <v/>
      </c>
      <c r="D996" s="33" t="str">
        <f>IF(B996="","",IFERROR(INDEX('Master Database'!$B$5:$B$600,MATCH(B996,'Master Database'!$A$5:$A$600,0)),"(row not found)"))</f>
        <v/>
      </c>
      <c r="E996" s="30"/>
      <c r="F996" s="33" t="str">
        <f>IF(E996="","",IFERROR(INDEX(Vendor_Register!$B$5:$B$205,MATCH(E996,Vendor_Register!$A$5:$A$205,0)),"(not in register)"))</f>
        <v/>
      </c>
      <c r="G996" s="33" t="str">
        <f>IF(E996="","",IFERROR(INDEX(Vendor_Register!$E$5:$E$205,MATCH(E996,Vendor_Register!$A$5:$A$205,0)),"(not in register)"))</f>
        <v/>
      </c>
      <c r="H996" s="30"/>
      <c r="I996" s="30"/>
      <c r="J996" s="30"/>
      <c r="K996" s="30"/>
      <c r="L996" s="30"/>
      <c r="M996" s="34"/>
      <c r="N996" s="30"/>
      <c r="O996" s="35" t="str">
        <f>IF(NOT(ISNUMBER(M996)),"",IFERROR(IF(L996="EUR",M996,IF(L996="IRR",M996/INDEX('Assumptions &amp; FX Reference'!$C$5:$C$25,MATCH(H996,'Assumptions &amp; FX Reference'!$A$5:$A$25,0)),IF(L996="USD",M996*INDEX('Assumptions &amp; FX Reference'!$B$5:$B$25,MATCH(H996,'Assumptions &amp; FX Reference'!$A$5:$A$25,0))/INDEX('Assumptions &amp; FX Reference'!$C$5:$C$25,MATCH(H996,'Assumptions &amp; FX Reference'!$A$5:$A$25,0)),""))),"(FX missing)"))</f>
        <v/>
      </c>
      <c r="P996" s="30"/>
      <c r="Q996" s="30"/>
      <c r="R996" s="30"/>
      <c r="S996" s="30"/>
      <c r="T996" s="30"/>
      <c r="U996" s="30"/>
      <c r="V996" s="30"/>
    </row>
    <row r="997" spans="1:22">
      <c r="A997" s="30"/>
      <c r="B997" s="30"/>
      <c r="C997" s="33" t="str">
        <f>IF(B997="","",IFERROR(INDEX('Master Database'!$D$5:$D$600,MATCH(B997,'Master Database'!$A$5:$A$600,0)),"(row not found)"))</f>
        <v/>
      </c>
      <c r="D997" s="33" t="str">
        <f>IF(B997="","",IFERROR(INDEX('Master Database'!$B$5:$B$600,MATCH(B997,'Master Database'!$A$5:$A$600,0)),"(row not found)"))</f>
        <v/>
      </c>
      <c r="E997" s="30"/>
      <c r="F997" s="33" t="str">
        <f>IF(E997="","",IFERROR(INDEX(Vendor_Register!$B$5:$B$205,MATCH(E997,Vendor_Register!$A$5:$A$205,0)),"(not in register)"))</f>
        <v/>
      </c>
      <c r="G997" s="33" t="str">
        <f>IF(E997="","",IFERROR(INDEX(Vendor_Register!$E$5:$E$205,MATCH(E997,Vendor_Register!$A$5:$A$205,0)),"(not in register)"))</f>
        <v/>
      </c>
      <c r="H997" s="30"/>
      <c r="I997" s="30"/>
      <c r="J997" s="30"/>
      <c r="K997" s="30"/>
      <c r="L997" s="30"/>
      <c r="M997" s="34"/>
      <c r="N997" s="30"/>
      <c r="O997" s="35" t="str">
        <f>IF(NOT(ISNUMBER(M997)),"",IFERROR(IF(L997="EUR",M997,IF(L997="IRR",M997/INDEX('Assumptions &amp; FX Reference'!$C$5:$C$25,MATCH(H997,'Assumptions &amp; FX Reference'!$A$5:$A$25,0)),IF(L997="USD",M997*INDEX('Assumptions &amp; FX Reference'!$B$5:$B$25,MATCH(H997,'Assumptions &amp; FX Reference'!$A$5:$A$25,0))/INDEX('Assumptions &amp; FX Reference'!$C$5:$C$25,MATCH(H997,'Assumptions &amp; FX Reference'!$A$5:$A$25,0)),""))),"(FX missing)"))</f>
        <v/>
      </c>
      <c r="P997" s="30"/>
      <c r="Q997" s="30"/>
      <c r="R997" s="30"/>
      <c r="S997" s="30"/>
      <c r="T997" s="30"/>
      <c r="U997" s="30"/>
      <c r="V997" s="30"/>
    </row>
    <row r="998" spans="1:22">
      <c r="A998" s="30"/>
      <c r="B998" s="30"/>
      <c r="C998" s="33" t="str">
        <f>IF(B998="","",IFERROR(INDEX('Master Database'!$D$5:$D$600,MATCH(B998,'Master Database'!$A$5:$A$600,0)),"(row not found)"))</f>
        <v/>
      </c>
      <c r="D998" s="33" t="str">
        <f>IF(B998="","",IFERROR(INDEX('Master Database'!$B$5:$B$600,MATCH(B998,'Master Database'!$A$5:$A$600,0)),"(row not found)"))</f>
        <v/>
      </c>
      <c r="E998" s="30"/>
      <c r="F998" s="33" t="str">
        <f>IF(E998="","",IFERROR(INDEX(Vendor_Register!$B$5:$B$205,MATCH(E998,Vendor_Register!$A$5:$A$205,0)),"(not in register)"))</f>
        <v/>
      </c>
      <c r="G998" s="33" t="str">
        <f>IF(E998="","",IFERROR(INDEX(Vendor_Register!$E$5:$E$205,MATCH(E998,Vendor_Register!$A$5:$A$205,0)),"(not in register)"))</f>
        <v/>
      </c>
      <c r="H998" s="30"/>
      <c r="I998" s="30"/>
      <c r="J998" s="30"/>
      <c r="K998" s="30"/>
      <c r="L998" s="30"/>
      <c r="M998" s="34"/>
      <c r="N998" s="30"/>
      <c r="O998" s="35" t="str">
        <f>IF(NOT(ISNUMBER(M998)),"",IFERROR(IF(L998="EUR",M998,IF(L998="IRR",M998/INDEX('Assumptions &amp; FX Reference'!$C$5:$C$25,MATCH(H998,'Assumptions &amp; FX Reference'!$A$5:$A$25,0)),IF(L998="USD",M998*INDEX('Assumptions &amp; FX Reference'!$B$5:$B$25,MATCH(H998,'Assumptions &amp; FX Reference'!$A$5:$A$25,0))/INDEX('Assumptions &amp; FX Reference'!$C$5:$C$25,MATCH(H998,'Assumptions &amp; FX Reference'!$A$5:$A$25,0)),""))),"(FX missing)"))</f>
        <v/>
      </c>
      <c r="P998" s="30"/>
      <c r="Q998" s="30"/>
      <c r="R998" s="30"/>
      <c r="S998" s="30"/>
      <c r="T998" s="30"/>
      <c r="U998" s="30"/>
      <c r="V998" s="30"/>
    </row>
    <row r="999" spans="1:22">
      <c r="A999" s="30"/>
      <c r="B999" s="30"/>
      <c r="C999" s="33" t="str">
        <f>IF(B999="","",IFERROR(INDEX('Master Database'!$D$5:$D$600,MATCH(B999,'Master Database'!$A$5:$A$600,0)),"(row not found)"))</f>
        <v/>
      </c>
      <c r="D999" s="33" t="str">
        <f>IF(B999="","",IFERROR(INDEX('Master Database'!$B$5:$B$600,MATCH(B999,'Master Database'!$A$5:$A$600,0)),"(row not found)"))</f>
        <v/>
      </c>
      <c r="E999" s="30"/>
      <c r="F999" s="33" t="str">
        <f>IF(E999="","",IFERROR(INDEX(Vendor_Register!$B$5:$B$205,MATCH(E999,Vendor_Register!$A$5:$A$205,0)),"(not in register)"))</f>
        <v/>
      </c>
      <c r="G999" s="33" t="str">
        <f>IF(E999="","",IFERROR(INDEX(Vendor_Register!$E$5:$E$205,MATCH(E999,Vendor_Register!$A$5:$A$205,0)),"(not in register)"))</f>
        <v/>
      </c>
      <c r="H999" s="30"/>
      <c r="I999" s="30"/>
      <c r="J999" s="30"/>
      <c r="K999" s="30"/>
      <c r="L999" s="30"/>
      <c r="M999" s="34"/>
      <c r="N999" s="30"/>
      <c r="O999" s="35" t="str">
        <f>IF(NOT(ISNUMBER(M999)),"",IFERROR(IF(L999="EUR",M999,IF(L999="IRR",M999/INDEX('Assumptions &amp; FX Reference'!$C$5:$C$25,MATCH(H999,'Assumptions &amp; FX Reference'!$A$5:$A$25,0)),IF(L999="USD",M999*INDEX('Assumptions &amp; FX Reference'!$B$5:$B$25,MATCH(H999,'Assumptions &amp; FX Reference'!$A$5:$A$25,0))/INDEX('Assumptions &amp; FX Reference'!$C$5:$C$25,MATCH(H999,'Assumptions &amp; FX Reference'!$A$5:$A$25,0)),""))),"(FX missing)"))</f>
        <v/>
      </c>
      <c r="P999" s="30"/>
      <c r="Q999" s="30"/>
      <c r="R999" s="30"/>
      <c r="S999" s="30"/>
      <c r="T999" s="30"/>
      <c r="U999" s="30"/>
      <c r="V999" s="30"/>
    </row>
    <row r="1000" spans="1:22">
      <c r="A1000" s="30"/>
      <c r="B1000" s="30"/>
      <c r="C1000" s="33" t="str">
        <f>IF(B1000="","",IFERROR(INDEX('Master Database'!$D$5:$D$600,MATCH(B1000,'Master Database'!$A$5:$A$600,0)),"(row not found)"))</f>
        <v/>
      </c>
      <c r="D1000" s="33" t="str">
        <f>IF(B1000="","",IFERROR(INDEX('Master Database'!$B$5:$B$600,MATCH(B1000,'Master Database'!$A$5:$A$600,0)),"(row not found)"))</f>
        <v/>
      </c>
      <c r="E1000" s="30"/>
      <c r="F1000" s="33" t="str">
        <f>IF(E1000="","",IFERROR(INDEX(Vendor_Register!$B$5:$B$205,MATCH(E1000,Vendor_Register!$A$5:$A$205,0)),"(not in register)"))</f>
        <v/>
      </c>
      <c r="G1000" s="33" t="str">
        <f>IF(E1000="","",IFERROR(INDEX(Vendor_Register!$E$5:$E$205,MATCH(E1000,Vendor_Register!$A$5:$A$205,0)),"(not in register)"))</f>
        <v/>
      </c>
      <c r="H1000" s="30"/>
      <c r="I1000" s="30"/>
      <c r="J1000" s="30"/>
      <c r="K1000" s="30"/>
      <c r="L1000" s="30"/>
      <c r="M1000" s="34"/>
      <c r="N1000" s="30"/>
      <c r="O1000" s="35" t="str">
        <f>IF(NOT(ISNUMBER(M1000)),"",IFERROR(IF(L1000="EUR",M1000,IF(L1000="IRR",M1000/INDEX('Assumptions &amp; FX Reference'!$C$5:$C$25,MATCH(H1000,'Assumptions &amp; FX Reference'!$A$5:$A$25,0)),IF(L1000="USD",M1000*INDEX('Assumptions &amp; FX Reference'!$B$5:$B$25,MATCH(H1000,'Assumptions &amp; FX Reference'!$A$5:$A$25,0))/INDEX('Assumptions &amp; FX Reference'!$C$5:$C$25,MATCH(H1000,'Assumptions &amp; FX Reference'!$A$5:$A$25,0)),""))),"(FX missing)"))</f>
        <v/>
      </c>
      <c r="P1000" s="30"/>
      <c r="Q1000" s="30"/>
      <c r="R1000" s="30"/>
      <c r="S1000" s="30"/>
      <c r="T1000" s="30"/>
      <c r="U1000" s="30"/>
      <c r="V1000" s="30"/>
    </row>
    <row r="1001" spans="1:22">
      <c r="A1001" s="30"/>
      <c r="B1001" s="30"/>
      <c r="C1001" s="33" t="str">
        <f>IF(B1001="","",IFERROR(INDEX('Master Database'!$D$5:$D$600,MATCH(B1001,'Master Database'!$A$5:$A$600,0)),"(row not found)"))</f>
        <v/>
      </c>
      <c r="D1001" s="33" t="str">
        <f>IF(B1001="","",IFERROR(INDEX('Master Database'!$B$5:$B$600,MATCH(B1001,'Master Database'!$A$5:$A$600,0)),"(row not found)"))</f>
        <v/>
      </c>
      <c r="E1001" s="30"/>
      <c r="F1001" s="33" t="str">
        <f>IF(E1001="","",IFERROR(INDEX(Vendor_Register!$B$5:$B$205,MATCH(E1001,Vendor_Register!$A$5:$A$205,0)),"(not in register)"))</f>
        <v/>
      </c>
      <c r="G1001" s="33" t="str">
        <f>IF(E1001="","",IFERROR(INDEX(Vendor_Register!$E$5:$E$205,MATCH(E1001,Vendor_Register!$A$5:$A$205,0)),"(not in register)"))</f>
        <v/>
      </c>
      <c r="H1001" s="30"/>
      <c r="I1001" s="30"/>
      <c r="J1001" s="30"/>
      <c r="K1001" s="30"/>
      <c r="L1001" s="30"/>
      <c r="M1001" s="34"/>
      <c r="N1001" s="30"/>
      <c r="O1001" s="35" t="str">
        <f>IF(NOT(ISNUMBER(M1001)),"",IFERROR(IF(L1001="EUR",M1001,IF(L1001="IRR",M1001/INDEX('Assumptions &amp; FX Reference'!$C$5:$C$25,MATCH(H1001,'Assumptions &amp; FX Reference'!$A$5:$A$25,0)),IF(L1001="USD",M1001*INDEX('Assumptions &amp; FX Reference'!$B$5:$B$25,MATCH(H1001,'Assumptions &amp; FX Reference'!$A$5:$A$25,0))/INDEX('Assumptions &amp; FX Reference'!$C$5:$C$25,MATCH(H1001,'Assumptions &amp; FX Reference'!$A$5:$A$25,0)),""))),"(FX missing)"))</f>
        <v/>
      </c>
      <c r="P1001" s="30"/>
      <c r="Q1001" s="30"/>
      <c r="R1001" s="30"/>
      <c r="S1001" s="30"/>
      <c r="T1001" s="30"/>
      <c r="U1001" s="30"/>
      <c r="V1001" s="30"/>
    </row>
    <row r="1002" spans="1:22">
      <c r="A1002" s="30"/>
      <c r="B1002" s="30"/>
      <c r="C1002" s="33" t="str">
        <f>IF(B1002="","",IFERROR(INDEX('Master Database'!$D$5:$D$600,MATCH(B1002,'Master Database'!$A$5:$A$600,0)),"(row not found)"))</f>
        <v/>
      </c>
      <c r="D1002" s="33" t="str">
        <f>IF(B1002="","",IFERROR(INDEX('Master Database'!$B$5:$B$600,MATCH(B1002,'Master Database'!$A$5:$A$600,0)),"(row not found)"))</f>
        <v/>
      </c>
      <c r="E1002" s="30"/>
      <c r="F1002" s="33" t="str">
        <f>IF(E1002="","",IFERROR(INDEX(Vendor_Register!$B$5:$B$205,MATCH(E1002,Vendor_Register!$A$5:$A$205,0)),"(not in register)"))</f>
        <v/>
      </c>
      <c r="G1002" s="33" t="str">
        <f>IF(E1002="","",IFERROR(INDEX(Vendor_Register!$E$5:$E$205,MATCH(E1002,Vendor_Register!$A$5:$A$205,0)),"(not in register)"))</f>
        <v/>
      </c>
      <c r="H1002" s="30"/>
      <c r="I1002" s="30"/>
      <c r="J1002" s="30"/>
      <c r="K1002" s="30"/>
      <c r="L1002" s="30"/>
      <c r="M1002" s="34"/>
      <c r="N1002" s="30"/>
      <c r="O1002" s="35" t="str">
        <f>IF(NOT(ISNUMBER(M1002)),"",IFERROR(IF(L1002="EUR",M1002,IF(L1002="IRR",M1002/INDEX('Assumptions &amp; FX Reference'!$C$5:$C$25,MATCH(H1002,'Assumptions &amp; FX Reference'!$A$5:$A$25,0)),IF(L1002="USD",M1002*INDEX('Assumptions &amp; FX Reference'!$B$5:$B$25,MATCH(H1002,'Assumptions &amp; FX Reference'!$A$5:$A$25,0))/INDEX('Assumptions &amp; FX Reference'!$C$5:$C$25,MATCH(H1002,'Assumptions &amp; FX Reference'!$A$5:$A$25,0)),""))),"(FX missing)"))</f>
        <v/>
      </c>
      <c r="P1002" s="30"/>
      <c r="Q1002" s="30"/>
      <c r="R1002" s="30"/>
      <c r="S1002" s="30"/>
      <c r="T1002" s="30"/>
      <c r="U1002" s="30"/>
      <c r="V1002" s="30"/>
    </row>
    <row r="1003" spans="1:22">
      <c r="A1003" s="30"/>
      <c r="B1003" s="30"/>
      <c r="C1003" s="33" t="str">
        <f>IF(B1003="","",IFERROR(INDEX('Master Database'!$D$5:$D$600,MATCH(B1003,'Master Database'!$A$5:$A$600,0)),"(row not found)"))</f>
        <v/>
      </c>
      <c r="D1003" s="33" t="str">
        <f>IF(B1003="","",IFERROR(INDEX('Master Database'!$B$5:$B$600,MATCH(B1003,'Master Database'!$A$5:$A$600,0)),"(row not found)"))</f>
        <v/>
      </c>
      <c r="E1003" s="30"/>
      <c r="F1003" s="33" t="str">
        <f>IF(E1003="","",IFERROR(INDEX(Vendor_Register!$B$5:$B$205,MATCH(E1003,Vendor_Register!$A$5:$A$205,0)),"(not in register)"))</f>
        <v/>
      </c>
      <c r="G1003" s="33" t="str">
        <f>IF(E1003="","",IFERROR(INDEX(Vendor_Register!$E$5:$E$205,MATCH(E1003,Vendor_Register!$A$5:$A$205,0)),"(not in register)"))</f>
        <v/>
      </c>
      <c r="H1003" s="30"/>
      <c r="I1003" s="30"/>
      <c r="J1003" s="30"/>
      <c r="K1003" s="30"/>
      <c r="L1003" s="30"/>
      <c r="M1003" s="34"/>
      <c r="N1003" s="30"/>
      <c r="O1003" s="35" t="str">
        <f>IF(NOT(ISNUMBER(M1003)),"",IFERROR(IF(L1003="EUR",M1003,IF(L1003="IRR",M1003/INDEX('Assumptions &amp; FX Reference'!$C$5:$C$25,MATCH(H1003,'Assumptions &amp; FX Reference'!$A$5:$A$25,0)),IF(L1003="USD",M1003*INDEX('Assumptions &amp; FX Reference'!$B$5:$B$25,MATCH(H1003,'Assumptions &amp; FX Reference'!$A$5:$A$25,0))/INDEX('Assumptions &amp; FX Reference'!$C$5:$C$25,MATCH(H1003,'Assumptions &amp; FX Reference'!$A$5:$A$25,0)),""))),"(FX missing)"))</f>
        <v/>
      </c>
      <c r="P1003" s="30"/>
      <c r="Q1003" s="30"/>
      <c r="R1003" s="30"/>
      <c r="S1003" s="30"/>
      <c r="T1003" s="30"/>
      <c r="U1003" s="30"/>
      <c r="V1003" s="30"/>
    </row>
    <row r="1004" spans="1:22">
      <c r="A1004" s="30"/>
      <c r="B1004" s="30"/>
      <c r="C1004" s="33" t="str">
        <f>IF(B1004="","",IFERROR(INDEX('Master Database'!$D$5:$D$600,MATCH(B1004,'Master Database'!$A$5:$A$600,0)),"(row not found)"))</f>
        <v/>
      </c>
      <c r="D1004" s="33" t="str">
        <f>IF(B1004="","",IFERROR(INDEX('Master Database'!$B$5:$B$600,MATCH(B1004,'Master Database'!$A$5:$A$600,0)),"(row not found)"))</f>
        <v/>
      </c>
      <c r="E1004" s="30"/>
      <c r="F1004" s="33" t="str">
        <f>IF(E1004="","",IFERROR(INDEX(Vendor_Register!$B$5:$B$205,MATCH(E1004,Vendor_Register!$A$5:$A$205,0)),"(not in register)"))</f>
        <v/>
      </c>
      <c r="G1004" s="33" t="str">
        <f>IF(E1004="","",IFERROR(INDEX(Vendor_Register!$E$5:$E$205,MATCH(E1004,Vendor_Register!$A$5:$A$205,0)),"(not in register)"))</f>
        <v/>
      </c>
      <c r="H1004" s="30"/>
      <c r="I1004" s="30"/>
      <c r="J1004" s="30"/>
      <c r="K1004" s="30"/>
      <c r="L1004" s="30"/>
      <c r="M1004" s="34"/>
      <c r="N1004" s="30"/>
      <c r="O1004" s="35" t="str">
        <f>IF(NOT(ISNUMBER(M1004)),"",IFERROR(IF(L1004="EUR",M1004,IF(L1004="IRR",M1004/INDEX('Assumptions &amp; FX Reference'!$C$5:$C$25,MATCH(H1004,'Assumptions &amp; FX Reference'!$A$5:$A$25,0)),IF(L1004="USD",M1004*INDEX('Assumptions &amp; FX Reference'!$B$5:$B$25,MATCH(H1004,'Assumptions &amp; FX Reference'!$A$5:$A$25,0))/INDEX('Assumptions &amp; FX Reference'!$C$5:$C$25,MATCH(H1004,'Assumptions &amp; FX Reference'!$A$5:$A$25,0)),""))),"(FX missing)"))</f>
        <v/>
      </c>
      <c r="P1004" s="30"/>
      <c r="Q1004" s="30"/>
      <c r="R1004" s="30"/>
      <c r="S1004" s="30"/>
      <c r="T1004" s="30"/>
      <c r="U1004" s="30"/>
      <c r="V1004" s="30"/>
    </row>
    <row r="1005" spans="1:22">
      <c r="A1005" s="30"/>
      <c r="B1005" s="30"/>
      <c r="C1005" s="33" t="str">
        <f>IF(B1005="","",IFERROR(INDEX('Master Database'!$D$5:$D$600,MATCH(B1005,'Master Database'!$A$5:$A$600,0)),"(row not found)"))</f>
        <v/>
      </c>
      <c r="D1005" s="33" t="str">
        <f>IF(B1005="","",IFERROR(INDEX('Master Database'!$B$5:$B$600,MATCH(B1005,'Master Database'!$A$5:$A$600,0)),"(row not found)"))</f>
        <v/>
      </c>
      <c r="E1005" s="30"/>
      <c r="F1005" s="33" t="str">
        <f>IF(E1005="","",IFERROR(INDEX(Vendor_Register!$B$5:$B$205,MATCH(E1005,Vendor_Register!$A$5:$A$205,0)),"(not in register)"))</f>
        <v/>
      </c>
      <c r="G1005" s="33" t="str">
        <f>IF(E1005="","",IFERROR(INDEX(Vendor_Register!$E$5:$E$205,MATCH(E1005,Vendor_Register!$A$5:$A$205,0)),"(not in register)"))</f>
        <v/>
      </c>
      <c r="H1005" s="30"/>
      <c r="I1005" s="30"/>
      <c r="J1005" s="30"/>
      <c r="K1005" s="30"/>
      <c r="L1005" s="30"/>
      <c r="M1005" s="34"/>
      <c r="N1005" s="30"/>
      <c r="O1005" s="35" t="str">
        <f>IF(NOT(ISNUMBER(M1005)),"",IFERROR(IF(L1005="EUR",M1005,IF(L1005="IRR",M1005/INDEX('Assumptions &amp; FX Reference'!$C$5:$C$25,MATCH(H1005,'Assumptions &amp; FX Reference'!$A$5:$A$25,0)),IF(L1005="USD",M1005*INDEX('Assumptions &amp; FX Reference'!$B$5:$B$25,MATCH(H1005,'Assumptions &amp; FX Reference'!$A$5:$A$25,0))/INDEX('Assumptions &amp; FX Reference'!$C$5:$C$25,MATCH(H1005,'Assumptions &amp; FX Reference'!$A$5:$A$25,0)),""))),"(FX missing)"))</f>
        <v/>
      </c>
      <c r="P1005" s="30"/>
      <c r="Q1005" s="30"/>
      <c r="R1005" s="30"/>
      <c r="S1005" s="30"/>
      <c r="T1005" s="30"/>
      <c r="U1005" s="30"/>
      <c r="V1005" s="30"/>
    </row>
  </sheetData>
  <autoFilter ref="A4:V1005" xr:uid="{00000000-0009-0000-0000-000005000000}"/>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6">
        <x14:dataValidation type="list" allowBlank="1" xr:uid="{00000000-0002-0000-0500-000000000000}">
          <x14:formula1>
            <xm:f>Vendor_Register!$A$5:$A$205</xm:f>
          </x14:formula1>
          <x14:formula2>
            <xm:f>0</xm:f>
          </x14:formula2>
          <xm:sqref>E5:E1005</xm:sqref>
        </x14:dataValidation>
        <x14:dataValidation type="list" allowBlank="1" xr:uid="{00000000-0002-0000-0500-000001000000}">
          <x14:formula1>
            <xm:f>Lookup_Codes!$K$5:$K$60</xm:f>
          </x14:formula1>
          <x14:formula2>
            <xm:f>0</xm:f>
          </x14:formula2>
          <xm:sqref>H5:H1005</xm:sqref>
        </x14:dataValidation>
        <x14:dataValidation type="list" allowBlank="1" xr:uid="{00000000-0002-0000-0500-000002000000}">
          <x14:formula1>
            <xm:f>Lookup_Codes!$L$5:$L$60</xm:f>
          </x14:formula1>
          <x14:formula2>
            <xm:f>0</xm:f>
          </x14:formula2>
          <xm:sqref>K5:K1005</xm:sqref>
        </x14:dataValidation>
        <x14:dataValidation type="list" allowBlank="1" xr:uid="{00000000-0002-0000-0500-000003000000}">
          <x14:formula1>
            <xm:f>Lookup_Codes!$J$5:$J$60</xm:f>
          </x14:formula1>
          <x14:formula2>
            <xm:f>0</xm:f>
          </x14:formula2>
          <xm:sqref>L5:L1005</xm:sqref>
        </x14:dataValidation>
        <x14:dataValidation type="list" allowBlank="1" xr:uid="{00000000-0002-0000-0500-000004000000}">
          <x14:formula1>
            <xm:f>Lookup_Codes!$Q$5:$Q$60</xm:f>
          </x14:formula1>
          <x14:formula2>
            <xm:f>0</xm:f>
          </x14:formula2>
          <xm:sqref>N5:N1005</xm:sqref>
        </x14:dataValidation>
        <x14:dataValidation type="list" allowBlank="1" xr:uid="{00000000-0002-0000-0500-000005000000}">
          <x14:formula1>
            <xm:f>Lookup_Codes!$I$5:$I$60</xm:f>
          </x14:formula1>
          <x14:formula2>
            <xm:f>0</xm:f>
          </x14:formula2>
          <xm:sqref>Q5:U1005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05"/>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cols>
    <col min="1" max="1" width="10" customWidth="1"/>
    <col min="2" max="2" width="28" customWidth="1"/>
    <col min="3" max="3" width="12" customWidth="1"/>
    <col min="4" max="4" width="18" customWidth="1"/>
    <col min="5" max="5" width="22" customWidth="1"/>
    <col min="6" max="6" width="10" customWidth="1"/>
    <col min="7" max="7" width="24" customWidth="1"/>
    <col min="8" max="8" width="20" customWidth="1"/>
    <col min="9" max="9" width="30" customWidth="1"/>
  </cols>
  <sheetData>
    <row r="1" spans="1:9" ht="16.5">
      <c r="A1" s="50" t="s">
        <v>1106</v>
      </c>
    </row>
    <row r="2" spans="1:9">
      <c r="A2" s="11" t="s">
        <v>1107</v>
      </c>
    </row>
    <row r="4" spans="1:9" ht="24">
      <c r="A4" s="25" t="s">
        <v>908</v>
      </c>
      <c r="B4" s="25" t="s">
        <v>1108</v>
      </c>
      <c r="C4" s="25" t="s">
        <v>1109</v>
      </c>
      <c r="D4" s="25" t="s">
        <v>1110</v>
      </c>
      <c r="E4" s="25" t="s">
        <v>1111</v>
      </c>
      <c r="F4" s="25" t="s">
        <v>1112</v>
      </c>
      <c r="G4" s="25" t="s">
        <v>1113</v>
      </c>
      <c r="H4" s="25" t="s">
        <v>1114</v>
      </c>
      <c r="I4" s="25" t="s">
        <v>1115</v>
      </c>
    </row>
    <row r="5" spans="1:9">
      <c r="A5" s="48" t="s">
        <v>927</v>
      </c>
      <c r="B5" s="48" t="s">
        <v>1116</v>
      </c>
      <c r="C5" s="48" t="s">
        <v>1117</v>
      </c>
      <c r="D5" s="48" t="s">
        <v>1118</v>
      </c>
      <c r="E5" s="48" t="s">
        <v>1119</v>
      </c>
      <c r="F5" s="48" t="s">
        <v>1120</v>
      </c>
      <c r="G5" s="48" t="s">
        <v>1121</v>
      </c>
      <c r="H5" s="48" t="s">
        <v>1122</v>
      </c>
      <c r="I5" s="48" t="s">
        <v>1123</v>
      </c>
    </row>
    <row r="6" spans="1:9">
      <c r="A6" s="30" t="s">
        <v>931</v>
      </c>
      <c r="B6" s="30" t="s">
        <v>1124</v>
      </c>
      <c r="C6" s="30" t="s">
        <v>1117</v>
      </c>
      <c r="D6" s="30"/>
      <c r="E6" s="30" t="s">
        <v>1125</v>
      </c>
      <c r="F6" s="30"/>
      <c r="G6" s="30"/>
      <c r="H6" s="30"/>
      <c r="I6" s="30" t="s">
        <v>1126</v>
      </c>
    </row>
    <row r="7" spans="1:9">
      <c r="A7" s="30" t="s">
        <v>936</v>
      </c>
      <c r="B7" s="30" t="s">
        <v>1127</v>
      </c>
      <c r="C7" s="30" t="s">
        <v>1117</v>
      </c>
      <c r="D7" s="30"/>
      <c r="E7" s="30" t="s">
        <v>1125</v>
      </c>
      <c r="F7" s="30"/>
      <c r="G7" s="30"/>
      <c r="H7" s="30"/>
      <c r="I7" s="30" t="s">
        <v>1126</v>
      </c>
    </row>
    <row r="8" spans="1:9">
      <c r="A8" s="30" t="s">
        <v>940</v>
      </c>
      <c r="B8" s="30" t="s">
        <v>1128</v>
      </c>
      <c r="C8" s="30" t="s">
        <v>1117</v>
      </c>
      <c r="D8" s="30"/>
      <c r="E8" s="30" t="s">
        <v>1125</v>
      </c>
      <c r="F8" s="30"/>
      <c r="G8" s="30"/>
      <c r="H8" s="30"/>
      <c r="I8" s="30" t="s">
        <v>1126</v>
      </c>
    </row>
    <row r="9" spans="1:9">
      <c r="A9" s="30" t="s">
        <v>943</v>
      </c>
      <c r="B9" s="30" t="s">
        <v>1129</v>
      </c>
      <c r="C9" s="30" t="s">
        <v>1117</v>
      </c>
      <c r="D9" s="30"/>
      <c r="E9" s="30" t="s">
        <v>1125</v>
      </c>
      <c r="F9" s="30"/>
      <c r="G9" s="30"/>
      <c r="H9" s="30"/>
      <c r="I9" s="30" t="s">
        <v>1126</v>
      </c>
    </row>
    <row r="10" spans="1:9">
      <c r="A10" s="30"/>
      <c r="B10" s="30"/>
      <c r="C10" s="30"/>
      <c r="D10" s="30"/>
      <c r="E10" s="30"/>
      <c r="F10" s="30"/>
      <c r="G10" s="30"/>
      <c r="H10" s="30"/>
      <c r="I10" s="30"/>
    </row>
    <row r="11" spans="1:9">
      <c r="A11" s="30"/>
      <c r="B11" s="30"/>
      <c r="C11" s="30"/>
      <c r="D11" s="30"/>
      <c r="E11" s="30"/>
      <c r="F11" s="30"/>
      <c r="G11" s="30"/>
      <c r="H11" s="30"/>
      <c r="I11" s="30"/>
    </row>
    <row r="12" spans="1:9">
      <c r="A12" s="30"/>
      <c r="B12" s="30"/>
      <c r="C12" s="30"/>
      <c r="D12" s="30"/>
      <c r="E12" s="30"/>
      <c r="F12" s="30"/>
      <c r="G12" s="30"/>
      <c r="H12" s="30"/>
      <c r="I12" s="30"/>
    </row>
    <row r="13" spans="1:9">
      <c r="A13" s="30"/>
      <c r="B13" s="30"/>
      <c r="C13" s="30"/>
      <c r="D13" s="30"/>
      <c r="E13" s="30"/>
      <c r="F13" s="30"/>
      <c r="G13" s="30"/>
      <c r="H13" s="30"/>
      <c r="I13" s="30"/>
    </row>
    <row r="14" spans="1:9">
      <c r="A14" s="30"/>
      <c r="B14" s="30"/>
      <c r="C14" s="30"/>
      <c r="D14" s="30"/>
      <c r="E14" s="30"/>
      <c r="F14" s="30"/>
      <c r="G14" s="30"/>
      <c r="H14" s="30"/>
      <c r="I14" s="30"/>
    </row>
    <row r="15" spans="1:9">
      <c r="A15" s="30"/>
      <c r="B15" s="30"/>
      <c r="C15" s="30"/>
      <c r="D15" s="30"/>
      <c r="E15" s="30"/>
      <c r="F15" s="30"/>
      <c r="G15" s="30"/>
      <c r="H15" s="30"/>
      <c r="I15" s="30"/>
    </row>
    <row r="16" spans="1:9">
      <c r="A16" s="30"/>
      <c r="B16" s="30"/>
      <c r="C16" s="30"/>
      <c r="D16" s="30"/>
      <c r="E16" s="30"/>
      <c r="F16" s="30"/>
      <c r="G16" s="30"/>
      <c r="H16" s="30"/>
      <c r="I16" s="30"/>
    </row>
    <row r="17" spans="1:9">
      <c r="A17" s="30"/>
      <c r="B17" s="30"/>
      <c r="C17" s="30"/>
      <c r="D17" s="30"/>
      <c r="E17" s="30"/>
      <c r="F17" s="30"/>
      <c r="G17" s="30"/>
      <c r="H17" s="30"/>
      <c r="I17" s="30"/>
    </row>
    <row r="18" spans="1:9">
      <c r="A18" s="30"/>
      <c r="B18" s="30"/>
      <c r="C18" s="30"/>
      <c r="D18" s="30"/>
      <c r="E18" s="30"/>
      <c r="F18" s="30"/>
      <c r="G18" s="30"/>
      <c r="H18" s="30"/>
      <c r="I18" s="30"/>
    </row>
    <row r="19" spans="1:9">
      <c r="A19" s="30"/>
      <c r="B19" s="30"/>
      <c r="C19" s="30"/>
      <c r="D19" s="30"/>
      <c r="E19" s="30"/>
      <c r="F19" s="30"/>
      <c r="G19" s="30"/>
      <c r="H19" s="30"/>
      <c r="I19" s="30"/>
    </row>
    <row r="20" spans="1:9">
      <c r="A20" s="30"/>
      <c r="B20" s="30"/>
      <c r="C20" s="30"/>
      <c r="D20" s="30"/>
      <c r="E20" s="30"/>
      <c r="F20" s="30"/>
      <c r="G20" s="30"/>
      <c r="H20" s="30"/>
      <c r="I20" s="30"/>
    </row>
    <row r="21" spans="1:9">
      <c r="A21" s="30"/>
      <c r="B21" s="30"/>
      <c r="C21" s="30"/>
      <c r="D21" s="30"/>
      <c r="E21" s="30"/>
      <c r="F21" s="30"/>
      <c r="G21" s="30"/>
      <c r="H21" s="30"/>
      <c r="I21" s="30"/>
    </row>
    <row r="22" spans="1:9">
      <c r="A22" s="30"/>
      <c r="B22" s="30"/>
      <c r="C22" s="30"/>
      <c r="D22" s="30"/>
      <c r="E22" s="30"/>
      <c r="F22" s="30"/>
      <c r="G22" s="30"/>
      <c r="H22" s="30"/>
      <c r="I22" s="30"/>
    </row>
    <row r="23" spans="1:9">
      <c r="A23" s="30"/>
      <c r="B23" s="30"/>
      <c r="C23" s="30"/>
      <c r="D23" s="30"/>
      <c r="E23" s="30"/>
      <c r="F23" s="30"/>
      <c r="G23" s="30"/>
      <c r="H23" s="30"/>
      <c r="I23" s="30"/>
    </row>
    <row r="24" spans="1:9">
      <c r="A24" s="30"/>
      <c r="B24" s="30"/>
      <c r="C24" s="30"/>
      <c r="D24" s="30"/>
      <c r="E24" s="30"/>
      <c r="F24" s="30"/>
      <c r="G24" s="30"/>
      <c r="H24" s="30"/>
      <c r="I24" s="30"/>
    </row>
    <row r="25" spans="1:9">
      <c r="A25" s="30"/>
      <c r="B25" s="30"/>
      <c r="C25" s="30"/>
      <c r="D25" s="30"/>
      <c r="E25" s="30"/>
      <c r="F25" s="30"/>
      <c r="G25" s="30"/>
      <c r="H25" s="30"/>
      <c r="I25" s="30"/>
    </row>
    <row r="26" spans="1:9">
      <c r="A26" s="30"/>
      <c r="B26" s="30"/>
      <c r="C26" s="30"/>
      <c r="D26" s="30"/>
      <c r="E26" s="30"/>
      <c r="F26" s="30"/>
      <c r="G26" s="30"/>
      <c r="H26" s="30"/>
      <c r="I26" s="30"/>
    </row>
    <row r="27" spans="1:9">
      <c r="A27" s="30"/>
      <c r="B27" s="30"/>
      <c r="C27" s="30"/>
      <c r="D27" s="30"/>
      <c r="E27" s="30"/>
      <c r="F27" s="30"/>
      <c r="G27" s="30"/>
      <c r="H27" s="30"/>
      <c r="I27" s="30"/>
    </row>
    <row r="28" spans="1:9">
      <c r="A28" s="30"/>
      <c r="B28" s="30"/>
      <c r="C28" s="30"/>
      <c r="D28" s="30"/>
      <c r="E28" s="30"/>
      <c r="F28" s="30"/>
      <c r="G28" s="30"/>
      <c r="H28" s="30"/>
      <c r="I28" s="30"/>
    </row>
    <row r="29" spans="1:9">
      <c r="A29" s="30"/>
      <c r="B29" s="30"/>
      <c r="C29" s="30"/>
      <c r="D29" s="30"/>
      <c r="E29" s="30"/>
      <c r="F29" s="30"/>
      <c r="G29" s="30"/>
      <c r="H29" s="30"/>
      <c r="I29" s="30"/>
    </row>
    <row r="30" spans="1:9">
      <c r="A30" s="30"/>
      <c r="B30" s="30"/>
      <c r="C30" s="30"/>
      <c r="D30" s="30"/>
      <c r="E30" s="30"/>
      <c r="F30" s="30"/>
      <c r="G30" s="30"/>
      <c r="H30" s="30"/>
      <c r="I30" s="30"/>
    </row>
    <row r="31" spans="1:9">
      <c r="A31" s="30"/>
      <c r="B31" s="30"/>
      <c r="C31" s="30"/>
      <c r="D31" s="30"/>
      <c r="E31" s="30"/>
      <c r="F31" s="30"/>
      <c r="G31" s="30"/>
      <c r="H31" s="30"/>
      <c r="I31" s="30"/>
    </row>
    <row r="32" spans="1:9">
      <c r="A32" s="30"/>
      <c r="B32" s="30"/>
      <c r="C32" s="30"/>
      <c r="D32" s="30"/>
      <c r="E32" s="30"/>
      <c r="F32" s="30"/>
      <c r="G32" s="30"/>
      <c r="H32" s="30"/>
      <c r="I32" s="30"/>
    </row>
    <row r="33" spans="1:9">
      <c r="A33" s="30"/>
      <c r="B33" s="30"/>
      <c r="C33" s="30"/>
      <c r="D33" s="30"/>
      <c r="E33" s="30"/>
      <c r="F33" s="30"/>
      <c r="G33" s="30"/>
      <c r="H33" s="30"/>
      <c r="I33" s="30"/>
    </row>
    <row r="34" spans="1:9">
      <c r="A34" s="30"/>
      <c r="B34" s="30"/>
      <c r="C34" s="30"/>
      <c r="D34" s="30"/>
      <c r="E34" s="30"/>
      <c r="F34" s="30"/>
      <c r="G34" s="30"/>
      <c r="H34" s="30"/>
      <c r="I34" s="30"/>
    </row>
    <row r="35" spans="1:9">
      <c r="A35" s="30"/>
      <c r="B35" s="30"/>
      <c r="C35" s="30"/>
      <c r="D35" s="30"/>
      <c r="E35" s="30"/>
      <c r="F35" s="30"/>
      <c r="G35" s="30"/>
      <c r="H35" s="30"/>
      <c r="I35" s="30"/>
    </row>
    <row r="36" spans="1:9">
      <c r="A36" s="30"/>
      <c r="B36" s="30"/>
      <c r="C36" s="30"/>
      <c r="D36" s="30"/>
      <c r="E36" s="30"/>
      <c r="F36" s="30"/>
      <c r="G36" s="30"/>
      <c r="H36" s="30"/>
      <c r="I36" s="30"/>
    </row>
    <row r="37" spans="1:9">
      <c r="A37" s="30"/>
      <c r="B37" s="30"/>
      <c r="C37" s="30"/>
      <c r="D37" s="30"/>
      <c r="E37" s="30"/>
      <c r="F37" s="30"/>
      <c r="G37" s="30"/>
      <c r="H37" s="30"/>
      <c r="I37" s="30"/>
    </row>
    <row r="38" spans="1:9">
      <c r="A38" s="30"/>
      <c r="B38" s="30"/>
      <c r="C38" s="30"/>
      <c r="D38" s="30"/>
      <c r="E38" s="30"/>
      <c r="F38" s="30"/>
      <c r="G38" s="30"/>
      <c r="H38" s="30"/>
      <c r="I38" s="30"/>
    </row>
    <row r="39" spans="1:9">
      <c r="A39" s="30"/>
      <c r="B39" s="30"/>
      <c r="C39" s="30"/>
      <c r="D39" s="30"/>
      <c r="E39" s="30"/>
      <c r="F39" s="30"/>
      <c r="G39" s="30"/>
      <c r="H39" s="30"/>
      <c r="I39" s="30"/>
    </row>
    <row r="40" spans="1:9">
      <c r="A40" s="30"/>
      <c r="B40" s="30"/>
      <c r="C40" s="30"/>
      <c r="D40" s="30"/>
      <c r="E40" s="30"/>
      <c r="F40" s="30"/>
      <c r="G40" s="30"/>
      <c r="H40" s="30"/>
      <c r="I40" s="30"/>
    </row>
    <row r="41" spans="1:9">
      <c r="A41" s="30"/>
      <c r="B41" s="30"/>
      <c r="C41" s="30"/>
      <c r="D41" s="30"/>
      <c r="E41" s="30"/>
      <c r="F41" s="30"/>
      <c r="G41" s="30"/>
      <c r="H41" s="30"/>
      <c r="I41" s="30"/>
    </row>
    <row r="42" spans="1:9">
      <c r="A42" s="30"/>
      <c r="B42" s="30"/>
      <c r="C42" s="30"/>
      <c r="D42" s="30"/>
      <c r="E42" s="30"/>
      <c r="F42" s="30"/>
      <c r="G42" s="30"/>
      <c r="H42" s="30"/>
      <c r="I42" s="30"/>
    </row>
    <row r="43" spans="1:9">
      <c r="A43" s="30"/>
      <c r="B43" s="30"/>
      <c r="C43" s="30"/>
      <c r="D43" s="30"/>
      <c r="E43" s="30"/>
      <c r="F43" s="30"/>
      <c r="G43" s="30"/>
      <c r="H43" s="30"/>
      <c r="I43" s="30"/>
    </row>
    <row r="44" spans="1:9">
      <c r="A44" s="30"/>
      <c r="B44" s="30"/>
      <c r="C44" s="30"/>
      <c r="D44" s="30"/>
      <c r="E44" s="30"/>
      <c r="F44" s="30"/>
      <c r="G44" s="30"/>
      <c r="H44" s="30"/>
      <c r="I44" s="30"/>
    </row>
    <row r="45" spans="1:9">
      <c r="A45" s="30"/>
      <c r="B45" s="30"/>
      <c r="C45" s="30"/>
      <c r="D45" s="30"/>
      <c r="E45" s="30"/>
      <c r="F45" s="30"/>
      <c r="G45" s="30"/>
      <c r="H45" s="30"/>
      <c r="I45" s="30"/>
    </row>
    <row r="46" spans="1:9">
      <c r="A46" s="30"/>
      <c r="B46" s="30"/>
      <c r="C46" s="30"/>
      <c r="D46" s="30"/>
      <c r="E46" s="30"/>
      <c r="F46" s="30"/>
      <c r="G46" s="30"/>
      <c r="H46" s="30"/>
      <c r="I46" s="30"/>
    </row>
    <row r="47" spans="1:9">
      <c r="A47" s="30"/>
      <c r="B47" s="30"/>
      <c r="C47" s="30"/>
      <c r="D47" s="30"/>
      <c r="E47" s="30"/>
      <c r="F47" s="30"/>
      <c r="G47" s="30"/>
      <c r="H47" s="30"/>
      <c r="I47" s="30"/>
    </row>
    <row r="48" spans="1:9">
      <c r="A48" s="30"/>
      <c r="B48" s="30"/>
      <c r="C48" s="30"/>
      <c r="D48" s="30"/>
      <c r="E48" s="30"/>
      <c r="F48" s="30"/>
      <c r="G48" s="30"/>
      <c r="H48" s="30"/>
      <c r="I48" s="30"/>
    </row>
    <row r="49" spans="1:9">
      <c r="A49" s="30"/>
      <c r="B49" s="30"/>
      <c r="C49" s="30"/>
      <c r="D49" s="30"/>
      <c r="E49" s="30"/>
      <c r="F49" s="30"/>
      <c r="G49" s="30"/>
      <c r="H49" s="30"/>
      <c r="I49" s="30"/>
    </row>
    <row r="50" spans="1:9">
      <c r="A50" s="30"/>
      <c r="B50" s="30"/>
      <c r="C50" s="30"/>
      <c r="D50" s="30"/>
      <c r="E50" s="30"/>
      <c r="F50" s="30"/>
      <c r="G50" s="30"/>
      <c r="H50" s="30"/>
      <c r="I50" s="30"/>
    </row>
    <row r="51" spans="1:9">
      <c r="A51" s="30"/>
      <c r="B51" s="30"/>
      <c r="C51" s="30"/>
      <c r="D51" s="30"/>
      <c r="E51" s="30"/>
      <c r="F51" s="30"/>
      <c r="G51" s="30"/>
      <c r="H51" s="30"/>
      <c r="I51" s="30"/>
    </row>
    <row r="52" spans="1:9">
      <c r="A52" s="30"/>
      <c r="B52" s="30"/>
      <c r="C52" s="30"/>
      <c r="D52" s="30"/>
      <c r="E52" s="30"/>
      <c r="F52" s="30"/>
      <c r="G52" s="30"/>
      <c r="H52" s="30"/>
      <c r="I52" s="30"/>
    </row>
    <row r="53" spans="1:9">
      <c r="A53" s="30"/>
      <c r="B53" s="30"/>
      <c r="C53" s="30"/>
      <c r="D53" s="30"/>
      <c r="E53" s="30"/>
      <c r="F53" s="30"/>
      <c r="G53" s="30"/>
      <c r="H53" s="30"/>
      <c r="I53" s="30"/>
    </row>
    <row r="54" spans="1:9">
      <c r="A54" s="30"/>
      <c r="B54" s="30"/>
      <c r="C54" s="30"/>
      <c r="D54" s="30"/>
      <c r="E54" s="30"/>
      <c r="F54" s="30"/>
      <c r="G54" s="30"/>
      <c r="H54" s="30"/>
      <c r="I54" s="30"/>
    </row>
    <row r="55" spans="1:9">
      <c r="A55" s="30"/>
      <c r="B55" s="30"/>
      <c r="C55" s="30"/>
      <c r="D55" s="30"/>
      <c r="E55" s="30"/>
      <c r="F55" s="30"/>
      <c r="G55" s="30"/>
      <c r="H55" s="30"/>
      <c r="I55" s="30"/>
    </row>
    <row r="56" spans="1:9">
      <c r="A56" s="30"/>
      <c r="B56" s="30"/>
      <c r="C56" s="30"/>
      <c r="D56" s="30"/>
      <c r="E56" s="30"/>
      <c r="F56" s="30"/>
      <c r="G56" s="30"/>
      <c r="H56" s="30"/>
      <c r="I56" s="30"/>
    </row>
    <row r="57" spans="1:9">
      <c r="A57" s="30"/>
      <c r="B57" s="30"/>
      <c r="C57" s="30"/>
      <c r="D57" s="30"/>
      <c r="E57" s="30"/>
      <c r="F57" s="30"/>
      <c r="G57" s="30"/>
      <c r="H57" s="30"/>
      <c r="I57" s="30"/>
    </row>
    <row r="58" spans="1:9">
      <c r="A58" s="30"/>
      <c r="B58" s="30"/>
      <c r="C58" s="30"/>
      <c r="D58" s="30"/>
      <c r="E58" s="30"/>
      <c r="F58" s="30"/>
      <c r="G58" s="30"/>
      <c r="H58" s="30"/>
      <c r="I58" s="30"/>
    </row>
    <row r="59" spans="1:9">
      <c r="A59" s="30"/>
      <c r="B59" s="30"/>
      <c r="C59" s="30"/>
      <c r="D59" s="30"/>
      <c r="E59" s="30"/>
      <c r="F59" s="30"/>
      <c r="G59" s="30"/>
      <c r="H59" s="30"/>
      <c r="I59" s="30"/>
    </row>
    <row r="60" spans="1:9">
      <c r="A60" s="30"/>
      <c r="B60" s="30"/>
      <c r="C60" s="30"/>
      <c r="D60" s="30"/>
      <c r="E60" s="30"/>
      <c r="F60" s="30"/>
      <c r="G60" s="30"/>
      <c r="H60" s="30"/>
      <c r="I60" s="30"/>
    </row>
    <row r="61" spans="1:9">
      <c r="A61" s="30"/>
      <c r="B61" s="30"/>
      <c r="C61" s="30"/>
      <c r="D61" s="30"/>
      <c r="E61" s="30"/>
      <c r="F61" s="30"/>
      <c r="G61" s="30"/>
      <c r="H61" s="30"/>
      <c r="I61" s="30"/>
    </row>
    <row r="62" spans="1:9">
      <c r="A62" s="30"/>
      <c r="B62" s="30"/>
      <c r="C62" s="30"/>
      <c r="D62" s="30"/>
      <c r="E62" s="30"/>
      <c r="F62" s="30"/>
      <c r="G62" s="30"/>
      <c r="H62" s="30"/>
      <c r="I62" s="30"/>
    </row>
    <row r="63" spans="1:9">
      <c r="A63" s="30"/>
      <c r="B63" s="30"/>
      <c r="C63" s="30"/>
      <c r="D63" s="30"/>
      <c r="E63" s="30"/>
      <c r="F63" s="30"/>
      <c r="G63" s="30"/>
      <c r="H63" s="30"/>
      <c r="I63" s="30"/>
    </row>
    <row r="64" spans="1:9">
      <c r="A64" s="30"/>
      <c r="B64" s="30"/>
      <c r="C64" s="30"/>
      <c r="D64" s="30"/>
      <c r="E64" s="30"/>
      <c r="F64" s="30"/>
      <c r="G64" s="30"/>
      <c r="H64" s="30"/>
      <c r="I64" s="30"/>
    </row>
    <row r="65" spans="1:9">
      <c r="A65" s="30"/>
      <c r="B65" s="30"/>
      <c r="C65" s="30"/>
      <c r="D65" s="30"/>
      <c r="E65" s="30"/>
      <c r="F65" s="30"/>
      <c r="G65" s="30"/>
      <c r="H65" s="30"/>
      <c r="I65" s="30"/>
    </row>
    <row r="66" spans="1:9">
      <c r="A66" s="30"/>
      <c r="B66" s="30"/>
      <c r="C66" s="30"/>
      <c r="D66" s="30"/>
      <c r="E66" s="30"/>
      <c r="F66" s="30"/>
      <c r="G66" s="30"/>
      <c r="H66" s="30"/>
      <c r="I66" s="30"/>
    </row>
    <row r="67" spans="1:9">
      <c r="A67" s="30"/>
      <c r="B67" s="30"/>
      <c r="C67" s="30"/>
      <c r="D67" s="30"/>
      <c r="E67" s="30"/>
      <c r="F67" s="30"/>
      <c r="G67" s="30"/>
      <c r="H67" s="30"/>
      <c r="I67" s="30"/>
    </row>
    <row r="68" spans="1:9">
      <c r="A68" s="30"/>
      <c r="B68" s="30"/>
      <c r="C68" s="30"/>
      <c r="D68" s="30"/>
      <c r="E68" s="30"/>
      <c r="F68" s="30"/>
      <c r="G68" s="30"/>
      <c r="H68" s="30"/>
      <c r="I68" s="30"/>
    </row>
    <row r="69" spans="1:9">
      <c r="A69" s="30"/>
      <c r="B69" s="30"/>
      <c r="C69" s="30"/>
      <c r="D69" s="30"/>
      <c r="E69" s="30"/>
      <c r="F69" s="30"/>
      <c r="G69" s="30"/>
      <c r="H69" s="30"/>
      <c r="I69" s="30"/>
    </row>
    <row r="70" spans="1:9">
      <c r="A70" s="30"/>
      <c r="B70" s="30"/>
      <c r="C70" s="30"/>
      <c r="D70" s="30"/>
      <c r="E70" s="30"/>
      <c r="F70" s="30"/>
      <c r="G70" s="30"/>
      <c r="H70" s="30"/>
      <c r="I70" s="30"/>
    </row>
    <row r="71" spans="1:9">
      <c r="A71" s="30"/>
      <c r="B71" s="30"/>
      <c r="C71" s="30"/>
      <c r="D71" s="30"/>
      <c r="E71" s="30"/>
      <c r="F71" s="30"/>
      <c r="G71" s="30"/>
      <c r="H71" s="30"/>
      <c r="I71" s="30"/>
    </row>
    <row r="72" spans="1:9">
      <c r="A72" s="30"/>
      <c r="B72" s="30"/>
      <c r="C72" s="30"/>
      <c r="D72" s="30"/>
      <c r="E72" s="30"/>
      <c r="F72" s="30"/>
      <c r="G72" s="30"/>
      <c r="H72" s="30"/>
      <c r="I72" s="30"/>
    </row>
    <row r="73" spans="1:9">
      <c r="A73" s="30"/>
      <c r="B73" s="30"/>
      <c r="C73" s="30"/>
      <c r="D73" s="30"/>
      <c r="E73" s="30"/>
      <c r="F73" s="30"/>
      <c r="G73" s="30"/>
      <c r="H73" s="30"/>
      <c r="I73" s="30"/>
    </row>
    <row r="74" spans="1:9">
      <c r="A74" s="30"/>
      <c r="B74" s="30"/>
      <c r="C74" s="30"/>
      <c r="D74" s="30"/>
      <c r="E74" s="30"/>
      <c r="F74" s="30"/>
      <c r="G74" s="30"/>
      <c r="H74" s="30"/>
      <c r="I74" s="30"/>
    </row>
    <row r="75" spans="1:9">
      <c r="A75" s="30"/>
      <c r="B75" s="30"/>
      <c r="C75" s="30"/>
      <c r="D75" s="30"/>
      <c r="E75" s="30"/>
      <c r="F75" s="30"/>
      <c r="G75" s="30"/>
      <c r="H75" s="30"/>
      <c r="I75" s="30"/>
    </row>
    <row r="76" spans="1:9">
      <c r="A76" s="30"/>
      <c r="B76" s="30"/>
      <c r="C76" s="30"/>
      <c r="D76" s="30"/>
      <c r="E76" s="30"/>
      <c r="F76" s="30"/>
      <c r="G76" s="30"/>
      <c r="H76" s="30"/>
      <c r="I76" s="30"/>
    </row>
    <row r="77" spans="1:9">
      <c r="A77" s="30"/>
      <c r="B77" s="30"/>
      <c r="C77" s="30"/>
      <c r="D77" s="30"/>
      <c r="E77" s="30"/>
      <c r="F77" s="30"/>
      <c r="G77" s="30"/>
      <c r="H77" s="30"/>
      <c r="I77" s="30"/>
    </row>
    <row r="78" spans="1:9">
      <c r="A78" s="30"/>
      <c r="B78" s="30"/>
      <c r="C78" s="30"/>
      <c r="D78" s="30"/>
      <c r="E78" s="30"/>
      <c r="F78" s="30"/>
      <c r="G78" s="30"/>
      <c r="H78" s="30"/>
      <c r="I78" s="30"/>
    </row>
    <row r="79" spans="1:9">
      <c r="A79" s="30"/>
      <c r="B79" s="30"/>
      <c r="C79" s="30"/>
      <c r="D79" s="30"/>
      <c r="E79" s="30"/>
      <c r="F79" s="30"/>
      <c r="G79" s="30"/>
      <c r="H79" s="30"/>
      <c r="I79" s="30"/>
    </row>
    <row r="80" spans="1:9">
      <c r="A80" s="30"/>
      <c r="B80" s="30"/>
      <c r="C80" s="30"/>
      <c r="D80" s="30"/>
      <c r="E80" s="30"/>
      <c r="F80" s="30"/>
      <c r="G80" s="30"/>
      <c r="H80" s="30"/>
      <c r="I80" s="30"/>
    </row>
    <row r="81" spans="1:9">
      <c r="A81" s="30"/>
      <c r="B81" s="30"/>
      <c r="C81" s="30"/>
      <c r="D81" s="30"/>
      <c r="E81" s="30"/>
      <c r="F81" s="30"/>
      <c r="G81" s="30"/>
      <c r="H81" s="30"/>
      <c r="I81" s="30"/>
    </row>
    <row r="82" spans="1:9">
      <c r="A82" s="30"/>
      <c r="B82" s="30"/>
      <c r="C82" s="30"/>
      <c r="D82" s="30"/>
      <c r="E82" s="30"/>
      <c r="F82" s="30"/>
      <c r="G82" s="30"/>
      <c r="H82" s="30"/>
      <c r="I82" s="30"/>
    </row>
    <row r="83" spans="1:9">
      <c r="A83" s="30"/>
      <c r="B83" s="30"/>
      <c r="C83" s="30"/>
      <c r="D83" s="30"/>
      <c r="E83" s="30"/>
      <c r="F83" s="30"/>
      <c r="G83" s="30"/>
      <c r="H83" s="30"/>
      <c r="I83" s="30"/>
    </row>
    <row r="84" spans="1:9">
      <c r="A84" s="30"/>
      <c r="B84" s="30"/>
      <c r="C84" s="30"/>
      <c r="D84" s="30"/>
      <c r="E84" s="30"/>
      <c r="F84" s="30"/>
      <c r="G84" s="30"/>
      <c r="H84" s="30"/>
      <c r="I84" s="30"/>
    </row>
    <row r="85" spans="1:9">
      <c r="A85" s="30"/>
      <c r="B85" s="30"/>
      <c r="C85" s="30"/>
      <c r="D85" s="30"/>
      <c r="E85" s="30"/>
      <c r="F85" s="30"/>
      <c r="G85" s="30"/>
      <c r="H85" s="30"/>
      <c r="I85" s="30"/>
    </row>
    <row r="86" spans="1:9">
      <c r="A86" s="30"/>
      <c r="B86" s="30"/>
      <c r="C86" s="30"/>
      <c r="D86" s="30"/>
      <c r="E86" s="30"/>
      <c r="F86" s="30"/>
      <c r="G86" s="30"/>
      <c r="H86" s="30"/>
      <c r="I86" s="30"/>
    </row>
    <row r="87" spans="1:9">
      <c r="A87" s="30"/>
      <c r="B87" s="30"/>
      <c r="C87" s="30"/>
      <c r="D87" s="30"/>
      <c r="E87" s="30"/>
      <c r="F87" s="30"/>
      <c r="G87" s="30"/>
      <c r="H87" s="30"/>
      <c r="I87" s="30"/>
    </row>
    <row r="88" spans="1:9">
      <c r="A88" s="30"/>
      <c r="B88" s="30"/>
      <c r="C88" s="30"/>
      <c r="D88" s="30"/>
      <c r="E88" s="30"/>
      <c r="F88" s="30"/>
      <c r="G88" s="30"/>
      <c r="H88" s="30"/>
      <c r="I88" s="30"/>
    </row>
    <row r="89" spans="1:9">
      <c r="A89" s="30"/>
      <c r="B89" s="30"/>
      <c r="C89" s="30"/>
      <c r="D89" s="30"/>
      <c r="E89" s="30"/>
      <c r="F89" s="30"/>
      <c r="G89" s="30"/>
      <c r="H89" s="30"/>
      <c r="I89" s="30"/>
    </row>
    <row r="90" spans="1:9">
      <c r="A90" s="30"/>
      <c r="B90" s="30"/>
      <c r="C90" s="30"/>
      <c r="D90" s="30"/>
      <c r="E90" s="30"/>
      <c r="F90" s="30"/>
      <c r="G90" s="30"/>
      <c r="H90" s="30"/>
      <c r="I90" s="30"/>
    </row>
    <row r="91" spans="1:9">
      <c r="A91" s="30"/>
      <c r="B91" s="30"/>
      <c r="C91" s="30"/>
      <c r="D91" s="30"/>
      <c r="E91" s="30"/>
      <c r="F91" s="30"/>
      <c r="G91" s="30"/>
      <c r="H91" s="30"/>
      <c r="I91" s="30"/>
    </row>
    <row r="92" spans="1:9">
      <c r="A92" s="30"/>
      <c r="B92" s="30"/>
      <c r="C92" s="30"/>
      <c r="D92" s="30"/>
      <c r="E92" s="30"/>
      <c r="F92" s="30"/>
      <c r="G92" s="30"/>
      <c r="H92" s="30"/>
      <c r="I92" s="30"/>
    </row>
    <row r="93" spans="1:9">
      <c r="A93" s="30"/>
      <c r="B93" s="30"/>
      <c r="C93" s="30"/>
      <c r="D93" s="30"/>
      <c r="E93" s="30"/>
      <c r="F93" s="30"/>
      <c r="G93" s="30"/>
      <c r="H93" s="30"/>
      <c r="I93" s="30"/>
    </row>
    <row r="94" spans="1:9">
      <c r="A94" s="30"/>
      <c r="B94" s="30"/>
      <c r="C94" s="30"/>
      <c r="D94" s="30"/>
      <c r="E94" s="30"/>
      <c r="F94" s="30"/>
      <c r="G94" s="30"/>
      <c r="H94" s="30"/>
      <c r="I94" s="30"/>
    </row>
    <row r="95" spans="1:9">
      <c r="A95" s="30"/>
      <c r="B95" s="30"/>
      <c r="C95" s="30"/>
      <c r="D95" s="30"/>
      <c r="E95" s="30"/>
      <c r="F95" s="30"/>
      <c r="G95" s="30"/>
      <c r="H95" s="30"/>
      <c r="I95" s="30"/>
    </row>
    <row r="96" spans="1:9">
      <c r="A96" s="30"/>
      <c r="B96" s="30"/>
      <c r="C96" s="30"/>
      <c r="D96" s="30"/>
      <c r="E96" s="30"/>
      <c r="F96" s="30"/>
      <c r="G96" s="30"/>
      <c r="H96" s="30"/>
      <c r="I96" s="30"/>
    </row>
    <row r="97" spans="1:9">
      <c r="A97" s="30"/>
      <c r="B97" s="30"/>
      <c r="C97" s="30"/>
      <c r="D97" s="30"/>
      <c r="E97" s="30"/>
      <c r="F97" s="30"/>
      <c r="G97" s="30"/>
      <c r="H97" s="30"/>
      <c r="I97" s="30"/>
    </row>
    <row r="98" spans="1:9">
      <c r="A98" s="30"/>
      <c r="B98" s="30"/>
      <c r="C98" s="30"/>
      <c r="D98" s="30"/>
      <c r="E98" s="30"/>
      <c r="F98" s="30"/>
      <c r="G98" s="30"/>
      <c r="H98" s="30"/>
      <c r="I98" s="30"/>
    </row>
    <row r="99" spans="1:9">
      <c r="A99" s="30"/>
      <c r="B99" s="30"/>
      <c r="C99" s="30"/>
      <c r="D99" s="30"/>
      <c r="E99" s="30"/>
      <c r="F99" s="30"/>
      <c r="G99" s="30"/>
      <c r="H99" s="30"/>
      <c r="I99" s="30"/>
    </row>
    <row r="100" spans="1:9">
      <c r="A100" s="30"/>
      <c r="B100" s="30"/>
      <c r="C100" s="30"/>
      <c r="D100" s="30"/>
      <c r="E100" s="30"/>
      <c r="F100" s="30"/>
      <c r="G100" s="30"/>
      <c r="H100" s="30"/>
      <c r="I100" s="30"/>
    </row>
    <row r="101" spans="1:9">
      <c r="A101" s="30"/>
      <c r="B101" s="30"/>
      <c r="C101" s="30"/>
      <c r="D101" s="30"/>
      <c r="E101" s="30"/>
      <c r="F101" s="30"/>
      <c r="G101" s="30"/>
      <c r="H101" s="30"/>
      <c r="I101" s="30"/>
    </row>
    <row r="102" spans="1:9">
      <c r="A102" s="30"/>
      <c r="B102" s="30"/>
      <c r="C102" s="30"/>
      <c r="D102" s="30"/>
      <c r="E102" s="30"/>
      <c r="F102" s="30"/>
      <c r="G102" s="30"/>
      <c r="H102" s="30"/>
      <c r="I102" s="30"/>
    </row>
    <row r="103" spans="1:9">
      <c r="A103" s="30"/>
      <c r="B103" s="30"/>
      <c r="C103" s="30"/>
      <c r="D103" s="30"/>
      <c r="E103" s="30"/>
      <c r="F103" s="30"/>
      <c r="G103" s="30"/>
      <c r="H103" s="30"/>
      <c r="I103" s="30"/>
    </row>
    <row r="104" spans="1:9">
      <c r="A104" s="30"/>
      <c r="B104" s="30"/>
      <c r="C104" s="30"/>
      <c r="D104" s="30"/>
      <c r="E104" s="30"/>
      <c r="F104" s="30"/>
      <c r="G104" s="30"/>
      <c r="H104" s="30"/>
      <c r="I104" s="30"/>
    </row>
    <row r="105" spans="1:9">
      <c r="A105" s="30"/>
      <c r="B105" s="30"/>
      <c r="C105" s="30"/>
      <c r="D105" s="30"/>
      <c r="E105" s="30"/>
      <c r="F105" s="30"/>
      <c r="G105" s="30"/>
      <c r="H105" s="30"/>
      <c r="I105" s="30"/>
    </row>
    <row r="106" spans="1:9">
      <c r="A106" s="30"/>
      <c r="B106" s="30"/>
      <c r="C106" s="30"/>
      <c r="D106" s="30"/>
      <c r="E106" s="30"/>
      <c r="F106" s="30"/>
      <c r="G106" s="30"/>
      <c r="H106" s="30"/>
      <c r="I106" s="30"/>
    </row>
    <row r="107" spans="1:9">
      <c r="A107" s="30"/>
      <c r="B107" s="30"/>
      <c r="C107" s="30"/>
      <c r="D107" s="30"/>
      <c r="E107" s="30"/>
      <c r="F107" s="30"/>
      <c r="G107" s="30"/>
      <c r="H107" s="30"/>
      <c r="I107" s="30"/>
    </row>
    <row r="108" spans="1:9">
      <c r="A108" s="30"/>
      <c r="B108" s="30"/>
      <c r="C108" s="30"/>
      <c r="D108" s="30"/>
      <c r="E108" s="30"/>
      <c r="F108" s="30"/>
      <c r="G108" s="30"/>
      <c r="H108" s="30"/>
      <c r="I108" s="30"/>
    </row>
    <row r="109" spans="1:9">
      <c r="A109" s="30"/>
      <c r="B109" s="30"/>
      <c r="C109" s="30"/>
      <c r="D109" s="30"/>
      <c r="E109" s="30"/>
      <c r="F109" s="30"/>
      <c r="G109" s="30"/>
      <c r="H109" s="30"/>
      <c r="I109" s="30"/>
    </row>
    <row r="110" spans="1:9">
      <c r="A110" s="30"/>
      <c r="B110" s="30"/>
      <c r="C110" s="30"/>
      <c r="D110" s="30"/>
      <c r="E110" s="30"/>
      <c r="F110" s="30"/>
      <c r="G110" s="30"/>
      <c r="H110" s="30"/>
      <c r="I110" s="30"/>
    </row>
    <row r="111" spans="1:9">
      <c r="A111" s="30"/>
      <c r="B111" s="30"/>
      <c r="C111" s="30"/>
      <c r="D111" s="30"/>
      <c r="E111" s="30"/>
      <c r="F111" s="30"/>
      <c r="G111" s="30"/>
      <c r="H111" s="30"/>
      <c r="I111" s="30"/>
    </row>
    <row r="112" spans="1:9">
      <c r="A112" s="30"/>
      <c r="B112" s="30"/>
      <c r="C112" s="30"/>
      <c r="D112" s="30"/>
      <c r="E112" s="30"/>
      <c r="F112" s="30"/>
      <c r="G112" s="30"/>
      <c r="H112" s="30"/>
      <c r="I112" s="30"/>
    </row>
    <row r="113" spans="1:9">
      <c r="A113" s="30"/>
      <c r="B113" s="30"/>
      <c r="C113" s="30"/>
      <c r="D113" s="30"/>
      <c r="E113" s="30"/>
      <c r="F113" s="30"/>
      <c r="G113" s="30"/>
      <c r="H113" s="30"/>
      <c r="I113" s="30"/>
    </row>
    <row r="114" spans="1:9">
      <c r="A114" s="30"/>
      <c r="B114" s="30"/>
      <c r="C114" s="30"/>
      <c r="D114" s="30"/>
      <c r="E114" s="30"/>
      <c r="F114" s="30"/>
      <c r="G114" s="30"/>
      <c r="H114" s="30"/>
      <c r="I114" s="30"/>
    </row>
    <row r="115" spans="1:9">
      <c r="A115" s="30"/>
      <c r="B115" s="30"/>
      <c r="C115" s="30"/>
      <c r="D115" s="30"/>
      <c r="E115" s="30"/>
      <c r="F115" s="30"/>
      <c r="G115" s="30"/>
      <c r="H115" s="30"/>
      <c r="I115" s="30"/>
    </row>
    <row r="116" spans="1:9">
      <c r="A116" s="30"/>
      <c r="B116" s="30"/>
      <c r="C116" s="30"/>
      <c r="D116" s="30"/>
      <c r="E116" s="30"/>
      <c r="F116" s="30"/>
      <c r="G116" s="30"/>
      <c r="H116" s="30"/>
      <c r="I116" s="30"/>
    </row>
    <row r="117" spans="1:9">
      <c r="A117" s="30"/>
      <c r="B117" s="30"/>
      <c r="C117" s="30"/>
      <c r="D117" s="30"/>
      <c r="E117" s="30"/>
      <c r="F117" s="30"/>
      <c r="G117" s="30"/>
      <c r="H117" s="30"/>
      <c r="I117" s="30"/>
    </row>
    <row r="118" spans="1:9">
      <c r="A118" s="30"/>
      <c r="B118" s="30"/>
      <c r="C118" s="30"/>
      <c r="D118" s="30"/>
      <c r="E118" s="30"/>
      <c r="F118" s="30"/>
      <c r="G118" s="30"/>
      <c r="H118" s="30"/>
      <c r="I118" s="30"/>
    </row>
    <row r="119" spans="1:9">
      <c r="A119" s="30"/>
      <c r="B119" s="30"/>
      <c r="C119" s="30"/>
      <c r="D119" s="30"/>
      <c r="E119" s="30"/>
      <c r="F119" s="30"/>
      <c r="G119" s="30"/>
      <c r="H119" s="30"/>
      <c r="I119" s="30"/>
    </row>
    <row r="120" spans="1:9">
      <c r="A120" s="30"/>
      <c r="B120" s="30"/>
      <c r="C120" s="30"/>
      <c r="D120" s="30"/>
      <c r="E120" s="30"/>
      <c r="F120" s="30"/>
      <c r="G120" s="30"/>
      <c r="H120" s="30"/>
      <c r="I120" s="30"/>
    </row>
    <row r="121" spans="1:9">
      <c r="A121" s="30"/>
      <c r="B121" s="30"/>
      <c r="C121" s="30"/>
      <c r="D121" s="30"/>
      <c r="E121" s="30"/>
      <c r="F121" s="30"/>
      <c r="G121" s="30"/>
      <c r="H121" s="30"/>
      <c r="I121" s="30"/>
    </row>
    <row r="122" spans="1:9">
      <c r="A122" s="30"/>
      <c r="B122" s="30"/>
      <c r="C122" s="30"/>
      <c r="D122" s="30"/>
      <c r="E122" s="30"/>
      <c r="F122" s="30"/>
      <c r="G122" s="30"/>
      <c r="H122" s="30"/>
      <c r="I122" s="30"/>
    </row>
    <row r="123" spans="1:9">
      <c r="A123" s="30"/>
      <c r="B123" s="30"/>
      <c r="C123" s="30"/>
      <c r="D123" s="30"/>
      <c r="E123" s="30"/>
      <c r="F123" s="30"/>
      <c r="G123" s="30"/>
      <c r="H123" s="30"/>
      <c r="I123" s="30"/>
    </row>
    <row r="124" spans="1:9">
      <c r="A124" s="30"/>
      <c r="B124" s="30"/>
      <c r="C124" s="30"/>
      <c r="D124" s="30"/>
      <c r="E124" s="30"/>
      <c r="F124" s="30"/>
      <c r="G124" s="30"/>
      <c r="H124" s="30"/>
      <c r="I124" s="30"/>
    </row>
    <row r="125" spans="1:9">
      <c r="A125" s="30"/>
      <c r="B125" s="30"/>
      <c r="C125" s="30"/>
      <c r="D125" s="30"/>
      <c r="E125" s="30"/>
      <c r="F125" s="30"/>
      <c r="G125" s="30"/>
      <c r="H125" s="30"/>
      <c r="I125" s="30"/>
    </row>
    <row r="126" spans="1:9">
      <c r="A126" s="30"/>
      <c r="B126" s="30"/>
      <c r="C126" s="30"/>
      <c r="D126" s="30"/>
      <c r="E126" s="30"/>
      <c r="F126" s="30"/>
      <c r="G126" s="30"/>
      <c r="H126" s="30"/>
      <c r="I126" s="30"/>
    </row>
    <row r="127" spans="1:9">
      <c r="A127" s="30"/>
      <c r="B127" s="30"/>
      <c r="C127" s="30"/>
      <c r="D127" s="30"/>
      <c r="E127" s="30"/>
      <c r="F127" s="30"/>
      <c r="G127" s="30"/>
      <c r="H127" s="30"/>
      <c r="I127" s="30"/>
    </row>
    <row r="128" spans="1:9">
      <c r="A128" s="30"/>
      <c r="B128" s="30"/>
      <c r="C128" s="30"/>
      <c r="D128" s="30"/>
      <c r="E128" s="30"/>
      <c r="F128" s="30"/>
      <c r="G128" s="30"/>
      <c r="H128" s="30"/>
      <c r="I128" s="30"/>
    </row>
    <row r="129" spans="1:9">
      <c r="A129" s="30"/>
      <c r="B129" s="30"/>
      <c r="C129" s="30"/>
      <c r="D129" s="30"/>
      <c r="E129" s="30"/>
      <c r="F129" s="30"/>
      <c r="G129" s="30"/>
      <c r="H129" s="30"/>
      <c r="I129" s="30"/>
    </row>
    <row r="130" spans="1:9">
      <c r="A130" s="30"/>
      <c r="B130" s="30"/>
      <c r="C130" s="30"/>
      <c r="D130" s="30"/>
      <c r="E130" s="30"/>
      <c r="F130" s="30"/>
      <c r="G130" s="30"/>
      <c r="H130" s="30"/>
      <c r="I130" s="30"/>
    </row>
    <row r="131" spans="1:9">
      <c r="A131" s="30"/>
      <c r="B131" s="30"/>
      <c r="C131" s="30"/>
      <c r="D131" s="30"/>
      <c r="E131" s="30"/>
      <c r="F131" s="30"/>
      <c r="G131" s="30"/>
      <c r="H131" s="30"/>
      <c r="I131" s="30"/>
    </row>
    <row r="132" spans="1:9">
      <c r="A132" s="30"/>
      <c r="B132" s="30"/>
      <c r="C132" s="30"/>
      <c r="D132" s="30"/>
      <c r="E132" s="30"/>
      <c r="F132" s="30"/>
      <c r="G132" s="30"/>
      <c r="H132" s="30"/>
      <c r="I132" s="30"/>
    </row>
    <row r="133" spans="1:9">
      <c r="A133" s="30"/>
      <c r="B133" s="30"/>
      <c r="C133" s="30"/>
      <c r="D133" s="30"/>
      <c r="E133" s="30"/>
      <c r="F133" s="30"/>
      <c r="G133" s="30"/>
      <c r="H133" s="30"/>
      <c r="I133" s="30"/>
    </row>
    <row r="134" spans="1:9">
      <c r="A134" s="30"/>
      <c r="B134" s="30"/>
      <c r="C134" s="30"/>
      <c r="D134" s="30"/>
      <c r="E134" s="30"/>
      <c r="F134" s="30"/>
      <c r="G134" s="30"/>
      <c r="H134" s="30"/>
      <c r="I134" s="30"/>
    </row>
    <row r="135" spans="1:9">
      <c r="A135" s="30"/>
      <c r="B135" s="30"/>
      <c r="C135" s="30"/>
      <c r="D135" s="30"/>
      <c r="E135" s="30"/>
      <c r="F135" s="30"/>
      <c r="G135" s="30"/>
      <c r="H135" s="30"/>
      <c r="I135" s="30"/>
    </row>
    <row r="136" spans="1:9">
      <c r="A136" s="30"/>
      <c r="B136" s="30"/>
      <c r="C136" s="30"/>
      <c r="D136" s="30"/>
      <c r="E136" s="30"/>
      <c r="F136" s="30"/>
      <c r="G136" s="30"/>
      <c r="H136" s="30"/>
      <c r="I136" s="30"/>
    </row>
    <row r="137" spans="1:9">
      <c r="A137" s="30"/>
      <c r="B137" s="30"/>
      <c r="C137" s="30"/>
      <c r="D137" s="30"/>
      <c r="E137" s="30"/>
      <c r="F137" s="30"/>
      <c r="G137" s="30"/>
      <c r="H137" s="30"/>
      <c r="I137" s="30"/>
    </row>
    <row r="138" spans="1:9">
      <c r="A138" s="30"/>
      <c r="B138" s="30"/>
      <c r="C138" s="30"/>
      <c r="D138" s="30"/>
      <c r="E138" s="30"/>
      <c r="F138" s="30"/>
      <c r="G138" s="30"/>
      <c r="H138" s="30"/>
      <c r="I138" s="30"/>
    </row>
    <row r="139" spans="1:9">
      <c r="A139" s="30"/>
      <c r="B139" s="30"/>
      <c r="C139" s="30"/>
      <c r="D139" s="30"/>
      <c r="E139" s="30"/>
      <c r="F139" s="30"/>
      <c r="G139" s="30"/>
      <c r="H139" s="30"/>
      <c r="I139" s="30"/>
    </row>
    <row r="140" spans="1:9">
      <c r="A140" s="30"/>
      <c r="B140" s="30"/>
      <c r="C140" s="30"/>
      <c r="D140" s="30"/>
      <c r="E140" s="30"/>
      <c r="F140" s="30"/>
      <c r="G140" s="30"/>
      <c r="H140" s="30"/>
      <c r="I140" s="30"/>
    </row>
    <row r="141" spans="1:9">
      <c r="A141" s="30"/>
      <c r="B141" s="30"/>
      <c r="C141" s="30"/>
      <c r="D141" s="30"/>
      <c r="E141" s="30"/>
      <c r="F141" s="30"/>
      <c r="G141" s="30"/>
      <c r="H141" s="30"/>
      <c r="I141" s="30"/>
    </row>
    <row r="142" spans="1:9">
      <c r="A142" s="30"/>
      <c r="B142" s="30"/>
      <c r="C142" s="30"/>
      <c r="D142" s="30"/>
      <c r="E142" s="30"/>
      <c r="F142" s="30"/>
      <c r="G142" s="30"/>
      <c r="H142" s="30"/>
      <c r="I142" s="30"/>
    </row>
    <row r="143" spans="1:9">
      <c r="A143" s="30"/>
      <c r="B143" s="30"/>
      <c r="C143" s="30"/>
      <c r="D143" s="30"/>
      <c r="E143" s="30"/>
      <c r="F143" s="30"/>
      <c r="G143" s="30"/>
      <c r="H143" s="30"/>
      <c r="I143" s="30"/>
    </row>
    <row r="144" spans="1:9">
      <c r="A144" s="30"/>
      <c r="B144" s="30"/>
      <c r="C144" s="30"/>
      <c r="D144" s="30"/>
      <c r="E144" s="30"/>
      <c r="F144" s="30"/>
      <c r="G144" s="30"/>
      <c r="H144" s="30"/>
      <c r="I144" s="30"/>
    </row>
    <row r="145" spans="1:9">
      <c r="A145" s="30"/>
      <c r="B145" s="30"/>
      <c r="C145" s="30"/>
      <c r="D145" s="30"/>
      <c r="E145" s="30"/>
      <c r="F145" s="30"/>
      <c r="G145" s="30"/>
      <c r="H145" s="30"/>
      <c r="I145" s="30"/>
    </row>
    <row r="146" spans="1:9">
      <c r="A146" s="30"/>
      <c r="B146" s="30"/>
      <c r="C146" s="30"/>
      <c r="D146" s="30"/>
      <c r="E146" s="30"/>
      <c r="F146" s="30"/>
      <c r="G146" s="30"/>
      <c r="H146" s="30"/>
      <c r="I146" s="30"/>
    </row>
    <row r="147" spans="1:9">
      <c r="A147" s="30"/>
      <c r="B147" s="30"/>
      <c r="C147" s="30"/>
      <c r="D147" s="30"/>
      <c r="E147" s="30"/>
      <c r="F147" s="30"/>
      <c r="G147" s="30"/>
      <c r="H147" s="30"/>
      <c r="I147" s="30"/>
    </row>
    <row r="148" spans="1:9">
      <c r="A148" s="30"/>
      <c r="B148" s="30"/>
      <c r="C148" s="30"/>
      <c r="D148" s="30"/>
      <c r="E148" s="30"/>
      <c r="F148" s="30"/>
      <c r="G148" s="30"/>
      <c r="H148" s="30"/>
      <c r="I148" s="30"/>
    </row>
    <row r="149" spans="1:9">
      <c r="A149" s="30"/>
      <c r="B149" s="30"/>
      <c r="C149" s="30"/>
      <c r="D149" s="30"/>
      <c r="E149" s="30"/>
      <c r="F149" s="30"/>
      <c r="G149" s="30"/>
      <c r="H149" s="30"/>
      <c r="I149" s="30"/>
    </row>
    <row r="150" spans="1:9">
      <c r="A150" s="30"/>
      <c r="B150" s="30"/>
      <c r="C150" s="30"/>
      <c r="D150" s="30"/>
      <c r="E150" s="30"/>
      <c r="F150" s="30"/>
      <c r="G150" s="30"/>
      <c r="H150" s="30"/>
      <c r="I150" s="30"/>
    </row>
    <row r="151" spans="1:9">
      <c r="A151" s="30"/>
      <c r="B151" s="30"/>
      <c r="C151" s="30"/>
      <c r="D151" s="30"/>
      <c r="E151" s="30"/>
      <c r="F151" s="30"/>
      <c r="G151" s="30"/>
      <c r="H151" s="30"/>
      <c r="I151" s="30"/>
    </row>
    <row r="152" spans="1:9">
      <c r="A152" s="30"/>
      <c r="B152" s="30"/>
      <c r="C152" s="30"/>
      <c r="D152" s="30"/>
      <c r="E152" s="30"/>
      <c r="F152" s="30"/>
      <c r="G152" s="30"/>
      <c r="H152" s="30"/>
      <c r="I152" s="30"/>
    </row>
    <row r="153" spans="1:9">
      <c r="A153" s="30"/>
      <c r="B153" s="30"/>
      <c r="C153" s="30"/>
      <c r="D153" s="30"/>
      <c r="E153" s="30"/>
      <c r="F153" s="30"/>
      <c r="G153" s="30"/>
      <c r="H153" s="30"/>
      <c r="I153" s="30"/>
    </row>
    <row r="154" spans="1:9">
      <c r="A154" s="30"/>
      <c r="B154" s="30"/>
      <c r="C154" s="30"/>
      <c r="D154" s="30"/>
      <c r="E154" s="30"/>
      <c r="F154" s="30"/>
      <c r="G154" s="30"/>
      <c r="H154" s="30"/>
      <c r="I154" s="30"/>
    </row>
    <row r="155" spans="1:9">
      <c r="A155" s="30"/>
      <c r="B155" s="30"/>
      <c r="C155" s="30"/>
      <c r="D155" s="30"/>
      <c r="E155" s="30"/>
      <c r="F155" s="30"/>
      <c r="G155" s="30"/>
      <c r="H155" s="30"/>
      <c r="I155" s="30"/>
    </row>
    <row r="156" spans="1:9">
      <c r="A156" s="30"/>
      <c r="B156" s="30"/>
      <c r="C156" s="30"/>
      <c r="D156" s="30"/>
      <c r="E156" s="30"/>
      <c r="F156" s="30"/>
      <c r="G156" s="30"/>
      <c r="H156" s="30"/>
      <c r="I156" s="30"/>
    </row>
    <row r="157" spans="1:9">
      <c r="A157" s="30"/>
      <c r="B157" s="30"/>
      <c r="C157" s="30"/>
      <c r="D157" s="30"/>
      <c r="E157" s="30"/>
      <c r="F157" s="30"/>
      <c r="G157" s="30"/>
      <c r="H157" s="30"/>
      <c r="I157" s="30"/>
    </row>
    <row r="158" spans="1:9">
      <c r="A158" s="30"/>
      <c r="B158" s="30"/>
      <c r="C158" s="30"/>
      <c r="D158" s="30"/>
      <c r="E158" s="30"/>
      <c r="F158" s="30"/>
      <c r="G158" s="30"/>
      <c r="H158" s="30"/>
      <c r="I158" s="30"/>
    </row>
    <row r="159" spans="1:9">
      <c r="A159" s="30"/>
      <c r="B159" s="30"/>
      <c r="C159" s="30"/>
      <c r="D159" s="30"/>
      <c r="E159" s="30"/>
      <c r="F159" s="30"/>
      <c r="G159" s="30"/>
      <c r="H159" s="30"/>
      <c r="I159" s="30"/>
    </row>
    <row r="160" spans="1:9">
      <c r="A160" s="30"/>
      <c r="B160" s="30"/>
      <c r="C160" s="30"/>
      <c r="D160" s="30"/>
      <c r="E160" s="30"/>
      <c r="F160" s="30"/>
      <c r="G160" s="30"/>
      <c r="H160" s="30"/>
      <c r="I160" s="30"/>
    </row>
    <row r="161" spans="1:9">
      <c r="A161" s="30"/>
      <c r="B161" s="30"/>
      <c r="C161" s="30"/>
      <c r="D161" s="30"/>
      <c r="E161" s="30"/>
      <c r="F161" s="30"/>
      <c r="G161" s="30"/>
      <c r="H161" s="30"/>
      <c r="I161" s="30"/>
    </row>
    <row r="162" spans="1:9">
      <c r="A162" s="30"/>
      <c r="B162" s="30"/>
      <c r="C162" s="30"/>
      <c r="D162" s="30"/>
      <c r="E162" s="30"/>
      <c r="F162" s="30"/>
      <c r="G162" s="30"/>
      <c r="H162" s="30"/>
      <c r="I162" s="30"/>
    </row>
    <row r="163" spans="1:9">
      <c r="A163" s="30"/>
      <c r="B163" s="30"/>
      <c r="C163" s="30"/>
      <c r="D163" s="30"/>
      <c r="E163" s="30"/>
      <c r="F163" s="30"/>
      <c r="G163" s="30"/>
      <c r="H163" s="30"/>
      <c r="I163" s="30"/>
    </row>
    <row r="164" spans="1:9">
      <c r="A164" s="30"/>
      <c r="B164" s="30"/>
      <c r="C164" s="30"/>
      <c r="D164" s="30"/>
      <c r="E164" s="30"/>
      <c r="F164" s="30"/>
      <c r="G164" s="30"/>
      <c r="H164" s="30"/>
      <c r="I164" s="30"/>
    </row>
    <row r="165" spans="1:9">
      <c r="A165" s="30"/>
      <c r="B165" s="30"/>
      <c r="C165" s="30"/>
      <c r="D165" s="30"/>
      <c r="E165" s="30"/>
      <c r="F165" s="30"/>
      <c r="G165" s="30"/>
      <c r="H165" s="30"/>
      <c r="I165" s="30"/>
    </row>
    <row r="166" spans="1:9">
      <c r="A166" s="30"/>
      <c r="B166" s="30"/>
      <c r="C166" s="30"/>
      <c r="D166" s="30"/>
      <c r="E166" s="30"/>
      <c r="F166" s="30"/>
      <c r="G166" s="30"/>
      <c r="H166" s="30"/>
      <c r="I166" s="30"/>
    </row>
    <row r="167" spans="1:9">
      <c r="A167" s="30"/>
      <c r="B167" s="30"/>
      <c r="C167" s="30"/>
      <c r="D167" s="30"/>
      <c r="E167" s="30"/>
      <c r="F167" s="30"/>
      <c r="G167" s="30"/>
      <c r="H167" s="30"/>
      <c r="I167" s="30"/>
    </row>
    <row r="168" spans="1:9">
      <c r="A168" s="30"/>
      <c r="B168" s="30"/>
      <c r="C168" s="30"/>
      <c r="D168" s="30"/>
      <c r="E168" s="30"/>
      <c r="F168" s="30"/>
      <c r="G168" s="30"/>
      <c r="H168" s="30"/>
      <c r="I168" s="30"/>
    </row>
    <row r="169" spans="1:9">
      <c r="A169" s="30"/>
      <c r="B169" s="30"/>
      <c r="C169" s="30"/>
      <c r="D169" s="30"/>
      <c r="E169" s="30"/>
      <c r="F169" s="30"/>
      <c r="G169" s="30"/>
      <c r="H169" s="30"/>
      <c r="I169" s="30"/>
    </row>
    <row r="170" spans="1:9">
      <c r="A170" s="30"/>
      <c r="B170" s="30"/>
      <c r="C170" s="30"/>
      <c r="D170" s="30"/>
      <c r="E170" s="30"/>
      <c r="F170" s="30"/>
      <c r="G170" s="30"/>
      <c r="H170" s="30"/>
      <c r="I170" s="30"/>
    </row>
    <row r="171" spans="1:9">
      <c r="A171" s="30"/>
      <c r="B171" s="30"/>
      <c r="C171" s="30"/>
      <c r="D171" s="30"/>
      <c r="E171" s="30"/>
      <c r="F171" s="30"/>
      <c r="G171" s="30"/>
      <c r="H171" s="30"/>
      <c r="I171" s="30"/>
    </row>
    <row r="172" spans="1:9">
      <c r="A172" s="30"/>
      <c r="B172" s="30"/>
      <c r="C172" s="30"/>
      <c r="D172" s="30"/>
      <c r="E172" s="30"/>
      <c r="F172" s="30"/>
      <c r="G172" s="30"/>
      <c r="H172" s="30"/>
      <c r="I172" s="30"/>
    </row>
    <row r="173" spans="1:9">
      <c r="A173" s="30"/>
      <c r="B173" s="30"/>
      <c r="C173" s="30"/>
      <c r="D173" s="30"/>
      <c r="E173" s="30"/>
      <c r="F173" s="30"/>
      <c r="G173" s="30"/>
      <c r="H173" s="30"/>
      <c r="I173" s="30"/>
    </row>
    <row r="174" spans="1:9">
      <c r="A174" s="30"/>
      <c r="B174" s="30"/>
      <c r="C174" s="30"/>
      <c r="D174" s="30"/>
      <c r="E174" s="30"/>
      <c r="F174" s="30"/>
      <c r="G174" s="30"/>
      <c r="H174" s="30"/>
      <c r="I174" s="30"/>
    </row>
    <row r="175" spans="1:9">
      <c r="A175" s="30"/>
      <c r="B175" s="30"/>
      <c r="C175" s="30"/>
      <c r="D175" s="30"/>
      <c r="E175" s="30"/>
      <c r="F175" s="30"/>
      <c r="G175" s="30"/>
      <c r="H175" s="30"/>
      <c r="I175" s="30"/>
    </row>
    <row r="176" spans="1:9">
      <c r="A176" s="30"/>
      <c r="B176" s="30"/>
      <c r="C176" s="30"/>
      <c r="D176" s="30"/>
      <c r="E176" s="30"/>
      <c r="F176" s="30"/>
      <c r="G176" s="30"/>
      <c r="H176" s="30"/>
      <c r="I176" s="30"/>
    </row>
    <row r="177" spans="1:9">
      <c r="A177" s="30"/>
      <c r="B177" s="30"/>
      <c r="C177" s="30"/>
      <c r="D177" s="30"/>
      <c r="E177" s="30"/>
      <c r="F177" s="30"/>
      <c r="G177" s="30"/>
      <c r="H177" s="30"/>
      <c r="I177" s="30"/>
    </row>
    <row r="178" spans="1:9">
      <c r="A178" s="30"/>
      <c r="B178" s="30"/>
      <c r="C178" s="30"/>
      <c r="D178" s="30"/>
      <c r="E178" s="30"/>
      <c r="F178" s="30"/>
      <c r="G178" s="30"/>
      <c r="H178" s="30"/>
      <c r="I178" s="30"/>
    </row>
    <row r="179" spans="1:9">
      <c r="A179" s="30"/>
      <c r="B179" s="30"/>
      <c r="C179" s="30"/>
      <c r="D179" s="30"/>
      <c r="E179" s="30"/>
      <c r="F179" s="30"/>
      <c r="G179" s="30"/>
      <c r="H179" s="30"/>
      <c r="I179" s="30"/>
    </row>
    <row r="180" spans="1:9">
      <c r="A180" s="30"/>
      <c r="B180" s="30"/>
      <c r="C180" s="30"/>
      <c r="D180" s="30"/>
      <c r="E180" s="30"/>
      <c r="F180" s="30"/>
      <c r="G180" s="30"/>
      <c r="H180" s="30"/>
      <c r="I180" s="30"/>
    </row>
    <row r="181" spans="1:9">
      <c r="A181" s="30"/>
      <c r="B181" s="30"/>
      <c r="C181" s="30"/>
      <c r="D181" s="30"/>
      <c r="E181" s="30"/>
      <c r="F181" s="30"/>
      <c r="G181" s="30"/>
      <c r="H181" s="30"/>
      <c r="I181" s="30"/>
    </row>
    <row r="182" spans="1:9">
      <c r="A182" s="30"/>
      <c r="B182" s="30"/>
      <c r="C182" s="30"/>
      <c r="D182" s="30"/>
      <c r="E182" s="30"/>
      <c r="F182" s="30"/>
      <c r="G182" s="30"/>
      <c r="H182" s="30"/>
      <c r="I182" s="30"/>
    </row>
    <row r="183" spans="1:9">
      <c r="A183" s="30"/>
      <c r="B183" s="30"/>
      <c r="C183" s="30"/>
      <c r="D183" s="30"/>
      <c r="E183" s="30"/>
      <c r="F183" s="30"/>
      <c r="G183" s="30"/>
      <c r="H183" s="30"/>
      <c r="I183" s="30"/>
    </row>
    <row r="184" spans="1:9">
      <c r="A184" s="30"/>
      <c r="B184" s="30"/>
      <c r="C184" s="30"/>
      <c r="D184" s="30"/>
      <c r="E184" s="30"/>
      <c r="F184" s="30"/>
      <c r="G184" s="30"/>
      <c r="H184" s="30"/>
      <c r="I184" s="30"/>
    </row>
    <row r="185" spans="1:9">
      <c r="A185" s="30"/>
      <c r="B185" s="30"/>
      <c r="C185" s="30"/>
      <c r="D185" s="30"/>
      <c r="E185" s="30"/>
      <c r="F185" s="30"/>
      <c r="G185" s="30"/>
      <c r="H185" s="30"/>
      <c r="I185" s="30"/>
    </row>
    <row r="186" spans="1:9">
      <c r="A186" s="30"/>
      <c r="B186" s="30"/>
      <c r="C186" s="30"/>
      <c r="D186" s="30"/>
      <c r="E186" s="30"/>
      <c r="F186" s="30"/>
      <c r="G186" s="30"/>
      <c r="H186" s="30"/>
      <c r="I186" s="30"/>
    </row>
    <row r="187" spans="1:9">
      <c r="A187" s="30"/>
      <c r="B187" s="30"/>
      <c r="C187" s="30"/>
      <c r="D187" s="30"/>
      <c r="E187" s="30"/>
      <c r="F187" s="30"/>
      <c r="G187" s="30"/>
      <c r="H187" s="30"/>
      <c r="I187" s="30"/>
    </row>
    <row r="188" spans="1:9">
      <c r="A188" s="30"/>
      <c r="B188" s="30"/>
      <c r="C188" s="30"/>
      <c r="D188" s="30"/>
      <c r="E188" s="30"/>
      <c r="F188" s="30"/>
      <c r="G188" s="30"/>
      <c r="H188" s="30"/>
      <c r="I188" s="30"/>
    </row>
    <row r="189" spans="1:9">
      <c r="A189" s="30"/>
      <c r="B189" s="30"/>
      <c r="C189" s="30"/>
      <c r="D189" s="30"/>
      <c r="E189" s="30"/>
      <c r="F189" s="30"/>
      <c r="G189" s="30"/>
      <c r="H189" s="30"/>
      <c r="I189" s="30"/>
    </row>
    <row r="190" spans="1:9">
      <c r="A190" s="30"/>
      <c r="B190" s="30"/>
      <c r="C190" s="30"/>
      <c r="D190" s="30"/>
      <c r="E190" s="30"/>
      <c r="F190" s="30"/>
      <c r="G190" s="30"/>
      <c r="H190" s="30"/>
      <c r="I190" s="30"/>
    </row>
    <row r="191" spans="1:9">
      <c r="A191" s="30"/>
      <c r="B191" s="30"/>
      <c r="C191" s="30"/>
      <c r="D191" s="30"/>
      <c r="E191" s="30"/>
      <c r="F191" s="30"/>
      <c r="G191" s="30"/>
      <c r="H191" s="30"/>
      <c r="I191" s="30"/>
    </row>
    <row r="192" spans="1:9">
      <c r="A192" s="30"/>
      <c r="B192" s="30"/>
      <c r="C192" s="30"/>
      <c r="D192" s="30"/>
      <c r="E192" s="30"/>
      <c r="F192" s="30"/>
      <c r="G192" s="30"/>
      <c r="H192" s="30"/>
      <c r="I192" s="30"/>
    </row>
    <row r="193" spans="1:9">
      <c r="A193" s="30"/>
      <c r="B193" s="30"/>
      <c r="C193" s="30"/>
      <c r="D193" s="30"/>
      <c r="E193" s="30"/>
      <c r="F193" s="30"/>
      <c r="G193" s="30"/>
      <c r="H193" s="30"/>
      <c r="I193" s="30"/>
    </row>
    <row r="194" spans="1:9">
      <c r="A194" s="30"/>
      <c r="B194" s="30"/>
      <c r="C194" s="30"/>
      <c r="D194" s="30"/>
      <c r="E194" s="30"/>
      <c r="F194" s="30"/>
      <c r="G194" s="30"/>
      <c r="H194" s="30"/>
      <c r="I194" s="30"/>
    </row>
    <row r="195" spans="1:9">
      <c r="A195" s="30"/>
      <c r="B195" s="30"/>
      <c r="C195" s="30"/>
      <c r="D195" s="30"/>
      <c r="E195" s="30"/>
      <c r="F195" s="30"/>
      <c r="G195" s="30"/>
      <c r="H195" s="30"/>
      <c r="I195" s="30"/>
    </row>
    <row r="196" spans="1:9">
      <c r="A196" s="30"/>
      <c r="B196" s="30"/>
      <c r="C196" s="30"/>
      <c r="D196" s="30"/>
      <c r="E196" s="30"/>
      <c r="F196" s="30"/>
      <c r="G196" s="30"/>
      <c r="H196" s="30"/>
      <c r="I196" s="30"/>
    </row>
    <row r="197" spans="1:9">
      <c r="A197" s="30"/>
      <c r="B197" s="30"/>
      <c r="C197" s="30"/>
      <c r="D197" s="30"/>
      <c r="E197" s="30"/>
      <c r="F197" s="30"/>
      <c r="G197" s="30"/>
      <c r="H197" s="30"/>
      <c r="I197" s="30"/>
    </row>
    <row r="198" spans="1:9">
      <c r="A198" s="30"/>
      <c r="B198" s="30"/>
      <c r="C198" s="30"/>
      <c r="D198" s="30"/>
      <c r="E198" s="30"/>
      <c r="F198" s="30"/>
      <c r="G198" s="30"/>
      <c r="H198" s="30"/>
      <c r="I198" s="30"/>
    </row>
    <row r="199" spans="1:9">
      <c r="A199" s="30"/>
      <c r="B199" s="30"/>
      <c r="C199" s="30"/>
      <c r="D199" s="30"/>
      <c r="E199" s="30"/>
      <c r="F199" s="30"/>
      <c r="G199" s="30"/>
      <c r="H199" s="30"/>
      <c r="I199" s="30"/>
    </row>
    <row r="200" spans="1:9">
      <c r="A200" s="30"/>
      <c r="B200" s="30"/>
      <c r="C200" s="30"/>
      <c r="D200" s="30"/>
      <c r="E200" s="30"/>
      <c r="F200" s="30"/>
      <c r="G200" s="30"/>
      <c r="H200" s="30"/>
      <c r="I200" s="30"/>
    </row>
    <row r="201" spans="1:9">
      <c r="A201" s="30"/>
      <c r="B201" s="30"/>
      <c r="C201" s="30"/>
      <c r="D201" s="30"/>
      <c r="E201" s="30"/>
      <c r="F201" s="30"/>
      <c r="G201" s="30"/>
      <c r="H201" s="30"/>
      <c r="I201" s="30"/>
    </row>
    <row r="202" spans="1:9">
      <c r="A202" s="30"/>
      <c r="B202" s="30"/>
      <c r="C202" s="30"/>
      <c r="D202" s="30"/>
      <c r="E202" s="30"/>
      <c r="F202" s="30"/>
      <c r="G202" s="30"/>
      <c r="H202" s="30"/>
      <c r="I202" s="30"/>
    </row>
    <row r="203" spans="1:9">
      <c r="A203" s="30"/>
      <c r="B203" s="30"/>
      <c r="C203" s="30"/>
      <c r="D203" s="30"/>
      <c r="E203" s="30"/>
      <c r="F203" s="30"/>
      <c r="G203" s="30"/>
      <c r="H203" s="30"/>
      <c r="I203" s="30"/>
    </row>
    <row r="204" spans="1:9">
      <c r="A204" s="30"/>
      <c r="B204" s="30"/>
      <c r="C204" s="30"/>
      <c r="D204" s="30"/>
      <c r="E204" s="30"/>
      <c r="F204" s="30"/>
      <c r="G204" s="30"/>
      <c r="H204" s="30"/>
      <c r="I204" s="30"/>
    </row>
    <row r="205" spans="1:9">
      <c r="A205" s="30"/>
      <c r="B205" s="30"/>
      <c r="C205" s="30"/>
      <c r="D205" s="30"/>
      <c r="E205" s="30"/>
      <c r="F205" s="30"/>
      <c r="G205" s="30"/>
      <c r="H205" s="30"/>
      <c r="I205" s="30"/>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600-000000000000}">
          <x14:formula1>
            <xm:f>Lookup_Codes!$O$5:$O$60</xm:f>
          </x14:formula1>
          <x14:formula2>
            <xm:f>0</xm:f>
          </x14:formula2>
          <xm:sqref>D5:D205</xm:sqref>
        </x14:dataValidation>
        <x14:dataValidation type="list" allowBlank="1" xr:uid="{00000000-0002-0000-0600-000001000000}">
          <x14:formula1>
            <xm:f>Lookup_Codes!$P$5:$P$60</xm:f>
          </x14:formula1>
          <x14:formula2>
            <xm:f>0</xm:f>
          </x14:formula2>
          <xm:sqref>E5:E205</xm:sqref>
        </x14:dataValidation>
        <x14:dataValidation type="list" allowBlank="1" xr:uid="{00000000-0002-0000-0600-000002000000}">
          <x14:formula1>
            <xm:f>Lookup_Codes!$Q$5:$Q$60</xm:f>
          </x14:formula1>
          <x14:formula2>
            <xm:f>0</xm:f>
          </x14:formula2>
          <xm:sqref>F5:F205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83"/>
  <sheetViews>
    <sheetView showGridLines="0" zoomScaleNormal="100" workbookViewId="0">
      <pane ySplit="4" topLeftCell="A5" activePane="bottomLeft" state="frozen"/>
      <selection pane="bottomLeft"/>
    </sheetView>
  </sheetViews>
  <sheetFormatPr defaultColWidth="8.7109375" defaultRowHeight="15"/>
  <cols>
    <col min="1" max="1" width="22" customWidth="1"/>
    <col min="2" max="2" width="11" customWidth="1"/>
    <col min="3" max="3" width="28" customWidth="1"/>
    <col min="4" max="4" width="11" customWidth="1"/>
    <col min="5" max="5" width="13" customWidth="1"/>
    <col min="6" max="6" width="10" customWidth="1"/>
    <col min="7" max="7" width="20" customWidth="1"/>
    <col min="8" max="8" width="80" customWidth="1"/>
  </cols>
  <sheetData>
    <row r="1" spans="1:8" ht="18">
      <c r="A1" s="10" t="s">
        <v>1130</v>
      </c>
    </row>
    <row r="2" spans="1:8">
      <c r="A2" s="11" t="s">
        <v>1131</v>
      </c>
    </row>
    <row r="4" spans="1:8" ht="24">
      <c r="A4" s="23" t="s">
        <v>1132</v>
      </c>
      <c r="B4" s="23" t="s">
        <v>1133</v>
      </c>
      <c r="C4" s="23" t="s">
        <v>1134</v>
      </c>
      <c r="D4" s="23" t="s">
        <v>1135</v>
      </c>
      <c r="E4" s="23" t="s">
        <v>1136</v>
      </c>
      <c r="F4" s="23" t="s">
        <v>1137</v>
      </c>
      <c r="G4" s="23" t="s">
        <v>1138</v>
      </c>
      <c r="H4" s="23" t="s">
        <v>124</v>
      </c>
    </row>
    <row r="5" spans="1:8">
      <c r="A5" s="19" t="str">
        <f t="shared" ref="A5:A36" si="0">B5&amp;"|"&amp;C5</f>
        <v>MAT|I-1</v>
      </c>
      <c r="B5" s="19" t="s">
        <v>1139</v>
      </c>
      <c r="C5" s="19" t="s">
        <v>66</v>
      </c>
      <c r="D5" s="51">
        <v>0.75</v>
      </c>
      <c r="E5" s="52"/>
      <c r="F5" s="53">
        <f t="shared" ref="F5:F36" si="1">IF(ISNUMBER(E5),E5,D5)</f>
        <v>0.75</v>
      </c>
      <c r="G5" s="19" t="str">
        <f t="shared" ref="G5:G36" si="2">IF(ISNUMBER(E5),"Calibrated","Provisional – calibrate")</f>
        <v>Provisional – calibrate</v>
      </c>
      <c r="H5" s="19" t="s">
        <v>1140</v>
      </c>
    </row>
    <row r="6" spans="1:8">
      <c r="A6" s="19" t="str">
        <f t="shared" si="0"/>
        <v>MAT|I-2</v>
      </c>
      <c r="B6" s="19" t="s">
        <v>1139</v>
      </c>
      <c r="C6" s="19" t="s">
        <v>70</v>
      </c>
      <c r="D6" s="51">
        <v>0.8</v>
      </c>
      <c r="E6" s="52"/>
      <c r="F6" s="53">
        <f t="shared" si="1"/>
        <v>0.8</v>
      </c>
      <c r="G6" s="19" t="str">
        <f t="shared" si="2"/>
        <v>Provisional – calibrate</v>
      </c>
      <c r="H6" s="19" t="s">
        <v>1141</v>
      </c>
    </row>
    <row r="7" spans="1:8">
      <c r="A7" s="19" t="str">
        <f t="shared" si="0"/>
        <v>MAT|S-1</v>
      </c>
      <c r="B7" s="19" t="s">
        <v>1139</v>
      </c>
      <c r="C7" s="19" t="s">
        <v>74</v>
      </c>
      <c r="D7" s="51">
        <v>0.9</v>
      </c>
      <c r="E7" s="52"/>
      <c r="F7" s="53">
        <f t="shared" si="1"/>
        <v>0.9</v>
      </c>
      <c r="G7" s="19" t="str">
        <f t="shared" si="2"/>
        <v>Provisional – calibrate</v>
      </c>
      <c r="H7" s="19" t="s">
        <v>1142</v>
      </c>
    </row>
    <row r="8" spans="1:8">
      <c r="A8" s="19" t="str">
        <f t="shared" si="0"/>
        <v>MAT|S-3</v>
      </c>
      <c r="B8" s="19" t="s">
        <v>1139</v>
      </c>
      <c r="C8" s="19" t="s">
        <v>77</v>
      </c>
      <c r="D8" s="51">
        <v>0.95</v>
      </c>
      <c r="E8" s="52"/>
      <c r="F8" s="53">
        <f t="shared" si="1"/>
        <v>0.95</v>
      </c>
      <c r="G8" s="19" t="str">
        <f t="shared" si="2"/>
        <v>Provisional – calibrate</v>
      </c>
      <c r="H8" s="19" t="s">
        <v>1143</v>
      </c>
    </row>
    <row r="9" spans="1:8">
      <c r="A9" s="19" t="str">
        <f t="shared" si="0"/>
        <v>MAT|S-4</v>
      </c>
      <c r="B9" s="19" t="s">
        <v>1139</v>
      </c>
      <c r="C9" s="19" t="s">
        <v>81</v>
      </c>
      <c r="D9" s="51">
        <v>1</v>
      </c>
      <c r="E9" s="52"/>
      <c r="F9" s="53">
        <f t="shared" si="1"/>
        <v>1</v>
      </c>
      <c r="G9" s="19" t="str">
        <f t="shared" si="2"/>
        <v>Provisional – calibrate</v>
      </c>
      <c r="H9" s="19" t="s">
        <v>1144</v>
      </c>
    </row>
    <row r="10" spans="1:8">
      <c r="A10" s="19" t="str">
        <f t="shared" si="0"/>
        <v>MAT|S-5</v>
      </c>
      <c r="B10" s="19" t="s">
        <v>1139</v>
      </c>
      <c r="C10" s="19" t="s">
        <v>83</v>
      </c>
      <c r="D10" s="51">
        <v>1</v>
      </c>
      <c r="E10" s="52"/>
      <c r="F10" s="53">
        <f t="shared" si="1"/>
        <v>1</v>
      </c>
      <c r="G10" s="19" t="str">
        <f t="shared" si="2"/>
        <v>Provisional – calibrate</v>
      </c>
      <c r="H10" s="19" t="s">
        <v>1145</v>
      </c>
    </row>
    <row r="11" spans="1:8">
      <c r="A11" s="19" t="str">
        <f t="shared" si="0"/>
        <v>MAT|S-6</v>
      </c>
      <c r="B11" s="19" t="s">
        <v>1139</v>
      </c>
      <c r="C11" s="19" t="s">
        <v>86</v>
      </c>
      <c r="D11" s="51">
        <v>1.1000000000000001</v>
      </c>
      <c r="E11" s="52"/>
      <c r="F11" s="53">
        <f t="shared" si="1"/>
        <v>1.1000000000000001</v>
      </c>
      <c r="G11" s="19" t="str">
        <f t="shared" si="2"/>
        <v>Provisional – calibrate</v>
      </c>
      <c r="H11" s="19" t="s">
        <v>1146</v>
      </c>
    </row>
    <row r="12" spans="1:8">
      <c r="A12" s="19" t="str">
        <f t="shared" si="0"/>
        <v>MAT|S-8</v>
      </c>
      <c r="B12" s="19" t="s">
        <v>1139</v>
      </c>
      <c r="C12" s="19" t="s">
        <v>90</v>
      </c>
      <c r="D12" s="51">
        <v>1.25</v>
      </c>
      <c r="E12" s="52"/>
      <c r="F12" s="53">
        <f t="shared" si="1"/>
        <v>1.25</v>
      </c>
      <c r="G12" s="19" t="str">
        <f t="shared" si="2"/>
        <v>Provisional – calibrate</v>
      </c>
      <c r="H12" s="19" t="s">
        <v>1147</v>
      </c>
    </row>
    <row r="13" spans="1:8">
      <c r="A13" s="19" t="str">
        <f t="shared" si="0"/>
        <v>MAT|S-9</v>
      </c>
      <c r="B13" s="19" t="s">
        <v>1139</v>
      </c>
      <c r="C13" s="19" t="s">
        <v>94</v>
      </c>
      <c r="D13" s="51">
        <v>1.35</v>
      </c>
      <c r="E13" s="52"/>
      <c r="F13" s="53">
        <f t="shared" si="1"/>
        <v>1.35</v>
      </c>
      <c r="G13" s="19" t="str">
        <f t="shared" si="2"/>
        <v>Provisional – calibrate</v>
      </c>
      <c r="H13" s="19" t="s">
        <v>1148</v>
      </c>
    </row>
    <row r="14" spans="1:8">
      <c r="A14" s="19" t="str">
        <f t="shared" si="0"/>
        <v>MAT|C-6</v>
      </c>
      <c r="B14" s="19" t="s">
        <v>1139</v>
      </c>
      <c r="C14" s="19" t="s">
        <v>98</v>
      </c>
      <c r="D14" s="51">
        <v>1.3</v>
      </c>
      <c r="E14" s="52"/>
      <c r="F14" s="53">
        <f t="shared" si="1"/>
        <v>1.3</v>
      </c>
      <c r="G14" s="19" t="str">
        <f t="shared" si="2"/>
        <v>Provisional – calibrate</v>
      </c>
      <c r="H14" s="19" t="s">
        <v>1149</v>
      </c>
    </row>
    <row r="15" spans="1:8">
      <c r="A15" s="19" t="str">
        <f t="shared" si="0"/>
        <v>MAT|A-7</v>
      </c>
      <c r="B15" s="19" t="s">
        <v>1139</v>
      </c>
      <c r="C15" s="19" t="s">
        <v>100</v>
      </c>
      <c r="D15" s="51">
        <v>1.4</v>
      </c>
      <c r="E15" s="52"/>
      <c r="F15" s="53">
        <f t="shared" si="1"/>
        <v>1.4</v>
      </c>
      <c r="G15" s="19" t="str">
        <f t="shared" si="2"/>
        <v>Provisional – calibrate</v>
      </c>
      <c r="H15" s="19" t="s">
        <v>1150</v>
      </c>
    </row>
    <row r="16" spans="1:8">
      <c r="A16" s="19" t="str">
        <f t="shared" si="0"/>
        <v>MAT|A-8</v>
      </c>
      <c r="B16" s="19" t="s">
        <v>1139</v>
      </c>
      <c r="C16" s="19" t="s">
        <v>104</v>
      </c>
      <c r="D16" s="51">
        <v>1.5</v>
      </c>
      <c r="E16" s="52"/>
      <c r="F16" s="53">
        <f t="shared" si="1"/>
        <v>1.5</v>
      </c>
      <c r="G16" s="19" t="str">
        <f t="shared" si="2"/>
        <v>Provisional – calibrate</v>
      </c>
      <c r="H16" s="19" t="s">
        <v>1151</v>
      </c>
    </row>
    <row r="17" spans="1:8">
      <c r="A17" s="19" t="str">
        <f t="shared" si="0"/>
        <v>MAT|D-1</v>
      </c>
      <c r="B17" s="19" t="s">
        <v>1139</v>
      </c>
      <c r="C17" s="19" t="s">
        <v>107</v>
      </c>
      <c r="D17" s="51">
        <v>1.7</v>
      </c>
      <c r="E17" s="52"/>
      <c r="F17" s="53">
        <f t="shared" si="1"/>
        <v>1.7</v>
      </c>
      <c r="G17" s="19" t="str">
        <f t="shared" si="2"/>
        <v>Provisional – calibrate</v>
      </c>
      <c r="H17" s="19" t="s">
        <v>1152</v>
      </c>
    </row>
    <row r="18" spans="1:8">
      <c r="A18" s="19" t="str">
        <f t="shared" si="0"/>
        <v>MAT|D-2</v>
      </c>
      <c r="B18" s="19" t="s">
        <v>1139</v>
      </c>
      <c r="C18" s="19" t="s">
        <v>111</v>
      </c>
      <c r="D18" s="51">
        <v>1.9</v>
      </c>
      <c r="E18" s="52"/>
      <c r="F18" s="53">
        <f t="shared" si="1"/>
        <v>1.9</v>
      </c>
      <c r="G18" s="19" t="str">
        <f t="shared" si="2"/>
        <v>Provisional – calibrate</v>
      </c>
      <c r="H18" s="19" t="s">
        <v>1153</v>
      </c>
    </row>
    <row r="19" spans="1:8">
      <c r="A19" s="19" t="str">
        <f t="shared" si="0"/>
        <v>MAT|SS316L (non-API)</v>
      </c>
      <c r="B19" s="19" t="s">
        <v>1139</v>
      </c>
      <c r="C19" s="19" t="s">
        <v>115</v>
      </c>
      <c r="D19" s="51">
        <v>1.35</v>
      </c>
      <c r="E19" s="52"/>
      <c r="F19" s="53">
        <f t="shared" si="1"/>
        <v>1.35</v>
      </c>
      <c r="G19" s="19" t="str">
        <f t="shared" si="2"/>
        <v>Provisional – calibrate</v>
      </c>
      <c r="H19" s="19" t="s">
        <v>1154</v>
      </c>
    </row>
    <row r="20" spans="1:8">
      <c r="A20" s="19" t="str">
        <f t="shared" si="0"/>
        <v>MAT|Not stated</v>
      </c>
      <c r="B20" s="19" t="s">
        <v>1139</v>
      </c>
      <c r="C20" s="19" t="s">
        <v>119</v>
      </c>
      <c r="D20" s="51">
        <v>1</v>
      </c>
      <c r="E20" s="52"/>
      <c r="F20" s="53">
        <f t="shared" si="1"/>
        <v>1</v>
      </c>
      <c r="G20" s="19" t="str">
        <f t="shared" si="2"/>
        <v>Provisional – calibrate</v>
      </c>
      <c r="H20" s="19" t="s">
        <v>1155</v>
      </c>
    </row>
    <row r="21" spans="1:8">
      <c r="A21" s="19" t="str">
        <f t="shared" si="0"/>
        <v>SEAL_ARR|Packing</v>
      </c>
      <c r="B21" s="19" t="s">
        <v>1156</v>
      </c>
      <c r="C21" s="19" t="s">
        <v>1157</v>
      </c>
      <c r="D21" s="51">
        <v>0.9</v>
      </c>
      <c r="E21" s="52"/>
      <c r="F21" s="53">
        <f t="shared" si="1"/>
        <v>0.9</v>
      </c>
      <c r="G21" s="19" t="str">
        <f t="shared" si="2"/>
        <v>Provisional – calibrate</v>
      </c>
      <c r="H21" s="19" t="s">
        <v>1158</v>
      </c>
    </row>
    <row r="22" spans="1:8">
      <c r="A22" s="19" t="str">
        <f t="shared" si="0"/>
        <v>SEAL_ARR|Arr 1 - Single</v>
      </c>
      <c r="B22" s="19" t="s">
        <v>1156</v>
      </c>
      <c r="C22" s="19" t="s">
        <v>1159</v>
      </c>
      <c r="D22" s="51">
        <v>1</v>
      </c>
      <c r="E22" s="52"/>
      <c r="F22" s="53">
        <f t="shared" si="1"/>
        <v>1</v>
      </c>
      <c r="G22" s="19" t="str">
        <f t="shared" si="2"/>
        <v>Provisional – calibrate</v>
      </c>
      <c r="H22" s="19" t="s">
        <v>1160</v>
      </c>
    </row>
    <row r="23" spans="1:8">
      <c r="A23" s="19" t="str">
        <f t="shared" si="0"/>
        <v>SEAL_ARR|Arr 2 - Dual Unpressurized</v>
      </c>
      <c r="B23" s="19" t="s">
        <v>1156</v>
      </c>
      <c r="C23" s="19" t="s">
        <v>833</v>
      </c>
      <c r="D23" s="51">
        <v>1.1200000000000001</v>
      </c>
      <c r="E23" s="52"/>
      <c r="F23" s="53">
        <f t="shared" si="1"/>
        <v>1.1200000000000001</v>
      </c>
      <c r="G23" s="19" t="str">
        <f t="shared" si="2"/>
        <v>Provisional – calibrate</v>
      </c>
      <c r="H23" s="19" t="s">
        <v>1158</v>
      </c>
    </row>
    <row r="24" spans="1:8">
      <c r="A24" s="19" t="str">
        <f t="shared" si="0"/>
        <v>SEAL_ARR|Arr 3 - Dual Pressurized</v>
      </c>
      <c r="B24" s="19" t="s">
        <v>1156</v>
      </c>
      <c r="C24" s="19" t="s">
        <v>1161</v>
      </c>
      <c r="D24" s="51">
        <v>1.2</v>
      </c>
      <c r="E24" s="52"/>
      <c r="F24" s="53">
        <f t="shared" si="1"/>
        <v>1.2</v>
      </c>
      <c r="G24" s="19" t="str">
        <f t="shared" si="2"/>
        <v>Provisional – calibrate</v>
      </c>
      <c r="H24" s="19" t="s">
        <v>1158</v>
      </c>
    </row>
    <row r="25" spans="1:8">
      <c r="A25" s="19" t="str">
        <f t="shared" si="0"/>
        <v>SEAL_ARR|Sealless - Magnetic Drive</v>
      </c>
      <c r="B25" s="19" t="s">
        <v>1156</v>
      </c>
      <c r="C25" s="19" t="s">
        <v>1162</v>
      </c>
      <c r="D25" s="51">
        <v>1.1499999999999999</v>
      </c>
      <c r="E25" s="52"/>
      <c r="F25" s="53">
        <f t="shared" si="1"/>
        <v>1.1499999999999999</v>
      </c>
      <c r="G25" s="19" t="str">
        <f t="shared" si="2"/>
        <v>Provisional – calibrate</v>
      </c>
      <c r="H25" s="19" t="s">
        <v>1158</v>
      </c>
    </row>
    <row r="26" spans="1:8">
      <c r="A26" s="19" t="str">
        <f t="shared" si="0"/>
        <v>SEAL_ARR|Sealless - Canned Motor</v>
      </c>
      <c r="B26" s="19" t="s">
        <v>1156</v>
      </c>
      <c r="C26" s="19" t="s">
        <v>1163</v>
      </c>
      <c r="D26" s="51">
        <v>1.25</v>
      </c>
      <c r="E26" s="52"/>
      <c r="F26" s="53">
        <f t="shared" si="1"/>
        <v>1.25</v>
      </c>
      <c r="G26" s="19" t="str">
        <f t="shared" si="2"/>
        <v>Provisional – calibrate</v>
      </c>
      <c r="H26" s="19" t="s">
        <v>1158</v>
      </c>
    </row>
    <row r="27" spans="1:8">
      <c r="A27" s="19" t="str">
        <f t="shared" si="0"/>
        <v>SEAL_ARR|Not stated</v>
      </c>
      <c r="B27" s="19" t="s">
        <v>1156</v>
      </c>
      <c r="C27" s="19" t="s">
        <v>119</v>
      </c>
      <c r="D27" s="51">
        <v>1</v>
      </c>
      <c r="E27" s="52"/>
      <c r="F27" s="53">
        <f t="shared" si="1"/>
        <v>1</v>
      </c>
      <c r="G27" s="19" t="str">
        <f t="shared" si="2"/>
        <v>Provisional – calibrate</v>
      </c>
      <c r="H27" s="19" t="s">
        <v>1164</v>
      </c>
    </row>
    <row r="28" spans="1:8">
      <c r="A28" s="19" t="str">
        <f t="shared" si="0"/>
        <v>SEAL_CAT|Cat 1</v>
      </c>
      <c r="B28" s="19" t="s">
        <v>1165</v>
      </c>
      <c r="C28" s="19" t="s">
        <v>1166</v>
      </c>
      <c r="D28" s="51">
        <v>0.95</v>
      </c>
      <c r="E28" s="52"/>
      <c r="F28" s="53">
        <f t="shared" si="1"/>
        <v>0.95</v>
      </c>
      <c r="G28" s="19" t="str">
        <f t="shared" si="2"/>
        <v>Provisional – calibrate</v>
      </c>
      <c r="H28" s="19" t="s">
        <v>1167</v>
      </c>
    </row>
    <row r="29" spans="1:8">
      <c r="A29" s="19" t="str">
        <f t="shared" si="0"/>
        <v>SEAL_CAT|Cat 2</v>
      </c>
      <c r="B29" s="19" t="s">
        <v>1165</v>
      </c>
      <c r="C29" s="19" t="s">
        <v>836</v>
      </c>
      <c r="D29" s="51">
        <v>1</v>
      </c>
      <c r="E29" s="52"/>
      <c r="F29" s="53">
        <f t="shared" si="1"/>
        <v>1</v>
      </c>
      <c r="G29" s="19" t="str">
        <f t="shared" si="2"/>
        <v>Provisional – calibrate</v>
      </c>
      <c r="H29" s="19" t="s">
        <v>1168</v>
      </c>
    </row>
    <row r="30" spans="1:8">
      <c r="A30" s="19" t="str">
        <f t="shared" si="0"/>
        <v>SEAL_CAT|Cat 3</v>
      </c>
      <c r="B30" s="19" t="s">
        <v>1165</v>
      </c>
      <c r="C30" s="19" t="s">
        <v>1169</v>
      </c>
      <c r="D30" s="51">
        <v>1.08</v>
      </c>
      <c r="E30" s="52"/>
      <c r="F30" s="53">
        <f t="shared" si="1"/>
        <v>1.08</v>
      </c>
      <c r="G30" s="19" t="str">
        <f t="shared" si="2"/>
        <v>Provisional – calibrate</v>
      </c>
      <c r="H30" s="19" t="s">
        <v>1167</v>
      </c>
    </row>
    <row r="31" spans="1:8">
      <c r="A31" s="19" t="str">
        <f t="shared" si="0"/>
        <v>SEAL_CAT|N/A</v>
      </c>
      <c r="B31" s="19" t="s">
        <v>1165</v>
      </c>
      <c r="C31" s="19" t="s">
        <v>1170</v>
      </c>
      <c r="D31" s="51">
        <v>1</v>
      </c>
      <c r="E31" s="52"/>
      <c r="F31" s="53">
        <f t="shared" si="1"/>
        <v>1</v>
      </c>
      <c r="G31" s="19" t="str">
        <f t="shared" si="2"/>
        <v>Provisional – calibrate</v>
      </c>
      <c r="H31" s="19" t="s">
        <v>1167</v>
      </c>
    </row>
    <row r="32" spans="1:8">
      <c r="A32" s="19" t="str">
        <f t="shared" si="0"/>
        <v>SEAL_CAT|Not stated</v>
      </c>
      <c r="B32" s="19" t="s">
        <v>1165</v>
      </c>
      <c r="C32" s="19" t="s">
        <v>119</v>
      </c>
      <c r="D32" s="51">
        <v>1</v>
      </c>
      <c r="E32" s="52"/>
      <c r="F32" s="53">
        <f t="shared" si="1"/>
        <v>1</v>
      </c>
      <c r="G32" s="19" t="str">
        <f t="shared" si="2"/>
        <v>Provisional – calibrate</v>
      </c>
      <c r="H32" s="19" t="s">
        <v>1167</v>
      </c>
    </row>
    <row r="33" spans="1:8">
      <c r="A33" s="19" t="str">
        <f t="shared" si="0"/>
        <v>SEAL_PLAN|01</v>
      </c>
      <c r="B33" s="19" t="s">
        <v>1171</v>
      </c>
      <c r="C33" s="19" t="s">
        <v>1172</v>
      </c>
      <c r="D33" s="51">
        <v>1</v>
      </c>
      <c r="E33" s="52"/>
      <c r="F33" s="53">
        <f t="shared" si="1"/>
        <v>1</v>
      </c>
      <c r="G33" s="19" t="str">
        <f t="shared" si="2"/>
        <v>Provisional – calibrate</v>
      </c>
      <c r="H33" s="19" t="s">
        <v>1173</v>
      </c>
    </row>
    <row r="34" spans="1:8">
      <c r="A34" s="19" t="str">
        <f t="shared" si="0"/>
        <v>SEAL_PLAN|02</v>
      </c>
      <c r="B34" s="19" t="s">
        <v>1171</v>
      </c>
      <c r="C34" s="19" t="s">
        <v>1174</v>
      </c>
      <c r="D34" s="51">
        <v>1</v>
      </c>
      <c r="E34" s="52"/>
      <c r="F34" s="53">
        <f t="shared" si="1"/>
        <v>1</v>
      </c>
      <c r="G34" s="19" t="str">
        <f t="shared" si="2"/>
        <v>Provisional – calibrate</v>
      </c>
      <c r="H34" s="19" t="s">
        <v>1173</v>
      </c>
    </row>
    <row r="35" spans="1:8">
      <c r="A35" s="19" t="str">
        <f t="shared" si="0"/>
        <v>SEAL_PLAN|11</v>
      </c>
      <c r="B35" s="19" t="s">
        <v>1171</v>
      </c>
      <c r="C35" s="19" t="s">
        <v>1175</v>
      </c>
      <c r="D35" s="51">
        <v>1</v>
      </c>
      <c r="E35" s="52"/>
      <c r="F35" s="53">
        <f t="shared" si="1"/>
        <v>1</v>
      </c>
      <c r="G35" s="19" t="str">
        <f t="shared" si="2"/>
        <v>Provisional – calibrate</v>
      </c>
      <c r="H35" s="19" t="s">
        <v>1176</v>
      </c>
    </row>
    <row r="36" spans="1:8">
      <c r="A36" s="19" t="str">
        <f t="shared" si="0"/>
        <v>SEAL_PLAN|13</v>
      </c>
      <c r="B36" s="19" t="s">
        <v>1171</v>
      </c>
      <c r="C36" s="19" t="s">
        <v>1177</v>
      </c>
      <c r="D36" s="51">
        <v>1</v>
      </c>
      <c r="E36" s="52"/>
      <c r="F36" s="53">
        <f t="shared" si="1"/>
        <v>1</v>
      </c>
      <c r="G36" s="19" t="str">
        <f t="shared" si="2"/>
        <v>Provisional – calibrate</v>
      </c>
      <c r="H36" s="19" t="s">
        <v>1173</v>
      </c>
    </row>
    <row r="37" spans="1:8">
      <c r="A37" s="19" t="str">
        <f t="shared" ref="A37:A68" si="3">B37&amp;"|"&amp;C37</f>
        <v>SEAL_PLAN|14</v>
      </c>
      <c r="B37" s="19" t="s">
        <v>1171</v>
      </c>
      <c r="C37" s="19" t="s">
        <v>1178</v>
      </c>
      <c r="D37" s="51">
        <v>1</v>
      </c>
      <c r="E37" s="52"/>
      <c r="F37" s="53">
        <f t="shared" ref="F37:F68" si="4">IF(ISNUMBER(E37),E37,D37)</f>
        <v>1</v>
      </c>
      <c r="G37" s="19" t="str">
        <f t="shared" ref="G37:G68" si="5">IF(ISNUMBER(E37),"Calibrated","Provisional – calibrate")</f>
        <v>Provisional – calibrate</v>
      </c>
      <c r="H37" s="19" t="s">
        <v>1173</v>
      </c>
    </row>
    <row r="38" spans="1:8">
      <c r="A38" s="19" t="str">
        <f t="shared" si="3"/>
        <v>SEAL_PLAN|21</v>
      </c>
      <c r="B38" s="19" t="s">
        <v>1171</v>
      </c>
      <c r="C38" s="19" t="s">
        <v>1179</v>
      </c>
      <c r="D38" s="51">
        <v>1.01</v>
      </c>
      <c r="E38" s="52"/>
      <c r="F38" s="53">
        <f t="shared" si="4"/>
        <v>1.01</v>
      </c>
      <c r="G38" s="19" t="str">
        <f t="shared" si="5"/>
        <v>Provisional – calibrate</v>
      </c>
      <c r="H38" s="19" t="s">
        <v>1173</v>
      </c>
    </row>
    <row r="39" spans="1:8">
      <c r="A39" s="19" t="str">
        <f t="shared" si="3"/>
        <v>SEAL_PLAN|23</v>
      </c>
      <c r="B39" s="19" t="s">
        <v>1171</v>
      </c>
      <c r="C39" s="19" t="s">
        <v>1180</v>
      </c>
      <c r="D39" s="51">
        <v>1.03</v>
      </c>
      <c r="E39" s="52"/>
      <c r="F39" s="53">
        <f t="shared" si="4"/>
        <v>1.03</v>
      </c>
      <c r="G39" s="19" t="str">
        <f t="shared" si="5"/>
        <v>Provisional – calibrate</v>
      </c>
      <c r="H39" s="19" t="s">
        <v>1173</v>
      </c>
    </row>
    <row r="40" spans="1:8">
      <c r="A40" s="19" t="str">
        <f t="shared" si="3"/>
        <v>SEAL_PLAN|32</v>
      </c>
      <c r="B40" s="19" t="s">
        <v>1171</v>
      </c>
      <c r="C40" s="19" t="s">
        <v>1181</v>
      </c>
      <c r="D40" s="51">
        <v>1.02</v>
      </c>
      <c r="E40" s="52"/>
      <c r="F40" s="53">
        <f t="shared" si="4"/>
        <v>1.02</v>
      </c>
      <c r="G40" s="19" t="str">
        <f t="shared" si="5"/>
        <v>Provisional – calibrate</v>
      </c>
      <c r="H40" s="19" t="s">
        <v>1173</v>
      </c>
    </row>
    <row r="41" spans="1:8">
      <c r="A41" s="19" t="str">
        <f t="shared" si="3"/>
        <v>SEAL_PLAN|52</v>
      </c>
      <c r="B41" s="19" t="s">
        <v>1171</v>
      </c>
      <c r="C41" s="19" t="s">
        <v>1182</v>
      </c>
      <c r="D41" s="51">
        <v>1.04</v>
      </c>
      <c r="E41" s="52"/>
      <c r="F41" s="53">
        <f t="shared" si="4"/>
        <v>1.04</v>
      </c>
      <c r="G41" s="19" t="str">
        <f t="shared" si="5"/>
        <v>Provisional – calibrate</v>
      </c>
      <c r="H41" s="19" t="s">
        <v>1173</v>
      </c>
    </row>
    <row r="42" spans="1:8">
      <c r="A42" s="19" t="str">
        <f t="shared" si="3"/>
        <v>SEAL_PLAN|53A</v>
      </c>
      <c r="B42" s="19" t="s">
        <v>1171</v>
      </c>
      <c r="C42" s="19" t="s">
        <v>1183</v>
      </c>
      <c r="D42" s="51">
        <v>1.06</v>
      </c>
      <c r="E42" s="52"/>
      <c r="F42" s="53">
        <f t="shared" si="4"/>
        <v>1.06</v>
      </c>
      <c r="G42" s="19" t="str">
        <f t="shared" si="5"/>
        <v>Provisional – calibrate</v>
      </c>
      <c r="H42" s="19" t="s">
        <v>1173</v>
      </c>
    </row>
    <row r="43" spans="1:8">
      <c r="A43" s="19" t="str">
        <f t="shared" si="3"/>
        <v>SEAL_PLAN|53B</v>
      </c>
      <c r="B43" s="19" t="s">
        <v>1171</v>
      </c>
      <c r="C43" s="19" t="s">
        <v>1184</v>
      </c>
      <c r="D43" s="51">
        <v>1.1000000000000001</v>
      </c>
      <c r="E43" s="52"/>
      <c r="F43" s="53">
        <f t="shared" si="4"/>
        <v>1.1000000000000001</v>
      </c>
      <c r="G43" s="19" t="str">
        <f t="shared" si="5"/>
        <v>Provisional – calibrate</v>
      </c>
      <c r="H43" s="19" t="s">
        <v>1173</v>
      </c>
    </row>
    <row r="44" spans="1:8">
      <c r="A44" s="19" t="str">
        <f t="shared" si="3"/>
        <v>SEAL_PLAN|53C</v>
      </c>
      <c r="B44" s="19" t="s">
        <v>1171</v>
      </c>
      <c r="C44" s="19" t="s">
        <v>1185</v>
      </c>
      <c r="D44" s="51">
        <v>1.1000000000000001</v>
      </c>
      <c r="E44" s="52"/>
      <c r="F44" s="53">
        <f t="shared" si="4"/>
        <v>1.1000000000000001</v>
      </c>
      <c r="G44" s="19" t="str">
        <f t="shared" si="5"/>
        <v>Provisional – calibrate</v>
      </c>
      <c r="H44" s="19" t="s">
        <v>1173</v>
      </c>
    </row>
    <row r="45" spans="1:8">
      <c r="A45" s="19" t="str">
        <f t="shared" si="3"/>
        <v>SEAL_PLAN|54</v>
      </c>
      <c r="B45" s="19" t="s">
        <v>1171</v>
      </c>
      <c r="C45" s="19" t="s">
        <v>1186</v>
      </c>
      <c r="D45" s="51">
        <v>1.18</v>
      </c>
      <c r="E45" s="52"/>
      <c r="F45" s="53">
        <f t="shared" si="4"/>
        <v>1.18</v>
      </c>
      <c r="G45" s="19" t="str">
        <f t="shared" si="5"/>
        <v>Provisional – calibrate</v>
      </c>
      <c r="H45" s="19" t="s">
        <v>1173</v>
      </c>
    </row>
    <row r="46" spans="1:8">
      <c r="A46" s="19" t="str">
        <f t="shared" si="3"/>
        <v>SEAL_PLAN|62</v>
      </c>
      <c r="B46" s="19" t="s">
        <v>1171</v>
      </c>
      <c r="C46" s="19" t="s">
        <v>1187</v>
      </c>
      <c r="D46" s="51">
        <v>1.02</v>
      </c>
      <c r="E46" s="52"/>
      <c r="F46" s="53">
        <f t="shared" si="4"/>
        <v>1.02</v>
      </c>
      <c r="G46" s="19" t="str">
        <f t="shared" si="5"/>
        <v>Provisional – calibrate</v>
      </c>
      <c r="H46" s="19" t="s">
        <v>1173</v>
      </c>
    </row>
    <row r="47" spans="1:8">
      <c r="A47" s="19" t="str">
        <f t="shared" si="3"/>
        <v>SEAL_PLAN|65A</v>
      </c>
      <c r="B47" s="19" t="s">
        <v>1171</v>
      </c>
      <c r="C47" s="19" t="s">
        <v>1188</v>
      </c>
      <c r="D47" s="51">
        <v>1.01</v>
      </c>
      <c r="E47" s="52"/>
      <c r="F47" s="53">
        <f t="shared" si="4"/>
        <v>1.01</v>
      </c>
      <c r="G47" s="19" t="str">
        <f t="shared" si="5"/>
        <v>Provisional – calibrate</v>
      </c>
      <c r="H47" s="19" t="s">
        <v>1173</v>
      </c>
    </row>
    <row r="48" spans="1:8">
      <c r="A48" s="19" t="str">
        <f t="shared" si="3"/>
        <v>SEAL_PLAN|72/76</v>
      </c>
      <c r="B48" s="19" t="s">
        <v>1171</v>
      </c>
      <c r="C48" s="19" t="s">
        <v>1189</v>
      </c>
      <c r="D48" s="51">
        <v>1.04</v>
      </c>
      <c r="E48" s="52"/>
      <c r="F48" s="53">
        <f t="shared" si="4"/>
        <v>1.04</v>
      </c>
      <c r="G48" s="19" t="str">
        <f t="shared" si="5"/>
        <v>Provisional – calibrate</v>
      </c>
      <c r="H48" s="19" t="s">
        <v>1173</v>
      </c>
    </row>
    <row r="49" spans="1:8">
      <c r="A49" s="19" t="str">
        <f t="shared" si="3"/>
        <v>SEAL_PLAN|11+52</v>
      </c>
      <c r="B49" s="19" t="s">
        <v>1171</v>
      </c>
      <c r="C49" s="19" t="s">
        <v>839</v>
      </c>
      <c r="D49" s="51">
        <v>1.04</v>
      </c>
      <c r="E49" s="52"/>
      <c r="F49" s="53">
        <f t="shared" si="4"/>
        <v>1.04</v>
      </c>
      <c r="G49" s="19" t="str">
        <f t="shared" si="5"/>
        <v>Provisional – calibrate</v>
      </c>
      <c r="H49" s="19" t="s">
        <v>1173</v>
      </c>
    </row>
    <row r="50" spans="1:8">
      <c r="A50" s="19" t="str">
        <f t="shared" si="3"/>
        <v>SEAL_PLAN|11+53B</v>
      </c>
      <c r="B50" s="19" t="s">
        <v>1171</v>
      </c>
      <c r="C50" s="19" t="s">
        <v>1190</v>
      </c>
      <c r="D50" s="51">
        <v>1.1000000000000001</v>
      </c>
      <c r="E50" s="52"/>
      <c r="F50" s="53">
        <f t="shared" si="4"/>
        <v>1.1000000000000001</v>
      </c>
      <c r="G50" s="19" t="str">
        <f t="shared" si="5"/>
        <v>Provisional – calibrate</v>
      </c>
      <c r="H50" s="19" t="s">
        <v>1173</v>
      </c>
    </row>
    <row r="51" spans="1:8">
      <c r="A51" s="19" t="str">
        <f t="shared" si="3"/>
        <v>SEAL_PLAN|23+53B</v>
      </c>
      <c r="B51" s="19" t="s">
        <v>1171</v>
      </c>
      <c r="C51" s="19" t="s">
        <v>1191</v>
      </c>
      <c r="D51" s="51">
        <v>1.1200000000000001</v>
      </c>
      <c r="E51" s="52"/>
      <c r="F51" s="53">
        <f t="shared" si="4"/>
        <v>1.1200000000000001</v>
      </c>
      <c r="G51" s="19" t="str">
        <f t="shared" si="5"/>
        <v>Provisional – calibrate</v>
      </c>
      <c r="H51" s="19" t="s">
        <v>1173</v>
      </c>
    </row>
    <row r="52" spans="1:8">
      <c r="A52" s="19" t="str">
        <f t="shared" si="3"/>
        <v>SEAL_PLAN|N/A</v>
      </c>
      <c r="B52" s="19" t="s">
        <v>1171</v>
      </c>
      <c r="C52" s="19" t="s">
        <v>1170</v>
      </c>
      <c r="D52" s="51">
        <v>1</v>
      </c>
      <c r="E52" s="52"/>
      <c r="F52" s="53">
        <f t="shared" si="4"/>
        <v>1</v>
      </c>
      <c r="G52" s="19" t="str">
        <f t="shared" si="5"/>
        <v>Provisional – calibrate</v>
      </c>
      <c r="H52" s="19" t="s">
        <v>1173</v>
      </c>
    </row>
    <row r="53" spans="1:8">
      <c r="A53" s="19" t="str">
        <f t="shared" si="3"/>
        <v>SEAL_PLAN|Not stated</v>
      </c>
      <c r="B53" s="19" t="s">
        <v>1171</v>
      </c>
      <c r="C53" s="19" t="s">
        <v>119</v>
      </c>
      <c r="D53" s="51">
        <v>1</v>
      </c>
      <c r="E53" s="52"/>
      <c r="F53" s="53">
        <f t="shared" si="4"/>
        <v>1</v>
      </c>
      <c r="G53" s="19" t="str">
        <f t="shared" si="5"/>
        <v>Provisional – calibrate</v>
      </c>
      <c r="H53" s="19" t="s">
        <v>1192</v>
      </c>
    </row>
    <row r="54" spans="1:8">
      <c r="A54" s="19" t="str">
        <f t="shared" si="3"/>
        <v>DRV|Electric Motor</v>
      </c>
      <c r="B54" s="19" t="s">
        <v>1193</v>
      </c>
      <c r="C54" s="19" t="s">
        <v>297</v>
      </c>
      <c r="D54" s="51">
        <v>1</v>
      </c>
      <c r="E54" s="52"/>
      <c r="F54" s="53">
        <f t="shared" si="4"/>
        <v>1</v>
      </c>
      <c r="G54" s="19" t="str">
        <f t="shared" si="5"/>
        <v>Provisional – calibrate</v>
      </c>
      <c r="H54" s="19" t="s">
        <v>1194</v>
      </c>
    </row>
    <row r="55" spans="1:8">
      <c r="A55" s="19" t="str">
        <f t="shared" si="3"/>
        <v>DRV|Diesel Engine</v>
      </c>
      <c r="B55" s="19" t="s">
        <v>1193</v>
      </c>
      <c r="C55" s="19" t="s">
        <v>452</v>
      </c>
      <c r="D55" s="51">
        <v>1.35</v>
      </c>
      <c r="E55" s="52"/>
      <c r="F55" s="53">
        <f t="shared" si="4"/>
        <v>1.35</v>
      </c>
      <c r="G55" s="19" t="str">
        <f t="shared" si="5"/>
        <v>Provisional – calibrate</v>
      </c>
      <c r="H55" s="19" t="s">
        <v>1195</v>
      </c>
    </row>
    <row r="56" spans="1:8">
      <c r="A56" s="19" t="str">
        <f t="shared" si="3"/>
        <v>DRV|Steam Turbine</v>
      </c>
      <c r="B56" s="19" t="s">
        <v>1193</v>
      </c>
      <c r="C56" s="19" t="s">
        <v>1196</v>
      </c>
      <c r="D56" s="51">
        <v>1.6</v>
      </c>
      <c r="E56" s="52"/>
      <c r="F56" s="53">
        <f t="shared" si="4"/>
        <v>1.6</v>
      </c>
      <c r="G56" s="19" t="str">
        <f t="shared" si="5"/>
        <v>Provisional – calibrate</v>
      </c>
      <c r="H56" s="19" t="s">
        <v>1195</v>
      </c>
    </row>
    <row r="57" spans="1:8">
      <c r="A57" s="19" t="str">
        <f t="shared" si="3"/>
        <v>DRV|Air / Pneumatic</v>
      </c>
      <c r="B57" s="19" t="s">
        <v>1193</v>
      </c>
      <c r="C57" s="19" t="s">
        <v>1197</v>
      </c>
      <c r="D57" s="51">
        <v>0.9</v>
      </c>
      <c r="E57" s="52"/>
      <c r="F57" s="53">
        <f t="shared" si="4"/>
        <v>0.9</v>
      </c>
      <c r="G57" s="19" t="str">
        <f t="shared" si="5"/>
        <v>Provisional – calibrate</v>
      </c>
      <c r="H57" s="19" t="s">
        <v>1195</v>
      </c>
    </row>
    <row r="58" spans="1:8">
      <c r="A58" s="19" t="str">
        <f t="shared" si="3"/>
        <v>DRV|Portable (Air / Electric)</v>
      </c>
      <c r="B58" s="19" t="s">
        <v>1193</v>
      </c>
      <c r="C58" s="19" t="s">
        <v>744</v>
      </c>
      <c r="D58" s="51">
        <v>1</v>
      </c>
      <c r="E58" s="52"/>
      <c r="F58" s="53">
        <f t="shared" si="4"/>
        <v>1</v>
      </c>
      <c r="G58" s="19" t="str">
        <f t="shared" si="5"/>
        <v>Provisional – calibrate</v>
      </c>
      <c r="H58" s="19" t="s">
        <v>1195</v>
      </c>
    </row>
    <row r="59" spans="1:8">
      <c r="A59" s="19" t="str">
        <f t="shared" si="3"/>
        <v>DRV|Not stated</v>
      </c>
      <c r="B59" s="19" t="s">
        <v>1193</v>
      </c>
      <c r="C59" s="19" t="s">
        <v>119</v>
      </c>
      <c r="D59" s="51">
        <v>1</v>
      </c>
      <c r="E59" s="52"/>
      <c r="F59" s="53">
        <f t="shared" si="4"/>
        <v>1</v>
      </c>
      <c r="G59" s="19" t="str">
        <f t="shared" si="5"/>
        <v>Provisional – calibrate</v>
      </c>
      <c r="H59" s="19" t="s">
        <v>1195</v>
      </c>
    </row>
    <row r="60" spans="1:8">
      <c r="A60" s="19" t="str">
        <f t="shared" si="3"/>
        <v>NACE|Y</v>
      </c>
      <c r="B60" s="19" t="s">
        <v>1198</v>
      </c>
      <c r="C60" s="19" t="s">
        <v>361</v>
      </c>
      <c r="D60" s="51">
        <v>1.05</v>
      </c>
      <c r="E60" s="52"/>
      <c r="F60" s="53">
        <f t="shared" si="4"/>
        <v>1.05</v>
      </c>
      <c r="G60" s="19" t="str">
        <f t="shared" si="5"/>
        <v>Provisional – calibrate</v>
      </c>
      <c r="H60" s="19" t="s">
        <v>1199</v>
      </c>
    </row>
    <row r="61" spans="1:8">
      <c r="A61" s="19" t="str">
        <f t="shared" si="3"/>
        <v>NACE|N</v>
      </c>
      <c r="B61" s="19" t="s">
        <v>1198</v>
      </c>
      <c r="C61" s="19" t="s">
        <v>305</v>
      </c>
      <c r="D61" s="51">
        <v>1</v>
      </c>
      <c r="E61" s="52"/>
      <c r="F61" s="53">
        <f t="shared" si="4"/>
        <v>1</v>
      </c>
      <c r="G61" s="19" t="str">
        <f t="shared" si="5"/>
        <v>Provisional – calibrate</v>
      </c>
      <c r="H61" s="19" t="s">
        <v>1200</v>
      </c>
    </row>
    <row r="62" spans="1:8">
      <c r="A62" s="19" t="str">
        <f t="shared" si="3"/>
        <v>NACE|Not stated</v>
      </c>
      <c r="B62" s="19" t="s">
        <v>1198</v>
      </c>
      <c r="C62" s="19" t="s">
        <v>119</v>
      </c>
      <c r="D62" s="51">
        <v>1</v>
      </c>
      <c r="E62" s="52"/>
      <c r="F62" s="53">
        <f t="shared" si="4"/>
        <v>1</v>
      </c>
      <c r="G62" s="19" t="str">
        <f t="shared" si="5"/>
        <v>Provisional – calibrate</v>
      </c>
      <c r="H62" s="19" t="s">
        <v>1199</v>
      </c>
    </row>
    <row r="63" spans="1:8">
      <c r="A63" s="19" t="str">
        <f t="shared" si="3"/>
        <v>SC_DRV|Y</v>
      </c>
      <c r="B63" s="19" t="s">
        <v>1201</v>
      </c>
      <c r="C63" s="19" t="s">
        <v>361</v>
      </c>
      <c r="D63" s="51">
        <v>1</v>
      </c>
      <c r="E63" s="52"/>
      <c r="F63" s="53">
        <f t="shared" si="4"/>
        <v>1</v>
      </c>
      <c r="G63" s="19" t="str">
        <f t="shared" si="5"/>
        <v>Provisional – calibrate</v>
      </c>
      <c r="H63" s="19" t="s">
        <v>1202</v>
      </c>
    </row>
    <row r="64" spans="1:8">
      <c r="A64" s="19" t="str">
        <f t="shared" si="3"/>
        <v>SC_DRV|N</v>
      </c>
      <c r="B64" s="19" t="s">
        <v>1201</v>
      </c>
      <c r="C64" s="19" t="s">
        <v>305</v>
      </c>
      <c r="D64" s="51">
        <v>0.75</v>
      </c>
      <c r="E64" s="52"/>
      <c r="F64" s="53">
        <f t="shared" si="4"/>
        <v>0.75</v>
      </c>
      <c r="G64" s="19" t="str">
        <f t="shared" si="5"/>
        <v>Provisional – calibrate</v>
      </c>
      <c r="H64" s="19" t="s">
        <v>1203</v>
      </c>
    </row>
    <row r="65" spans="1:8">
      <c r="A65" s="19" t="str">
        <f t="shared" si="3"/>
        <v>SC_DRV|Not stated</v>
      </c>
      <c r="B65" s="19" t="s">
        <v>1201</v>
      </c>
      <c r="C65" s="19" t="s">
        <v>119</v>
      </c>
      <c r="D65" s="51">
        <v>1</v>
      </c>
      <c r="E65" s="52"/>
      <c r="F65" s="53">
        <f t="shared" si="4"/>
        <v>1</v>
      </c>
      <c r="G65" s="19" t="str">
        <f t="shared" si="5"/>
        <v>Provisional – calibrate</v>
      </c>
      <c r="H65" s="19" t="s">
        <v>1204</v>
      </c>
    </row>
    <row r="66" spans="1:8">
      <c r="A66" s="19" t="str">
        <f t="shared" si="3"/>
        <v>SC_BSP|Y</v>
      </c>
      <c r="B66" s="19" t="s">
        <v>1205</v>
      </c>
      <c r="C66" s="19" t="s">
        <v>361</v>
      </c>
      <c r="D66" s="51">
        <v>1</v>
      </c>
      <c r="E66" s="52"/>
      <c r="F66" s="53">
        <f t="shared" si="4"/>
        <v>1</v>
      </c>
      <c r="G66" s="19" t="str">
        <f t="shared" si="5"/>
        <v>Provisional – calibrate</v>
      </c>
      <c r="H66" s="19" t="s">
        <v>1206</v>
      </c>
    </row>
    <row r="67" spans="1:8">
      <c r="A67" s="19" t="str">
        <f t="shared" si="3"/>
        <v>SC_BSP|N</v>
      </c>
      <c r="B67" s="19" t="s">
        <v>1205</v>
      </c>
      <c r="C67" s="19" t="s">
        <v>305</v>
      </c>
      <c r="D67" s="51">
        <v>0.95</v>
      </c>
      <c r="E67" s="52"/>
      <c r="F67" s="53">
        <f t="shared" si="4"/>
        <v>0.95</v>
      </c>
      <c r="G67" s="19" t="str">
        <f t="shared" si="5"/>
        <v>Provisional – calibrate</v>
      </c>
      <c r="H67" s="19" t="s">
        <v>1207</v>
      </c>
    </row>
    <row r="68" spans="1:8">
      <c r="A68" s="19" t="str">
        <f t="shared" si="3"/>
        <v>SC_BSP|Not stated</v>
      </c>
      <c r="B68" s="19" t="s">
        <v>1205</v>
      </c>
      <c r="C68" s="19" t="s">
        <v>119</v>
      </c>
      <c r="D68" s="51">
        <v>1</v>
      </c>
      <c r="E68" s="52"/>
      <c r="F68" s="53">
        <f t="shared" si="4"/>
        <v>1</v>
      </c>
      <c r="G68" s="19" t="str">
        <f t="shared" si="5"/>
        <v>Provisional – calibrate</v>
      </c>
      <c r="H68" s="19" t="s">
        <v>1207</v>
      </c>
    </row>
    <row r="69" spans="1:8">
      <c r="A69" s="19" t="str">
        <f t="shared" ref="A69:A100" si="6">B69&amp;"|"&amp;C69</f>
        <v>SC_SEAL|Y</v>
      </c>
      <c r="B69" s="19" t="s">
        <v>1208</v>
      </c>
      <c r="C69" s="19" t="s">
        <v>361</v>
      </c>
      <c r="D69" s="51">
        <v>1</v>
      </c>
      <c r="E69" s="52"/>
      <c r="F69" s="53">
        <f t="shared" ref="F69:F100" si="7">IF(ISNUMBER(E69),E69,D69)</f>
        <v>1</v>
      </c>
      <c r="G69" s="19" t="str">
        <f t="shared" ref="G69:G83" si="8">IF(ISNUMBER(E69),"Calibrated","Provisional – calibrate")</f>
        <v>Provisional – calibrate</v>
      </c>
      <c r="H69" s="19" t="s">
        <v>1209</v>
      </c>
    </row>
    <row r="70" spans="1:8">
      <c r="A70" s="19" t="str">
        <f t="shared" si="6"/>
        <v>SC_SEAL|N</v>
      </c>
      <c r="B70" s="19" t="s">
        <v>1208</v>
      </c>
      <c r="C70" s="19" t="s">
        <v>305</v>
      </c>
      <c r="D70" s="51">
        <v>0.93</v>
      </c>
      <c r="E70" s="52"/>
      <c r="F70" s="53">
        <f t="shared" si="7"/>
        <v>0.93</v>
      </c>
      <c r="G70" s="19" t="str">
        <f t="shared" si="8"/>
        <v>Provisional – calibrate</v>
      </c>
      <c r="H70" s="19" t="s">
        <v>1210</v>
      </c>
    </row>
    <row r="71" spans="1:8">
      <c r="A71" s="19" t="str">
        <f t="shared" si="6"/>
        <v>SC_SEAL|Not stated</v>
      </c>
      <c r="B71" s="19" t="s">
        <v>1208</v>
      </c>
      <c r="C71" s="19" t="s">
        <v>119</v>
      </c>
      <c r="D71" s="51">
        <v>1</v>
      </c>
      <c r="E71" s="52"/>
      <c r="F71" s="53">
        <f t="shared" si="7"/>
        <v>1</v>
      </c>
      <c r="G71" s="19" t="str">
        <f t="shared" si="8"/>
        <v>Provisional – calibrate</v>
      </c>
      <c r="H71" s="19" t="s">
        <v>1210</v>
      </c>
    </row>
    <row r="72" spans="1:8">
      <c r="A72" s="19" t="str">
        <f t="shared" si="6"/>
        <v>SC_COMM|Y</v>
      </c>
      <c r="B72" s="19" t="s">
        <v>1211</v>
      </c>
      <c r="C72" s="19" t="s">
        <v>361</v>
      </c>
      <c r="D72" s="51">
        <v>1</v>
      </c>
      <c r="E72" s="52"/>
      <c r="F72" s="53">
        <f t="shared" si="7"/>
        <v>1</v>
      </c>
      <c r="G72" s="19" t="str">
        <f t="shared" si="8"/>
        <v>Provisional – calibrate</v>
      </c>
      <c r="H72" s="19" t="s">
        <v>1212</v>
      </c>
    </row>
    <row r="73" spans="1:8">
      <c r="A73" s="19" t="str">
        <f t="shared" si="6"/>
        <v>SC_COMM|N</v>
      </c>
      <c r="B73" s="19" t="s">
        <v>1211</v>
      </c>
      <c r="C73" s="19" t="s">
        <v>305</v>
      </c>
      <c r="D73" s="51">
        <v>0.98</v>
      </c>
      <c r="E73" s="52"/>
      <c r="F73" s="53">
        <f t="shared" si="7"/>
        <v>0.98</v>
      </c>
      <c r="G73" s="19" t="str">
        <f t="shared" si="8"/>
        <v>Provisional – calibrate</v>
      </c>
      <c r="H73" s="19" t="s">
        <v>1213</v>
      </c>
    </row>
    <row r="74" spans="1:8">
      <c r="A74" s="19" t="str">
        <f t="shared" si="6"/>
        <v>SC_COMM|Not stated</v>
      </c>
      <c r="B74" s="19" t="s">
        <v>1211</v>
      </c>
      <c r="C74" s="19" t="s">
        <v>119</v>
      </c>
      <c r="D74" s="51">
        <v>1</v>
      </c>
      <c r="E74" s="52"/>
      <c r="F74" s="53">
        <f t="shared" si="7"/>
        <v>1</v>
      </c>
      <c r="G74" s="19" t="str">
        <f t="shared" si="8"/>
        <v>Provisional – calibrate</v>
      </c>
      <c r="H74" s="19" t="s">
        <v>1213</v>
      </c>
    </row>
    <row r="75" spans="1:8">
      <c r="A75" s="19" t="str">
        <f t="shared" si="6"/>
        <v>SC_2Y|Y</v>
      </c>
      <c r="B75" s="19" t="s">
        <v>1214</v>
      </c>
      <c r="C75" s="19" t="s">
        <v>361</v>
      </c>
      <c r="D75" s="51">
        <v>1.08</v>
      </c>
      <c r="E75" s="52"/>
      <c r="F75" s="53">
        <f t="shared" si="7"/>
        <v>1.08</v>
      </c>
      <c r="G75" s="19" t="str">
        <f t="shared" si="8"/>
        <v>Provisional – calibrate</v>
      </c>
      <c r="H75" s="19" t="s">
        <v>1215</v>
      </c>
    </row>
    <row r="76" spans="1:8">
      <c r="A76" s="19" t="str">
        <f t="shared" si="6"/>
        <v>SC_2Y|N</v>
      </c>
      <c r="B76" s="19" t="s">
        <v>1214</v>
      </c>
      <c r="C76" s="19" t="s">
        <v>305</v>
      </c>
      <c r="D76" s="51">
        <v>1</v>
      </c>
      <c r="E76" s="52"/>
      <c r="F76" s="53">
        <f t="shared" si="7"/>
        <v>1</v>
      </c>
      <c r="G76" s="19" t="str">
        <f t="shared" si="8"/>
        <v>Provisional – calibrate</v>
      </c>
      <c r="H76" s="19" t="s">
        <v>1216</v>
      </c>
    </row>
    <row r="77" spans="1:8">
      <c r="A77" s="19" t="str">
        <f t="shared" si="6"/>
        <v>SC_2Y|Not stated</v>
      </c>
      <c r="B77" s="19" t="s">
        <v>1214</v>
      </c>
      <c r="C77" s="19" t="s">
        <v>119</v>
      </c>
      <c r="D77" s="51">
        <v>1</v>
      </c>
      <c r="E77" s="52"/>
      <c r="F77" s="53">
        <f t="shared" si="7"/>
        <v>1</v>
      </c>
      <c r="G77" s="19" t="str">
        <f t="shared" si="8"/>
        <v>Provisional – calibrate</v>
      </c>
      <c r="H77" s="19" t="s">
        <v>1215</v>
      </c>
    </row>
    <row r="78" spans="1:8">
      <c r="A78" s="19" t="str">
        <f t="shared" si="6"/>
        <v>SC_TPI|Y</v>
      </c>
      <c r="B78" s="19" t="s">
        <v>1217</v>
      </c>
      <c r="C78" s="19" t="s">
        <v>361</v>
      </c>
      <c r="D78" s="51">
        <v>1.02</v>
      </c>
      <c r="E78" s="52"/>
      <c r="F78" s="53">
        <f t="shared" si="7"/>
        <v>1.02</v>
      </c>
      <c r="G78" s="19" t="str">
        <f t="shared" si="8"/>
        <v>Provisional – calibrate</v>
      </c>
      <c r="H78" s="19" t="s">
        <v>1218</v>
      </c>
    </row>
    <row r="79" spans="1:8">
      <c r="A79" s="19" t="str">
        <f t="shared" si="6"/>
        <v>SC_TPI|N</v>
      </c>
      <c r="B79" s="19" t="s">
        <v>1217</v>
      </c>
      <c r="C79" s="19" t="s">
        <v>305</v>
      </c>
      <c r="D79" s="51">
        <v>1</v>
      </c>
      <c r="E79" s="52"/>
      <c r="F79" s="53">
        <f t="shared" si="7"/>
        <v>1</v>
      </c>
      <c r="G79" s="19" t="str">
        <f t="shared" si="8"/>
        <v>Provisional – calibrate</v>
      </c>
      <c r="H79" s="19" t="s">
        <v>1219</v>
      </c>
    </row>
    <row r="80" spans="1:8">
      <c r="A80" s="19" t="str">
        <f t="shared" si="6"/>
        <v>SC_TPI|Not stated</v>
      </c>
      <c r="B80" s="19" t="s">
        <v>1217</v>
      </c>
      <c r="C80" s="19" t="s">
        <v>119</v>
      </c>
      <c r="D80" s="51">
        <v>1</v>
      </c>
      <c r="E80" s="52"/>
      <c r="F80" s="53">
        <f t="shared" si="7"/>
        <v>1</v>
      </c>
      <c r="G80" s="19" t="str">
        <f t="shared" si="8"/>
        <v>Provisional – calibrate</v>
      </c>
      <c r="H80" s="19" t="s">
        <v>1218</v>
      </c>
    </row>
    <row r="81" spans="1:8">
      <c r="A81" s="19" t="str">
        <f t="shared" si="6"/>
        <v>SC_FAT|Y</v>
      </c>
      <c r="B81" s="19" t="s">
        <v>1220</v>
      </c>
      <c r="C81" s="19" t="s">
        <v>361</v>
      </c>
      <c r="D81" s="51">
        <v>1.02</v>
      </c>
      <c r="E81" s="52"/>
      <c r="F81" s="53">
        <f t="shared" si="7"/>
        <v>1.02</v>
      </c>
      <c r="G81" s="19" t="str">
        <f t="shared" si="8"/>
        <v>Provisional – calibrate</v>
      </c>
      <c r="H81" s="19" t="s">
        <v>1221</v>
      </c>
    </row>
    <row r="82" spans="1:8">
      <c r="A82" s="19" t="str">
        <f t="shared" si="6"/>
        <v>SC_FAT|N</v>
      </c>
      <c r="B82" s="19" t="s">
        <v>1220</v>
      </c>
      <c r="C82" s="19" t="s">
        <v>305</v>
      </c>
      <c r="D82" s="51">
        <v>1</v>
      </c>
      <c r="E82" s="52"/>
      <c r="F82" s="53">
        <f t="shared" si="7"/>
        <v>1</v>
      </c>
      <c r="G82" s="19" t="str">
        <f t="shared" si="8"/>
        <v>Provisional – calibrate</v>
      </c>
      <c r="H82" s="19" t="s">
        <v>1222</v>
      </c>
    </row>
    <row r="83" spans="1:8">
      <c r="A83" s="19" t="str">
        <f t="shared" si="6"/>
        <v>SC_FAT|Not stated</v>
      </c>
      <c r="B83" s="19" t="s">
        <v>1220</v>
      </c>
      <c r="C83" s="19" t="s">
        <v>119</v>
      </c>
      <c r="D83" s="51">
        <v>1</v>
      </c>
      <c r="E83" s="52"/>
      <c r="F83" s="53">
        <f t="shared" si="7"/>
        <v>1</v>
      </c>
      <c r="G83" s="19" t="str">
        <f t="shared" si="8"/>
        <v>Provisional – calibrate</v>
      </c>
      <c r="H83" s="19" t="s">
        <v>1221</v>
      </c>
    </row>
  </sheetData>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28"/>
  <sheetViews>
    <sheetView showGridLines="0" zoomScaleNormal="100" workbookViewId="0">
      <pane ySplit="4" topLeftCell="A5" activePane="bottomLeft" state="frozen"/>
      <selection pane="bottomLeft"/>
    </sheetView>
  </sheetViews>
  <sheetFormatPr defaultColWidth="8.7109375" defaultRowHeight="15"/>
  <cols>
    <col min="1" max="1" width="10" customWidth="1"/>
    <col min="2" max="2" width="27" customWidth="1"/>
    <col min="3" max="3" width="18" customWidth="1"/>
    <col min="4" max="4" width="14" customWidth="1"/>
    <col min="5" max="5" width="30" customWidth="1"/>
    <col min="6" max="6" width="19" customWidth="1"/>
    <col min="7" max="7" width="18" customWidth="1"/>
    <col min="8" max="8" width="10" customWidth="1"/>
    <col min="9" max="9" width="12" customWidth="1"/>
    <col min="10" max="10" width="10" customWidth="1"/>
    <col min="11" max="11" width="14" customWidth="1"/>
    <col min="12" max="12" width="26" customWidth="1"/>
    <col min="13" max="13" width="22" customWidth="1"/>
    <col min="14" max="15" width="21" customWidth="1"/>
    <col min="16" max="17" width="10" customWidth="1"/>
    <col min="18" max="18" width="18" customWidth="1"/>
    <col min="19" max="19" width="28" customWidth="1"/>
    <col min="20" max="21" width="12" customWidth="1"/>
    <col min="22" max="22" width="27" customWidth="1"/>
    <col min="24" max="35" width="22" customWidth="1"/>
  </cols>
  <sheetData>
    <row r="1" spans="1:35" ht="18">
      <c r="A1" s="10" t="s">
        <v>1223</v>
      </c>
    </row>
    <row r="2" spans="1:35">
      <c r="A2" s="11" t="s">
        <v>1224</v>
      </c>
    </row>
    <row r="4" spans="1:35">
      <c r="A4" s="18" t="s">
        <v>1225</v>
      </c>
      <c r="B4" s="18" t="s">
        <v>894</v>
      </c>
      <c r="C4" s="18" t="s">
        <v>1226</v>
      </c>
      <c r="D4" s="18" t="s">
        <v>1227</v>
      </c>
      <c r="E4" s="18" t="s">
        <v>1228</v>
      </c>
      <c r="F4" s="18" t="s">
        <v>1229</v>
      </c>
      <c r="G4" s="18" t="s">
        <v>1230</v>
      </c>
      <c r="H4" s="18" t="s">
        <v>1231</v>
      </c>
      <c r="I4" s="18" t="s">
        <v>1232</v>
      </c>
      <c r="J4" s="18" t="s">
        <v>914</v>
      </c>
      <c r="K4" s="18" t="s">
        <v>1233</v>
      </c>
      <c r="L4" s="18" t="s">
        <v>193</v>
      </c>
      <c r="M4" s="18" t="s">
        <v>1234</v>
      </c>
      <c r="N4" s="18" t="s">
        <v>1110</v>
      </c>
      <c r="O4" s="18" t="s">
        <v>1235</v>
      </c>
      <c r="P4" s="18" t="s">
        <v>1236</v>
      </c>
      <c r="Q4" s="18" t="s">
        <v>1237</v>
      </c>
      <c r="R4" s="18" t="s">
        <v>1139</v>
      </c>
      <c r="S4" s="18" t="s">
        <v>1156</v>
      </c>
      <c r="T4" s="18" t="s">
        <v>1165</v>
      </c>
      <c r="U4" s="18" t="s">
        <v>1171</v>
      </c>
      <c r="V4" s="18" t="s">
        <v>1193</v>
      </c>
      <c r="X4" s="54" t="s">
        <v>1238</v>
      </c>
      <c r="Y4" s="54" t="s">
        <v>1239</v>
      </c>
      <c r="Z4" s="54" t="s">
        <v>1240</v>
      </c>
      <c r="AA4" s="54" t="s">
        <v>1241</v>
      </c>
      <c r="AB4" s="54" t="s">
        <v>1242</v>
      </c>
      <c r="AC4" s="54" t="s">
        <v>1243</v>
      </c>
      <c r="AD4" s="54" t="s">
        <v>1244</v>
      </c>
      <c r="AE4" s="54" t="s">
        <v>1245</v>
      </c>
      <c r="AF4" s="54" t="s">
        <v>1246</v>
      </c>
      <c r="AG4" s="54" t="s">
        <v>1247</v>
      </c>
      <c r="AH4" s="54" t="s">
        <v>1248</v>
      </c>
      <c r="AI4" s="54" t="s">
        <v>1249</v>
      </c>
    </row>
    <row r="5" spans="1:35">
      <c r="A5" s="19" t="s">
        <v>41</v>
      </c>
      <c r="B5" s="19" t="s">
        <v>298</v>
      </c>
      <c r="C5" s="19" t="s">
        <v>470</v>
      </c>
      <c r="D5" s="19" t="s">
        <v>471</v>
      </c>
      <c r="E5" s="19" t="s">
        <v>299</v>
      </c>
      <c r="F5" s="19" t="s">
        <v>125</v>
      </c>
      <c r="G5" s="19" t="s">
        <v>1250</v>
      </c>
      <c r="H5" s="19" t="s">
        <v>361</v>
      </c>
      <c r="I5" s="19" t="s">
        <v>361</v>
      </c>
      <c r="J5" s="19" t="s">
        <v>355</v>
      </c>
      <c r="K5" s="19">
        <v>1385</v>
      </c>
      <c r="L5" s="19" t="s">
        <v>197</v>
      </c>
      <c r="M5" s="19" t="s">
        <v>1251</v>
      </c>
      <c r="N5" s="19" t="s">
        <v>1252</v>
      </c>
      <c r="O5" s="19" t="s">
        <v>1119</v>
      </c>
      <c r="P5" s="19" t="s">
        <v>1120</v>
      </c>
      <c r="Q5" s="19" t="s">
        <v>361</v>
      </c>
      <c r="R5" s="19" t="s">
        <v>66</v>
      </c>
      <c r="S5" s="19" t="s">
        <v>1157</v>
      </c>
      <c r="T5" s="19" t="s">
        <v>1166</v>
      </c>
      <c r="U5" s="19" t="s">
        <v>1172</v>
      </c>
      <c r="V5" s="19" t="s">
        <v>297</v>
      </c>
      <c r="X5" s="19" t="s">
        <v>868</v>
      </c>
      <c r="Y5" s="19" t="s">
        <v>868</v>
      </c>
      <c r="Z5" s="19" t="s">
        <v>868</v>
      </c>
      <c r="AA5" s="19" t="s">
        <v>868</v>
      </c>
      <c r="AB5" s="19" t="s">
        <v>868</v>
      </c>
      <c r="AC5" s="19" t="s">
        <v>868</v>
      </c>
      <c r="AD5" s="19" t="s">
        <v>868</v>
      </c>
      <c r="AE5" s="19" t="s">
        <v>868</v>
      </c>
      <c r="AF5" s="19" t="s">
        <v>868</v>
      </c>
      <c r="AG5" s="19" t="s">
        <v>868</v>
      </c>
      <c r="AH5" s="19" t="s">
        <v>868</v>
      </c>
      <c r="AI5" s="19" t="s">
        <v>868</v>
      </c>
    </row>
    <row r="6" spans="1:35">
      <c r="A6" s="19" t="s">
        <v>44</v>
      </c>
      <c r="B6" s="19" t="s">
        <v>424</v>
      </c>
      <c r="C6" s="19" t="s">
        <v>1253</v>
      </c>
      <c r="D6" s="19" t="s">
        <v>616</v>
      </c>
      <c r="E6" s="19" t="s">
        <v>666</v>
      </c>
      <c r="F6" s="19" t="s">
        <v>128</v>
      </c>
      <c r="G6" s="19" t="s">
        <v>751</v>
      </c>
      <c r="H6" s="19" t="s">
        <v>305</v>
      </c>
      <c r="I6" s="19" t="s">
        <v>305</v>
      </c>
      <c r="J6" s="19" t="s">
        <v>301</v>
      </c>
      <c r="K6" s="19">
        <v>1386</v>
      </c>
      <c r="L6" s="19" t="s">
        <v>201</v>
      </c>
      <c r="M6" s="19" t="s">
        <v>358</v>
      </c>
      <c r="N6" s="19" t="s">
        <v>1254</v>
      </c>
      <c r="O6" s="19" t="s">
        <v>1255</v>
      </c>
      <c r="P6" s="19" t="s">
        <v>1256</v>
      </c>
      <c r="Q6" s="19" t="s">
        <v>305</v>
      </c>
      <c r="R6" s="19" t="s">
        <v>70</v>
      </c>
      <c r="S6" s="19" t="s">
        <v>1159</v>
      </c>
      <c r="T6" s="19" t="s">
        <v>836</v>
      </c>
      <c r="U6" s="19" t="s">
        <v>1174</v>
      </c>
      <c r="V6" s="19" t="s">
        <v>452</v>
      </c>
      <c r="X6" s="19" t="s">
        <v>294</v>
      </c>
      <c r="Y6" s="19" t="s">
        <v>41</v>
      </c>
      <c r="Z6" s="19" t="s">
        <v>298</v>
      </c>
      <c r="AA6" s="19" t="s">
        <v>470</v>
      </c>
      <c r="AB6" s="19" t="s">
        <v>299</v>
      </c>
      <c r="AC6" s="19" t="s">
        <v>125</v>
      </c>
      <c r="AD6" s="19" t="s">
        <v>66</v>
      </c>
      <c r="AE6" s="19" t="s">
        <v>361</v>
      </c>
      <c r="AF6" s="19" t="s">
        <v>1157</v>
      </c>
      <c r="AG6" s="19" t="s">
        <v>297</v>
      </c>
      <c r="AH6" s="19">
        <v>1393</v>
      </c>
      <c r="AI6" s="19" t="s">
        <v>361</v>
      </c>
    </row>
    <row r="7" spans="1:35">
      <c r="A7" s="19" t="s">
        <v>47</v>
      </c>
      <c r="B7" s="19" t="s">
        <v>326</v>
      </c>
      <c r="C7" s="19" t="s">
        <v>1257</v>
      </c>
      <c r="D7" s="19" t="s">
        <v>638</v>
      </c>
      <c r="E7" s="19" t="s">
        <v>485</v>
      </c>
      <c r="F7" s="19" t="s">
        <v>131</v>
      </c>
      <c r="G7" s="19" t="s">
        <v>119</v>
      </c>
      <c r="I7" s="19" t="s">
        <v>119</v>
      </c>
      <c r="J7" s="19" t="s">
        <v>446</v>
      </c>
      <c r="K7" s="19">
        <v>1387</v>
      </c>
      <c r="L7" s="19" t="s">
        <v>204</v>
      </c>
      <c r="M7" s="19" t="s">
        <v>474</v>
      </c>
      <c r="N7" s="19" t="s">
        <v>1118</v>
      </c>
      <c r="O7" s="19" t="s">
        <v>1258</v>
      </c>
      <c r="P7" s="19" t="s">
        <v>1259</v>
      </c>
      <c r="Q7" s="19" t="s">
        <v>933</v>
      </c>
      <c r="R7" s="19" t="s">
        <v>74</v>
      </c>
      <c r="S7" s="19" t="s">
        <v>833</v>
      </c>
      <c r="T7" s="19" t="s">
        <v>1169</v>
      </c>
      <c r="U7" s="19" t="s">
        <v>1175</v>
      </c>
      <c r="V7" s="19" t="s">
        <v>1196</v>
      </c>
      <c r="X7" s="19" t="s">
        <v>750</v>
      </c>
      <c r="Y7" s="19" t="s">
        <v>44</v>
      </c>
      <c r="Z7" s="19" t="s">
        <v>424</v>
      </c>
      <c r="AA7" s="19" t="s">
        <v>1253</v>
      </c>
      <c r="AB7" s="19" t="s">
        <v>666</v>
      </c>
      <c r="AC7" s="19" t="s">
        <v>128</v>
      </c>
      <c r="AD7" s="19" t="s">
        <v>70</v>
      </c>
      <c r="AE7" s="19" t="s">
        <v>305</v>
      </c>
      <c r="AF7" s="19" t="s">
        <v>1159</v>
      </c>
      <c r="AG7" s="19" t="s">
        <v>452</v>
      </c>
      <c r="AH7" s="19">
        <v>1402</v>
      </c>
      <c r="AI7" s="19" t="s">
        <v>305</v>
      </c>
    </row>
    <row r="8" spans="1:35">
      <c r="A8" s="19" t="s">
        <v>50</v>
      </c>
      <c r="B8" s="19" t="s">
        <v>319</v>
      </c>
      <c r="C8" s="19" t="s">
        <v>483</v>
      </c>
      <c r="D8" s="19" t="s">
        <v>484</v>
      </c>
      <c r="E8" s="19" t="s">
        <v>514</v>
      </c>
      <c r="F8" s="19" t="s">
        <v>134</v>
      </c>
      <c r="K8" s="19">
        <v>1388</v>
      </c>
      <c r="L8" s="19" t="s">
        <v>208</v>
      </c>
      <c r="M8" s="19" t="s">
        <v>1260</v>
      </c>
      <c r="O8" s="19" t="s">
        <v>1125</v>
      </c>
      <c r="R8" s="19" t="s">
        <v>77</v>
      </c>
      <c r="S8" s="19" t="s">
        <v>1161</v>
      </c>
      <c r="T8" s="19" t="s">
        <v>1170</v>
      </c>
      <c r="U8" s="19" t="s">
        <v>1177</v>
      </c>
      <c r="V8" s="19" t="s">
        <v>1197</v>
      </c>
      <c r="X8" s="19" t="s">
        <v>353</v>
      </c>
      <c r="Y8" s="19" t="s">
        <v>47</v>
      </c>
      <c r="Z8" s="19" t="s">
        <v>326</v>
      </c>
      <c r="AA8" s="19" t="s">
        <v>1257</v>
      </c>
      <c r="AB8" s="19" t="s">
        <v>485</v>
      </c>
      <c r="AC8" s="19" t="s">
        <v>131</v>
      </c>
      <c r="AD8" s="19" t="s">
        <v>74</v>
      </c>
      <c r="AE8" s="19" t="s">
        <v>119</v>
      </c>
      <c r="AF8" s="19" t="s">
        <v>833</v>
      </c>
      <c r="AG8" s="19" t="s">
        <v>1196</v>
      </c>
      <c r="AH8" s="19">
        <v>1404</v>
      </c>
    </row>
    <row r="9" spans="1:35">
      <c r="A9" s="19" t="s">
        <v>53</v>
      </c>
      <c r="B9" s="19" t="s">
        <v>383</v>
      </c>
      <c r="C9" s="19" t="s">
        <v>1261</v>
      </c>
      <c r="D9" s="19" t="s">
        <v>296</v>
      </c>
      <c r="E9" s="19" t="s">
        <v>343</v>
      </c>
      <c r="F9" s="19" t="s">
        <v>137</v>
      </c>
      <c r="K9" s="19">
        <v>1389</v>
      </c>
      <c r="L9" s="19" t="s">
        <v>211</v>
      </c>
      <c r="M9" s="19" t="s">
        <v>1262</v>
      </c>
      <c r="R9" s="19" t="s">
        <v>81</v>
      </c>
      <c r="S9" s="19" t="s">
        <v>1162</v>
      </c>
      <c r="T9" s="19" t="s">
        <v>119</v>
      </c>
      <c r="U9" s="19" t="s">
        <v>1178</v>
      </c>
      <c r="V9" s="19" t="s">
        <v>744</v>
      </c>
      <c r="X9" s="19" t="s">
        <v>468</v>
      </c>
      <c r="Y9" s="19" t="s">
        <v>50</v>
      </c>
      <c r="Z9" s="19" t="s">
        <v>319</v>
      </c>
      <c r="AA9" s="19" t="s">
        <v>483</v>
      </c>
      <c r="AB9" s="19" t="s">
        <v>514</v>
      </c>
      <c r="AC9" s="19" t="s">
        <v>134</v>
      </c>
      <c r="AD9" s="19" t="s">
        <v>77</v>
      </c>
      <c r="AF9" s="19" t="s">
        <v>1161</v>
      </c>
      <c r="AG9" s="19" t="s">
        <v>1197</v>
      </c>
      <c r="AH9" s="19" t="s">
        <v>300</v>
      </c>
    </row>
    <row r="10" spans="1:35">
      <c r="A10" s="19" t="s">
        <v>56</v>
      </c>
      <c r="B10" s="19" t="s">
        <v>330</v>
      </c>
      <c r="C10" s="19" t="s">
        <v>615</v>
      </c>
      <c r="E10" s="19" t="s">
        <v>339</v>
      </c>
      <c r="F10" s="19" t="s">
        <v>140</v>
      </c>
      <c r="K10" s="19">
        <v>1390</v>
      </c>
      <c r="L10" s="19" t="s">
        <v>214</v>
      </c>
      <c r="M10" s="19" t="s">
        <v>1263</v>
      </c>
      <c r="R10" s="19" t="s">
        <v>83</v>
      </c>
      <c r="S10" s="19" t="s">
        <v>1163</v>
      </c>
      <c r="U10" s="19" t="s">
        <v>1179</v>
      </c>
      <c r="V10" s="19" t="s">
        <v>119</v>
      </c>
      <c r="X10" s="19" t="s">
        <v>550</v>
      </c>
      <c r="Y10" s="19" t="s">
        <v>53</v>
      </c>
      <c r="Z10" s="19" t="s">
        <v>383</v>
      </c>
      <c r="AA10" s="19" t="s">
        <v>1261</v>
      </c>
      <c r="AB10" s="19" t="s">
        <v>343</v>
      </c>
      <c r="AC10" s="19" t="s">
        <v>137</v>
      </c>
      <c r="AD10" s="19" t="s">
        <v>81</v>
      </c>
      <c r="AF10" s="19" t="s">
        <v>1162</v>
      </c>
      <c r="AG10" s="19" t="s">
        <v>744</v>
      </c>
    </row>
    <row r="11" spans="1:35">
      <c r="B11" s="19" t="s">
        <v>334</v>
      </c>
      <c r="C11" s="19" t="s">
        <v>1264</v>
      </c>
      <c r="E11" s="19" t="s">
        <v>1265</v>
      </c>
      <c r="F11" s="19" t="s">
        <v>143</v>
      </c>
      <c r="K11" s="19">
        <v>1391</v>
      </c>
      <c r="L11" s="19" t="s">
        <v>217</v>
      </c>
      <c r="M11" s="19" t="s">
        <v>119</v>
      </c>
      <c r="R11" s="19" t="s">
        <v>86</v>
      </c>
      <c r="S11" s="19" t="s">
        <v>119</v>
      </c>
      <c r="U11" s="19" t="s">
        <v>1180</v>
      </c>
      <c r="X11" s="19" t="s">
        <v>682</v>
      </c>
      <c r="Y11" s="19" t="s">
        <v>56</v>
      </c>
      <c r="Z11" s="19" t="s">
        <v>330</v>
      </c>
      <c r="AA11" s="19" t="s">
        <v>615</v>
      </c>
      <c r="AB11" s="19" t="s">
        <v>339</v>
      </c>
      <c r="AC11" s="19" t="s">
        <v>140</v>
      </c>
      <c r="AD11" s="19" t="s">
        <v>83</v>
      </c>
      <c r="AF11" s="19" t="s">
        <v>1163</v>
      </c>
      <c r="AG11" s="19" t="s">
        <v>119</v>
      </c>
    </row>
    <row r="12" spans="1:35">
      <c r="B12" s="19" t="s">
        <v>547</v>
      </c>
      <c r="C12" s="19" t="s">
        <v>637</v>
      </c>
      <c r="E12" s="19" t="s">
        <v>1266</v>
      </c>
      <c r="F12" s="19" t="s">
        <v>146</v>
      </c>
      <c r="K12" s="19">
        <v>1392</v>
      </c>
      <c r="L12" s="19" t="s">
        <v>220</v>
      </c>
      <c r="R12" s="19" t="s">
        <v>90</v>
      </c>
      <c r="U12" s="19" t="s">
        <v>1181</v>
      </c>
      <c r="Z12" s="19" t="s">
        <v>334</v>
      </c>
      <c r="AA12" s="19" t="s">
        <v>1264</v>
      </c>
      <c r="AB12" s="19" t="s">
        <v>1265</v>
      </c>
      <c r="AC12" s="19" t="s">
        <v>143</v>
      </c>
      <c r="AD12" s="19" t="s">
        <v>86</v>
      </c>
      <c r="AF12" s="19" t="s">
        <v>119</v>
      </c>
    </row>
    <row r="13" spans="1:35">
      <c r="B13" s="19" t="s">
        <v>403</v>
      </c>
      <c r="C13" s="19" t="s">
        <v>665</v>
      </c>
      <c r="E13" s="19" t="s">
        <v>1267</v>
      </c>
      <c r="F13" s="19" t="s">
        <v>149</v>
      </c>
      <c r="K13" s="19">
        <v>1393</v>
      </c>
      <c r="L13" s="19" t="s">
        <v>119</v>
      </c>
      <c r="R13" s="19" t="s">
        <v>94</v>
      </c>
      <c r="U13" s="19" t="s">
        <v>1182</v>
      </c>
      <c r="Z13" s="19" t="s">
        <v>547</v>
      </c>
      <c r="AA13" s="19" t="s">
        <v>637</v>
      </c>
      <c r="AB13" s="19" t="s">
        <v>1266</v>
      </c>
      <c r="AC13" s="19" t="s">
        <v>146</v>
      </c>
      <c r="AD13" s="19" t="s">
        <v>90</v>
      </c>
    </row>
    <row r="14" spans="1:35">
      <c r="B14" s="19" t="s">
        <v>338</v>
      </c>
      <c r="C14" s="19" t="s">
        <v>1268</v>
      </c>
      <c r="E14" s="19" t="s">
        <v>674</v>
      </c>
      <c r="F14" s="19" t="s">
        <v>152</v>
      </c>
      <c r="K14" s="19">
        <v>1394</v>
      </c>
      <c r="R14" s="19" t="s">
        <v>98</v>
      </c>
      <c r="U14" s="19" t="s">
        <v>1183</v>
      </c>
      <c r="Z14" s="19" t="s">
        <v>403</v>
      </c>
      <c r="AA14" s="19" t="s">
        <v>665</v>
      </c>
      <c r="AB14" s="19" t="s">
        <v>1267</v>
      </c>
      <c r="AC14" s="19" t="s">
        <v>149</v>
      </c>
      <c r="AD14" s="19" t="s">
        <v>94</v>
      </c>
    </row>
    <row r="15" spans="1:35">
      <c r="B15" s="19" t="s">
        <v>445</v>
      </c>
      <c r="C15" s="19" t="s">
        <v>119</v>
      </c>
      <c r="E15" s="19" t="s">
        <v>1269</v>
      </c>
      <c r="F15" s="19" t="s">
        <v>155</v>
      </c>
      <c r="K15" s="19">
        <v>1395</v>
      </c>
      <c r="R15" s="19" t="s">
        <v>100</v>
      </c>
      <c r="U15" s="19" t="s">
        <v>1184</v>
      </c>
      <c r="Z15" s="19" t="s">
        <v>338</v>
      </c>
      <c r="AA15" s="19" t="s">
        <v>1268</v>
      </c>
      <c r="AB15" s="19" t="s">
        <v>674</v>
      </c>
      <c r="AC15" s="19" t="s">
        <v>152</v>
      </c>
      <c r="AD15" s="19" t="s">
        <v>98</v>
      </c>
    </row>
    <row r="16" spans="1:35">
      <c r="B16" s="19" t="s">
        <v>655</v>
      </c>
      <c r="E16" s="19" t="s">
        <v>119</v>
      </c>
      <c r="F16" s="19" t="s">
        <v>158</v>
      </c>
      <c r="K16" s="19">
        <v>1396</v>
      </c>
      <c r="R16" s="19" t="s">
        <v>104</v>
      </c>
      <c r="U16" s="19" t="s">
        <v>1185</v>
      </c>
      <c r="Z16" s="19" t="s">
        <v>445</v>
      </c>
      <c r="AA16" s="19" t="s">
        <v>119</v>
      </c>
      <c r="AB16" s="19" t="s">
        <v>1269</v>
      </c>
      <c r="AC16" s="19" t="s">
        <v>155</v>
      </c>
      <c r="AD16" s="19" t="s">
        <v>100</v>
      </c>
    </row>
    <row r="17" spans="2:30">
      <c r="B17" s="19" t="s">
        <v>1270</v>
      </c>
      <c r="F17" s="19" t="s">
        <v>161</v>
      </c>
      <c r="K17" s="19">
        <v>1397</v>
      </c>
      <c r="R17" s="19" t="s">
        <v>107</v>
      </c>
      <c r="U17" s="19" t="s">
        <v>1186</v>
      </c>
      <c r="Z17" s="19" t="s">
        <v>655</v>
      </c>
      <c r="AB17" s="19" t="s">
        <v>119</v>
      </c>
      <c r="AC17" s="19" t="s">
        <v>158</v>
      </c>
      <c r="AD17" s="19" t="s">
        <v>104</v>
      </c>
    </row>
    <row r="18" spans="2:30">
      <c r="F18" s="19" t="s">
        <v>164</v>
      </c>
      <c r="K18" s="19">
        <v>1398</v>
      </c>
      <c r="R18" s="19" t="s">
        <v>111</v>
      </c>
      <c r="U18" s="19" t="s">
        <v>1187</v>
      </c>
      <c r="Z18" s="19" t="s">
        <v>1270</v>
      </c>
      <c r="AC18" s="19" t="s">
        <v>161</v>
      </c>
      <c r="AD18" s="19" t="s">
        <v>107</v>
      </c>
    </row>
    <row r="19" spans="2:30">
      <c r="F19" s="19" t="s">
        <v>167</v>
      </c>
      <c r="K19" s="19">
        <v>1399</v>
      </c>
      <c r="R19" s="19" t="s">
        <v>115</v>
      </c>
      <c r="U19" s="19" t="s">
        <v>1188</v>
      </c>
      <c r="AC19" s="19" t="s">
        <v>164</v>
      </c>
      <c r="AD19" s="19" t="s">
        <v>111</v>
      </c>
    </row>
    <row r="20" spans="2:30">
      <c r="F20" s="19" t="s">
        <v>170</v>
      </c>
      <c r="K20" s="19">
        <v>1400</v>
      </c>
      <c r="R20" s="19" t="s">
        <v>119</v>
      </c>
      <c r="U20" s="19" t="s">
        <v>1189</v>
      </c>
      <c r="AC20" s="19" t="s">
        <v>167</v>
      </c>
      <c r="AD20" s="19" t="s">
        <v>115</v>
      </c>
    </row>
    <row r="21" spans="2:30">
      <c r="F21" s="19" t="s">
        <v>173</v>
      </c>
      <c r="K21" s="19">
        <v>1401</v>
      </c>
      <c r="U21" s="19" t="s">
        <v>839</v>
      </c>
      <c r="AC21" s="19" t="s">
        <v>170</v>
      </c>
      <c r="AD21" s="19" t="s">
        <v>119</v>
      </c>
    </row>
    <row r="22" spans="2:30">
      <c r="F22" s="19" t="s">
        <v>176</v>
      </c>
      <c r="K22" s="19">
        <v>1402</v>
      </c>
      <c r="U22" s="19" t="s">
        <v>1190</v>
      </c>
      <c r="AC22" s="19" t="s">
        <v>173</v>
      </c>
    </row>
    <row r="23" spans="2:30">
      <c r="F23" s="19" t="s">
        <v>179</v>
      </c>
      <c r="K23" s="19">
        <v>1403</v>
      </c>
      <c r="U23" s="19" t="s">
        <v>1191</v>
      </c>
      <c r="AC23" s="19" t="s">
        <v>176</v>
      </c>
    </row>
    <row r="24" spans="2:30">
      <c r="F24" s="19" t="s">
        <v>182</v>
      </c>
      <c r="K24" s="19">
        <v>1404</v>
      </c>
      <c r="U24" s="19" t="s">
        <v>1170</v>
      </c>
      <c r="AC24" s="19" t="s">
        <v>179</v>
      </c>
    </row>
    <row r="25" spans="2:30">
      <c r="F25" s="19" t="s">
        <v>185</v>
      </c>
      <c r="K25" s="19">
        <v>1405</v>
      </c>
      <c r="U25" s="19" t="s">
        <v>119</v>
      </c>
      <c r="AC25" s="19" t="s">
        <v>182</v>
      </c>
    </row>
    <row r="26" spans="2:30">
      <c r="F26" s="19" t="s">
        <v>188</v>
      </c>
      <c r="K26" s="19" t="s">
        <v>300</v>
      </c>
      <c r="AC26" s="19" t="s">
        <v>185</v>
      </c>
    </row>
    <row r="27" spans="2:30">
      <c r="F27" s="19" t="s">
        <v>119</v>
      </c>
      <c r="AC27" s="19" t="s">
        <v>188</v>
      </c>
    </row>
    <row r="28" spans="2:30">
      <c r="AC28" s="19" t="s">
        <v>119</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5"/>
  <sheetViews>
    <sheetView showGridLines="0" zoomScaleNormal="100" workbookViewId="0"/>
  </sheetViews>
  <sheetFormatPr defaultColWidth="8.7109375" defaultRowHeight="15"/>
  <cols>
    <col min="1" max="1" width="10" customWidth="1"/>
    <col min="2" max="2" width="18" customWidth="1"/>
    <col min="3" max="3" width="16" customWidth="1"/>
    <col min="4" max="4" width="90" customWidth="1"/>
  </cols>
  <sheetData>
    <row r="1" spans="1:4" ht="18">
      <c r="A1" s="10" t="s">
        <v>1271</v>
      </c>
    </row>
    <row r="2" spans="1:4">
      <c r="A2" s="11" t="s">
        <v>1272</v>
      </c>
    </row>
    <row r="4" spans="1:4" ht="36">
      <c r="A4" s="24" t="s">
        <v>1273</v>
      </c>
      <c r="B4" s="24" t="s">
        <v>1274</v>
      </c>
      <c r="C4" s="24" t="s">
        <v>1275</v>
      </c>
      <c r="D4" s="24" t="s">
        <v>1276</v>
      </c>
    </row>
    <row r="5" spans="1:4">
      <c r="A5" s="13">
        <v>1385</v>
      </c>
      <c r="B5" s="55">
        <v>77.192999999999998</v>
      </c>
      <c r="C5" s="19" t="s">
        <v>1277</v>
      </c>
      <c r="D5" s="12" t="s">
        <v>1278</v>
      </c>
    </row>
    <row r="6" spans="1:4">
      <c r="A6" s="13">
        <v>1386</v>
      </c>
      <c r="B6" s="55">
        <v>80.156999999999996</v>
      </c>
      <c r="C6" s="19" t="s">
        <v>1279</v>
      </c>
      <c r="D6" s="12" t="s">
        <v>1280</v>
      </c>
    </row>
    <row r="7" spans="1:4">
      <c r="A7" s="13">
        <v>1387</v>
      </c>
      <c r="B7" s="55">
        <v>81.962000000000003</v>
      </c>
      <c r="C7" s="19" t="s">
        <v>1281</v>
      </c>
      <c r="D7" s="12" t="s">
        <v>1282</v>
      </c>
    </row>
    <row r="8" spans="1:4">
      <c r="A8" s="13">
        <v>1388</v>
      </c>
      <c r="B8" s="55">
        <v>83.846999999999994</v>
      </c>
      <c r="C8" s="19" t="s">
        <v>1283</v>
      </c>
      <c r="D8" s="12" t="s">
        <v>1284</v>
      </c>
    </row>
    <row r="9" spans="1:4">
      <c r="A9" s="13">
        <v>1389</v>
      </c>
      <c r="B9" s="55">
        <v>84.778000000000006</v>
      </c>
      <c r="C9" s="19" t="s">
        <v>1285</v>
      </c>
      <c r="D9" s="12" t="s">
        <v>1286</v>
      </c>
    </row>
    <row r="10" spans="1:4">
      <c r="A10" s="13">
        <v>1390</v>
      </c>
      <c r="B10" s="55">
        <v>86.662000000000006</v>
      </c>
      <c r="C10" s="19" t="s">
        <v>1287</v>
      </c>
      <c r="D10" s="12" t="s">
        <v>1288</v>
      </c>
    </row>
    <row r="11" spans="1:4">
      <c r="A11" s="13">
        <v>1391</v>
      </c>
      <c r="B11" s="55">
        <v>88.715000000000003</v>
      </c>
      <c r="C11" s="19" t="s">
        <v>1289</v>
      </c>
      <c r="D11" s="12" t="s">
        <v>1290</v>
      </c>
    </row>
    <row r="12" spans="1:4">
      <c r="A12" s="13">
        <v>1392</v>
      </c>
      <c r="B12" s="55">
        <v>90.173000000000002</v>
      </c>
      <c r="C12" s="19" t="s">
        <v>1291</v>
      </c>
      <c r="D12" s="12" t="s">
        <v>1292</v>
      </c>
    </row>
    <row r="13" spans="1:4">
      <c r="A13" s="13">
        <v>1393</v>
      </c>
      <c r="B13" s="55">
        <v>91.346999999999994</v>
      </c>
      <c r="C13" s="19" t="s">
        <v>1293</v>
      </c>
      <c r="D13" s="12" t="s">
        <v>1294</v>
      </c>
    </row>
    <row r="14" spans="1:4">
      <c r="A14" s="13">
        <v>1394</v>
      </c>
      <c r="B14" s="55">
        <v>92.046999999999997</v>
      </c>
      <c r="C14" s="19" t="s">
        <v>1295</v>
      </c>
      <c r="D14" s="12" t="s">
        <v>1296</v>
      </c>
    </row>
    <row r="15" spans="1:4">
      <c r="A15" s="13">
        <v>1395</v>
      </c>
      <c r="B15" s="55">
        <v>92.81</v>
      </c>
      <c r="C15" s="19" t="s">
        <v>1297</v>
      </c>
      <c r="D15" s="12" t="s">
        <v>1298</v>
      </c>
    </row>
    <row r="16" spans="1:4">
      <c r="A16" s="13">
        <v>1396</v>
      </c>
      <c r="B16" s="55">
        <v>93.81</v>
      </c>
      <c r="C16" s="19" t="s">
        <v>1299</v>
      </c>
      <c r="D16" s="12" t="s">
        <v>1300</v>
      </c>
    </row>
    <row r="17" spans="1:4">
      <c r="A17" s="13">
        <v>1397</v>
      </c>
      <c r="B17" s="55">
        <v>94.977999999999994</v>
      </c>
      <c r="C17" s="19" t="s">
        <v>1301</v>
      </c>
      <c r="D17" s="12" t="s">
        <v>1302</v>
      </c>
    </row>
    <row r="18" spans="1:4">
      <c r="A18" s="13">
        <v>1398</v>
      </c>
      <c r="B18" s="55">
        <v>96.694000000000003</v>
      </c>
      <c r="C18" s="19" t="s">
        <v>1303</v>
      </c>
      <c r="D18" s="12" t="s">
        <v>1304</v>
      </c>
    </row>
    <row r="19" spans="1:4">
      <c r="A19" s="13">
        <v>1399</v>
      </c>
      <c r="B19" s="55">
        <v>98.262</v>
      </c>
      <c r="C19" s="19" t="s">
        <v>1305</v>
      </c>
      <c r="D19" s="12" t="s">
        <v>1306</v>
      </c>
    </row>
    <row r="20" spans="1:4">
      <c r="A20" s="13">
        <v>1400</v>
      </c>
      <c r="B20" s="55">
        <v>101.953</v>
      </c>
      <c r="C20" s="19" t="s">
        <v>1307</v>
      </c>
      <c r="D20" s="12" t="s">
        <v>1308</v>
      </c>
    </row>
    <row r="21" spans="1:4">
      <c r="A21" s="13">
        <v>1401</v>
      </c>
      <c r="B21" s="55">
        <v>111.253</v>
      </c>
      <c r="C21" s="19" t="s">
        <v>1309</v>
      </c>
      <c r="D21" s="12" t="s">
        <v>1310</v>
      </c>
    </row>
    <row r="22" spans="1:4">
      <c r="A22" s="13">
        <v>1402</v>
      </c>
      <c r="B22" s="55">
        <v>119.251</v>
      </c>
      <c r="C22" s="19" t="s">
        <v>1311</v>
      </c>
      <c r="D22" s="12" t="s">
        <v>1312</v>
      </c>
    </row>
    <row r="23" spans="1:4">
      <c r="A23" s="13">
        <v>1403</v>
      </c>
      <c r="B23" s="55">
        <v>121.952</v>
      </c>
      <c r="C23" s="19" t="s">
        <v>1313</v>
      </c>
      <c r="D23" s="12" t="s">
        <v>1314</v>
      </c>
    </row>
    <row r="24" spans="1:4">
      <c r="A24" s="13">
        <v>1404</v>
      </c>
      <c r="B24" s="55">
        <v>123.416</v>
      </c>
      <c r="C24" s="19" t="s">
        <v>1315</v>
      </c>
      <c r="D24" s="12" t="s">
        <v>1316</v>
      </c>
    </row>
    <row r="25" spans="1:4" ht="24">
      <c r="A25" s="13">
        <v>1405</v>
      </c>
      <c r="B25" s="56">
        <v>125.88500000000001</v>
      </c>
      <c r="C25" s="19" t="s">
        <v>1317</v>
      </c>
      <c r="D25" s="12" t="s">
        <v>1318</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5"/>
  <sheetViews>
    <sheetView showGridLines="0" topLeftCell="A3" zoomScaleNormal="100" workbookViewId="0"/>
  </sheetViews>
  <sheetFormatPr defaultColWidth="8.7109375" defaultRowHeight="15"/>
  <cols>
    <col min="1" max="1" width="10" customWidth="1"/>
    <col min="2" max="3" width="12" customWidth="1"/>
    <col min="4" max="4" width="10" customWidth="1"/>
    <col min="5" max="5" width="70" customWidth="1"/>
    <col min="6" max="7" width="2" customWidth="1"/>
    <col min="8" max="8" width="44" customWidth="1"/>
    <col min="9" max="9" width="16" customWidth="1"/>
    <col min="10" max="10" width="50" customWidth="1"/>
  </cols>
  <sheetData>
    <row r="1" spans="1:10" ht="18">
      <c r="A1" s="10" t="s">
        <v>1319</v>
      </c>
    </row>
    <row r="2" spans="1:10">
      <c r="A2" s="11" t="s">
        <v>1320</v>
      </c>
    </row>
    <row r="4" spans="1:10" ht="24">
      <c r="A4" s="18" t="s">
        <v>1273</v>
      </c>
      <c r="B4" s="18" t="s">
        <v>1321</v>
      </c>
      <c r="C4" s="18" t="s">
        <v>1322</v>
      </c>
      <c r="D4" s="18" t="s">
        <v>1323</v>
      </c>
      <c r="E4" s="18" t="s">
        <v>1324</v>
      </c>
      <c r="H4" s="24" t="s">
        <v>1325</v>
      </c>
      <c r="I4" s="24" t="s">
        <v>1326</v>
      </c>
      <c r="J4" s="24" t="s">
        <v>1327</v>
      </c>
    </row>
    <row r="5" spans="1:10">
      <c r="A5" s="13">
        <v>1385</v>
      </c>
      <c r="B5" s="34">
        <v>9148</v>
      </c>
      <c r="C5" s="34">
        <v>11285</v>
      </c>
      <c r="D5" s="57">
        <f t="shared" ref="D5:D25" si="0">IFERROR(C5/B5,"")</f>
        <v>1.2336029733275033</v>
      </c>
      <c r="E5" s="12" t="s">
        <v>1328</v>
      </c>
      <c r="H5" s="13" t="s">
        <v>1329</v>
      </c>
      <c r="I5" s="58">
        <v>1404</v>
      </c>
      <c r="J5" s="12" t="s">
        <v>1330</v>
      </c>
    </row>
    <row r="6" spans="1:10">
      <c r="A6" s="13">
        <v>1386</v>
      </c>
      <c r="B6" s="34">
        <v>9202</v>
      </c>
      <c r="C6" s="34">
        <v>11781</v>
      </c>
      <c r="D6" s="57">
        <f t="shared" si="0"/>
        <v>1.2802651597478809</v>
      </c>
      <c r="E6" s="12" t="s">
        <v>1328</v>
      </c>
      <c r="H6" s="13" t="s">
        <v>1331</v>
      </c>
      <c r="I6" s="59">
        <f>IFERROR(INDEX('Assumptions &amp; FX Reference'!$C$5:$C$25,MATCH(I5,'Assumptions &amp; FX Reference'!$A$5:$A$25,0)),"(no FX)")</f>
        <v>695268</v>
      </c>
      <c r="J6" s="12" t="s">
        <v>1332</v>
      </c>
    </row>
    <row r="7" spans="1:10">
      <c r="A7" s="13">
        <v>1387</v>
      </c>
      <c r="B7" s="34">
        <v>9300</v>
      </c>
      <c r="C7" s="34">
        <v>14260</v>
      </c>
      <c r="D7" s="57">
        <f t="shared" si="0"/>
        <v>1.5333333333333334</v>
      </c>
      <c r="E7" s="12" t="s">
        <v>1328</v>
      </c>
      <c r="H7" s="13" t="s">
        <v>1333</v>
      </c>
      <c r="I7" s="58"/>
      <c r="J7" s="12" t="s">
        <v>1334</v>
      </c>
    </row>
    <row r="8" spans="1:10">
      <c r="A8" s="13">
        <v>1388</v>
      </c>
      <c r="B8" s="34">
        <v>9900</v>
      </c>
      <c r="C8" s="34">
        <v>13400</v>
      </c>
      <c r="D8" s="57">
        <f t="shared" si="0"/>
        <v>1.3535353535353536</v>
      </c>
      <c r="E8" s="12" t="s">
        <v>1328</v>
      </c>
      <c r="H8" s="13" t="s">
        <v>1335</v>
      </c>
      <c r="I8" s="59">
        <f>IF(ISNUMBER(I7),I7,I6)</f>
        <v>695268</v>
      </c>
      <c r="J8" s="12"/>
    </row>
    <row r="9" spans="1:10">
      <c r="A9" s="13">
        <v>1389</v>
      </c>
      <c r="B9" s="34">
        <v>10200</v>
      </c>
      <c r="C9" s="34">
        <v>13800</v>
      </c>
      <c r="D9" s="57">
        <f t="shared" si="0"/>
        <v>1.3529411764705883</v>
      </c>
      <c r="E9" s="12" t="s">
        <v>1328</v>
      </c>
      <c r="H9" s="13" t="s">
        <v>1336</v>
      </c>
      <c r="I9" s="59">
        <f>IFERROR(INDEX('Assumptions &amp; FX Reference'!$B$5:$B$25,MATCH(I5,'Assumptions &amp; FX Reference'!$A$5:$A$25,0)),"(no FX)")</f>
        <v>658533</v>
      </c>
      <c r="J9" s="12" t="s">
        <v>1332</v>
      </c>
    </row>
    <row r="10" spans="1:10">
      <c r="A10" s="13">
        <v>1390</v>
      </c>
      <c r="B10" s="34">
        <v>11300</v>
      </c>
      <c r="C10" s="34">
        <v>15750</v>
      </c>
      <c r="D10" s="57">
        <f t="shared" si="0"/>
        <v>1.3938053097345133</v>
      </c>
      <c r="E10" s="12" t="s">
        <v>1328</v>
      </c>
      <c r="H10" s="13" t="s">
        <v>1337</v>
      </c>
      <c r="I10" s="58"/>
      <c r="J10" s="12" t="s">
        <v>1334</v>
      </c>
    </row>
    <row r="11" spans="1:10">
      <c r="A11" s="13">
        <v>1391</v>
      </c>
      <c r="B11" s="34">
        <v>19000</v>
      </c>
      <c r="C11" s="34">
        <v>25500</v>
      </c>
      <c r="D11" s="57">
        <f t="shared" si="0"/>
        <v>1.3421052631578947</v>
      </c>
      <c r="E11" s="12" t="s">
        <v>1328</v>
      </c>
      <c r="H11" s="13" t="s">
        <v>1338</v>
      </c>
      <c r="I11" s="59">
        <f>IF(ISNUMBER(I10),I10,I9)</f>
        <v>658533</v>
      </c>
      <c r="J11" s="12"/>
    </row>
    <row r="12" spans="1:10" ht="24">
      <c r="A12" s="13">
        <v>1392</v>
      </c>
      <c r="B12" s="34">
        <v>36300</v>
      </c>
      <c r="C12" s="34">
        <v>42000</v>
      </c>
      <c r="D12" s="57">
        <f t="shared" si="0"/>
        <v>1.1570247933884297</v>
      </c>
      <c r="E12" s="12" t="s">
        <v>1339</v>
      </c>
      <c r="H12" s="13" t="s">
        <v>1340</v>
      </c>
      <c r="I12" s="59">
        <f>IFERROR(IF(N(INDEX(Escalation_Index!$B$5:$B$25,MATCH(I5,Escalation_Index!$A$5:$A$25,0)))&gt;0,INDEX(Escalation_Index!$B$5:$B$25,MATCH(I5,Escalation_Index!$A$5:$A$25,0)),"(PPI not entered)"),"(PPI not entered)")</f>
        <v>123.416</v>
      </c>
      <c r="J12" s="12"/>
    </row>
    <row r="13" spans="1:10" ht="24">
      <c r="A13" s="13">
        <v>1393</v>
      </c>
      <c r="B13" s="34">
        <v>31000</v>
      </c>
      <c r="C13" s="34">
        <v>40530.800000000003</v>
      </c>
      <c r="D13" s="57">
        <f t="shared" si="0"/>
        <v>1.3074451612903226</v>
      </c>
      <c r="E13" s="12" t="s">
        <v>1341</v>
      </c>
      <c r="H13" s="13" t="s">
        <v>1342</v>
      </c>
      <c r="I13" s="58">
        <v>25000</v>
      </c>
      <c r="J13" s="12" t="s">
        <v>1343</v>
      </c>
    </row>
    <row r="14" spans="1:10">
      <c r="A14" s="13">
        <v>1394</v>
      </c>
      <c r="B14" s="34">
        <v>33550</v>
      </c>
      <c r="C14" s="34">
        <v>36750</v>
      </c>
      <c r="D14" s="57">
        <f t="shared" si="0"/>
        <v>1.0953800298062593</v>
      </c>
      <c r="E14" s="12" t="s">
        <v>1328</v>
      </c>
      <c r="H14" s="13" t="s">
        <v>1344</v>
      </c>
      <c r="I14" s="58">
        <v>1404</v>
      </c>
      <c r="J14" s="12"/>
    </row>
    <row r="15" spans="1:10">
      <c r="A15" s="13">
        <v>1395</v>
      </c>
      <c r="B15" s="34">
        <v>34600</v>
      </c>
      <c r="C15" s="34">
        <v>38800</v>
      </c>
      <c r="D15" s="57">
        <f t="shared" si="0"/>
        <v>1.1213872832369942</v>
      </c>
      <c r="E15" s="12" t="s">
        <v>1328</v>
      </c>
      <c r="H15" s="13" t="s">
        <v>1345</v>
      </c>
      <c r="I15" s="59">
        <f>IFERROR(IF(N(INDEX(Escalation_Index!$B$5:$B$25,MATCH(I14,Escalation_Index!$A$5:$A$25,0)))&gt;0,INDEX(Escalation_Index!$B$5:$B$25,MATCH(I14,Escalation_Index!$A$5:$A$25,0)),"(PPI not entered)"),"(PPI not entered)")</f>
        <v>123.416</v>
      </c>
      <c r="J15" s="12"/>
    </row>
    <row r="16" spans="1:10">
      <c r="A16" s="13">
        <v>1396</v>
      </c>
      <c r="B16" s="34">
        <v>37300</v>
      </c>
      <c r="C16" s="34">
        <v>40250</v>
      </c>
      <c r="D16" s="57">
        <f t="shared" si="0"/>
        <v>1.0790884718498659</v>
      </c>
      <c r="E16" s="12" t="s">
        <v>1328</v>
      </c>
      <c r="H16" s="13" t="s">
        <v>1346</v>
      </c>
      <c r="I16" s="52">
        <v>0.6</v>
      </c>
      <c r="J16" s="12" t="s">
        <v>1347</v>
      </c>
    </row>
    <row r="17" spans="1:10">
      <c r="A17" s="13">
        <v>1397</v>
      </c>
      <c r="B17" s="34">
        <v>47700</v>
      </c>
      <c r="C17" s="34">
        <v>59000</v>
      </c>
      <c r="D17" s="57">
        <f t="shared" si="0"/>
        <v>1.2368972746331237</v>
      </c>
      <c r="E17" s="12" t="s">
        <v>1328</v>
      </c>
      <c r="H17" s="13" t="s">
        <v>1348</v>
      </c>
      <c r="I17" s="52">
        <v>0.6</v>
      </c>
      <c r="J17" s="12" t="s">
        <v>1349</v>
      </c>
    </row>
    <row r="18" spans="1:10">
      <c r="A18" s="13">
        <v>1398</v>
      </c>
      <c r="B18" s="34">
        <v>135000</v>
      </c>
      <c r="C18" s="34">
        <v>152800</v>
      </c>
      <c r="D18" s="57">
        <f t="shared" si="0"/>
        <v>1.1318518518518519</v>
      </c>
      <c r="E18" s="12" t="s">
        <v>1328</v>
      </c>
    </row>
    <row r="19" spans="1:10">
      <c r="A19" s="13">
        <v>1399</v>
      </c>
      <c r="B19" s="34">
        <v>161000</v>
      </c>
      <c r="C19" s="34">
        <v>172200</v>
      </c>
      <c r="D19" s="57">
        <f t="shared" si="0"/>
        <v>1.0695652173913044</v>
      </c>
      <c r="E19" s="12" t="s">
        <v>1328</v>
      </c>
    </row>
    <row r="20" spans="1:10">
      <c r="A20" s="13">
        <v>1400</v>
      </c>
      <c r="B20" s="34">
        <v>252000</v>
      </c>
      <c r="C20" s="34">
        <v>298400</v>
      </c>
      <c r="D20" s="57">
        <f t="shared" si="0"/>
        <v>1.1841269841269841</v>
      </c>
      <c r="E20" s="12" t="s">
        <v>1328</v>
      </c>
    </row>
    <row r="21" spans="1:10">
      <c r="A21" s="13">
        <v>1401</v>
      </c>
      <c r="B21" s="34">
        <v>263000</v>
      </c>
      <c r="C21" s="34">
        <v>289500</v>
      </c>
      <c r="D21" s="57">
        <f t="shared" si="0"/>
        <v>1.1007604562737643</v>
      </c>
      <c r="E21" s="12" t="s">
        <v>1328</v>
      </c>
    </row>
    <row r="22" spans="1:10">
      <c r="A22" s="13">
        <v>1402</v>
      </c>
      <c r="B22" s="34">
        <v>420000</v>
      </c>
      <c r="C22" s="34">
        <v>529500</v>
      </c>
      <c r="D22" s="57">
        <f t="shared" si="0"/>
        <v>1.2607142857142857</v>
      </c>
      <c r="E22" s="12" t="s">
        <v>1350</v>
      </c>
    </row>
    <row r="23" spans="1:10">
      <c r="A23" s="13">
        <v>1403</v>
      </c>
      <c r="B23" s="34">
        <v>600500</v>
      </c>
      <c r="C23" s="34">
        <v>653000</v>
      </c>
      <c r="D23" s="57">
        <f t="shared" si="0"/>
        <v>1.0874271440466279</v>
      </c>
      <c r="E23" s="12" t="s">
        <v>1328</v>
      </c>
    </row>
    <row r="24" spans="1:10" ht="24">
      <c r="A24" s="13">
        <v>1404</v>
      </c>
      <c r="B24" s="34">
        <v>658533</v>
      </c>
      <c r="C24" s="34">
        <v>695268</v>
      </c>
      <c r="D24" s="57">
        <f t="shared" si="0"/>
        <v>1.0557830814856659</v>
      </c>
      <c r="E24" s="12" t="s">
        <v>1351</v>
      </c>
    </row>
    <row r="25" spans="1:10" ht="36">
      <c r="A25" s="13">
        <v>1405</v>
      </c>
      <c r="B25" s="47">
        <f>C25/1.1</f>
        <v>1818181.8181818181</v>
      </c>
      <c r="C25" s="34">
        <v>2000000</v>
      </c>
      <c r="D25" s="57">
        <f t="shared" si="0"/>
        <v>1.1000000000000001</v>
      </c>
      <c r="E25" s="12" t="s">
        <v>1352</v>
      </c>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xr:uid="{00000000-0002-0000-0A00-000000000000}">
          <x14:formula1>
            <xm:f>Lookup_Codes!$K$5:$K$60</xm:f>
          </x14:formula1>
          <x14:formula2>
            <xm:f>0</xm:f>
          </x14:formula2>
          <xm:sqref>I5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503"/>
  <sheetViews>
    <sheetView showGridLines="0" tabSelected="1" zoomScaleNormal="100" workbookViewId="0">
      <pane ySplit="11" topLeftCell="A696" activePane="bottomLeft" state="frozen"/>
      <selection pane="bottomLeft"/>
    </sheetView>
  </sheetViews>
  <sheetFormatPr defaultColWidth="8.7109375" defaultRowHeight="15"/>
  <cols>
    <col min="1" max="1" width="6" customWidth="1"/>
    <col min="2" max="2" width="22" customWidth="1"/>
    <col min="3" max="3" width="14" customWidth="1"/>
    <col min="4" max="4" width="18" customWidth="1"/>
    <col min="5" max="5" width="26" customWidth="1"/>
    <col min="6" max="7" width="30" customWidth="1"/>
    <col min="8" max="8" width="26" customWidth="1"/>
  </cols>
  <sheetData>
    <row r="1" spans="1:8" ht="18">
      <c r="A1" s="10" t="s">
        <v>1353</v>
      </c>
    </row>
    <row r="2" spans="1:8">
      <c r="A2" s="11" t="s">
        <v>1354</v>
      </c>
    </row>
    <row r="4" spans="1:8" ht="24">
      <c r="A4" s="18" t="s">
        <v>1355</v>
      </c>
      <c r="B4" s="18" t="s">
        <v>1356</v>
      </c>
      <c r="C4" s="18" t="s">
        <v>1357</v>
      </c>
    </row>
    <row r="5" spans="1:8">
      <c r="A5" s="13" t="s">
        <v>1358</v>
      </c>
      <c r="B5" s="20">
        <v>1281</v>
      </c>
      <c r="C5" s="19" t="s">
        <v>1359</v>
      </c>
    </row>
    <row r="6" spans="1:8">
      <c r="A6" s="13" t="s">
        <v>1360</v>
      </c>
      <c r="B6" s="20">
        <v>199</v>
      </c>
      <c r="C6" s="19" t="s">
        <v>1361</v>
      </c>
    </row>
    <row r="7" spans="1:8">
      <c r="A7" s="13" t="s">
        <v>1362</v>
      </c>
      <c r="B7" s="20">
        <v>7</v>
      </c>
      <c r="C7" s="19" t="s">
        <v>1363</v>
      </c>
    </row>
    <row r="8" spans="1:8">
      <c r="A8" s="13" t="s">
        <v>1364</v>
      </c>
      <c r="B8" s="20">
        <v>5</v>
      </c>
      <c r="C8" s="19" t="s">
        <v>1365</v>
      </c>
    </row>
    <row r="9" spans="1:8">
      <c r="A9" s="21" t="s">
        <v>1366</v>
      </c>
      <c r="B9" s="22">
        <v>1492</v>
      </c>
    </row>
    <row r="11" spans="1:8">
      <c r="A11" s="24" t="s">
        <v>237</v>
      </c>
      <c r="B11" s="24" t="s">
        <v>870</v>
      </c>
      <c r="C11" s="24" t="s">
        <v>240</v>
      </c>
      <c r="D11" s="24" t="s">
        <v>1367</v>
      </c>
      <c r="E11" s="24" t="s">
        <v>1368</v>
      </c>
      <c r="F11" s="24" t="s">
        <v>1369</v>
      </c>
      <c r="G11" s="24" t="s">
        <v>1370</v>
      </c>
      <c r="H11" s="24" t="s">
        <v>1355</v>
      </c>
    </row>
    <row r="12" spans="1:8">
      <c r="A12" s="19">
        <v>1</v>
      </c>
      <c r="B12" s="19" t="s">
        <v>294</v>
      </c>
      <c r="C12" s="19" t="s">
        <v>295</v>
      </c>
      <c r="D12" s="19" t="s">
        <v>238</v>
      </c>
      <c r="E12" s="19" t="s">
        <v>293</v>
      </c>
      <c r="F12" s="19" t="s">
        <v>293</v>
      </c>
      <c r="G12" s="19" t="s">
        <v>1371</v>
      </c>
      <c r="H12" s="19" t="s">
        <v>1358</v>
      </c>
    </row>
    <row r="13" spans="1:8">
      <c r="A13" s="19">
        <v>1</v>
      </c>
      <c r="B13" s="19" t="s">
        <v>294</v>
      </c>
      <c r="C13" s="19" t="s">
        <v>295</v>
      </c>
      <c r="D13" s="19" t="s">
        <v>256</v>
      </c>
      <c r="E13" s="19" t="s">
        <v>299</v>
      </c>
      <c r="F13" s="19" t="s">
        <v>299</v>
      </c>
      <c r="G13" s="19" t="s">
        <v>1372</v>
      </c>
      <c r="H13" s="19" t="s">
        <v>1358</v>
      </c>
    </row>
    <row r="14" spans="1:8">
      <c r="A14" s="19">
        <v>1</v>
      </c>
      <c r="B14" s="19" t="s">
        <v>294</v>
      </c>
      <c r="C14" s="19" t="s">
        <v>295</v>
      </c>
      <c r="D14" s="19" t="s">
        <v>244</v>
      </c>
      <c r="E14" s="19">
        <v>95.8</v>
      </c>
      <c r="F14" s="19">
        <v>95.8</v>
      </c>
      <c r="G14" s="19" t="s">
        <v>1373</v>
      </c>
      <c r="H14" s="19" t="s">
        <v>1358</v>
      </c>
    </row>
    <row r="15" spans="1:8">
      <c r="A15" s="19">
        <v>1</v>
      </c>
      <c r="B15" s="19" t="s">
        <v>294</v>
      </c>
      <c r="C15" s="19" t="s">
        <v>295</v>
      </c>
      <c r="D15" s="19" t="s">
        <v>245</v>
      </c>
      <c r="E15" s="19">
        <v>54.3</v>
      </c>
      <c r="F15" s="19">
        <v>54.3</v>
      </c>
      <c r="G15" s="19" t="s">
        <v>1374</v>
      </c>
      <c r="H15" s="19" t="s">
        <v>1358</v>
      </c>
    </row>
    <row r="16" spans="1:8">
      <c r="A16" s="19">
        <v>1</v>
      </c>
      <c r="B16" s="19" t="s">
        <v>294</v>
      </c>
      <c r="C16" s="19" t="s">
        <v>295</v>
      </c>
      <c r="D16" s="19" t="s">
        <v>253</v>
      </c>
      <c r="E16" s="19" t="s">
        <v>297</v>
      </c>
      <c r="F16" s="19" t="s">
        <v>297</v>
      </c>
      <c r="G16" s="19" t="s">
        <v>1375</v>
      </c>
      <c r="H16" s="19" t="s">
        <v>1358</v>
      </c>
    </row>
    <row r="17" spans="1:8">
      <c r="A17" s="19">
        <v>1</v>
      </c>
      <c r="B17" s="19" t="s">
        <v>294</v>
      </c>
      <c r="C17" s="19" t="s">
        <v>295</v>
      </c>
      <c r="D17" s="19" t="s">
        <v>914</v>
      </c>
      <c r="E17" s="19" t="s">
        <v>301</v>
      </c>
      <c r="F17" s="19" t="s">
        <v>301</v>
      </c>
      <c r="G17" s="19" t="s">
        <v>1376</v>
      </c>
      <c r="H17" s="19" t="s">
        <v>1358</v>
      </c>
    </row>
    <row r="18" spans="1:8">
      <c r="A18" s="19">
        <v>1</v>
      </c>
      <c r="B18" s="19" t="s">
        <v>294</v>
      </c>
      <c r="C18" s="19" t="s">
        <v>295</v>
      </c>
      <c r="D18" s="19" t="s">
        <v>1377</v>
      </c>
      <c r="E18" s="19">
        <v>240000</v>
      </c>
      <c r="F18" s="19">
        <v>240000</v>
      </c>
      <c r="G18" s="19" t="s">
        <v>1376</v>
      </c>
      <c r="H18" s="19" t="s">
        <v>1358</v>
      </c>
    </row>
    <row r="19" spans="1:8">
      <c r="A19" s="19">
        <v>2</v>
      </c>
      <c r="B19" s="19" t="s">
        <v>294</v>
      </c>
      <c r="C19" s="19" t="s">
        <v>295</v>
      </c>
      <c r="D19" s="19" t="s">
        <v>238</v>
      </c>
      <c r="E19" s="19" t="s">
        <v>306</v>
      </c>
      <c r="F19" s="19" t="s">
        <v>306</v>
      </c>
      <c r="G19" s="19" t="s">
        <v>1378</v>
      </c>
      <c r="H19" s="19" t="s">
        <v>1358</v>
      </c>
    </row>
    <row r="20" spans="1:8">
      <c r="A20" s="19">
        <v>2</v>
      </c>
      <c r="B20" s="19" t="s">
        <v>294</v>
      </c>
      <c r="C20" s="19" t="s">
        <v>295</v>
      </c>
      <c r="D20" s="19" t="s">
        <v>256</v>
      </c>
      <c r="E20" s="19" t="s">
        <v>299</v>
      </c>
      <c r="F20" s="19" t="s">
        <v>299</v>
      </c>
      <c r="G20" s="19" t="s">
        <v>1379</v>
      </c>
      <c r="H20" s="19" t="s">
        <v>1358</v>
      </c>
    </row>
    <row r="21" spans="1:8">
      <c r="A21" s="19">
        <v>2</v>
      </c>
      <c r="B21" s="19" t="s">
        <v>294</v>
      </c>
      <c r="C21" s="19" t="s">
        <v>295</v>
      </c>
      <c r="D21" s="19" t="s">
        <v>244</v>
      </c>
      <c r="E21" s="19">
        <v>59.9</v>
      </c>
      <c r="F21" s="19">
        <v>59.9</v>
      </c>
      <c r="G21" s="19" t="s">
        <v>1380</v>
      </c>
      <c r="H21" s="19" t="s">
        <v>1358</v>
      </c>
    </row>
    <row r="22" spans="1:8">
      <c r="A22" s="19">
        <v>2</v>
      </c>
      <c r="B22" s="19" t="s">
        <v>294</v>
      </c>
      <c r="C22" s="19" t="s">
        <v>295</v>
      </c>
      <c r="D22" s="19" t="s">
        <v>245</v>
      </c>
      <c r="E22" s="19">
        <v>33.1</v>
      </c>
      <c r="F22" s="19">
        <v>33.1</v>
      </c>
      <c r="G22" s="19" t="s">
        <v>1381</v>
      </c>
      <c r="H22" s="19" t="s">
        <v>1358</v>
      </c>
    </row>
    <row r="23" spans="1:8">
      <c r="A23" s="19">
        <v>2</v>
      </c>
      <c r="B23" s="19" t="s">
        <v>294</v>
      </c>
      <c r="C23" s="19" t="s">
        <v>295</v>
      </c>
      <c r="D23" s="19" t="s">
        <v>253</v>
      </c>
      <c r="E23" s="19" t="s">
        <v>297</v>
      </c>
      <c r="F23" s="19" t="s">
        <v>297</v>
      </c>
      <c r="G23" s="19" t="s">
        <v>1382</v>
      </c>
      <c r="H23" s="19" t="s">
        <v>1358</v>
      </c>
    </row>
    <row r="24" spans="1:8">
      <c r="A24" s="19">
        <v>2</v>
      </c>
      <c r="B24" s="19" t="s">
        <v>294</v>
      </c>
      <c r="C24" s="19" t="s">
        <v>295</v>
      </c>
      <c r="D24" s="19" t="s">
        <v>914</v>
      </c>
      <c r="E24" s="19" t="s">
        <v>301</v>
      </c>
      <c r="F24" s="19" t="s">
        <v>301</v>
      </c>
      <c r="G24" s="19" t="s">
        <v>1383</v>
      </c>
      <c r="H24" s="19" t="s">
        <v>1358</v>
      </c>
    </row>
    <row r="25" spans="1:8">
      <c r="A25" s="19">
        <v>2</v>
      </c>
      <c r="B25" s="19" t="s">
        <v>294</v>
      </c>
      <c r="C25" s="19" t="s">
        <v>295</v>
      </c>
      <c r="D25" s="19" t="s">
        <v>1377</v>
      </c>
      <c r="E25" s="19">
        <v>280000</v>
      </c>
      <c r="F25" s="19">
        <v>280000</v>
      </c>
      <c r="G25" s="19" t="s">
        <v>1383</v>
      </c>
      <c r="H25" s="19" t="s">
        <v>1358</v>
      </c>
    </row>
    <row r="26" spans="1:8">
      <c r="A26" s="19">
        <v>3</v>
      </c>
      <c r="B26" s="19" t="s">
        <v>294</v>
      </c>
      <c r="C26" s="19" t="s">
        <v>295</v>
      </c>
      <c r="D26" s="19" t="s">
        <v>238</v>
      </c>
      <c r="E26" s="19" t="s">
        <v>309</v>
      </c>
      <c r="F26" s="19" t="s">
        <v>309</v>
      </c>
      <c r="G26" s="19" t="s">
        <v>1384</v>
      </c>
      <c r="H26" s="19" t="s">
        <v>1358</v>
      </c>
    </row>
    <row r="27" spans="1:8">
      <c r="A27" s="19">
        <v>3</v>
      </c>
      <c r="B27" s="19" t="s">
        <v>294</v>
      </c>
      <c r="C27" s="19" t="s">
        <v>295</v>
      </c>
      <c r="D27" s="19" t="s">
        <v>256</v>
      </c>
      <c r="E27" s="19" t="s">
        <v>299</v>
      </c>
      <c r="F27" s="19" t="s">
        <v>299</v>
      </c>
      <c r="G27" s="19" t="s">
        <v>1385</v>
      </c>
      <c r="H27" s="19" t="s">
        <v>1358</v>
      </c>
    </row>
    <row r="28" spans="1:8">
      <c r="A28" s="19">
        <v>3</v>
      </c>
      <c r="B28" s="19" t="s">
        <v>294</v>
      </c>
      <c r="C28" s="19" t="s">
        <v>295</v>
      </c>
      <c r="D28" s="19" t="s">
        <v>244</v>
      </c>
      <c r="E28" s="19">
        <v>34.799999999999997</v>
      </c>
      <c r="F28" s="19">
        <v>34.799999999999997</v>
      </c>
      <c r="G28" s="19" t="s">
        <v>1386</v>
      </c>
      <c r="H28" s="19" t="s">
        <v>1358</v>
      </c>
    </row>
    <row r="29" spans="1:8">
      <c r="A29" s="19">
        <v>3</v>
      </c>
      <c r="B29" s="19" t="s">
        <v>294</v>
      </c>
      <c r="C29" s="19" t="s">
        <v>295</v>
      </c>
      <c r="D29" s="19" t="s">
        <v>245</v>
      </c>
      <c r="E29" s="19">
        <v>57.4</v>
      </c>
      <c r="F29" s="19">
        <v>57.4</v>
      </c>
      <c r="G29" s="19" t="s">
        <v>1387</v>
      </c>
      <c r="H29" s="19" t="s">
        <v>1358</v>
      </c>
    </row>
    <row r="30" spans="1:8">
      <c r="A30" s="19">
        <v>3</v>
      </c>
      <c r="B30" s="19" t="s">
        <v>294</v>
      </c>
      <c r="C30" s="19" t="s">
        <v>295</v>
      </c>
      <c r="D30" s="19" t="s">
        <v>253</v>
      </c>
      <c r="E30" s="19" t="s">
        <v>297</v>
      </c>
      <c r="F30" s="19" t="s">
        <v>297</v>
      </c>
      <c r="G30" s="19" t="s">
        <v>1388</v>
      </c>
      <c r="H30" s="19" t="s">
        <v>1358</v>
      </c>
    </row>
    <row r="31" spans="1:8">
      <c r="A31" s="19">
        <v>3</v>
      </c>
      <c r="B31" s="19" t="s">
        <v>294</v>
      </c>
      <c r="C31" s="19" t="s">
        <v>295</v>
      </c>
      <c r="D31" s="19" t="s">
        <v>914</v>
      </c>
      <c r="E31" s="19" t="s">
        <v>301</v>
      </c>
      <c r="F31" s="19" t="s">
        <v>301</v>
      </c>
      <c r="G31" s="19" t="s">
        <v>1389</v>
      </c>
      <c r="H31" s="19" t="s">
        <v>1358</v>
      </c>
    </row>
    <row r="32" spans="1:8">
      <c r="A32" s="19">
        <v>3</v>
      </c>
      <c r="B32" s="19" t="s">
        <v>294</v>
      </c>
      <c r="C32" s="19" t="s">
        <v>295</v>
      </c>
      <c r="D32" s="19" t="s">
        <v>1377</v>
      </c>
      <c r="E32" s="19">
        <v>250000</v>
      </c>
      <c r="F32" s="19">
        <v>250000</v>
      </c>
      <c r="G32" s="19" t="s">
        <v>1389</v>
      </c>
      <c r="H32" s="19" t="s">
        <v>1358</v>
      </c>
    </row>
    <row r="33" spans="1:8">
      <c r="A33" s="19">
        <v>4</v>
      </c>
      <c r="B33" s="19" t="s">
        <v>294</v>
      </c>
      <c r="C33" s="19" t="s">
        <v>295</v>
      </c>
      <c r="D33" s="19" t="s">
        <v>238</v>
      </c>
      <c r="E33" s="19" t="s">
        <v>312</v>
      </c>
      <c r="F33" s="19" t="s">
        <v>312</v>
      </c>
      <c r="G33" s="19" t="s">
        <v>1390</v>
      </c>
      <c r="H33" s="19" t="s">
        <v>1358</v>
      </c>
    </row>
    <row r="34" spans="1:8">
      <c r="A34" s="19">
        <v>4</v>
      </c>
      <c r="B34" s="19" t="s">
        <v>294</v>
      </c>
      <c r="C34" s="19" t="s">
        <v>295</v>
      </c>
      <c r="D34" s="19" t="s">
        <v>256</v>
      </c>
      <c r="E34" s="19" t="s">
        <v>299</v>
      </c>
      <c r="F34" s="19" t="s">
        <v>299</v>
      </c>
      <c r="G34" s="19" t="s">
        <v>1391</v>
      </c>
      <c r="H34" s="19" t="s">
        <v>1358</v>
      </c>
    </row>
    <row r="35" spans="1:8">
      <c r="A35" s="19">
        <v>4</v>
      </c>
      <c r="B35" s="19" t="s">
        <v>294</v>
      </c>
      <c r="C35" s="19" t="s">
        <v>295</v>
      </c>
      <c r="D35" s="19" t="s">
        <v>244</v>
      </c>
      <c r="E35" s="19">
        <v>329</v>
      </c>
      <c r="F35" s="19">
        <v>329</v>
      </c>
      <c r="G35" s="19" t="s">
        <v>1392</v>
      </c>
      <c r="H35" s="19" t="s">
        <v>1358</v>
      </c>
    </row>
    <row r="36" spans="1:8">
      <c r="A36" s="19">
        <v>4</v>
      </c>
      <c r="B36" s="19" t="s">
        <v>294</v>
      </c>
      <c r="C36" s="19" t="s">
        <v>295</v>
      </c>
      <c r="D36" s="19" t="s">
        <v>245</v>
      </c>
      <c r="E36" s="19">
        <v>379</v>
      </c>
      <c r="F36" s="19">
        <v>379</v>
      </c>
      <c r="G36" s="19" t="s">
        <v>1393</v>
      </c>
      <c r="H36" s="19" t="s">
        <v>1358</v>
      </c>
    </row>
    <row r="37" spans="1:8">
      <c r="A37" s="19">
        <v>4</v>
      </c>
      <c r="B37" s="19" t="s">
        <v>294</v>
      </c>
      <c r="C37" s="19" t="s">
        <v>295</v>
      </c>
      <c r="D37" s="19" t="s">
        <v>253</v>
      </c>
      <c r="E37" s="19" t="s">
        <v>297</v>
      </c>
      <c r="F37" s="19" t="s">
        <v>297</v>
      </c>
      <c r="G37" s="19" t="s">
        <v>1394</v>
      </c>
      <c r="H37" s="19" t="s">
        <v>1358</v>
      </c>
    </row>
    <row r="38" spans="1:8">
      <c r="A38" s="19">
        <v>4</v>
      </c>
      <c r="B38" s="19" t="s">
        <v>294</v>
      </c>
      <c r="C38" s="19" t="s">
        <v>295</v>
      </c>
      <c r="D38" s="19" t="s">
        <v>914</v>
      </c>
      <c r="E38" s="19" t="s">
        <v>301</v>
      </c>
      <c r="F38" s="19" t="s">
        <v>301</v>
      </c>
      <c r="G38" s="19" t="s">
        <v>1395</v>
      </c>
      <c r="H38" s="19" t="s">
        <v>1358</v>
      </c>
    </row>
    <row r="39" spans="1:8">
      <c r="A39" s="19">
        <v>4</v>
      </c>
      <c r="B39" s="19" t="s">
        <v>294</v>
      </c>
      <c r="C39" s="19" t="s">
        <v>295</v>
      </c>
      <c r="D39" s="19" t="s">
        <v>1377</v>
      </c>
      <c r="E39" s="19">
        <v>420000</v>
      </c>
      <c r="F39" s="19">
        <v>420000</v>
      </c>
      <c r="G39" s="19" t="s">
        <v>1395</v>
      </c>
      <c r="H39" s="19" t="s">
        <v>1358</v>
      </c>
    </row>
    <row r="40" spans="1:8">
      <c r="A40" s="19">
        <v>5</v>
      </c>
      <c r="B40" s="19" t="s">
        <v>294</v>
      </c>
      <c r="C40" s="19" t="s">
        <v>295</v>
      </c>
      <c r="D40" s="19" t="s">
        <v>238</v>
      </c>
      <c r="E40" s="19" t="s">
        <v>315</v>
      </c>
      <c r="F40" s="19" t="s">
        <v>315</v>
      </c>
      <c r="G40" s="19" t="s">
        <v>1396</v>
      </c>
      <c r="H40" s="19" t="s">
        <v>1358</v>
      </c>
    </row>
    <row r="41" spans="1:8">
      <c r="A41" s="19">
        <v>5</v>
      </c>
      <c r="B41" s="19" t="s">
        <v>294</v>
      </c>
      <c r="C41" s="19" t="s">
        <v>295</v>
      </c>
      <c r="D41" s="19" t="s">
        <v>256</v>
      </c>
      <c r="E41" s="19" t="s">
        <v>299</v>
      </c>
      <c r="F41" s="19" t="s">
        <v>299</v>
      </c>
      <c r="G41" s="19" t="s">
        <v>1397</v>
      </c>
      <c r="H41" s="19" t="s">
        <v>1358</v>
      </c>
    </row>
    <row r="42" spans="1:8">
      <c r="A42" s="19">
        <v>5</v>
      </c>
      <c r="B42" s="19" t="s">
        <v>294</v>
      </c>
      <c r="C42" s="19" t="s">
        <v>295</v>
      </c>
      <c r="D42" s="19" t="s">
        <v>244</v>
      </c>
      <c r="E42" s="19">
        <v>311.3</v>
      </c>
      <c r="F42" s="19">
        <v>311.3</v>
      </c>
      <c r="G42" s="19" t="s">
        <v>1398</v>
      </c>
      <c r="H42" s="19" t="s">
        <v>1358</v>
      </c>
    </row>
    <row r="43" spans="1:8">
      <c r="A43" s="19">
        <v>5</v>
      </c>
      <c r="B43" s="19" t="s">
        <v>294</v>
      </c>
      <c r="C43" s="19" t="s">
        <v>295</v>
      </c>
      <c r="D43" s="19" t="s">
        <v>245</v>
      </c>
      <c r="E43" s="19">
        <v>48</v>
      </c>
      <c r="F43" s="19">
        <v>48</v>
      </c>
      <c r="G43" s="19" t="s">
        <v>1399</v>
      </c>
      <c r="H43" s="19" t="s">
        <v>1358</v>
      </c>
    </row>
    <row r="44" spans="1:8">
      <c r="A44" s="19">
        <v>5</v>
      </c>
      <c r="B44" s="19" t="s">
        <v>294</v>
      </c>
      <c r="C44" s="19" t="s">
        <v>295</v>
      </c>
      <c r="D44" s="19" t="s">
        <v>253</v>
      </c>
      <c r="E44" s="19" t="s">
        <v>297</v>
      </c>
      <c r="F44" s="19" t="s">
        <v>297</v>
      </c>
      <c r="G44" s="19" t="s">
        <v>1400</v>
      </c>
      <c r="H44" s="19" t="s">
        <v>1358</v>
      </c>
    </row>
    <row r="45" spans="1:8">
      <c r="A45" s="19">
        <v>5</v>
      </c>
      <c r="B45" s="19" t="s">
        <v>294</v>
      </c>
      <c r="C45" s="19" t="s">
        <v>295</v>
      </c>
      <c r="D45" s="19" t="s">
        <v>914</v>
      </c>
      <c r="E45" s="19" t="s">
        <v>301</v>
      </c>
      <c r="F45" s="19" t="s">
        <v>301</v>
      </c>
      <c r="G45" s="19" t="s">
        <v>1401</v>
      </c>
      <c r="H45" s="19" t="s">
        <v>1358</v>
      </c>
    </row>
    <row r="46" spans="1:8">
      <c r="A46" s="19">
        <v>5</v>
      </c>
      <c r="B46" s="19" t="s">
        <v>294</v>
      </c>
      <c r="C46" s="19" t="s">
        <v>295</v>
      </c>
      <c r="D46" s="19" t="s">
        <v>1377</v>
      </c>
      <c r="E46" s="19">
        <v>75000</v>
      </c>
      <c r="F46" s="19">
        <v>75000</v>
      </c>
      <c r="G46" s="19" t="s">
        <v>1401</v>
      </c>
      <c r="H46" s="19" t="s">
        <v>1358</v>
      </c>
    </row>
    <row r="47" spans="1:8">
      <c r="A47" s="19">
        <v>6</v>
      </c>
      <c r="B47" s="19" t="s">
        <v>294</v>
      </c>
      <c r="C47" s="19" t="s">
        <v>295</v>
      </c>
      <c r="D47" s="19" t="s">
        <v>238</v>
      </c>
      <c r="E47" s="19" t="s">
        <v>318</v>
      </c>
      <c r="F47" s="19" t="s">
        <v>318</v>
      </c>
      <c r="G47" s="19" t="s">
        <v>1402</v>
      </c>
      <c r="H47" s="19" t="s">
        <v>1358</v>
      </c>
    </row>
    <row r="48" spans="1:8">
      <c r="A48" s="19">
        <v>6</v>
      </c>
      <c r="B48" s="19" t="s">
        <v>294</v>
      </c>
      <c r="C48" s="19" t="s">
        <v>295</v>
      </c>
      <c r="D48" s="19" t="s">
        <v>256</v>
      </c>
      <c r="E48" s="19" t="s">
        <v>299</v>
      </c>
      <c r="F48" s="19" t="s">
        <v>299</v>
      </c>
      <c r="G48" s="19" t="s">
        <v>1403</v>
      </c>
      <c r="H48" s="19" t="s">
        <v>1358</v>
      </c>
    </row>
    <row r="49" spans="1:8">
      <c r="A49" s="19">
        <v>6</v>
      </c>
      <c r="B49" s="19" t="s">
        <v>294</v>
      </c>
      <c r="C49" s="19" t="s">
        <v>295</v>
      </c>
      <c r="D49" s="19" t="s">
        <v>244</v>
      </c>
      <c r="E49" s="19">
        <v>32</v>
      </c>
      <c r="F49" s="19">
        <v>32</v>
      </c>
      <c r="G49" s="19" t="s">
        <v>1404</v>
      </c>
      <c r="H49" s="19" t="s">
        <v>1358</v>
      </c>
    </row>
    <row r="50" spans="1:8">
      <c r="A50" s="19">
        <v>6</v>
      </c>
      <c r="B50" s="19" t="s">
        <v>294</v>
      </c>
      <c r="C50" s="19" t="s">
        <v>295</v>
      </c>
      <c r="D50" s="19" t="s">
        <v>245</v>
      </c>
      <c r="E50" s="19">
        <v>2.2000000000000002</v>
      </c>
      <c r="F50" s="19">
        <v>2.2000000000000002</v>
      </c>
      <c r="G50" s="19" t="s">
        <v>1405</v>
      </c>
      <c r="H50" s="19" t="s">
        <v>1358</v>
      </c>
    </row>
    <row r="51" spans="1:8">
      <c r="A51" s="19">
        <v>6</v>
      </c>
      <c r="B51" s="19" t="s">
        <v>294</v>
      </c>
      <c r="C51" s="19" t="s">
        <v>295</v>
      </c>
      <c r="D51" s="19" t="s">
        <v>253</v>
      </c>
      <c r="E51" s="19" t="s">
        <v>297</v>
      </c>
      <c r="F51" s="19" t="s">
        <v>297</v>
      </c>
      <c r="G51" s="19" t="s">
        <v>1406</v>
      </c>
      <c r="H51" s="19" t="s">
        <v>1358</v>
      </c>
    </row>
    <row r="52" spans="1:8">
      <c r="A52" s="19">
        <v>6</v>
      </c>
      <c r="B52" s="19" t="s">
        <v>294</v>
      </c>
      <c r="C52" s="19" t="s">
        <v>295</v>
      </c>
      <c r="D52" s="19" t="s">
        <v>914</v>
      </c>
      <c r="E52" s="19" t="s">
        <v>301</v>
      </c>
      <c r="F52" s="19" t="s">
        <v>301</v>
      </c>
      <c r="G52" s="19" t="s">
        <v>1407</v>
      </c>
      <c r="H52" s="19" t="s">
        <v>1358</v>
      </c>
    </row>
    <row r="53" spans="1:8">
      <c r="A53" s="19">
        <v>6</v>
      </c>
      <c r="B53" s="19" t="s">
        <v>294</v>
      </c>
      <c r="C53" s="19" t="s">
        <v>295</v>
      </c>
      <c r="D53" s="19" t="s">
        <v>1377</v>
      </c>
      <c r="E53" s="19">
        <v>60000</v>
      </c>
      <c r="F53" s="19">
        <v>60000</v>
      </c>
      <c r="G53" s="19" t="s">
        <v>1407</v>
      </c>
      <c r="H53" s="19" t="s">
        <v>1358</v>
      </c>
    </row>
    <row r="54" spans="1:8">
      <c r="A54" s="19">
        <v>7</v>
      </c>
      <c r="B54" s="19" t="s">
        <v>294</v>
      </c>
      <c r="C54" s="19" t="s">
        <v>295</v>
      </c>
      <c r="D54" s="19" t="s">
        <v>238</v>
      </c>
      <c r="E54" s="19" t="s">
        <v>322</v>
      </c>
      <c r="F54" s="19" t="s">
        <v>322</v>
      </c>
      <c r="G54" s="19" t="s">
        <v>1408</v>
      </c>
      <c r="H54" s="19" t="s">
        <v>1358</v>
      </c>
    </row>
    <row r="55" spans="1:8">
      <c r="A55" s="19">
        <v>7</v>
      </c>
      <c r="B55" s="19" t="s">
        <v>294</v>
      </c>
      <c r="C55" s="19" t="s">
        <v>295</v>
      </c>
      <c r="D55" s="19" t="s">
        <v>256</v>
      </c>
      <c r="E55" s="19" t="s">
        <v>299</v>
      </c>
      <c r="F55" s="19" t="s">
        <v>299</v>
      </c>
      <c r="G55" s="19" t="s">
        <v>1409</v>
      </c>
      <c r="H55" s="19" t="s">
        <v>1358</v>
      </c>
    </row>
    <row r="56" spans="1:8">
      <c r="A56" s="19">
        <v>7</v>
      </c>
      <c r="B56" s="19" t="s">
        <v>294</v>
      </c>
      <c r="C56" s="19" t="s">
        <v>295</v>
      </c>
      <c r="D56" s="19" t="s">
        <v>244</v>
      </c>
      <c r="E56" s="19">
        <v>36.200000000000003</v>
      </c>
      <c r="F56" s="19">
        <v>36.200000000000003</v>
      </c>
      <c r="G56" s="19" t="s">
        <v>1410</v>
      </c>
      <c r="H56" s="19" t="s">
        <v>1358</v>
      </c>
    </row>
    <row r="57" spans="1:8">
      <c r="A57" s="19">
        <v>7</v>
      </c>
      <c r="B57" s="19" t="s">
        <v>294</v>
      </c>
      <c r="C57" s="19" t="s">
        <v>295</v>
      </c>
      <c r="D57" s="19" t="s">
        <v>245</v>
      </c>
      <c r="E57" s="19">
        <v>13.1</v>
      </c>
      <c r="F57" s="19">
        <v>13.1</v>
      </c>
      <c r="G57" s="19" t="s">
        <v>1411</v>
      </c>
      <c r="H57" s="19" t="s">
        <v>1358</v>
      </c>
    </row>
    <row r="58" spans="1:8">
      <c r="A58" s="19">
        <v>7</v>
      </c>
      <c r="B58" s="19" t="s">
        <v>294</v>
      </c>
      <c r="C58" s="19" t="s">
        <v>295</v>
      </c>
      <c r="D58" s="19" t="s">
        <v>253</v>
      </c>
      <c r="E58" s="19" t="s">
        <v>297</v>
      </c>
      <c r="F58" s="19" t="s">
        <v>297</v>
      </c>
      <c r="G58" s="19" t="s">
        <v>1412</v>
      </c>
      <c r="H58" s="19" t="s">
        <v>1358</v>
      </c>
    </row>
    <row r="59" spans="1:8">
      <c r="A59" s="19">
        <v>7</v>
      </c>
      <c r="B59" s="19" t="s">
        <v>294</v>
      </c>
      <c r="C59" s="19" t="s">
        <v>295</v>
      </c>
      <c r="D59" s="19" t="s">
        <v>914</v>
      </c>
      <c r="E59" s="19" t="s">
        <v>301</v>
      </c>
      <c r="F59" s="19" t="s">
        <v>301</v>
      </c>
      <c r="G59" s="19" t="s">
        <v>1413</v>
      </c>
      <c r="H59" s="19" t="s">
        <v>1358</v>
      </c>
    </row>
    <row r="60" spans="1:8">
      <c r="A60" s="19">
        <v>7</v>
      </c>
      <c r="B60" s="19" t="s">
        <v>294</v>
      </c>
      <c r="C60" s="19" t="s">
        <v>295</v>
      </c>
      <c r="D60" s="19" t="s">
        <v>1377</v>
      </c>
      <c r="E60" s="19">
        <v>60000</v>
      </c>
      <c r="F60" s="19">
        <v>60000</v>
      </c>
      <c r="G60" s="19" t="s">
        <v>1413</v>
      </c>
      <c r="H60" s="19" t="s">
        <v>1358</v>
      </c>
    </row>
    <row r="61" spans="1:8">
      <c r="A61" s="19">
        <v>8</v>
      </c>
      <c r="B61" s="19" t="s">
        <v>294</v>
      </c>
      <c r="C61" s="19" t="s">
        <v>295</v>
      </c>
      <c r="D61" s="19" t="s">
        <v>238</v>
      </c>
      <c r="E61" s="19" t="s">
        <v>325</v>
      </c>
      <c r="F61" s="19" t="s">
        <v>325</v>
      </c>
      <c r="G61" s="19" t="s">
        <v>1414</v>
      </c>
      <c r="H61" s="19" t="s">
        <v>1358</v>
      </c>
    </row>
    <row r="62" spans="1:8">
      <c r="A62" s="19">
        <v>8</v>
      </c>
      <c r="B62" s="19" t="s">
        <v>294</v>
      </c>
      <c r="C62" s="19" t="s">
        <v>295</v>
      </c>
      <c r="D62" s="19" t="s">
        <v>256</v>
      </c>
      <c r="E62" s="19" t="s">
        <v>299</v>
      </c>
      <c r="F62" s="19" t="s">
        <v>299</v>
      </c>
      <c r="G62" s="19" t="s">
        <v>1415</v>
      </c>
      <c r="H62" s="19" t="s">
        <v>1358</v>
      </c>
    </row>
    <row r="63" spans="1:8">
      <c r="A63" s="19">
        <v>8</v>
      </c>
      <c r="B63" s="19" t="s">
        <v>294</v>
      </c>
      <c r="C63" s="19" t="s">
        <v>295</v>
      </c>
      <c r="D63" s="19" t="s">
        <v>244</v>
      </c>
      <c r="E63" s="19">
        <v>1383</v>
      </c>
      <c r="F63" s="19">
        <v>1383</v>
      </c>
      <c r="G63" s="19" t="s">
        <v>1416</v>
      </c>
      <c r="H63" s="19" t="s">
        <v>1358</v>
      </c>
    </row>
    <row r="64" spans="1:8">
      <c r="A64" s="19">
        <v>8</v>
      </c>
      <c r="B64" s="19" t="s">
        <v>294</v>
      </c>
      <c r="C64" s="19" t="s">
        <v>295</v>
      </c>
      <c r="D64" s="19" t="s">
        <v>245</v>
      </c>
      <c r="E64" s="19">
        <v>423</v>
      </c>
      <c r="F64" s="19">
        <v>423</v>
      </c>
      <c r="G64" s="19" t="s">
        <v>1417</v>
      </c>
      <c r="H64" s="19" t="s">
        <v>1358</v>
      </c>
    </row>
    <row r="65" spans="1:8">
      <c r="A65" s="19">
        <v>8</v>
      </c>
      <c r="B65" s="19" t="s">
        <v>294</v>
      </c>
      <c r="C65" s="19" t="s">
        <v>295</v>
      </c>
      <c r="D65" s="19" t="s">
        <v>253</v>
      </c>
      <c r="E65" s="19" t="s">
        <v>297</v>
      </c>
      <c r="F65" s="19" t="s">
        <v>297</v>
      </c>
      <c r="G65" s="19" t="s">
        <v>1418</v>
      </c>
      <c r="H65" s="19" t="s">
        <v>1358</v>
      </c>
    </row>
    <row r="66" spans="1:8">
      <c r="A66" s="19">
        <v>8</v>
      </c>
      <c r="B66" s="19" t="s">
        <v>294</v>
      </c>
      <c r="C66" s="19" t="s">
        <v>295</v>
      </c>
      <c r="D66" s="19" t="s">
        <v>914</v>
      </c>
      <c r="E66" s="19" t="s">
        <v>301</v>
      </c>
      <c r="F66" s="19" t="s">
        <v>301</v>
      </c>
      <c r="G66" s="19" t="s">
        <v>1419</v>
      </c>
      <c r="H66" s="19" t="s">
        <v>1358</v>
      </c>
    </row>
    <row r="67" spans="1:8">
      <c r="A67" s="19">
        <v>8</v>
      </c>
      <c r="B67" s="19" t="s">
        <v>294</v>
      </c>
      <c r="C67" s="19" t="s">
        <v>295</v>
      </c>
      <c r="D67" s="19" t="s">
        <v>1377</v>
      </c>
      <c r="E67" s="19">
        <v>410000</v>
      </c>
      <c r="F67" s="19">
        <v>410000</v>
      </c>
      <c r="G67" s="19" t="s">
        <v>1419</v>
      </c>
      <c r="H67" s="19" t="s">
        <v>1358</v>
      </c>
    </row>
    <row r="68" spans="1:8">
      <c r="A68" s="19">
        <v>9</v>
      </c>
      <c r="B68" s="19" t="s">
        <v>294</v>
      </c>
      <c r="C68" s="19" t="s">
        <v>295</v>
      </c>
      <c r="D68" s="19" t="s">
        <v>238</v>
      </c>
      <c r="E68" s="19" t="s">
        <v>329</v>
      </c>
      <c r="F68" s="19" t="s">
        <v>329</v>
      </c>
      <c r="G68" s="19" t="s">
        <v>1420</v>
      </c>
      <c r="H68" s="19" t="s">
        <v>1358</v>
      </c>
    </row>
    <row r="69" spans="1:8">
      <c r="A69" s="19">
        <v>9</v>
      </c>
      <c r="B69" s="19" t="s">
        <v>294</v>
      </c>
      <c r="C69" s="19" t="s">
        <v>295</v>
      </c>
      <c r="D69" s="19" t="s">
        <v>256</v>
      </c>
      <c r="E69" s="19" t="s">
        <v>299</v>
      </c>
      <c r="F69" s="19" t="s">
        <v>299</v>
      </c>
      <c r="G69" s="19" t="s">
        <v>1421</v>
      </c>
      <c r="H69" s="19" t="s">
        <v>1358</v>
      </c>
    </row>
    <row r="70" spans="1:8">
      <c r="A70" s="19">
        <v>9</v>
      </c>
      <c r="B70" s="19" t="s">
        <v>294</v>
      </c>
      <c r="C70" s="19" t="s">
        <v>295</v>
      </c>
      <c r="D70" s="19" t="s">
        <v>244</v>
      </c>
      <c r="E70" s="19">
        <v>41</v>
      </c>
      <c r="F70" s="19">
        <v>41</v>
      </c>
      <c r="G70" s="19" t="s">
        <v>1422</v>
      </c>
      <c r="H70" s="19" t="s">
        <v>1358</v>
      </c>
    </row>
    <row r="71" spans="1:8">
      <c r="A71" s="19">
        <v>9</v>
      </c>
      <c r="B71" s="19" t="s">
        <v>294</v>
      </c>
      <c r="C71" s="19" t="s">
        <v>295</v>
      </c>
      <c r="D71" s="19" t="s">
        <v>245</v>
      </c>
      <c r="E71" s="19">
        <v>3.9</v>
      </c>
      <c r="F71" s="19">
        <v>3.9</v>
      </c>
      <c r="G71" s="19" t="s">
        <v>1423</v>
      </c>
      <c r="H71" s="19" t="s">
        <v>1358</v>
      </c>
    </row>
    <row r="72" spans="1:8">
      <c r="A72" s="19">
        <v>9</v>
      </c>
      <c r="B72" s="19" t="s">
        <v>294</v>
      </c>
      <c r="C72" s="19" t="s">
        <v>295</v>
      </c>
      <c r="D72" s="19" t="s">
        <v>253</v>
      </c>
      <c r="E72" s="19" t="s">
        <v>297</v>
      </c>
      <c r="F72" s="19" t="s">
        <v>297</v>
      </c>
      <c r="G72" s="19" t="s">
        <v>1424</v>
      </c>
      <c r="H72" s="19" t="s">
        <v>1358</v>
      </c>
    </row>
    <row r="73" spans="1:8">
      <c r="A73" s="19">
        <v>9</v>
      </c>
      <c r="B73" s="19" t="s">
        <v>294</v>
      </c>
      <c r="C73" s="19" t="s">
        <v>295</v>
      </c>
      <c r="D73" s="19" t="s">
        <v>914</v>
      </c>
      <c r="E73" s="19" t="s">
        <v>301</v>
      </c>
      <c r="F73" s="19" t="s">
        <v>301</v>
      </c>
      <c r="G73" s="19" t="s">
        <v>1425</v>
      </c>
      <c r="H73" s="19" t="s">
        <v>1358</v>
      </c>
    </row>
    <row r="74" spans="1:8">
      <c r="A74" s="19">
        <v>9</v>
      </c>
      <c r="B74" s="19" t="s">
        <v>294</v>
      </c>
      <c r="C74" s="19" t="s">
        <v>295</v>
      </c>
      <c r="D74" s="19" t="s">
        <v>1377</v>
      </c>
      <c r="E74" s="19">
        <v>8000</v>
      </c>
      <c r="F74" s="19">
        <v>8000</v>
      </c>
      <c r="G74" s="19" t="s">
        <v>1425</v>
      </c>
      <c r="H74" s="19" t="s">
        <v>1358</v>
      </c>
    </row>
    <row r="75" spans="1:8">
      <c r="A75" s="19">
        <v>10</v>
      </c>
      <c r="B75" s="19" t="s">
        <v>294</v>
      </c>
      <c r="C75" s="19" t="s">
        <v>295</v>
      </c>
      <c r="D75" s="19" t="s">
        <v>238</v>
      </c>
      <c r="E75" s="19" t="s">
        <v>333</v>
      </c>
      <c r="F75" s="19" t="s">
        <v>333</v>
      </c>
      <c r="G75" s="19" t="s">
        <v>1426</v>
      </c>
      <c r="H75" s="19" t="s">
        <v>1358</v>
      </c>
    </row>
    <row r="76" spans="1:8">
      <c r="A76" s="19">
        <v>10</v>
      </c>
      <c r="B76" s="19" t="s">
        <v>294</v>
      </c>
      <c r="C76" s="19" t="s">
        <v>295</v>
      </c>
      <c r="D76" s="19" t="s">
        <v>256</v>
      </c>
      <c r="E76" s="19" t="s">
        <v>299</v>
      </c>
      <c r="F76" s="19" t="s">
        <v>299</v>
      </c>
      <c r="G76" s="19" t="s">
        <v>1427</v>
      </c>
      <c r="H76" s="19" t="s">
        <v>1358</v>
      </c>
    </row>
    <row r="77" spans="1:8">
      <c r="A77" s="19">
        <v>10</v>
      </c>
      <c r="B77" s="19" t="s">
        <v>294</v>
      </c>
      <c r="C77" s="19" t="s">
        <v>295</v>
      </c>
      <c r="D77" s="19" t="s">
        <v>244</v>
      </c>
      <c r="E77" s="19">
        <v>120</v>
      </c>
      <c r="F77" s="19">
        <v>120</v>
      </c>
      <c r="G77" s="19" t="s">
        <v>1428</v>
      </c>
      <c r="H77" s="19" t="s">
        <v>1358</v>
      </c>
    </row>
    <row r="78" spans="1:8">
      <c r="A78" s="19">
        <v>10</v>
      </c>
      <c r="B78" s="19" t="s">
        <v>294</v>
      </c>
      <c r="C78" s="19" t="s">
        <v>295</v>
      </c>
      <c r="D78" s="19" t="s">
        <v>245</v>
      </c>
      <c r="E78" s="19">
        <v>13.7</v>
      </c>
      <c r="F78" s="19">
        <v>13.7</v>
      </c>
      <c r="G78" s="19" t="s">
        <v>1429</v>
      </c>
      <c r="H78" s="19" t="s">
        <v>1358</v>
      </c>
    </row>
    <row r="79" spans="1:8">
      <c r="A79" s="19">
        <v>10</v>
      </c>
      <c r="B79" s="19" t="s">
        <v>294</v>
      </c>
      <c r="C79" s="19" t="s">
        <v>295</v>
      </c>
      <c r="D79" s="19" t="s">
        <v>253</v>
      </c>
      <c r="E79" s="19" t="s">
        <v>297</v>
      </c>
      <c r="F79" s="19" t="s">
        <v>297</v>
      </c>
      <c r="G79" s="19" t="s">
        <v>1430</v>
      </c>
      <c r="H79" s="19" t="s">
        <v>1358</v>
      </c>
    </row>
    <row r="80" spans="1:8">
      <c r="A80" s="19">
        <v>10</v>
      </c>
      <c r="B80" s="19" t="s">
        <v>294</v>
      </c>
      <c r="C80" s="19" t="s">
        <v>295</v>
      </c>
      <c r="D80" s="19" t="s">
        <v>914</v>
      </c>
      <c r="E80" s="19" t="s">
        <v>301</v>
      </c>
      <c r="F80" s="19" t="s">
        <v>301</v>
      </c>
      <c r="G80" s="19" t="s">
        <v>1431</v>
      </c>
      <c r="H80" s="19" t="s">
        <v>1358</v>
      </c>
    </row>
    <row r="81" spans="1:8">
      <c r="A81" s="19">
        <v>10</v>
      </c>
      <c r="B81" s="19" t="s">
        <v>294</v>
      </c>
      <c r="C81" s="19" t="s">
        <v>295</v>
      </c>
      <c r="D81" s="19" t="s">
        <v>1377</v>
      </c>
      <c r="E81" s="19">
        <v>40000</v>
      </c>
      <c r="F81" s="19">
        <v>40000</v>
      </c>
      <c r="G81" s="19" t="s">
        <v>1431</v>
      </c>
      <c r="H81" s="19" t="s">
        <v>1358</v>
      </c>
    </row>
    <row r="82" spans="1:8">
      <c r="A82" s="19">
        <v>11</v>
      </c>
      <c r="B82" s="19" t="s">
        <v>294</v>
      </c>
      <c r="C82" s="19" t="s">
        <v>295</v>
      </c>
      <c r="D82" s="19" t="s">
        <v>238</v>
      </c>
      <c r="E82" s="19" t="s">
        <v>337</v>
      </c>
      <c r="F82" s="19" t="s">
        <v>337</v>
      </c>
      <c r="G82" s="19" t="s">
        <v>1432</v>
      </c>
      <c r="H82" s="19" t="s">
        <v>1358</v>
      </c>
    </row>
    <row r="83" spans="1:8">
      <c r="A83" s="19">
        <v>11</v>
      </c>
      <c r="B83" s="19" t="s">
        <v>294</v>
      </c>
      <c r="C83" s="19" t="s">
        <v>295</v>
      </c>
      <c r="D83" s="19" t="s">
        <v>256</v>
      </c>
      <c r="E83" s="19" t="s">
        <v>339</v>
      </c>
      <c r="F83" s="19" t="s">
        <v>1433</v>
      </c>
      <c r="G83" s="19" t="s">
        <v>1434</v>
      </c>
      <c r="H83" s="19" t="s">
        <v>1358</v>
      </c>
    </row>
    <row r="84" spans="1:8">
      <c r="A84" s="19">
        <v>11</v>
      </c>
      <c r="B84" s="19" t="s">
        <v>294</v>
      </c>
      <c r="C84" s="19" t="s">
        <v>295</v>
      </c>
      <c r="D84" s="19" t="s">
        <v>244</v>
      </c>
      <c r="E84" s="19">
        <v>27.2</v>
      </c>
      <c r="F84" s="19">
        <v>27.2</v>
      </c>
      <c r="G84" s="19" t="s">
        <v>1435</v>
      </c>
      <c r="H84" s="19" t="s">
        <v>1358</v>
      </c>
    </row>
    <row r="85" spans="1:8">
      <c r="A85" s="19">
        <v>11</v>
      </c>
      <c r="B85" s="19" t="s">
        <v>294</v>
      </c>
      <c r="C85" s="19" t="s">
        <v>295</v>
      </c>
      <c r="D85" s="19" t="s">
        <v>245</v>
      </c>
      <c r="E85" s="19">
        <v>4</v>
      </c>
      <c r="F85" s="19">
        <v>4</v>
      </c>
      <c r="G85" s="19" t="s">
        <v>1436</v>
      </c>
      <c r="H85" s="19" t="s">
        <v>1358</v>
      </c>
    </row>
    <row r="86" spans="1:8">
      <c r="A86" s="19">
        <v>11</v>
      </c>
      <c r="B86" s="19" t="s">
        <v>294</v>
      </c>
      <c r="C86" s="19" t="s">
        <v>295</v>
      </c>
      <c r="D86" s="19" t="s">
        <v>253</v>
      </c>
      <c r="E86" s="19" t="s">
        <v>297</v>
      </c>
      <c r="F86" s="19" t="s">
        <v>297</v>
      </c>
      <c r="G86" s="19" t="s">
        <v>1437</v>
      </c>
      <c r="H86" s="19" t="s">
        <v>1358</v>
      </c>
    </row>
    <row r="87" spans="1:8">
      <c r="A87" s="19">
        <v>11</v>
      </c>
      <c r="B87" s="19" t="s">
        <v>294</v>
      </c>
      <c r="C87" s="19" t="s">
        <v>295</v>
      </c>
      <c r="D87" s="19" t="s">
        <v>914</v>
      </c>
      <c r="E87" s="19" t="s">
        <v>301</v>
      </c>
      <c r="F87" s="19" t="s">
        <v>301</v>
      </c>
      <c r="G87" s="19" t="s">
        <v>1438</v>
      </c>
      <c r="H87" s="19" t="s">
        <v>1358</v>
      </c>
    </row>
    <row r="88" spans="1:8">
      <c r="A88" s="19">
        <v>11</v>
      </c>
      <c r="B88" s="19" t="s">
        <v>294</v>
      </c>
      <c r="C88" s="19" t="s">
        <v>295</v>
      </c>
      <c r="D88" s="19" t="s">
        <v>1377</v>
      </c>
      <c r="E88" s="19">
        <v>5000</v>
      </c>
      <c r="F88" s="19">
        <v>5000</v>
      </c>
      <c r="G88" s="19" t="s">
        <v>1438</v>
      </c>
      <c r="H88" s="19" t="s">
        <v>1358</v>
      </c>
    </row>
    <row r="89" spans="1:8">
      <c r="A89" s="19">
        <v>12</v>
      </c>
      <c r="B89" s="19" t="s">
        <v>294</v>
      </c>
      <c r="C89" s="19" t="s">
        <v>295</v>
      </c>
      <c r="D89" s="19" t="s">
        <v>238</v>
      </c>
      <c r="E89" s="19" t="s">
        <v>342</v>
      </c>
      <c r="F89" s="19" t="s">
        <v>342</v>
      </c>
      <c r="G89" s="19" t="s">
        <v>1439</v>
      </c>
      <c r="H89" s="19" t="s">
        <v>1358</v>
      </c>
    </row>
    <row r="90" spans="1:8">
      <c r="A90" s="19">
        <v>12</v>
      </c>
      <c r="B90" s="19" t="s">
        <v>294</v>
      </c>
      <c r="C90" s="19" t="s">
        <v>295</v>
      </c>
      <c r="D90" s="19" t="s">
        <v>256</v>
      </c>
      <c r="E90" s="19" t="s">
        <v>343</v>
      </c>
      <c r="F90" s="19" t="s">
        <v>1440</v>
      </c>
      <c r="G90" s="19" t="s">
        <v>1441</v>
      </c>
      <c r="H90" s="19" t="s">
        <v>1358</v>
      </c>
    </row>
    <row r="91" spans="1:8">
      <c r="A91" s="19">
        <v>12</v>
      </c>
      <c r="B91" s="19" t="s">
        <v>294</v>
      </c>
      <c r="C91" s="19" t="s">
        <v>295</v>
      </c>
      <c r="D91" s="19" t="s">
        <v>244</v>
      </c>
      <c r="E91" s="19">
        <v>40.799999999999997</v>
      </c>
      <c r="F91" s="19">
        <v>40.799999999999997</v>
      </c>
      <c r="G91" s="19" t="s">
        <v>1442</v>
      </c>
      <c r="H91" s="19" t="s">
        <v>1358</v>
      </c>
    </row>
    <row r="92" spans="1:8">
      <c r="A92" s="19">
        <v>12</v>
      </c>
      <c r="B92" s="19" t="s">
        <v>294</v>
      </c>
      <c r="C92" s="19" t="s">
        <v>295</v>
      </c>
      <c r="D92" s="19" t="s">
        <v>245</v>
      </c>
      <c r="E92" s="19">
        <v>0.8</v>
      </c>
      <c r="F92" s="19">
        <v>0.8</v>
      </c>
      <c r="G92" s="19" t="s">
        <v>1443</v>
      </c>
      <c r="H92" s="19" t="s">
        <v>1358</v>
      </c>
    </row>
    <row r="93" spans="1:8">
      <c r="A93" s="19">
        <v>12</v>
      </c>
      <c r="B93" s="19" t="s">
        <v>294</v>
      </c>
      <c r="C93" s="19" t="s">
        <v>295</v>
      </c>
      <c r="D93" s="19" t="s">
        <v>253</v>
      </c>
      <c r="E93" s="19" t="s">
        <v>297</v>
      </c>
      <c r="F93" s="19" t="s">
        <v>297</v>
      </c>
      <c r="G93" s="19" t="s">
        <v>1444</v>
      </c>
      <c r="H93" s="19" t="s">
        <v>1358</v>
      </c>
    </row>
    <row r="94" spans="1:8">
      <c r="A94" s="19">
        <v>12</v>
      </c>
      <c r="B94" s="19" t="s">
        <v>294</v>
      </c>
      <c r="C94" s="19" t="s">
        <v>295</v>
      </c>
      <c r="D94" s="19" t="s">
        <v>914</v>
      </c>
      <c r="E94" s="19" t="s">
        <v>301</v>
      </c>
      <c r="F94" s="19" t="s">
        <v>301</v>
      </c>
      <c r="G94" s="19" t="s">
        <v>1445</v>
      </c>
      <c r="H94" s="19" t="s">
        <v>1358</v>
      </c>
    </row>
    <row r="95" spans="1:8">
      <c r="A95" s="19">
        <v>12</v>
      </c>
      <c r="B95" s="19" t="s">
        <v>294</v>
      </c>
      <c r="C95" s="19" t="s">
        <v>295</v>
      </c>
      <c r="D95" s="19" t="s">
        <v>1377</v>
      </c>
      <c r="E95" s="19">
        <v>3000</v>
      </c>
      <c r="F95" s="19">
        <v>3000</v>
      </c>
      <c r="G95" s="19" t="s">
        <v>1445</v>
      </c>
      <c r="H95" s="19" t="s">
        <v>1358</v>
      </c>
    </row>
    <row r="96" spans="1:8">
      <c r="A96" s="19">
        <v>13</v>
      </c>
      <c r="B96" s="19" t="s">
        <v>294</v>
      </c>
      <c r="C96" s="19" t="s">
        <v>295</v>
      </c>
      <c r="D96" s="19" t="s">
        <v>238</v>
      </c>
      <c r="E96" s="19" t="s">
        <v>346</v>
      </c>
      <c r="F96" s="19" t="s">
        <v>346</v>
      </c>
      <c r="G96" s="19" t="s">
        <v>1446</v>
      </c>
      <c r="H96" s="19" t="s">
        <v>1358</v>
      </c>
    </row>
    <row r="97" spans="1:8">
      <c r="A97" s="19">
        <v>13</v>
      </c>
      <c r="B97" s="19" t="s">
        <v>294</v>
      </c>
      <c r="C97" s="19" t="s">
        <v>295</v>
      </c>
      <c r="D97" s="19" t="s">
        <v>256</v>
      </c>
      <c r="E97" s="19" t="s">
        <v>299</v>
      </c>
      <c r="F97" s="19" t="s">
        <v>299</v>
      </c>
      <c r="G97" s="19" t="s">
        <v>1447</v>
      </c>
      <c r="H97" s="19" t="s">
        <v>1358</v>
      </c>
    </row>
    <row r="98" spans="1:8">
      <c r="A98" s="19">
        <v>13</v>
      </c>
      <c r="B98" s="19" t="s">
        <v>294</v>
      </c>
      <c r="C98" s="19" t="s">
        <v>295</v>
      </c>
      <c r="D98" s="19" t="s">
        <v>244</v>
      </c>
      <c r="E98" s="19">
        <v>15</v>
      </c>
      <c r="F98" s="19">
        <v>15</v>
      </c>
      <c r="G98" s="19" t="s">
        <v>1448</v>
      </c>
      <c r="H98" s="19" t="s">
        <v>1358</v>
      </c>
    </row>
    <row r="99" spans="1:8">
      <c r="A99" s="19">
        <v>13</v>
      </c>
      <c r="B99" s="19" t="s">
        <v>294</v>
      </c>
      <c r="C99" s="19" t="s">
        <v>295</v>
      </c>
      <c r="D99" s="19" t="s">
        <v>245</v>
      </c>
      <c r="E99" s="19">
        <v>5</v>
      </c>
      <c r="F99" s="19">
        <v>5</v>
      </c>
      <c r="G99" s="19" t="s">
        <v>1449</v>
      </c>
      <c r="H99" s="19" t="s">
        <v>1358</v>
      </c>
    </row>
    <row r="100" spans="1:8">
      <c r="A100" s="19">
        <v>13</v>
      </c>
      <c r="B100" s="19" t="s">
        <v>294</v>
      </c>
      <c r="C100" s="19" t="s">
        <v>295</v>
      </c>
      <c r="D100" s="19" t="s">
        <v>253</v>
      </c>
      <c r="E100" s="19" t="s">
        <v>297</v>
      </c>
      <c r="F100" s="19" t="s">
        <v>297</v>
      </c>
      <c r="G100" s="19" t="s">
        <v>1450</v>
      </c>
      <c r="H100" s="19" t="s">
        <v>1358</v>
      </c>
    </row>
    <row r="101" spans="1:8">
      <c r="A101" s="19">
        <v>13</v>
      </c>
      <c r="B101" s="19" t="s">
        <v>294</v>
      </c>
      <c r="C101" s="19" t="s">
        <v>295</v>
      </c>
      <c r="D101" s="19" t="s">
        <v>914</v>
      </c>
      <c r="E101" s="19" t="s">
        <v>301</v>
      </c>
      <c r="F101" s="19" t="s">
        <v>301</v>
      </c>
      <c r="G101" s="19" t="s">
        <v>1451</v>
      </c>
      <c r="H101" s="19" t="s">
        <v>1358</v>
      </c>
    </row>
    <row r="102" spans="1:8">
      <c r="A102" s="19">
        <v>13</v>
      </c>
      <c r="B102" s="19" t="s">
        <v>294</v>
      </c>
      <c r="C102" s="19" t="s">
        <v>295</v>
      </c>
      <c r="D102" s="19" t="s">
        <v>1377</v>
      </c>
      <c r="E102" s="19">
        <v>3000</v>
      </c>
      <c r="F102" s="19">
        <v>3000</v>
      </c>
      <c r="G102" s="19" t="s">
        <v>1451</v>
      </c>
      <c r="H102" s="19" t="s">
        <v>1358</v>
      </c>
    </row>
    <row r="103" spans="1:8">
      <c r="A103" s="19">
        <v>14</v>
      </c>
      <c r="B103" s="19" t="s">
        <v>294</v>
      </c>
      <c r="C103" s="19" t="s">
        <v>295</v>
      </c>
      <c r="D103" s="19" t="s">
        <v>238</v>
      </c>
      <c r="E103" s="19" t="s">
        <v>349</v>
      </c>
      <c r="F103" s="19" t="s">
        <v>349</v>
      </c>
      <c r="G103" s="19" t="s">
        <v>1452</v>
      </c>
      <c r="H103" s="19" t="s">
        <v>1358</v>
      </c>
    </row>
    <row r="104" spans="1:8">
      <c r="A104" s="19">
        <v>14</v>
      </c>
      <c r="B104" s="19" t="s">
        <v>294</v>
      </c>
      <c r="C104" s="19" t="s">
        <v>295</v>
      </c>
      <c r="D104" s="19" t="s">
        <v>256</v>
      </c>
      <c r="E104" s="19" t="s">
        <v>299</v>
      </c>
      <c r="F104" s="19" t="s">
        <v>299</v>
      </c>
      <c r="G104" s="19" t="s">
        <v>1453</v>
      </c>
      <c r="H104" s="19" t="s">
        <v>1358</v>
      </c>
    </row>
    <row r="105" spans="1:8">
      <c r="A105" s="19">
        <v>14</v>
      </c>
      <c r="B105" s="19" t="s">
        <v>294</v>
      </c>
      <c r="C105" s="19" t="s">
        <v>295</v>
      </c>
      <c r="D105" s="19" t="s">
        <v>244</v>
      </c>
      <c r="E105" s="19">
        <v>18</v>
      </c>
      <c r="F105" s="19">
        <v>18</v>
      </c>
      <c r="G105" s="19" t="s">
        <v>1454</v>
      </c>
      <c r="H105" s="19" t="s">
        <v>1358</v>
      </c>
    </row>
    <row r="106" spans="1:8">
      <c r="A106" s="19">
        <v>14</v>
      </c>
      <c r="B106" s="19" t="s">
        <v>294</v>
      </c>
      <c r="C106" s="19" t="s">
        <v>295</v>
      </c>
      <c r="D106" s="19" t="s">
        <v>245</v>
      </c>
      <c r="E106" s="19">
        <v>2</v>
      </c>
      <c r="F106" s="19">
        <v>2</v>
      </c>
      <c r="G106" s="19" t="s">
        <v>1455</v>
      </c>
      <c r="H106" s="19" t="s">
        <v>1358</v>
      </c>
    </row>
    <row r="107" spans="1:8">
      <c r="A107" s="19">
        <v>14</v>
      </c>
      <c r="B107" s="19" t="s">
        <v>294</v>
      </c>
      <c r="C107" s="19" t="s">
        <v>295</v>
      </c>
      <c r="D107" s="19" t="s">
        <v>253</v>
      </c>
      <c r="E107" s="19" t="s">
        <v>297</v>
      </c>
      <c r="F107" s="19" t="s">
        <v>297</v>
      </c>
      <c r="G107" s="19" t="s">
        <v>1456</v>
      </c>
      <c r="H107" s="19" t="s">
        <v>1358</v>
      </c>
    </row>
    <row r="108" spans="1:8">
      <c r="A108" s="19">
        <v>14</v>
      </c>
      <c r="B108" s="19" t="s">
        <v>294</v>
      </c>
      <c r="C108" s="19" t="s">
        <v>295</v>
      </c>
      <c r="D108" s="19" t="s">
        <v>914</v>
      </c>
      <c r="E108" s="19" t="s">
        <v>301</v>
      </c>
      <c r="F108" s="19" t="s">
        <v>301</v>
      </c>
      <c r="G108" s="19" t="s">
        <v>1457</v>
      </c>
      <c r="H108" s="19" t="s">
        <v>1358</v>
      </c>
    </row>
    <row r="109" spans="1:8">
      <c r="A109" s="19">
        <v>14</v>
      </c>
      <c r="B109" s="19" t="s">
        <v>294</v>
      </c>
      <c r="C109" s="19" t="s">
        <v>295</v>
      </c>
      <c r="D109" s="19" t="s">
        <v>1377</v>
      </c>
      <c r="E109" s="19">
        <v>40000</v>
      </c>
      <c r="F109" s="19">
        <v>40000</v>
      </c>
      <c r="G109" s="19" t="s">
        <v>1457</v>
      </c>
      <c r="H109" s="19" t="s">
        <v>1358</v>
      </c>
    </row>
    <row r="110" spans="1:8">
      <c r="A110" s="19">
        <v>15</v>
      </c>
      <c r="B110" s="19" t="s">
        <v>353</v>
      </c>
      <c r="C110" s="19" t="s">
        <v>354</v>
      </c>
      <c r="D110" s="19" t="s">
        <v>238</v>
      </c>
      <c r="E110" s="19" t="s">
        <v>352</v>
      </c>
      <c r="F110" s="19" t="s">
        <v>352</v>
      </c>
      <c r="G110" s="19" t="s">
        <v>1458</v>
      </c>
      <c r="H110" s="19" t="s">
        <v>1358</v>
      </c>
    </row>
    <row r="111" spans="1:8">
      <c r="A111" s="19">
        <v>15</v>
      </c>
      <c r="B111" s="19" t="s">
        <v>353</v>
      </c>
      <c r="C111" s="19" t="s">
        <v>354</v>
      </c>
      <c r="D111" s="19" t="s">
        <v>255</v>
      </c>
      <c r="E111" s="19">
        <v>2</v>
      </c>
      <c r="F111" s="19">
        <v>2</v>
      </c>
      <c r="G111" s="19" t="s">
        <v>1459</v>
      </c>
      <c r="H111" s="19" t="s">
        <v>1358</v>
      </c>
    </row>
    <row r="112" spans="1:8">
      <c r="A112" s="19">
        <v>15</v>
      </c>
      <c r="B112" s="19" t="s">
        <v>353</v>
      </c>
      <c r="C112" s="19" t="s">
        <v>354</v>
      </c>
      <c r="D112" s="19" t="s">
        <v>256</v>
      </c>
      <c r="E112" s="19" t="s">
        <v>299</v>
      </c>
      <c r="F112" s="19" t="s">
        <v>1460</v>
      </c>
      <c r="G112" s="19"/>
      <c r="H112" s="60" t="s">
        <v>1360</v>
      </c>
    </row>
    <row r="113" spans="1:8">
      <c r="A113" s="19">
        <v>15</v>
      </c>
      <c r="B113" s="19" t="s">
        <v>353</v>
      </c>
      <c r="C113" s="19" t="s">
        <v>354</v>
      </c>
      <c r="D113" s="19" t="s">
        <v>243</v>
      </c>
      <c r="E113" s="19">
        <v>500</v>
      </c>
      <c r="F113" s="19">
        <v>500</v>
      </c>
      <c r="G113" s="19" t="s">
        <v>1461</v>
      </c>
      <c r="H113" s="19" t="s">
        <v>1358</v>
      </c>
    </row>
    <row r="114" spans="1:8">
      <c r="A114" s="19">
        <v>15</v>
      </c>
      <c r="B114" s="19" t="s">
        <v>353</v>
      </c>
      <c r="C114" s="19" t="s">
        <v>354</v>
      </c>
      <c r="D114" s="19" t="s">
        <v>257</v>
      </c>
      <c r="E114" s="19">
        <v>15.2</v>
      </c>
      <c r="F114" s="19">
        <v>15.2</v>
      </c>
      <c r="G114" s="19" t="s">
        <v>1461</v>
      </c>
      <c r="H114" s="19" t="s">
        <v>1358</v>
      </c>
    </row>
    <row r="115" spans="1:8">
      <c r="A115" s="19">
        <v>15</v>
      </c>
      <c r="B115" s="19" t="s">
        <v>353</v>
      </c>
      <c r="C115" s="19" t="s">
        <v>354</v>
      </c>
      <c r="D115" s="19" t="s">
        <v>245</v>
      </c>
      <c r="E115" s="19">
        <v>216.3</v>
      </c>
      <c r="F115" s="19">
        <v>216.3</v>
      </c>
      <c r="G115" s="19" t="s">
        <v>1461</v>
      </c>
      <c r="H115" s="19" t="s">
        <v>1358</v>
      </c>
    </row>
    <row r="116" spans="1:8">
      <c r="A116" s="19">
        <v>15</v>
      </c>
      <c r="B116" s="19" t="s">
        <v>353</v>
      </c>
      <c r="C116" s="19" t="s">
        <v>354</v>
      </c>
      <c r="D116" s="19" t="s">
        <v>253</v>
      </c>
      <c r="E116" s="19" t="s">
        <v>297</v>
      </c>
      <c r="F116" s="19" t="s">
        <v>1460</v>
      </c>
      <c r="G116" s="19"/>
      <c r="H116" s="60" t="s">
        <v>1360</v>
      </c>
    </row>
    <row r="117" spans="1:8">
      <c r="A117" s="19">
        <v>15</v>
      </c>
      <c r="B117" s="19" t="s">
        <v>353</v>
      </c>
      <c r="C117" s="19" t="s">
        <v>354</v>
      </c>
      <c r="D117" s="19" t="s">
        <v>914</v>
      </c>
      <c r="E117" s="19" t="s">
        <v>355</v>
      </c>
      <c r="F117" s="19" t="s">
        <v>355</v>
      </c>
      <c r="G117" s="19" t="s">
        <v>1462</v>
      </c>
      <c r="H117" s="19" t="s">
        <v>1358</v>
      </c>
    </row>
    <row r="118" spans="1:8">
      <c r="A118" s="19">
        <v>15</v>
      </c>
      <c r="B118" s="19" t="s">
        <v>353</v>
      </c>
      <c r="C118" s="19" t="s">
        <v>354</v>
      </c>
      <c r="D118" s="19" t="s">
        <v>1377</v>
      </c>
      <c r="E118" s="19">
        <v>385000</v>
      </c>
      <c r="F118" s="19">
        <v>385000</v>
      </c>
      <c r="G118" s="19" t="s">
        <v>1462</v>
      </c>
      <c r="H118" s="19" t="s">
        <v>1358</v>
      </c>
    </row>
    <row r="119" spans="1:8">
      <c r="A119" s="19">
        <v>16</v>
      </c>
      <c r="B119" s="19" t="s">
        <v>353</v>
      </c>
      <c r="C119" s="19" t="s">
        <v>363</v>
      </c>
      <c r="D119" s="19" t="s">
        <v>238</v>
      </c>
      <c r="E119" s="19" t="s">
        <v>362</v>
      </c>
      <c r="F119" s="19" t="s">
        <v>362</v>
      </c>
      <c r="G119" s="19" t="s">
        <v>1463</v>
      </c>
      <c r="H119" s="19" t="s">
        <v>1358</v>
      </c>
    </row>
    <row r="120" spans="1:8">
      <c r="A120" s="19">
        <v>16</v>
      </c>
      <c r="B120" s="19" t="s">
        <v>353</v>
      </c>
      <c r="C120" s="19" t="s">
        <v>363</v>
      </c>
      <c r="D120" s="19" t="s">
        <v>255</v>
      </c>
      <c r="E120" s="19">
        <v>2</v>
      </c>
      <c r="F120" s="19">
        <v>2</v>
      </c>
      <c r="G120" s="19" t="s">
        <v>1464</v>
      </c>
      <c r="H120" s="19" t="s">
        <v>1358</v>
      </c>
    </row>
    <row r="121" spans="1:8">
      <c r="A121" s="19">
        <v>16</v>
      </c>
      <c r="B121" s="19" t="s">
        <v>353</v>
      </c>
      <c r="C121" s="19" t="s">
        <v>363</v>
      </c>
      <c r="D121" s="19" t="s">
        <v>256</v>
      </c>
      <c r="E121" s="19" t="s">
        <v>299</v>
      </c>
      <c r="F121" s="19" t="s">
        <v>1460</v>
      </c>
      <c r="G121" s="19"/>
      <c r="H121" s="60" t="s">
        <v>1360</v>
      </c>
    </row>
    <row r="122" spans="1:8">
      <c r="A122" s="19">
        <v>16</v>
      </c>
      <c r="B122" s="19" t="s">
        <v>353</v>
      </c>
      <c r="C122" s="19" t="s">
        <v>363</v>
      </c>
      <c r="D122" s="19" t="s">
        <v>243</v>
      </c>
      <c r="E122" s="19">
        <v>250</v>
      </c>
      <c r="F122" s="19">
        <v>250</v>
      </c>
      <c r="G122" s="19" t="s">
        <v>1465</v>
      </c>
      <c r="H122" s="19" t="s">
        <v>1358</v>
      </c>
    </row>
    <row r="123" spans="1:8">
      <c r="A123" s="19">
        <v>16</v>
      </c>
      <c r="B123" s="19" t="s">
        <v>353</v>
      </c>
      <c r="C123" s="19" t="s">
        <v>363</v>
      </c>
      <c r="D123" s="19" t="s">
        <v>257</v>
      </c>
      <c r="E123" s="19">
        <v>15.2</v>
      </c>
      <c r="F123" s="19">
        <v>15.2</v>
      </c>
      <c r="G123" s="19" t="s">
        <v>1465</v>
      </c>
      <c r="H123" s="19" t="s">
        <v>1358</v>
      </c>
    </row>
    <row r="124" spans="1:8">
      <c r="A124" s="19">
        <v>16</v>
      </c>
      <c r="B124" s="19" t="s">
        <v>353</v>
      </c>
      <c r="C124" s="19" t="s">
        <v>363</v>
      </c>
      <c r="D124" s="19" t="s">
        <v>245</v>
      </c>
      <c r="E124" s="19">
        <v>108.1</v>
      </c>
      <c r="F124" s="19">
        <v>108.1</v>
      </c>
      <c r="G124" s="19" t="s">
        <v>1465</v>
      </c>
      <c r="H124" s="19" t="s">
        <v>1358</v>
      </c>
    </row>
    <row r="125" spans="1:8">
      <c r="A125" s="19">
        <v>16</v>
      </c>
      <c r="B125" s="19" t="s">
        <v>353</v>
      </c>
      <c r="C125" s="19" t="s">
        <v>363</v>
      </c>
      <c r="D125" s="19" t="s">
        <v>253</v>
      </c>
      <c r="E125" s="19" t="s">
        <v>297</v>
      </c>
      <c r="F125" s="19" t="s">
        <v>1460</v>
      </c>
      <c r="G125" s="19"/>
      <c r="H125" s="60" t="s">
        <v>1360</v>
      </c>
    </row>
    <row r="126" spans="1:8">
      <c r="A126" s="19">
        <v>16</v>
      </c>
      <c r="B126" s="19" t="s">
        <v>353</v>
      </c>
      <c r="C126" s="19" t="s">
        <v>363</v>
      </c>
      <c r="D126" s="19" t="s">
        <v>914</v>
      </c>
      <c r="E126" s="19" t="s">
        <v>355</v>
      </c>
      <c r="F126" s="19" t="s">
        <v>355</v>
      </c>
      <c r="G126" s="19" t="s">
        <v>1466</v>
      </c>
      <c r="H126" s="19" t="s">
        <v>1358</v>
      </c>
    </row>
    <row r="127" spans="1:8">
      <c r="A127" s="19">
        <v>16</v>
      </c>
      <c r="B127" s="19" t="s">
        <v>353</v>
      </c>
      <c r="C127" s="19" t="s">
        <v>363</v>
      </c>
      <c r="D127" s="19" t="s">
        <v>1377</v>
      </c>
      <c r="E127" s="19">
        <v>135000</v>
      </c>
      <c r="F127" s="19">
        <v>135000</v>
      </c>
      <c r="G127" s="19" t="s">
        <v>1466</v>
      </c>
      <c r="H127" s="19" t="s">
        <v>1358</v>
      </c>
    </row>
    <row r="128" spans="1:8">
      <c r="A128" s="19">
        <v>17</v>
      </c>
      <c r="B128" s="19" t="s">
        <v>353</v>
      </c>
      <c r="C128" s="19" t="s">
        <v>367</v>
      </c>
      <c r="D128" s="19" t="s">
        <v>238</v>
      </c>
      <c r="E128" s="19" t="s">
        <v>366</v>
      </c>
      <c r="F128" s="19" t="s">
        <v>366</v>
      </c>
      <c r="G128" s="19" t="s">
        <v>1467</v>
      </c>
      <c r="H128" s="19" t="s">
        <v>1358</v>
      </c>
    </row>
    <row r="129" spans="1:8">
      <c r="A129" s="19">
        <v>17</v>
      </c>
      <c r="B129" s="19" t="s">
        <v>353</v>
      </c>
      <c r="C129" s="19" t="s">
        <v>367</v>
      </c>
      <c r="D129" s="19" t="s">
        <v>255</v>
      </c>
      <c r="E129" s="19">
        <v>2</v>
      </c>
      <c r="F129" s="19">
        <v>2</v>
      </c>
      <c r="G129" s="19" t="s">
        <v>1468</v>
      </c>
      <c r="H129" s="19" t="s">
        <v>1358</v>
      </c>
    </row>
    <row r="130" spans="1:8">
      <c r="A130" s="19">
        <v>17</v>
      </c>
      <c r="B130" s="19" t="s">
        <v>353</v>
      </c>
      <c r="C130" s="19" t="s">
        <v>367</v>
      </c>
      <c r="D130" s="19" t="s">
        <v>256</v>
      </c>
      <c r="E130" s="19" t="s">
        <v>299</v>
      </c>
      <c r="F130" s="19" t="s">
        <v>1460</v>
      </c>
      <c r="G130" s="19"/>
      <c r="H130" s="60" t="s">
        <v>1360</v>
      </c>
    </row>
    <row r="131" spans="1:8">
      <c r="A131" s="19">
        <v>17</v>
      </c>
      <c r="B131" s="19" t="s">
        <v>353</v>
      </c>
      <c r="C131" s="19" t="s">
        <v>367</v>
      </c>
      <c r="D131" s="19" t="s">
        <v>243</v>
      </c>
      <c r="E131" s="19">
        <v>100</v>
      </c>
      <c r="F131" s="19">
        <v>100</v>
      </c>
      <c r="G131" s="19" t="s">
        <v>1469</v>
      </c>
      <c r="H131" s="19" t="s">
        <v>1358</v>
      </c>
    </row>
    <row r="132" spans="1:8">
      <c r="A132" s="19">
        <v>17</v>
      </c>
      <c r="B132" s="19" t="s">
        <v>353</v>
      </c>
      <c r="C132" s="19" t="s">
        <v>367</v>
      </c>
      <c r="D132" s="19" t="s">
        <v>257</v>
      </c>
      <c r="E132" s="19">
        <v>15.5</v>
      </c>
      <c r="F132" s="19">
        <v>15.5</v>
      </c>
      <c r="G132" s="19" t="s">
        <v>1469</v>
      </c>
      <c r="H132" s="19" t="s">
        <v>1358</v>
      </c>
    </row>
    <row r="133" spans="1:8">
      <c r="A133" s="19">
        <v>17</v>
      </c>
      <c r="B133" s="19" t="s">
        <v>353</v>
      </c>
      <c r="C133" s="19" t="s">
        <v>367</v>
      </c>
      <c r="D133" s="19" t="s">
        <v>245</v>
      </c>
      <c r="E133" s="19">
        <v>44.2</v>
      </c>
      <c r="F133" s="19">
        <v>44.2</v>
      </c>
      <c r="G133" s="19" t="s">
        <v>1469</v>
      </c>
      <c r="H133" s="19" t="s">
        <v>1358</v>
      </c>
    </row>
    <row r="134" spans="1:8">
      <c r="A134" s="19">
        <v>17</v>
      </c>
      <c r="B134" s="19" t="s">
        <v>353</v>
      </c>
      <c r="C134" s="19" t="s">
        <v>367</v>
      </c>
      <c r="D134" s="19" t="s">
        <v>253</v>
      </c>
      <c r="E134" s="19" t="s">
        <v>297</v>
      </c>
      <c r="F134" s="19" t="s">
        <v>1460</v>
      </c>
      <c r="G134" s="19"/>
      <c r="H134" s="60" t="s">
        <v>1360</v>
      </c>
    </row>
    <row r="135" spans="1:8">
      <c r="A135" s="19">
        <v>17</v>
      </c>
      <c r="B135" s="19" t="s">
        <v>353</v>
      </c>
      <c r="C135" s="19" t="s">
        <v>367</v>
      </c>
      <c r="D135" s="19" t="s">
        <v>914</v>
      </c>
      <c r="E135" s="19" t="s">
        <v>355</v>
      </c>
      <c r="F135" s="19" t="s">
        <v>355</v>
      </c>
      <c r="G135" s="19" t="s">
        <v>1470</v>
      </c>
      <c r="H135" s="19" t="s">
        <v>1358</v>
      </c>
    </row>
    <row r="136" spans="1:8">
      <c r="A136" s="19">
        <v>17</v>
      </c>
      <c r="B136" s="19" t="s">
        <v>353</v>
      </c>
      <c r="C136" s="19" t="s">
        <v>367</v>
      </c>
      <c r="D136" s="19" t="s">
        <v>1377</v>
      </c>
      <c r="E136" s="19">
        <v>140000</v>
      </c>
      <c r="F136" s="19">
        <v>140000</v>
      </c>
      <c r="G136" s="19" t="s">
        <v>1470</v>
      </c>
      <c r="H136" s="19" t="s">
        <v>1358</v>
      </c>
    </row>
    <row r="137" spans="1:8">
      <c r="A137" s="19">
        <v>18</v>
      </c>
      <c r="B137" s="19" t="s">
        <v>353</v>
      </c>
      <c r="C137" s="19" t="s">
        <v>371</v>
      </c>
      <c r="D137" s="19" t="s">
        <v>238</v>
      </c>
      <c r="E137" s="19" t="s">
        <v>370</v>
      </c>
      <c r="F137" s="19" t="s">
        <v>370</v>
      </c>
      <c r="G137" s="19" t="s">
        <v>1471</v>
      </c>
      <c r="H137" s="19" t="s">
        <v>1358</v>
      </c>
    </row>
    <row r="138" spans="1:8">
      <c r="A138" s="19">
        <v>18</v>
      </c>
      <c r="B138" s="19" t="s">
        <v>353</v>
      </c>
      <c r="C138" s="19" t="s">
        <v>371</v>
      </c>
      <c r="D138" s="19" t="s">
        <v>255</v>
      </c>
      <c r="E138" s="19">
        <v>2</v>
      </c>
      <c r="F138" s="19">
        <v>2</v>
      </c>
      <c r="G138" s="19" t="s">
        <v>1472</v>
      </c>
      <c r="H138" s="19" t="s">
        <v>1358</v>
      </c>
    </row>
    <row r="139" spans="1:8">
      <c r="A139" s="19">
        <v>18</v>
      </c>
      <c r="B139" s="19" t="s">
        <v>353</v>
      </c>
      <c r="C139" s="19" t="s">
        <v>371</v>
      </c>
      <c r="D139" s="19" t="s">
        <v>256</v>
      </c>
      <c r="E139" s="19" t="s">
        <v>299</v>
      </c>
      <c r="F139" s="19" t="s">
        <v>1460</v>
      </c>
      <c r="G139" s="19"/>
      <c r="H139" s="60" t="s">
        <v>1360</v>
      </c>
    </row>
    <row r="140" spans="1:8">
      <c r="A140" s="19">
        <v>18</v>
      </c>
      <c r="B140" s="19" t="s">
        <v>353</v>
      </c>
      <c r="C140" s="19" t="s">
        <v>371</v>
      </c>
      <c r="D140" s="19" t="s">
        <v>243</v>
      </c>
      <c r="E140" s="19">
        <v>30</v>
      </c>
      <c r="F140" s="19">
        <v>30</v>
      </c>
      <c r="G140" s="19" t="s">
        <v>1473</v>
      </c>
      <c r="H140" s="19" t="s">
        <v>1358</v>
      </c>
    </row>
    <row r="141" spans="1:8">
      <c r="A141" s="19">
        <v>18</v>
      </c>
      <c r="B141" s="19" t="s">
        <v>353</v>
      </c>
      <c r="C141" s="19" t="s">
        <v>371</v>
      </c>
      <c r="D141" s="19" t="s">
        <v>257</v>
      </c>
      <c r="E141" s="19">
        <v>3</v>
      </c>
      <c r="F141" s="19">
        <v>3</v>
      </c>
      <c r="G141" s="19" t="s">
        <v>1473</v>
      </c>
      <c r="H141" s="19" t="s">
        <v>1358</v>
      </c>
    </row>
    <row r="142" spans="1:8">
      <c r="A142" s="19">
        <v>18</v>
      </c>
      <c r="B142" s="19" t="s">
        <v>353</v>
      </c>
      <c r="C142" s="19" t="s">
        <v>371</v>
      </c>
      <c r="D142" s="19" t="s">
        <v>245</v>
      </c>
      <c r="E142" s="19">
        <v>2.7</v>
      </c>
      <c r="F142" s="19">
        <v>2.7</v>
      </c>
      <c r="G142" s="19" t="s">
        <v>1473</v>
      </c>
      <c r="H142" s="19" t="s">
        <v>1358</v>
      </c>
    </row>
    <row r="143" spans="1:8">
      <c r="A143" s="19">
        <v>18</v>
      </c>
      <c r="B143" s="19" t="s">
        <v>353</v>
      </c>
      <c r="C143" s="19" t="s">
        <v>371</v>
      </c>
      <c r="D143" s="19" t="s">
        <v>253</v>
      </c>
      <c r="E143" s="19" t="s">
        <v>297</v>
      </c>
      <c r="F143" s="19" t="s">
        <v>1460</v>
      </c>
      <c r="G143" s="19"/>
      <c r="H143" s="60" t="s">
        <v>1360</v>
      </c>
    </row>
    <row r="144" spans="1:8">
      <c r="A144" s="19">
        <v>18</v>
      </c>
      <c r="B144" s="19" t="s">
        <v>353</v>
      </c>
      <c r="C144" s="19" t="s">
        <v>371</v>
      </c>
      <c r="D144" s="19" t="s">
        <v>914</v>
      </c>
      <c r="E144" s="19" t="s">
        <v>355</v>
      </c>
      <c r="F144" s="19" t="s">
        <v>355</v>
      </c>
      <c r="G144" s="19" t="s">
        <v>1474</v>
      </c>
      <c r="H144" s="19" t="s">
        <v>1358</v>
      </c>
    </row>
    <row r="145" spans="1:8">
      <c r="A145" s="19">
        <v>18</v>
      </c>
      <c r="B145" s="19" t="s">
        <v>353</v>
      </c>
      <c r="C145" s="19" t="s">
        <v>371</v>
      </c>
      <c r="D145" s="19" t="s">
        <v>1377</v>
      </c>
      <c r="E145" s="19">
        <v>34000</v>
      </c>
      <c r="F145" s="19">
        <v>34000</v>
      </c>
      <c r="G145" s="19" t="s">
        <v>1474</v>
      </c>
      <c r="H145" s="19" t="s">
        <v>1358</v>
      </c>
    </row>
    <row r="146" spans="1:8">
      <c r="A146" s="19">
        <v>19</v>
      </c>
      <c r="B146" s="19" t="s">
        <v>353</v>
      </c>
      <c r="C146" s="19" t="s">
        <v>375</v>
      </c>
      <c r="D146" s="19" t="s">
        <v>238</v>
      </c>
      <c r="E146" s="19" t="s">
        <v>374</v>
      </c>
      <c r="F146" s="19" t="s">
        <v>374</v>
      </c>
      <c r="G146" s="19" t="s">
        <v>1475</v>
      </c>
      <c r="H146" s="19" t="s">
        <v>1358</v>
      </c>
    </row>
    <row r="147" spans="1:8">
      <c r="A147" s="19">
        <v>19</v>
      </c>
      <c r="B147" s="19" t="s">
        <v>353</v>
      </c>
      <c r="C147" s="19" t="s">
        <v>375</v>
      </c>
      <c r="D147" s="19" t="s">
        <v>255</v>
      </c>
      <c r="E147" s="19">
        <v>1</v>
      </c>
      <c r="F147" s="19">
        <v>1</v>
      </c>
      <c r="G147" s="19" t="s">
        <v>1476</v>
      </c>
      <c r="H147" s="19" t="s">
        <v>1358</v>
      </c>
    </row>
    <row r="148" spans="1:8">
      <c r="A148" s="19">
        <v>19</v>
      </c>
      <c r="B148" s="19" t="s">
        <v>353</v>
      </c>
      <c r="C148" s="19" t="s">
        <v>375</v>
      </c>
      <c r="D148" s="19" t="s">
        <v>256</v>
      </c>
      <c r="E148" s="19" t="s">
        <v>299</v>
      </c>
      <c r="F148" s="19" t="s">
        <v>1460</v>
      </c>
      <c r="G148" s="19"/>
      <c r="H148" s="60" t="s">
        <v>1360</v>
      </c>
    </row>
    <row r="149" spans="1:8">
      <c r="A149" s="19">
        <v>19</v>
      </c>
      <c r="B149" s="19" t="s">
        <v>353</v>
      </c>
      <c r="C149" s="19" t="s">
        <v>375</v>
      </c>
      <c r="D149" s="19" t="s">
        <v>243</v>
      </c>
      <c r="E149" s="19">
        <v>40</v>
      </c>
      <c r="F149" s="19">
        <v>40</v>
      </c>
      <c r="G149" s="19" t="s">
        <v>1477</v>
      </c>
      <c r="H149" s="19" t="s">
        <v>1358</v>
      </c>
    </row>
    <row r="150" spans="1:8">
      <c r="A150" s="19">
        <v>19</v>
      </c>
      <c r="B150" s="19" t="s">
        <v>353</v>
      </c>
      <c r="C150" s="19" t="s">
        <v>375</v>
      </c>
      <c r="D150" s="19" t="s">
        <v>257</v>
      </c>
      <c r="E150" s="19">
        <v>10.4</v>
      </c>
      <c r="F150" s="19">
        <v>10.4</v>
      </c>
      <c r="G150" s="19" t="s">
        <v>1477</v>
      </c>
      <c r="H150" s="19" t="s">
        <v>1358</v>
      </c>
    </row>
    <row r="151" spans="1:8">
      <c r="A151" s="19">
        <v>19</v>
      </c>
      <c r="B151" s="19" t="s">
        <v>353</v>
      </c>
      <c r="C151" s="19" t="s">
        <v>375</v>
      </c>
      <c r="D151" s="19" t="s">
        <v>245</v>
      </c>
      <c r="E151" s="19">
        <v>12</v>
      </c>
      <c r="F151" s="19">
        <v>12</v>
      </c>
      <c r="G151" s="19" t="s">
        <v>1477</v>
      </c>
      <c r="H151" s="19" t="s">
        <v>1358</v>
      </c>
    </row>
    <row r="152" spans="1:8">
      <c r="A152" s="19">
        <v>19</v>
      </c>
      <c r="B152" s="19" t="s">
        <v>353</v>
      </c>
      <c r="C152" s="19" t="s">
        <v>375</v>
      </c>
      <c r="D152" s="19" t="s">
        <v>253</v>
      </c>
      <c r="E152" s="19" t="s">
        <v>297</v>
      </c>
      <c r="F152" s="19" t="s">
        <v>1460</v>
      </c>
      <c r="G152" s="19"/>
      <c r="H152" s="60" t="s">
        <v>1360</v>
      </c>
    </row>
    <row r="153" spans="1:8">
      <c r="A153" s="19">
        <v>19</v>
      </c>
      <c r="B153" s="19" t="s">
        <v>353</v>
      </c>
      <c r="C153" s="19" t="s">
        <v>375</v>
      </c>
      <c r="D153" s="19" t="s">
        <v>914</v>
      </c>
      <c r="E153" s="19" t="s">
        <v>355</v>
      </c>
      <c r="F153" s="19" t="s">
        <v>355</v>
      </c>
      <c r="G153" s="19" t="s">
        <v>1478</v>
      </c>
      <c r="H153" s="19" t="s">
        <v>1358</v>
      </c>
    </row>
    <row r="154" spans="1:8">
      <c r="A154" s="19">
        <v>19</v>
      </c>
      <c r="B154" s="19" t="s">
        <v>353</v>
      </c>
      <c r="C154" s="19" t="s">
        <v>375</v>
      </c>
      <c r="D154" s="19" t="s">
        <v>1377</v>
      </c>
      <c r="E154" s="19">
        <v>29000</v>
      </c>
      <c r="F154" s="19">
        <v>29000</v>
      </c>
      <c r="G154" s="19" t="s">
        <v>1478</v>
      </c>
      <c r="H154" s="19" t="s">
        <v>1358</v>
      </c>
    </row>
    <row r="155" spans="1:8">
      <c r="A155" s="19">
        <v>20</v>
      </c>
      <c r="B155" s="19" t="s">
        <v>353</v>
      </c>
      <c r="C155" s="19" t="s">
        <v>378</v>
      </c>
      <c r="D155" s="19" t="s">
        <v>238</v>
      </c>
      <c r="E155" s="19" t="s">
        <v>374</v>
      </c>
      <c r="F155" s="19" t="s">
        <v>374</v>
      </c>
      <c r="G155" s="19" t="s">
        <v>1479</v>
      </c>
      <c r="H155" s="19" t="s">
        <v>1358</v>
      </c>
    </row>
    <row r="156" spans="1:8">
      <c r="A156" s="19">
        <v>20</v>
      </c>
      <c r="B156" s="19" t="s">
        <v>353</v>
      </c>
      <c r="C156" s="19" t="s">
        <v>378</v>
      </c>
      <c r="D156" s="19" t="s">
        <v>255</v>
      </c>
      <c r="E156" s="19">
        <v>2</v>
      </c>
      <c r="F156" s="19">
        <v>2</v>
      </c>
      <c r="G156" s="19" t="s">
        <v>1480</v>
      </c>
      <c r="H156" s="19" t="s">
        <v>1358</v>
      </c>
    </row>
    <row r="157" spans="1:8">
      <c r="A157" s="19">
        <v>20</v>
      </c>
      <c r="B157" s="19" t="s">
        <v>353</v>
      </c>
      <c r="C157" s="19" t="s">
        <v>378</v>
      </c>
      <c r="D157" s="19" t="s">
        <v>256</v>
      </c>
      <c r="E157" s="19" t="s">
        <v>299</v>
      </c>
      <c r="F157" s="19" t="s">
        <v>1460</v>
      </c>
      <c r="G157" s="19"/>
      <c r="H157" s="60" t="s">
        <v>1360</v>
      </c>
    </row>
    <row r="158" spans="1:8">
      <c r="A158" s="19">
        <v>20</v>
      </c>
      <c r="B158" s="19" t="s">
        <v>353</v>
      </c>
      <c r="C158" s="19" t="s">
        <v>378</v>
      </c>
      <c r="D158" s="19" t="s">
        <v>243</v>
      </c>
      <c r="E158" s="19">
        <v>20</v>
      </c>
      <c r="F158" s="19">
        <v>20</v>
      </c>
      <c r="G158" s="19" t="s">
        <v>1481</v>
      </c>
      <c r="H158" s="19" t="s">
        <v>1358</v>
      </c>
    </row>
    <row r="159" spans="1:8">
      <c r="A159" s="19">
        <v>20</v>
      </c>
      <c r="B159" s="19" t="s">
        <v>353</v>
      </c>
      <c r="C159" s="19" t="s">
        <v>378</v>
      </c>
      <c r="D159" s="19" t="s">
        <v>257</v>
      </c>
      <c r="E159" s="19">
        <v>10.4</v>
      </c>
      <c r="F159" s="19">
        <v>10.4</v>
      </c>
      <c r="G159" s="19" t="s">
        <v>1481</v>
      </c>
      <c r="H159" s="19" t="s">
        <v>1358</v>
      </c>
    </row>
    <row r="160" spans="1:8">
      <c r="A160" s="19">
        <v>20</v>
      </c>
      <c r="B160" s="19" t="s">
        <v>353</v>
      </c>
      <c r="C160" s="19" t="s">
        <v>378</v>
      </c>
      <c r="D160" s="19" t="s">
        <v>245</v>
      </c>
      <c r="E160" s="19">
        <v>6</v>
      </c>
      <c r="F160" s="19">
        <v>6</v>
      </c>
      <c r="G160" s="19" t="s">
        <v>1481</v>
      </c>
      <c r="H160" s="19" t="s">
        <v>1358</v>
      </c>
    </row>
    <row r="161" spans="1:8">
      <c r="A161" s="19">
        <v>20</v>
      </c>
      <c r="B161" s="19" t="s">
        <v>353</v>
      </c>
      <c r="C161" s="19" t="s">
        <v>378</v>
      </c>
      <c r="D161" s="19" t="s">
        <v>253</v>
      </c>
      <c r="E161" s="19" t="s">
        <v>297</v>
      </c>
      <c r="F161" s="19" t="s">
        <v>1460</v>
      </c>
      <c r="G161" s="19"/>
      <c r="H161" s="60" t="s">
        <v>1360</v>
      </c>
    </row>
    <row r="162" spans="1:8">
      <c r="A162" s="19">
        <v>20</v>
      </c>
      <c r="B162" s="19" t="s">
        <v>353</v>
      </c>
      <c r="C162" s="19" t="s">
        <v>378</v>
      </c>
      <c r="D162" s="19" t="s">
        <v>914</v>
      </c>
      <c r="E162" s="19" t="s">
        <v>355</v>
      </c>
      <c r="F162" s="19" t="s">
        <v>355</v>
      </c>
      <c r="G162" s="19" t="s">
        <v>1482</v>
      </c>
      <c r="H162" s="19" t="s">
        <v>1358</v>
      </c>
    </row>
    <row r="163" spans="1:8">
      <c r="A163" s="19">
        <v>20</v>
      </c>
      <c r="B163" s="19" t="s">
        <v>353</v>
      </c>
      <c r="C163" s="19" t="s">
        <v>378</v>
      </c>
      <c r="D163" s="19" t="s">
        <v>1377</v>
      </c>
      <c r="E163" s="19">
        <v>27500</v>
      </c>
      <c r="F163" s="19">
        <v>27500</v>
      </c>
      <c r="G163" s="19" t="s">
        <v>1482</v>
      </c>
      <c r="H163" s="19" t="s">
        <v>1358</v>
      </c>
    </row>
    <row r="164" spans="1:8">
      <c r="A164" s="19">
        <v>21</v>
      </c>
      <c r="B164" s="19" t="s">
        <v>353</v>
      </c>
      <c r="C164" s="19" t="s">
        <v>382</v>
      </c>
      <c r="D164" s="19" t="s">
        <v>238</v>
      </c>
      <c r="E164" s="19" t="s">
        <v>381</v>
      </c>
      <c r="F164" s="19" t="s">
        <v>381</v>
      </c>
      <c r="G164" s="19" t="s">
        <v>1483</v>
      </c>
      <c r="H164" s="19" t="s">
        <v>1358</v>
      </c>
    </row>
    <row r="165" spans="1:8">
      <c r="A165" s="19">
        <v>21</v>
      </c>
      <c r="B165" s="19" t="s">
        <v>353</v>
      </c>
      <c r="C165" s="19" t="s">
        <v>382</v>
      </c>
      <c r="D165" s="19" t="s">
        <v>255</v>
      </c>
      <c r="E165" s="19">
        <v>2</v>
      </c>
      <c r="F165" s="19">
        <v>2</v>
      </c>
      <c r="G165" s="19" t="s">
        <v>1484</v>
      </c>
      <c r="H165" s="19" t="s">
        <v>1358</v>
      </c>
    </row>
    <row r="166" spans="1:8">
      <c r="A166" s="19">
        <v>21</v>
      </c>
      <c r="B166" s="19" t="s">
        <v>353</v>
      </c>
      <c r="C166" s="19" t="s">
        <v>382</v>
      </c>
      <c r="D166" s="19" t="s">
        <v>256</v>
      </c>
      <c r="E166" s="19" t="s">
        <v>299</v>
      </c>
      <c r="F166" s="19" t="s">
        <v>1460</v>
      </c>
      <c r="G166" s="19"/>
      <c r="H166" s="60" t="s">
        <v>1360</v>
      </c>
    </row>
    <row r="167" spans="1:8">
      <c r="A167" s="19">
        <v>21</v>
      </c>
      <c r="B167" s="19" t="s">
        <v>353</v>
      </c>
      <c r="C167" s="19" t="s">
        <v>382</v>
      </c>
      <c r="D167" s="19" t="s">
        <v>243</v>
      </c>
      <c r="E167" s="19">
        <v>20</v>
      </c>
      <c r="F167" s="19">
        <v>20</v>
      </c>
      <c r="G167" s="19" t="s">
        <v>1485</v>
      </c>
      <c r="H167" s="19" t="s">
        <v>1358</v>
      </c>
    </row>
    <row r="168" spans="1:8">
      <c r="A168" s="19">
        <v>21</v>
      </c>
      <c r="B168" s="19" t="s">
        <v>353</v>
      </c>
      <c r="C168" s="19" t="s">
        <v>382</v>
      </c>
      <c r="D168" s="19" t="s">
        <v>257</v>
      </c>
      <c r="E168" s="19">
        <v>2.4</v>
      </c>
      <c r="F168" s="19">
        <v>2.4</v>
      </c>
      <c r="G168" s="19" t="s">
        <v>1485</v>
      </c>
      <c r="H168" s="19" t="s">
        <v>1358</v>
      </c>
    </row>
    <row r="169" spans="1:8">
      <c r="A169" s="19">
        <v>21</v>
      </c>
      <c r="B169" s="19" t="s">
        <v>353</v>
      </c>
      <c r="C169" s="19" t="s">
        <v>382</v>
      </c>
      <c r="D169" s="19" t="s">
        <v>245</v>
      </c>
      <c r="E169" s="19">
        <v>1.35</v>
      </c>
      <c r="F169" s="19">
        <v>1.35</v>
      </c>
      <c r="G169" s="19" t="s">
        <v>1485</v>
      </c>
      <c r="H169" s="19" t="s">
        <v>1358</v>
      </c>
    </row>
    <row r="170" spans="1:8">
      <c r="A170" s="19">
        <v>21</v>
      </c>
      <c r="B170" s="19" t="s">
        <v>353</v>
      </c>
      <c r="C170" s="19" t="s">
        <v>382</v>
      </c>
      <c r="D170" s="19" t="s">
        <v>253</v>
      </c>
      <c r="E170" s="19" t="s">
        <v>297</v>
      </c>
      <c r="F170" s="19" t="s">
        <v>1460</v>
      </c>
      <c r="G170" s="19"/>
      <c r="H170" s="60" t="s">
        <v>1360</v>
      </c>
    </row>
    <row r="171" spans="1:8">
      <c r="A171" s="19">
        <v>21</v>
      </c>
      <c r="B171" s="19" t="s">
        <v>353</v>
      </c>
      <c r="C171" s="19" t="s">
        <v>382</v>
      </c>
      <c r="D171" s="19" t="s">
        <v>914</v>
      </c>
      <c r="E171" s="19" t="s">
        <v>355</v>
      </c>
      <c r="F171" s="19" t="s">
        <v>355</v>
      </c>
      <c r="G171" s="19" t="s">
        <v>1486</v>
      </c>
      <c r="H171" s="19" t="s">
        <v>1358</v>
      </c>
    </row>
    <row r="172" spans="1:8">
      <c r="A172" s="19">
        <v>21</v>
      </c>
      <c r="B172" s="19" t="s">
        <v>353</v>
      </c>
      <c r="C172" s="19" t="s">
        <v>382</v>
      </c>
      <c r="D172" s="19" t="s">
        <v>1377</v>
      </c>
      <c r="E172" s="19">
        <v>15000</v>
      </c>
      <c r="F172" s="19">
        <v>15000</v>
      </c>
      <c r="G172" s="19" t="s">
        <v>1486</v>
      </c>
      <c r="H172" s="19" t="s">
        <v>1358</v>
      </c>
    </row>
    <row r="173" spans="1:8">
      <c r="A173" s="19">
        <v>22</v>
      </c>
      <c r="B173" s="19" t="s">
        <v>353</v>
      </c>
      <c r="C173" s="19" t="s">
        <v>386</v>
      </c>
      <c r="D173" s="19" t="s">
        <v>238</v>
      </c>
      <c r="E173" s="19" t="s">
        <v>381</v>
      </c>
      <c r="F173" s="19" t="s">
        <v>381</v>
      </c>
      <c r="G173" s="19" t="s">
        <v>1487</v>
      </c>
      <c r="H173" s="19" t="s">
        <v>1358</v>
      </c>
    </row>
    <row r="174" spans="1:8">
      <c r="A174" s="19">
        <v>22</v>
      </c>
      <c r="B174" s="19" t="s">
        <v>353</v>
      </c>
      <c r="C174" s="19" t="s">
        <v>386</v>
      </c>
      <c r="D174" s="19" t="s">
        <v>255</v>
      </c>
      <c r="E174" s="19">
        <v>1</v>
      </c>
      <c r="F174" s="19">
        <v>1</v>
      </c>
      <c r="G174" s="19" t="s">
        <v>1488</v>
      </c>
      <c r="H174" s="19" t="s">
        <v>1358</v>
      </c>
    </row>
    <row r="175" spans="1:8">
      <c r="A175" s="19">
        <v>22</v>
      </c>
      <c r="B175" s="19" t="s">
        <v>353</v>
      </c>
      <c r="C175" s="19" t="s">
        <v>386</v>
      </c>
      <c r="D175" s="19" t="s">
        <v>256</v>
      </c>
      <c r="E175" s="19" t="s">
        <v>299</v>
      </c>
      <c r="F175" s="19" t="s">
        <v>1460</v>
      </c>
      <c r="G175" s="19"/>
      <c r="H175" s="60" t="s">
        <v>1360</v>
      </c>
    </row>
    <row r="176" spans="1:8">
      <c r="A176" s="19">
        <v>22</v>
      </c>
      <c r="B176" s="19" t="s">
        <v>353</v>
      </c>
      <c r="C176" s="19" t="s">
        <v>386</v>
      </c>
      <c r="D176" s="19" t="s">
        <v>243</v>
      </c>
      <c r="E176" s="19">
        <v>40</v>
      </c>
      <c r="F176" s="19">
        <v>40</v>
      </c>
      <c r="G176" s="19" t="s">
        <v>1489</v>
      </c>
      <c r="H176" s="19" t="s">
        <v>1358</v>
      </c>
    </row>
    <row r="177" spans="1:8">
      <c r="A177" s="19">
        <v>22</v>
      </c>
      <c r="B177" s="19" t="s">
        <v>353</v>
      </c>
      <c r="C177" s="19" t="s">
        <v>386</v>
      </c>
      <c r="D177" s="19" t="s">
        <v>257</v>
      </c>
      <c r="E177" s="19">
        <v>2.4</v>
      </c>
      <c r="F177" s="19">
        <v>2.4</v>
      </c>
      <c r="G177" s="19" t="s">
        <v>1489</v>
      </c>
      <c r="H177" s="19" t="s">
        <v>1358</v>
      </c>
    </row>
    <row r="178" spans="1:8">
      <c r="A178" s="19">
        <v>22</v>
      </c>
      <c r="B178" s="19" t="s">
        <v>353</v>
      </c>
      <c r="C178" s="19" t="s">
        <v>386</v>
      </c>
      <c r="D178" s="19" t="s">
        <v>245</v>
      </c>
      <c r="E178" s="19">
        <v>2.7</v>
      </c>
      <c r="F178" s="19">
        <v>2.7</v>
      </c>
      <c r="G178" s="19" t="s">
        <v>1489</v>
      </c>
      <c r="H178" s="19" t="s">
        <v>1358</v>
      </c>
    </row>
    <row r="179" spans="1:8">
      <c r="A179" s="19">
        <v>22</v>
      </c>
      <c r="B179" s="19" t="s">
        <v>353</v>
      </c>
      <c r="C179" s="19" t="s">
        <v>386</v>
      </c>
      <c r="D179" s="19" t="s">
        <v>253</v>
      </c>
      <c r="E179" s="19" t="s">
        <v>297</v>
      </c>
      <c r="F179" s="19" t="s">
        <v>1460</v>
      </c>
      <c r="G179" s="19"/>
      <c r="H179" s="60" t="s">
        <v>1360</v>
      </c>
    </row>
    <row r="180" spans="1:8">
      <c r="A180" s="19">
        <v>22</v>
      </c>
      <c r="B180" s="19" t="s">
        <v>353</v>
      </c>
      <c r="C180" s="19" t="s">
        <v>386</v>
      </c>
      <c r="D180" s="19" t="s">
        <v>914</v>
      </c>
      <c r="E180" s="19" t="s">
        <v>355</v>
      </c>
      <c r="F180" s="19" t="s">
        <v>355</v>
      </c>
      <c r="G180" s="19" t="s">
        <v>1490</v>
      </c>
      <c r="H180" s="19" t="s">
        <v>1358</v>
      </c>
    </row>
    <row r="181" spans="1:8">
      <c r="A181" s="19">
        <v>22</v>
      </c>
      <c r="B181" s="19" t="s">
        <v>353</v>
      </c>
      <c r="C181" s="19" t="s">
        <v>386</v>
      </c>
      <c r="D181" s="19" t="s">
        <v>1377</v>
      </c>
      <c r="E181" s="19">
        <v>17000</v>
      </c>
      <c r="F181" s="19">
        <v>17000</v>
      </c>
      <c r="G181" s="19" t="s">
        <v>1490</v>
      </c>
      <c r="H181" s="19" t="s">
        <v>1358</v>
      </c>
    </row>
    <row r="182" spans="1:8">
      <c r="A182" s="19">
        <v>23</v>
      </c>
      <c r="B182" s="19" t="s">
        <v>353</v>
      </c>
      <c r="C182" s="19" t="s">
        <v>390</v>
      </c>
      <c r="D182" s="19" t="s">
        <v>238</v>
      </c>
      <c r="E182" s="19" t="s">
        <v>389</v>
      </c>
      <c r="F182" s="19" t="s">
        <v>389</v>
      </c>
      <c r="G182" s="19" t="s">
        <v>1491</v>
      </c>
      <c r="H182" s="19" t="s">
        <v>1358</v>
      </c>
    </row>
    <row r="183" spans="1:8">
      <c r="A183" s="19">
        <v>23</v>
      </c>
      <c r="B183" s="19" t="s">
        <v>353</v>
      </c>
      <c r="C183" s="19" t="s">
        <v>390</v>
      </c>
      <c r="D183" s="19" t="s">
        <v>255</v>
      </c>
      <c r="E183" s="19">
        <v>1</v>
      </c>
      <c r="F183" s="19">
        <v>1</v>
      </c>
      <c r="G183" s="19" t="s">
        <v>1492</v>
      </c>
      <c r="H183" s="19" t="s">
        <v>1358</v>
      </c>
    </row>
    <row r="184" spans="1:8">
      <c r="A184" s="19">
        <v>23</v>
      </c>
      <c r="B184" s="19" t="s">
        <v>353</v>
      </c>
      <c r="C184" s="19" t="s">
        <v>390</v>
      </c>
      <c r="D184" s="19" t="s">
        <v>256</v>
      </c>
      <c r="E184" s="19" t="s">
        <v>299</v>
      </c>
      <c r="F184" s="19" t="s">
        <v>1460</v>
      </c>
      <c r="G184" s="19"/>
      <c r="H184" s="60" t="s">
        <v>1360</v>
      </c>
    </row>
    <row r="185" spans="1:8">
      <c r="A185" s="19">
        <v>23</v>
      </c>
      <c r="B185" s="19" t="s">
        <v>353</v>
      </c>
      <c r="C185" s="19" t="s">
        <v>390</v>
      </c>
      <c r="D185" s="19" t="s">
        <v>243</v>
      </c>
      <c r="E185" s="19">
        <v>20</v>
      </c>
      <c r="F185" s="19">
        <v>20</v>
      </c>
      <c r="G185" s="19" t="s">
        <v>1493</v>
      </c>
      <c r="H185" s="19" t="s">
        <v>1358</v>
      </c>
    </row>
    <row r="186" spans="1:8">
      <c r="A186" s="19">
        <v>23</v>
      </c>
      <c r="B186" s="19" t="s">
        <v>353</v>
      </c>
      <c r="C186" s="19" t="s">
        <v>390</v>
      </c>
      <c r="D186" s="19" t="s">
        <v>257</v>
      </c>
      <c r="E186" s="19">
        <v>2.5</v>
      </c>
      <c r="F186" s="19">
        <v>2.5</v>
      </c>
      <c r="G186" s="19" t="s">
        <v>1493</v>
      </c>
      <c r="H186" s="19" t="s">
        <v>1358</v>
      </c>
    </row>
    <row r="187" spans="1:8">
      <c r="A187" s="19">
        <v>23</v>
      </c>
      <c r="B187" s="19" t="s">
        <v>353</v>
      </c>
      <c r="C187" s="19" t="s">
        <v>390</v>
      </c>
      <c r="D187" s="19" t="s">
        <v>245</v>
      </c>
      <c r="E187" s="19">
        <v>1.4</v>
      </c>
      <c r="F187" s="19">
        <v>1.4</v>
      </c>
      <c r="G187" s="19" t="s">
        <v>1493</v>
      </c>
      <c r="H187" s="19" t="s">
        <v>1358</v>
      </c>
    </row>
    <row r="188" spans="1:8">
      <c r="A188" s="19">
        <v>23</v>
      </c>
      <c r="B188" s="19" t="s">
        <v>353</v>
      </c>
      <c r="C188" s="19" t="s">
        <v>390</v>
      </c>
      <c r="D188" s="19" t="s">
        <v>253</v>
      </c>
      <c r="E188" s="19" t="s">
        <v>297</v>
      </c>
      <c r="F188" s="19" t="s">
        <v>1460</v>
      </c>
      <c r="G188" s="19"/>
      <c r="H188" s="60" t="s">
        <v>1360</v>
      </c>
    </row>
    <row r="189" spans="1:8">
      <c r="A189" s="19">
        <v>23</v>
      </c>
      <c r="B189" s="19" t="s">
        <v>353</v>
      </c>
      <c r="C189" s="19" t="s">
        <v>390</v>
      </c>
      <c r="D189" s="19" t="s">
        <v>914</v>
      </c>
      <c r="E189" s="19" t="s">
        <v>355</v>
      </c>
      <c r="F189" s="19" t="s">
        <v>355</v>
      </c>
      <c r="G189" s="19" t="s">
        <v>1494</v>
      </c>
      <c r="H189" s="19" t="s">
        <v>1358</v>
      </c>
    </row>
    <row r="190" spans="1:8">
      <c r="A190" s="19">
        <v>23</v>
      </c>
      <c r="B190" s="19" t="s">
        <v>353</v>
      </c>
      <c r="C190" s="19" t="s">
        <v>390</v>
      </c>
      <c r="D190" s="19" t="s">
        <v>1377</v>
      </c>
      <c r="E190" s="19">
        <v>11000</v>
      </c>
      <c r="F190" s="19">
        <v>11000</v>
      </c>
      <c r="G190" s="19" t="s">
        <v>1494</v>
      </c>
      <c r="H190" s="19" t="s">
        <v>1358</v>
      </c>
    </row>
    <row r="191" spans="1:8">
      <c r="A191" s="19">
        <v>24</v>
      </c>
      <c r="B191" s="19" t="s">
        <v>353</v>
      </c>
      <c r="C191" s="19" t="s">
        <v>394</v>
      </c>
      <c r="D191" s="19" t="s">
        <v>238</v>
      </c>
      <c r="E191" s="19" t="s">
        <v>393</v>
      </c>
      <c r="F191" s="19" t="s">
        <v>393</v>
      </c>
      <c r="G191" s="19" t="s">
        <v>1495</v>
      </c>
      <c r="H191" s="19" t="s">
        <v>1358</v>
      </c>
    </row>
    <row r="192" spans="1:8">
      <c r="A192" s="19">
        <v>24</v>
      </c>
      <c r="B192" s="19" t="s">
        <v>353</v>
      </c>
      <c r="C192" s="19" t="s">
        <v>394</v>
      </c>
      <c r="D192" s="19" t="s">
        <v>255</v>
      </c>
      <c r="E192" s="19">
        <v>3</v>
      </c>
      <c r="F192" s="19">
        <v>3</v>
      </c>
      <c r="G192" s="19" t="s">
        <v>1496</v>
      </c>
      <c r="H192" s="19" t="s">
        <v>1358</v>
      </c>
    </row>
    <row r="193" spans="1:8">
      <c r="A193" s="19">
        <v>24</v>
      </c>
      <c r="B193" s="19" t="s">
        <v>353</v>
      </c>
      <c r="C193" s="19" t="s">
        <v>394</v>
      </c>
      <c r="D193" s="19" t="s">
        <v>256</v>
      </c>
      <c r="E193" s="19" t="s">
        <v>299</v>
      </c>
      <c r="F193" s="19" t="s">
        <v>1460</v>
      </c>
      <c r="G193" s="19"/>
      <c r="H193" s="60" t="s">
        <v>1360</v>
      </c>
    </row>
    <row r="194" spans="1:8">
      <c r="A194" s="19">
        <v>24</v>
      </c>
      <c r="B194" s="19" t="s">
        <v>353</v>
      </c>
      <c r="C194" s="19" t="s">
        <v>394</v>
      </c>
      <c r="D194" s="19" t="s">
        <v>243</v>
      </c>
      <c r="E194" s="19">
        <v>73</v>
      </c>
      <c r="F194" s="19">
        <v>73</v>
      </c>
      <c r="G194" s="19" t="s">
        <v>1497</v>
      </c>
      <c r="H194" s="19" t="s">
        <v>1358</v>
      </c>
    </row>
    <row r="195" spans="1:8">
      <c r="A195" s="19">
        <v>24</v>
      </c>
      <c r="B195" s="19" t="s">
        <v>353</v>
      </c>
      <c r="C195" s="19" t="s">
        <v>394</v>
      </c>
      <c r="D195" s="19" t="s">
        <v>257</v>
      </c>
      <c r="E195" s="19">
        <v>36.299999999999997</v>
      </c>
      <c r="F195" s="19">
        <v>36.299999999999997</v>
      </c>
      <c r="G195" s="19" t="s">
        <v>1497</v>
      </c>
      <c r="H195" s="19" t="s">
        <v>1358</v>
      </c>
    </row>
    <row r="196" spans="1:8">
      <c r="A196" s="19">
        <v>24</v>
      </c>
      <c r="B196" s="19" t="s">
        <v>353</v>
      </c>
      <c r="C196" s="19" t="s">
        <v>394</v>
      </c>
      <c r="D196" s="19" t="s">
        <v>245</v>
      </c>
      <c r="E196" s="19">
        <v>73.599999999999994</v>
      </c>
      <c r="F196" s="19">
        <v>73.599999999999994</v>
      </c>
      <c r="G196" s="19" t="s">
        <v>1497</v>
      </c>
      <c r="H196" s="19" t="s">
        <v>1358</v>
      </c>
    </row>
    <row r="197" spans="1:8">
      <c r="A197" s="19">
        <v>24</v>
      </c>
      <c r="B197" s="19" t="s">
        <v>353</v>
      </c>
      <c r="C197" s="19" t="s">
        <v>394</v>
      </c>
      <c r="D197" s="19" t="s">
        <v>253</v>
      </c>
      <c r="E197" s="19" t="s">
        <v>297</v>
      </c>
      <c r="F197" s="19" t="s">
        <v>1460</v>
      </c>
      <c r="G197" s="19"/>
      <c r="H197" s="60" t="s">
        <v>1360</v>
      </c>
    </row>
    <row r="198" spans="1:8">
      <c r="A198" s="19">
        <v>24</v>
      </c>
      <c r="B198" s="19" t="s">
        <v>353</v>
      </c>
      <c r="C198" s="19" t="s">
        <v>394</v>
      </c>
      <c r="D198" s="19" t="s">
        <v>914</v>
      </c>
      <c r="E198" s="19" t="s">
        <v>355</v>
      </c>
      <c r="F198" s="19" t="s">
        <v>355</v>
      </c>
      <c r="G198" s="19" t="s">
        <v>1498</v>
      </c>
      <c r="H198" s="19" t="s">
        <v>1358</v>
      </c>
    </row>
    <row r="199" spans="1:8">
      <c r="A199" s="19">
        <v>24</v>
      </c>
      <c r="B199" s="19" t="s">
        <v>353</v>
      </c>
      <c r="C199" s="19" t="s">
        <v>394</v>
      </c>
      <c r="D199" s="19" t="s">
        <v>1377</v>
      </c>
      <c r="E199" s="19">
        <v>430000</v>
      </c>
      <c r="F199" s="19">
        <v>430000</v>
      </c>
      <c r="G199" s="19" t="s">
        <v>1498</v>
      </c>
      <c r="H199" s="19" t="s">
        <v>1358</v>
      </c>
    </row>
    <row r="200" spans="1:8">
      <c r="A200" s="19">
        <v>25</v>
      </c>
      <c r="B200" s="19" t="s">
        <v>353</v>
      </c>
      <c r="C200" s="19" t="s">
        <v>398</v>
      </c>
      <c r="D200" s="19" t="s">
        <v>238</v>
      </c>
      <c r="E200" s="19" t="s">
        <v>397</v>
      </c>
      <c r="F200" s="19" t="s">
        <v>397</v>
      </c>
      <c r="G200" s="19" t="s">
        <v>1499</v>
      </c>
      <c r="H200" s="19" t="s">
        <v>1358</v>
      </c>
    </row>
    <row r="201" spans="1:8">
      <c r="A201" s="19">
        <v>25</v>
      </c>
      <c r="B201" s="19" t="s">
        <v>353</v>
      </c>
      <c r="C201" s="19" t="s">
        <v>398</v>
      </c>
      <c r="D201" s="19" t="s">
        <v>255</v>
      </c>
      <c r="E201" s="19">
        <v>3</v>
      </c>
      <c r="F201" s="19">
        <v>3</v>
      </c>
      <c r="G201" s="19" t="s">
        <v>1500</v>
      </c>
      <c r="H201" s="19" t="s">
        <v>1358</v>
      </c>
    </row>
    <row r="202" spans="1:8">
      <c r="A202" s="19">
        <v>25</v>
      </c>
      <c r="B202" s="19" t="s">
        <v>353</v>
      </c>
      <c r="C202" s="19" t="s">
        <v>398</v>
      </c>
      <c r="D202" s="19" t="s">
        <v>256</v>
      </c>
      <c r="E202" s="19" t="s">
        <v>299</v>
      </c>
      <c r="F202" s="19" t="s">
        <v>1460</v>
      </c>
      <c r="G202" s="19"/>
      <c r="H202" s="60" t="s">
        <v>1360</v>
      </c>
    </row>
    <row r="203" spans="1:8">
      <c r="A203" s="19">
        <v>25</v>
      </c>
      <c r="B203" s="19" t="s">
        <v>353</v>
      </c>
      <c r="C203" s="19" t="s">
        <v>398</v>
      </c>
      <c r="D203" s="19" t="s">
        <v>243</v>
      </c>
      <c r="E203" s="19">
        <v>36.5</v>
      </c>
      <c r="F203" s="19">
        <v>36.5</v>
      </c>
      <c r="G203" s="19" t="s">
        <v>1501</v>
      </c>
      <c r="H203" s="19" t="s">
        <v>1358</v>
      </c>
    </row>
    <row r="204" spans="1:8">
      <c r="A204" s="19">
        <v>25</v>
      </c>
      <c r="B204" s="19" t="s">
        <v>353</v>
      </c>
      <c r="C204" s="19" t="s">
        <v>398</v>
      </c>
      <c r="D204" s="19" t="s">
        <v>257</v>
      </c>
      <c r="E204" s="19">
        <v>36.299999999999997</v>
      </c>
      <c r="F204" s="19">
        <v>36.299999999999997</v>
      </c>
      <c r="G204" s="19" t="s">
        <v>1501</v>
      </c>
      <c r="H204" s="19" t="s">
        <v>1358</v>
      </c>
    </row>
    <row r="205" spans="1:8">
      <c r="A205" s="19">
        <v>25</v>
      </c>
      <c r="B205" s="19" t="s">
        <v>353</v>
      </c>
      <c r="C205" s="19" t="s">
        <v>398</v>
      </c>
      <c r="D205" s="19" t="s">
        <v>245</v>
      </c>
      <c r="E205" s="19">
        <v>36.5</v>
      </c>
      <c r="F205" s="19">
        <v>36.5</v>
      </c>
      <c r="G205" s="19" t="s">
        <v>1501</v>
      </c>
      <c r="H205" s="19" t="s">
        <v>1358</v>
      </c>
    </row>
    <row r="206" spans="1:8">
      <c r="A206" s="19">
        <v>25</v>
      </c>
      <c r="B206" s="19" t="s">
        <v>353</v>
      </c>
      <c r="C206" s="19" t="s">
        <v>398</v>
      </c>
      <c r="D206" s="19" t="s">
        <v>253</v>
      </c>
      <c r="E206" s="19" t="s">
        <v>297</v>
      </c>
      <c r="F206" s="19" t="s">
        <v>1460</v>
      </c>
      <c r="G206" s="19"/>
      <c r="H206" s="60" t="s">
        <v>1360</v>
      </c>
    </row>
    <row r="207" spans="1:8">
      <c r="A207" s="19">
        <v>25</v>
      </c>
      <c r="B207" s="19" t="s">
        <v>353</v>
      </c>
      <c r="C207" s="19" t="s">
        <v>398</v>
      </c>
      <c r="D207" s="19" t="s">
        <v>914</v>
      </c>
      <c r="E207" s="19" t="s">
        <v>355</v>
      </c>
      <c r="F207" s="19" t="s">
        <v>355</v>
      </c>
      <c r="G207" s="19" t="s">
        <v>1502</v>
      </c>
      <c r="H207" s="19" t="s">
        <v>1358</v>
      </c>
    </row>
    <row r="208" spans="1:8">
      <c r="A208" s="19">
        <v>25</v>
      </c>
      <c r="B208" s="19" t="s">
        <v>353</v>
      </c>
      <c r="C208" s="19" t="s">
        <v>398</v>
      </c>
      <c r="D208" s="19" t="s">
        <v>1377</v>
      </c>
      <c r="E208" s="19">
        <v>285000</v>
      </c>
      <c r="F208" s="19">
        <v>285000</v>
      </c>
      <c r="G208" s="19" t="s">
        <v>1502</v>
      </c>
      <c r="H208" s="19" t="s">
        <v>1358</v>
      </c>
    </row>
    <row r="209" spans="1:8">
      <c r="A209" s="19">
        <v>26</v>
      </c>
      <c r="B209" s="19" t="s">
        <v>353</v>
      </c>
      <c r="C209" s="19" t="s">
        <v>402</v>
      </c>
      <c r="D209" s="19" t="s">
        <v>238</v>
      </c>
      <c r="E209" s="19" t="s">
        <v>401</v>
      </c>
      <c r="F209" s="19" t="s">
        <v>401</v>
      </c>
      <c r="G209" s="19" t="s">
        <v>1503</v>
      </c>
      <c r="H209" s="19" t="s">
        <v>1358</v>
      </c>
    </row>
    <row r="210" spans="1:8">
      <c r="A210" s="19">
        <v>26</v>
      </c>
      <c r="B210" s="19" t="s">
        <v>353</v>
      </c>
      <c r="C210" s="19" t="s">
        <v>402</v>
      </c>
      <c r="D210" s="19" t="s">
        <v>255</v>
      </c>
      <c r="E210" s="19">
        <v>3</v>
      </c>
      <c r="F210" s="19">
        <v>3</v>
      </c>
      <c r="G210" s="19" t="s">
        <v>1504</v>
      </c>
      <c r="H210" s="19" t="s">
        <v>1358</v>
      </c>
    </row>
    <row r="211" spans="1:8">
      <c r="A211" s="19">
        <v>26</v>
      </c>
      <c r="B211" s="19" t="s">
        <v>353</v>
      </c>
      <c r="C211" s="19" t="s">
        <v>402</v>
      </c>
      <c r="D211" s="19" t="s">
        <v>256</v>
      </c>
      <c r="E211" s="19" t="s">
        <v>299</v>
      </c>
      <c r="F211" s="19" t="s">
        <v>1460</v>
      </c>
      <c r="G211" s="19"/>
      <c r="H211" s="60" t="s">
        <v>1360</v>
      </c>
    </row>
    <row r="212" spans="1:8">
      <c r="A212" s="19">
        <v>26</v>
      </c>
      <c r="B212" s="19" t="s">
        <v>353</v>
      </c>
      <c r="C212" s="19" t="s">
        <v>402</v>
      </c>
      <c r="D212" s="19" t="s">
        <v>257</v>
      </c>
      <c r="E212" s="19">
        <v>2</v>
      </c>
      <c r="F212" s="19">
        <v>2</v>
      </c>
      <c r="G212" s="19" t="s">
        <v>1505</v>
      </c>
      <c r="H212" s="19" t="s">
        <v>1358</v>
      </c>
    </row>
    <row r="213" spans="1:8">
      <c r="A213" s="19">
        <v>26</v>
      </c>
      <c r="B213" s="19" t="s">
        <v>353</v>
      </c>
      <c r="C213" s="19" t="s">
        <v>402</v>
      </c>
      <c r="D213" s="19" t="s">
        <v>245</v>
      </c>
      <c r="E213" s="19">
        <v>0.45</v>
      </c>
      <c r="F213" s="19">
        <v>0.45</v>
      </c>
      <c r="G213" s="19" t="s">
        <v>1505</v>
      </c>
      <c r="H213" s="19" t="s">
        <v>1358</v>
      </c>
    </row>
    <row r="214" spans="1:8">
      <c r="A214" s="19">
        <v>26</v>
      </c>
      <c r="B214" s="19" t="s">
        <v>353</v>
      </c>
      <c r="C214" s="19" t="s">
        <v>402</v>
      </c>
      <c r="D214" s="19" t="s">
        <v>253</v>
      </c>
      <c r="E214" s="19" t="s">
        <v>297</v>
      </c>
      <c r="F214" s="19" t="s">
        <v>1460</v>
      </c>
      <c r="G214" s="19"/>
      <c r="H214" s="60" t="s">
        <v>1360</v>
      </c>
    </row>
    <row r="215" spans="1:8">
      <c r="A215" s="19">
        <v>26</v>
      </c>
      <c r="B215" s="19" t="s">
        <v>353</v>
      </c>
      <c r="C215" s="19" t="s">
        <v>402</v>
      </c>
      <c r="D215" s="19" t="s">
        <v>914</v>
      </c>
      <c r="E215" s="19" t="s">
        <v>355</v>
      </c>
      <c r="F215" s="19" t="s">
        <v>355</v>
      </c>
      <c r="G215" s="19" t="s">
        <v>1506</v>
      </c>
      <c r="H215" s="19" t="s">
        <v>1358</v>
      </c>
    </row>
    <row r="216" spans="1:8">
      <c r="A216" s="19">
        <v>26</v>
      </c>
      <c r="B216" s="19" t="s">
        <v>353</v>
      </c>
      <c r="C216" s="19" t="s">
        <v>402</v>
      </c>
      <c r="D216" s="19" t="s">
        <v>1377</v>
      </c>
      <c r="E216" s="19">
        <v>9000</v>
      </c>
      <c r="F216" s="19">
        <v>9000</v>
      </c>
      <c r="G216" s="19" t="s">
        <v>1506</v>
      </c>
      <c r="H216" s="19" t="s">
        <v>1358</v>
      </c>
    </row>
    <row r="217" spans="1:8">
      <c r="A217" s="19">
        <v>27</v>
      </c>
      <c r="B217" s="19" t="s">
        <v>353</v>
      </c>
      <c r="C217" s="19" t="s">
        <v>407</v>
      </c>
      <c r="D217" s="19" t="s">
        <v>238</v>
      </c>
      <c r="E217" s="19" t="s">
        <v>406</v>
      </c>
      <c r="F217" s="19" t="s">
        <v>406</v>
      </c>
      <c r="G217" s="19" t="s">
        <v>1507</v>
      </c>
      <c r="H217" s="19" t="s">
        <v>1358</v>
      </c>
    </row>
    <row r="218" spans="1:8">
      <c r="A218" s="19">
        <v>27</v>
      </c>
      <c r="B218" s="19" t="s">
        <v>353</v>
      </c>
      <c r="C218" s="19" t="s">
        <v>407</v>
      </c>
      <c r="D218" s="19" t="s">
        <v>255</v>
      </c>
      <c r="E218" s="19">
        <v>2</v>
      </c>
      <c r="F218" s="19">
        <v>2</v>
      </c>
      <c r="G218" s="19" t="s">
        <v>1508</v>
      </c>
      <c r="H218" s="19" t="s">
        <v>1358</v>
      </c>
    </row>
    <row r="219" spans="1:8">
      <c r="A219" s="19">
        <v>27</v>
      </c>
      <c r="B219" s="19" t="s">
        <v>353</v>
      </c>
      <c r="C219" s="19" t="s">
        <v>407</v>
      </c>
      <c r="D219" s="19" t="s">
        <v>256</v>
      </c>
      <c r="E219" s="19" t="s">
        <v>299</v>
      </c>
      <c r="F219" s="19" t="s">
        <v>1460</v>
      </c>
      <c r="G219" s="19"/>
      <c r="H219" s="60" t="s">
        <v>1360</v>
      </c>
    </row>
    <row r="220" spans="1:8">
      <c r="A220" s="19">
        <v>27</v>
      </c>
      <c r="B220" s="19" t="s">
        <v>353</v>
      </c>
      <c r="C220" s="19" t="s">
        <v>407</v>
      </c>
      <c r="D220" s="19" t="s">
        <v>243</v>
      </c>
      <c r="E220" s="19">
        <v>15</v>
      </c>
      <c r="F220" s="19">
        <v>15</v>
      </c>
      <c r="G220" s="19" t="s">
        <v>1509</v>
      </c>
      <c r="H220" s="19" t="s">
        <v>1358</v>
      </c>
    </row>
    <row r="221" spans="1:8">
      <c r="A221" s="19">
        <v>27</v>
      </c>
      <c r="B221" s="19" t="s">
        <v>353</v>
      </c>
      <c r="C221" s="19" t="s">
        <v>407</v>
      </c>
      <c r="D221" s="19" t="s">
        <v>257</v>
      </c>
      <c r="E221" s="19">
        <v>0.8</v>
      </c>
      <c r="F221" s="19">
        <v>0.8</v>
      </c>
      <c r="G221" s="19" t="s">
        <v>1509</v>
      </c>
      <c r="H221" s="19" t="s">
        <v>1358</v>
      </c>
    </row>
    <row r="222" spans="1:8">
      <c r="A222" s="19">
        <v>27</v>
      </c>
      <c r="B222" s="19" t="s">
        <v>353</v>
      </c>
      <c r="C222" s="19" t="s">
        <v>407</v>
      </c>
      <c r="D222" s="19" t="s">
        <v>245</v>
      </c>
      <c r="E222" s="19">
        <v>0.33</v>
      </c>
      <c r="F222" s="19">
        <v>0.33</v>
      </c>
      <c r="G222" s="19" t="s">
        <v>1509</v>
      </c>
      <c r="H222" s="19" t="s">
        <v>1358</v>
      </c>
    </row>
    <row r="223" spans="1:8">
      <c r="A223" s="19">
        <v>27</v>
      </c>
      <c r="B223" s="19" t="s">
        <v>353</v>
      </c>
      <c r="C223" s="19" t="s">
        <v>407</v>
      </c>
      <c r="D223" s="19" t="s">
        <v>253</v>
      </c>
      <c r="E223" s="19" t="s">
        <v>297</v>
      </c>
      <c r="F223" s="19" t="s">
        <v>1460</v>
      </c>
      <c r="G223" s="19"/>
      <c r="H223" s="60" t="s">
        <v>1360</v>
      </c>
    </row>
    <row r="224" spans="1:8">
      <c r="A224" s="19">
        <v>27</v>
      </c>
      <c r="B224" s="19" t="s">
        <v>353</v>
      </c>
      <c r="C224" s="19" t="s">
        <v>407</v>
      </c>
      <c r="D224" s="19" t="s">
        <v>914</v>
      </c>
      <c r="E224" s="19" t="s">
        <v>355</v>
      </c>
      <c r="F224" s="19" t="s">
        <v>355</v>
      </c>
      <c r="G224" s="19" t="s">
        <v>1510</v>
      </c>
      <c r="H224" s="19" t="s">
        <v>1358</v>
      </c>
    </row>
    <row r="225" spans="1:8">
      <c r="A225" s="19">
        <v>27</v>
      </c>
      <c r="B225" s="19" t="s">
        <v>353</v>
      </c>
      <c r="C225" s="19" t="s">
        <v>407</v>
      </c>
      <c r="D225" s="19" t="s">
        <v>1377</v>
      </c>
      <c r="E225" s="19">
        <v>28000</v>
      </c>
      <c r="F225" s="19">
        <v>28000</v>
      </c>
      <c r="G225" s="19" t="s">
        <v>1510</v>
      </c>
      <c r="H225" s="19" t="s">
        <v>1358</v>
      </c>
    </row>
    <row r="226" spans="1:8">
      <c r="A226" s="19">
        <v>28</v>
      </c>
      <c r="B226" s="19" t="s">
        <v>353</v>
      </c>
      <c r="C226" s="19" t="s">
        <v>411</v>
      </c>
      <c r="D226" s="19" t="s">
        <v>238</v>
      </c>
      <c r="E226" s="19" t="s">
        <v>410</v>
      </c>
      <c r="F226" s="19" t="s">
        <v>410</v>
      </c>
      <c r="G226" s="19" t="s">
        <v>1511</v>
      </c>
      <c r="H226" s="19" t="s">
        <v>1358</v>
      </c>
    </row>
    <row r="227" spans="1:8">
      <c r="A227" s="19">
        <v>28</v>
      </c>
      <c r="B227" s="19" t="s">
        <v>353</v>
      </c>
      <c r="C227" s="19" t="s">
        <v>411</v>
      </c>
      <c r="D227" s="19" t="s">
        <v>255</v>
      </c>
      <c r="E227" s="19">
        <v>2</v>
      </c>
      <c r="F227" s="19">
        <v>2</v>
      </c>
      <c r="G227" s="19" t="s">
        <v>1512</v>
      </c>
      <c r="H227" s="19" t="s">
        <v>1358</v>
      </c>
    </row>
    <row r="228" spans="1:8">
      <c r="A228" s="19">
        <v>28</v>
      </c>
      <c r="B228" s="19" t="s">
        <v>353</v>
      </c>
      <c r="C228" s="19" t="s">
        <v>411</v>
      </c>
      <c r="D228" s="19" t="s">
        <v>256</v>
      </c>
      <c r="E228" s="19" t="s">
        <v>299</v>
      </c>
      <c r="F228" s="19" t="s">
        <v>1460</v>
      </c>
      <c r="G228" s="19"/>
      <c r="H228" s="60" t="s">
        <v>1360</v>
      </c>
    </row>
    <row r="229" spans="1:8">
      <c r="A229" s="19">
        <v>28</v>
      </c>
      <c r="B229" s="19" t="s">
        <v>353</v>
      </c>
      <c r="C229" s="19" t="s">
        <v>411</v>
      </c>
      <c r="D229" s="19" t="s">
        <v>243</v>
      </c>
      <c r="E229" s="19">
        <v>27.5</v>
      </c>
      <c r="F229" s="19">
        <v>27.5</v>
      </c>
      <c r="G229" s="19" t="s">
        <v>1513</v>
      </c>
      <c r="H229" s="19" t="s">
        <v>1358</v>
      </c>
    </row>
    <row r="230" spans="1:8">
      <c r="A230" s="19">
        <v>28</v>
      </c>
      <c r="B230" s="19" t="s">
        <v>353</v>
      </c>
      <c r="C230" s="19" t="s">
        <v>411</v>
      </c>
      <c r="D230" s="19" t="s">
        <v>257</v>
      </c>
      <c r="E230" s="19">
        <v>4.3</v>
      </c>
      <c r="F230" s="19">
        <v>4.3</v>
      </c>
      <c r="G230" s="19" t="s">
        <v>1513</v>
      </c>
      <c r="H230" s="19" t="s">
        <v>1358</v>
      </c>
    </row>
    <row r="231" spans="1:8">
      <c r="A231" s="19">
        <v>28</v>
      </c>
      <c r="B231" s="19" t="s">
        <v>353</v>
      </c>
      <c r="C231" s="19" t="s">
        <v>411</v>
      </c>
      <c r="D231" s="19" t="s">
        <v>245</v>
      </c>
      <c r="E231" s="19">
        <v>3.3</v>
      </c>
      <c r="F231" s="19">
        <v>3.3</v>
      </c>
      <c r="G231" s="19" t="s">
        <v>1513</v>
      </c>
      <c r="H231" s="19" t="s">
        <v>1358</v>
      </c>
    </row>
    <row r="232" spans="1:8">
      <c r="A232" s="19">
        <v>28</v>
      </c>
      <c r="B232" s="19" t="s">
        <v>353</v>
      </c>
      <c r="C232" s="19" t="s">
        <v>411</v>
      </c>
      <c r="D232" s="19" t="s">
        <v>253</v>
      </c>
      <c r="E232" s="19" t="s">
        <v>297</v>
      </c>
      <c r="F232" s="19" t="s">
        <v>1460</v>
      </c>
      <c r="G232" s="19"/>
      <c r="H232" s="60" t="s">
        <v>1360</v>
      </c>
    </row>
    <row r="233" spans="1:8">
      <c r="A233" s="19">
        <v>28</v>
      </c>
      <c r="B233" s="19" t="s">
        <v>353</v>
      </c>
      <c r="C233" s="19" t="s">
        <v>411</v>
      </c>
      <c r="D233" s="19" t="s">
        <v>914</v>
      </c>
      <c r="E233" s="19" t="s">
        <v>355</v>
      </c>
      <c r="F233" s="19" t="s">
        <v>355</v>
      </c>
      <c r="G233" s="19" t="s">
        <v>1514</v>
      </c>
      <c r="H233" s="19" t="s">
        <v>1358</v>
      </c>
    </row>
    <row r="234" spans="1:8">
      <c r="A234" s="19">
        <v>28</v>
      </c>
      <c r="B234" s="19" t="s">
        <v>353</v>
      </c>
      <c r="C234" s="19" t="s">
        <v>411</v>
      </c>
      <c r="D234" s="19" t="s">
        <v>1377</v>
      </c>
      <c r="E234" s="19">
        <v>53000</v>
      </c>
      <c r="F234" s="19">
        <v>53000</v>
      </c>
      <c r="G234" s="19" t="s">
        <v>1514</v>
      </c>
      <c r="H234" s="19" t="s">
        <v>1358</v>
      </c>
    </row>
    <row r="235" spans="1:8">
      <c r="A235" s="19">
        <v>29</v>
      </c>
      <c r="B235" s="19" t="s">
        <v>353</v>
      </c>
      <c r="C235" s="19" t="s">
        <v>415</v>
      </c>
      <c r="D235" s="19" t="s">
        <v>238</v>
      </c>
      <c r="E235" s="19" t="s">
        <v>414</v>
      </c>
      <c r="F235" s="19" t="s">
        <v>414</v>
      </c>
      <c r="G235" s="19" t="s">
        <v>1515</v>
      </c>
      <c r="H235" s="19" t="s">
        <v>1358</v>
      </c>
    </row>
    <row r="236" spans="1:8">
      <c r="A236" s="19">
        <v>29</v>
      </c>
      <c r="B236" s="19" t="s">
        <v>353</v>
      </c>
      <c r="C236" s="19" t="s">
        <v>415</v>
      </c>
      <c r="D236" s="19" t="s">
        <v>255</v>
      </c>
      <c r="E236" s="19">
        <v>2</v>
      </c>
      <c r="F236" s="19">
        <v>2</v>
      </c>
      <c r="G236" s="19" t="s">
        <v>1516</v>
      </c>
      <c r="H236" s="19" t="s">
        <v>1358</v>
      </c>
    </row>
    <row r="237" spans="1:8">
      <c r="A237" s="19">
        <v>29</v>
      </c>
      <c r="B237" s="19" t="s">
        <v>353</v>
      </c>
      <c r="C237" s="19" t="s">
        <v>415</v>
      </c>
      <c r="D237" s="19" t="s">
        <v>256</v>
      </c>
      <c r="E237" s="19" t="s">
        <v>299</v>
      </c>
      <c r="F237" s="19" t="s">
        <v>1460</v>
      </c>
      <c r="G237" s="19"/>
      <c r="H237" s="60" t="s">
        <v>1360</v>
      </c>
    </row>
    <row r="238" spans="1:8">
      <c r="A238" s="19">
        <v>29</v>
      </c>
      <c r="B238" s="19" t="s">
        <v>353</v>
      </c>
      <c r="C238" s="19" t="s">
        <v>415</v>
      </c>
      <c r="D238" s="19" t="s">
        <v>243</v>
      </c>
      <c r="E238" s="19">
        <v>5.5</v>
      </c>
      <c r="F238" s="19">
        <v>5.5</v>
      </c>
      <c r="G238" s="19" t="s">
        <v>1517</v>
      </c>
      <c r="H238" s="19" t="s">
        <v>1358</v>
      </c>
    </row>
    <row r="239" spans="1:8">
      <c r="A239" s="19">
        <v>29</v>
      </c>
      <c r="B239" s="19" t="s">
        <v>353</v>
      </c>
      <c r="C239" s="19" t="s">
        <v>415</v>
      </c>
      <c r="D239" s="19" t="s">
        <v>257</v>
      </c>
      <c r="E239" s="19">
        <v>7</v>
      </c>
      <c r="F239" s="19">
        <v>7</v>
      </c>
      <c r="G239" s="19" t="s">
        <v>1517</v>
      </c>
      <c r="H239" s="19" t="s">
        <v>1358</v>
      </c>
    </row>
    <row r="240" spans="1:8">
      <c r="A240" s="19">
        <v>29</v>
      </c>
      <c r="B240" s="19" t="s">
        <v>353</v>
      </c>
      <c r="C240" s="19" t="s">
        <v>415</v>
      </c>
      <c r="D240" s="19" t="s">
        <v>245</v>
      </c>
      <c r="E240" s="19">
        <v>0.11</v>
      </c>
      <c r="F240" s="19">
        <v>0.11</v>
      </c>
      <c r="G240" s="19" t="s">
        <v>1517</v>
      </c>
      <c r="H240" s="19" t="s">
        <v>1358</v>
      </c>
    </row>
    <row r="241" spans="1:8">
      <c r="A241" s="19">
        <v>29</v>
      </c>
      <c r="B241" s="19" t="s">
        <v>353</v>
      </c>
      <c r="C241" s="19" t="s">
        <v>415</v>
      </c>
      <c r="D241" s="19" t="s">
        <v>253</v>
      </c>
      <c r="E241" s="19" t="s">
        <v>297</v>
      </c>
      <c r="F241" s="19" t="s">
        <v>1460</v>
      </c>
      <c r="G241" s="19"/>
      <c r="H241" s="60" t="s">
        <v>1360</v>
      </c>
    </row>
    <row r="242" spans="1:8">
      <c r="A242" s="19">
        <v>29</v>
      </c>
      <c r="B242" s="19" t="s">
        <v>353</v>
      </c>
      <c r="C242" s="19" t="s">
        <v>415</v>
      </c>
      <c r="D242" s="19" t="s">
        <v>914</v>
      </c>
      <c r="E242" s="19" t="s">
        <v>355</v>
      </c>
      <c r="F242" s="19" t="s">
        <v>355</v>
      </c>
      <c r="G242" s="19" t="s">
        <v>1518</v>
      </c>
      <c r="H242" s="19" t="s">
        <v>1358</v>
      </c>
    </row>
    <row r="243" spans="1:8">
      <c r="A243" s="19">
        <v>29</v>
      </c>
      <c r="B243" s="19" t="s">
        <v>353</v>
      </c>
      <c r="C243" s="19" t="s">
        <v>415</v>
      </c>
      <c r="D243" s="19" t="s">
        <v>1377</v>
      </c>
      <c r="E243" s="19">
        <v>53000</v>
      </c>
      <c r="F243" s="19">
        <v>53000</v>
      </c>
      <c r="G243" s="19" t="s">
        <v>1518</v>
      </c>
      <c r="H243" s="19" t="s">
        <v>1358</v>
      </c>
    </row>
    <row r="244" spans="1:8">
      <c r="A244" s="19">
        <v>30</v>
      </c>
      <c r="B244" s="19" t="s">
        <v>353</v>
      </c>
      <c r="C244" s="19" t="s">
        <v>419</v>
      </c>
      <c r="D244" s="19" t="s">
        <v>238</v>
      </c>
      <c r="E244" s="19" t="s">
        <v>418</v>
      </c>
      <c r="F244" s="19" t="s">
        <v>418</v>
      </c>
      <c r="G244" s="19" t="s">
        <v>1519</v>
      </c>
      <c r="H244" s="19" t="s">
        <v>1358</v>
      </c>
    </row>
    <row r="245" spans="1:8">
      <c r="A245" s="19">
        <v>30</v>
      </c>
      <c r="B245" s="19" t="s">
        <v>353</v>
      </c>
      <c r="C245" s="19" t="s">
        <v>419</v>
      </c>
      <c r="D245" s="19" t="s">
        <v>255</v>
      </c>
      <c r="E245" s="19">
        <v>2</v>
      </c>
      <c r="F245" s="19">
        <v>2</v>
      </c>
      <c r="G245" s="19" t="s">
        <v>1520</v>
      </c>
      <c r="H245" s="19" t="s">
        <v>1358</v>
      </c>
    </row>
    <row r="246" spans="1:8">
      <c r="A246" s="19">
        <v>30</v>
      </c>
      <c r="B246" s="19" t="s">
        <v>353</v>
      </c>
      <c r="C246" s="19" t="s">
        <v>419</v>
      </c>
      <c r="D246" s="19" t="s">
        <v>256</v>
      </c>
      <c r="E246" s="19" t="s">
        <v>299</v>
      </c>
      <c r="F246" s="19" t="s">
        <v>1460</v>
      </c>
      <c r="G246" s="19"/>
      <c r="H246" s="60" t="s">
        <v>1360</v>
      </c>
    </row>
    <row r="247" spans="1:8">
      <c r="A247" s="19">
        <v>30</v>
      </c>
      <c r="B247" s="19" t="s">
        <v>353</v>
      </c>
      <c r="C247" s="19" t="s">
        <v>419</v>
      </c>
      <c r="D247" s="19" t="s">
        <v>243</v>
      </c>
      <c r="E247" s="19">
        <v>11</v>
      </c>
      <c r="F247" s="19">
        <v>11</v>
      </c>
      <c r="G247" s="19" t="s">
        <v>1521</v>
      </c>
      <c r="H247" s="19" t="s">
        <v>1358</v>
      </c>
    </row>
    <row r="248" spans="1:8">
      <c r="A248" s="19">
        <v>30</v>
      </c>
      <c r="B248" s="19" t="s">
        <v>353</v>
      </c>
      <c r="C248" s="19" t="s">
        <v>419</v>
      </c>
      <c r="D248" s="19" t="s">
        <v>257</v>
      </c>
      <c r="E248" s="19">
        <v>1.8</v>
      </c>
      <c r="F248" s="19">
        <v>1.8</v>
      </c>
      <c r="G248" s="19" t="s">
        <v>1521</v>
      </c>
      <c r="H248" s="19" t="s">
        <v>1358</v>
      </c>
    </row>
    <row r="249" spans="1:8">
      <c r="A249" s="19">
        <v>30</v>
      </c>
      <c r="B249" s="19" t="s">
        <v>353</v>
      </c>
      <c r="C249" s="19" t="s">
        <v>419</v>
      </c>
      <c r="D249" s="19" t="s">
        <v>245</v>
      </c>
      <c r="E249" s="19">
        <v>0.54</v>
      </c>
      <c r="F249" s="19">
        <v>0.54</v>
      </c>
      <c r="G249" s="19" t="s">
        <v>1521</v>
      </c>
      <c r="H249" s="19" t="s">
        <v>1358</v>
      </c>
    </row>
    <row r="250" spans="1:8">
      <c r="A250" s="19">
        <v>30</v>
      </c>
      <c r="B250" s="19" t="s">
        <v>353</v>
      </c>
      <c r="C250" s="19" t="s">
        <v>419</v>
      </c>
      <c r="D250" s="19" t="s">
        <v>253</v>
      </c>
      <c r="E250" s="19" t="s">
        <v>297</v>
      </c>
      <c r="F250" s="19" t="s">
        <v>1460</v>
      </c>
      <c r="G250" s="19"/>
      <c r="H250" s="60" t="s">
        <v>1360</v>
      </c>
    </row>
    <row r="251" spans="1:8">
      <c r="A251" s="19">
        <v>30</v>
      </c>
      <c r="B251" s="19" t="s">
        <v>353</v>
      </c>
      <c r="C251" s="19" t="s">
        <v>419</v>
      </c>
      <c r="D251" s="19" t="s">
        <v>914</v>
      </c>
      <c r="E251" s="19" t="s">
        <v>355</v>
      </c>
      <c r="F251" s="19" t="s">
        <v>355</v>
      </c>
      <c r="G251" s="19" t="s">
        <v>1522</v>
      </c>
      <c r="H251" s="19" t="s">
        <v>1358</v>
      </c>
    </row>
    <row r="252" spans="1:8">
      <c r="A252" s="19">
        <v>30</v>
      </c>
      <c r="B252" s="19" t="s">
        <v>353</v>
      </c>
      <c r="C252" s="19" t="s">
        <v>419</v>
      </c>
      <c r="D252" s="19" t="s">
        <v>1377</v>
      </c>
      <c r="E252" s="19">
        <v>29000</v>
      </c>
      <c r="F252" s="19">
        <v>29000</v>
      </c>
      <c r="G252" s="19" t="s">
        <v>1522</v>
      </c>
      <c r="H252" s="19" t="s">
        <v>1358</v>
      </c>
    </row>
    <row r="253" spans="1:8">
      <c r="A253" s="19">
        <v>31</v>
      </c>
      <c r="B253" s="19" t="s">
        <v>353</v>
      </c>
      <c r="C253" s="19" t="s">
        <v>423</v>
      </c>
      <c r="D253" s="19" t="s">
        <v>238</v>
      </c>
      <c r="E253" s="19" t="s">
        <v>422</v>
      </c>
      <c r="F253" s="19" t="s">
        <v>422</v>
      </c>
      <c r="G253" s="19" t="s">
        <v>1523</v>
      </c>
      <c r="H253" s="19" t="s">
        <v>1358</v>
      </c>
    </row>
    <row r="254" spans="1:8">
      <c r="A254" s="19">
        <v>31</v>
      </c>
      <c r="B254" s="19" t="s">
        <v>353</v>
      </c>
      <c r="C254" s="19" t="s">
        <v>423</v>
      </c>
      <c r="D254" s="19" t="s">
        <v>255</v>
      </c>
      <c r="E254" s="19">
        <v>2</v>
      </c>
      <c r="F254" s="19">
        <v>2</v>
      </c>
      <c r="G254" s="19" t="s">
        <v>1524</v>
      </c>
      <c r="H254" s="19" t="s">
        <v>1358</v>
      </c>
    </row>
    <row r="255" spans="1:8">
      <c r="A255" s="19">
        <v>31</v>
      </c>
      <c r="B255" s="19" t="s">
        <v>353</v>
      </c>
      <c r="C255" s="19" t="s">
        <v>423</v>
      </c>
      <c r="D255" s="19" t="s">
        <v>256</v>
      </c>
      <c r="E255" s="19" t="s">
        <v>299</v>
      </c>
      <c r="F255" s="19" t="s">
        <v>1460</v>
      </c>
      <c r="G255" s="19"/>
      <c r="H255" s="60" t="s">
        <v>1360</v>
      </c>
    </row>
    <row r="256" spans="1:8">
      <c r="A256" s="19">
        <v>31</v>
      </c>
      <c r="B256" s="19" t="s">
        <v>353</v>
      </c>
      <c r="C256" s="19" t="s">
        <v>423</v>
      </c>
      <c r="D256" s="19" t="s">
        <v>243</v>
      </c>
      <c r="E256" s="19">
        <v>11</v>
      </c>
      <c r="F256" s="19">
        <v>11</v>
      </c>
      <c r="G256" s="19" t="s">
        <v>1525</v>
      </c>
      <c r="H256" s="19" t="s">
        <v>1358</v>
      </c>
    </row>
    <row r="257" spans="1:8">
      <c r="A257" s="19">
        <v>31</v>
      </c>
      <c r="B257" s="19" t="s">
        <v>353</v>
      </c>
      <c r="C257" s="19" t="s">
        <v>423</v>
      </c>
      <c r="D257" s="19" t="s">
        <v>257</v>
      </c>
      <c r="E257" s="19">
        <v>2.7</v>
      </c>
      <c r="F257" s="19">
        <v>2.7</v>
      </c>
      <c r="G257" s="19" t="s">
        <v>1525</v>
      </c>
      <c r="H257" s="19" t="s">
        <v>1358</v>
      </c>
    </row>
    <row r="258" spans="1:8">
      <c r="A258" s="19">
        <v>31</v>
      </c>
      <c r="B258" s="19" t="s">
        <v>353</v>
      </c>
      <c r="C258" s="19" t="s">
        <v>423</v>
      </c>
      <c r="D258" s="19" t="s">
        <v>245</v>
      </c>
      <c r="E258" s="19">
        <v>0.8</v>
      </c>
      <c r="F258" s="19">
        <v>0.8</v>
      </c>
      <c r="G258" s="19" t="s">
        <v>1525</v>
      </c>
      <c r="H258" s="19" t="s">
        <v>1358</v>
      </c>
    </row>
    <row r="259" spans="1:8">
      <c r="A259" s="19">
        <v>31</v>
      </c>
      <c r="B259" s="19" t="s">
        <v>353</v>
      </c>
      <c r="C259" s="19" t="s">
        <v>423</v>
      </c>
      <c r="D259" s="19" t="s">
        <v>253</v>
      </c>
      <c r="E259" s="19" t="s">
        <v>297</v>
      </c>
      <c r="F259" s="19" t="s">
        <v>1460</v>
      </c>
      <c r="G259" s="19"/>
      <c r="H259" s="60" t="s">
        <v>1360</v>
      </c>
    </row>
    <row r="260" spans="1:8">
      <c r="A260" s="19">
        <v>31</v>
      </c>
      <c r="B260" s="19" t="s">
        <v>353</v>
      </c>
      <c r="C260" s="19" t="s">
        <v>423</v>
      </c>
      <c r="D260" s="19" t="s">
        <v>914</v>
      </c>
      <c r="E260" s="19" t="s">
        <v>355</v>
      </c>
      <c r="F260" s="19" t="s">
        <v>355</v>
      </c>
      <c r="G260" s="19" t="s">
        <v>1526</v>
      </c>
      <c r="H260" s="19" t="s">
        <v>1358</v>
      </c>
    </row>
    <row r="261" spans="1:8">
      <c r="A261" s="19">
        <v>31</v>
      </c>
      <c r="B261" s="19" t="s">
        <v>353</v>
      </c>
      <c r="C261" s="19" t="s">
        <v>423</v>
      </c>
      <c r="D261" s="19" t="s">
        <v>1377</v>
      </c>
      <c r="E261" s="19">
        <v>35000</v>
      </c>
      <c r="F261" s="19">
        <v>35000</v>
      </c>
      <c r="G261" s="19" t="s">
        <v>1526</v>
      </c>
      <c r="H261" s="19" t="s">
        <v>1358</v>
      </c>
    </row>
    <row r="262" spans="1:8">
      <c r="A262" s="19">
        <v>32</v>
      </c>
      <c r="B262" s="19" t="s">
        <v>353</v>
      </c>
      <c r="C262" s="19" t="s">
        <v>428</v>
      </c>
      <c r="D262" s="19" t="s">
        <v>238</v>
      </c>
      <c r="E262" s="19" t="s">
        <v>427</v>
      </c>
      <c r="F262" s="19" t="s">
        <v>427</v>
      </c>
      <c r="G262" s="19" t="s">
        <v>1527</v>
      </c>
      <c r="H262" s="19" t="s">
        <v>1358</v>
      </c>
    </row>
    <row r="263" spans="1:8">
      <c r="A263" s="19">
        <v>32</v>
      </c>
      <c r="B263" s="19" t="s">
        <v>353</v>
      </c>
      <c r="C263" s="19" t="s">
        <v>428</v>
      </c>
      <c r="D263" s="19" t="s">
        <v>255</v>
      </c>
      <c r="E263" s="19">
        <v>1</v>
      </c>
      <c r="F263" s="19">
        <v>1</v>
      </c>
      <c r="G263" s="19" t="s">
        <v>1528</v>
      </c>
      <c r="H263" s="19" t="s">
        <v>1358</v>
      </c>
    </row>
    <row r="264" spans="1:8">
      <c r="A264" s="19">
        <v>32</v>
      </c>
      <c r="B264" s="19" t="s">
        <v>353</v>
      </c>
      <c r="C264" s="19" t="s">
        <v>428</v>
      </c>
      <c r="D264" s="19" t="s">
        <v>256</v>
      </c>
      <c r="E264" s="19" t="s">
        <v>299</v>
      </c>
      <c r="F264" s="19" t="s">
        <v>1460</v>
      </c>
      <c r="G264" s="19"/>
      <c r="H264" s="60" t="s">
        <v>1360</v>
      </c>
    </row>
    <row r="265" spans="1:8">
      <c r="A265" s="19">
        <v>32</v>
      </c>
      <c r="B265" s="19" t="s">
        <v>353</v>
      </c>
      <c r="C265" s="19" t="s">
        <v>428</v>
      </c>
      <c r="D265" s="19" t="s">
        <v>243</v>
      </c>
      <c r="E265" s="19">
        <v>1</v>
      </c>
      <c r="F265" s="19">
        <v>1</v>
      </c>
      <c r="G265" s="19" t="s">
        <v>1529</v>
      </c>
      <c r="H265" s="19" t="s">
        <v>1358</v>
      </c>
    </row>
    <row r="266" spans="1:8">
      <c r="A266" s="19">
        <v>32</v>
      </c>
      <c r="B266" s="19" t="s">
        <v>353</v>
      </c>
      <c r="C266" s="19" t="s">
        <v>428</v>
      </c>
      <c r="D266" s="19" t="s">
        <v>257</v>
      </c>
      <c r="E266" s="19">
        <v>0.84</v>
      </c>
      <c r="F266" s="19">
        <v>0.84</v>
      </c>
      <c r="G266" s="19" t="s">
        <v>1529</v>
      </c>
      <c r="H266" s="19" t="s">
        <v>1358</v>
      </c>
    </row>
    <row r="267" spans="1:8">
      <c r="A267" s="19">
        <v>32</v>
      </c>
      <c r="B267" s="19" t="s">
        <v>353</v>
      </c>
      <c r="C267" s="19" t="s">
        <v>428</v>
      </c>
      <c r="D267" s="19" t="s">
        <v>245</v>
      </c>
      <c r="E267" s="19">
        <v>0.02</v>
      </c>
      <c r="F267" s="19">
        <v>0.02</v>
      </c>
      <c r="G267" s="19" t="s">
        <v>1529</v>
      </c>
      <c r="H267" s="19" t="s">
        <v>1358</v>
      </c>
    </row>
    <row r="268" spans="1:8">
      <c r="A268" s="19">
        <v>32</v>
      </c>
      <c r="B268" s="19" t="s">
        <v>353</v>
      </c>
      <c r="C268" s="19" t="s">
        <v>428</v>
      </c>
      <c r="D268" s="19" t="s">
        <v>253</v>
      </c>
      <c r="E268" s="19" t="s">
        <v>297</v>
      </c>
      <c r="F268" s="19" t="s">
        <v>1460</v>
      </c>
      <c r="G268" s="19"/>
      <c r="H268" s="60" t="s">
        <v>1360</v>
      </c>
    </row>
    <row r="269" spans="1:8">
      <c r="A269" s="19">
        <v>32</v>
      </c>
      <c r="B269" s="19" t="s">
        <v>353</v>
      </c>
      <c r="C269" s="19" t="s">
        <v>428</v>
      </c>
      <c r="D269" s="19" t="s">
        <v>914</v>
      </c>
      <c r="E269" s="19" t="s">
        <v>355</v>
      </c>
      <c r="F269" s="19" t="s">
        <v>355</v>
      </c>
      <c r="G269" s="19" t="s">
        <v>1530</v>
      </c>
      <c r="H269" s="19" t="s">
        <v>1358</v>
      </c>
    </row>
    <row r="270" spans="1:8">
      <c r="A270" s="19">
        <v>32</v>
      </c>
      <c r="B270" s="19" t="s">
        <v>353</v>
      </c>
      <c r="C270" s="19" t="s">
        <v>428</v>
      </c>
      <c r="D270" s="19" t="s">
        <v>1377</v>
      </c>
      <c r="E270" s="19">
        <v>13350</v>
      </c>
      <c r="F270" s="19">
        <v>13350</v>
      </c>
      <c r="G270" s="19" t="s">
        <v>1530</v>
      </c>
      <c r="H270" s="19" t="s">
        <v>1358</v>
      </c>
    </row>
    <row r="271" spans="1:8">
      <c r="A271" s="19">
        <v>33</v>
      </c>
      <c r="B271" s="19" t="s">
        <v>353</v>
      </c>
      <c r="C271" s="19" t="s">
        <v>432</v>
      </c>
      <c r="D271" s="19" t="s">
        <v>238</v>
      </c>
      <c r="E271" s="19" t="s">
        <v>431</v>
      </c>
      <c r="F271" s="19" t="s">
        <v>431</v>
      </c>
      <c r="G271" s="19" t="s">
        <v>1531</v>
      </c>
      <c r="H271" s="19" t="s">
        <v>1358</v>
      </c>
    </row>
    <row r="272" spans="1:8">
      <c r="A272" s="19">
        <v>33</v>
      </c>
      <c r="B272" s="19" t="s">
        <v>353</v>
      </c>
      <c r="C272" s="19" t="s">
        <v>432</v>
      </c>
      <c r="D272" s="19" t="s">
        <v>255</v>
      </c>
      <c r="E272" s="19">
        <v>2</v>
      </c>
      <c r="F272" s="19">
        <v>2</v>
      </c>
      <c r="G272" s="19" t="s">
        <v>1532</v>
      </c>
      <c r="H272" s="19" t="s">
        <v>1358</v>
      </c>
    </row>
    <row r="273" spans="1:8">
      <c r="A273" s="19">
        <v>33</v>
      </c>
      <c r="B273" s="19" t="s">
        <v>353</v>
      </c>
      <c r="C273" s="19" t="s">
        <v>432</v>
      </c>
      <c r="D273" s="19" t="s">
        <v>256</v>
      </c>
      <c r="E273" s="19" t="s">
        <v>299</v>
      </c>
      <c r="F273" s="19" t="s">
        <v>1460</v>
      </c>
      <c r="G273" s="19"/>
      <c r="H273" s="60" t="s">
        <v>1360</v>
      </c>
    </row>
    <row r="274" spans="1:8">
      <c r="A274" s="19">
        <v>33</v>
      </c>
      <c r="B274" s="19" t="s">
        <v>353</v>
      </c>
      <c r="C274" s="19" t="s">
        <v>432</v>
      </c>
      <c r="D274" s="19" t="s">
        <v>243</v>
      </c>
      <c r="E274" s="19">
        <v>5</v>
      </c>
      <c r="F274" s="19">
        <v>5</v>
      </c>
      <c r="G274" s="19" t="s">
        <v>1533</v>
      </c>
      <c r="H274" s="19" t="s">
        <v>1358</v>
      </c>
    </row>
    <row r="275" spans="1:8">
      <c r="A275" s="19">
        <v>33</v>
      </c>
      <c r="B275" s="19" t="s">
        <v>353</v>
      </c>
      <c r="C275" s="19" t="s">
        <v>432</v>
      </c>
      <c r="D275" s="19" t="s">
        <v>257</v>
      </c>
      <c r="E275" s="19">
        <v>2</v>
      </c>
      <c r="F275" s="19">
        <v>2</v>
      </c>
      <c r="G275" s="19" t="s">
        <v>1533</v>
      </c>
      <c r="H275" s="19" t="s">
        <v>1358</v>
      </c>
    </row>
    <row r="276" spans="1:8">
      <c r="A276" s="19">
        <v>33</v>
      </c>
      <c r="B276" s="19" t="s">
        <v>353</v>
      </c>
      <c r="C276" s="19" t="s">
        <v>432</v>
      </c>
      <c r="D276" s="19" t="s">
        <v>245</v>
      </c>
      <c r="E276" s="19">
        <v>0.3</v>
      </c>
      <c r="F276" s="19">
        <v>0.3</v>
      </c>
      <c r="G276" s="19" t="s">
        <v>1533</v>
      </c>
      <c r="H276" s="19" t="s">
        <v>1358</v>
      </c>
    </row>
    <row r="277" spans="1:8">
      <c r="A277" s="19">
        <v>33</v>
      </c>
      <c r="B277" s="19" t="s">
        <v>353</v>
      </c>
      <c r="C277" s="19" t="s">
        <v>432</v>
      </c>
      <c r="D277" s="19" t="s">
        <v>253</v>
      </c>
      <c r="E277" s="19" t="s">
        <v>297</v>
      </c>
      <c r="F277" s="19" t="s">
        <v>1460</v>
      </c>
      <c r="G277" s="19"/>
      <c r="H277" s="60" t="s">
        <v>1360</v>
      </c>
    </row>
    <row r="278" spans="1:8">
      <c r="A278" s="19">
        <v>33</v>
      </c>
      <c r="B278" s="19" t="s">
        <v>353</v>
      </c>
      <c r="C278" s="19" t="s">
        <v>432</v>
      </c>
      <c r="D278" s="19" t="s">
        <v>914</v>
      </c>
      <c r="E278" s="19" t="s">
        <v>355</v>
      </c>
      <c r="F278" s="19" t="s">
        <v>355</v>
      </c>
      <c r="G278" s="19" t="s">
        <v>1534</v>
      </c>
      <c r="H278" s="19" t="s">
        <v>1358</v>
      </c>
    </row>
    <row r="279" spans="1:8">
      <c r="A279" s="19">
        <v>33</v>
      </c>
      <c r="B279" s="19" t="s">
        <v>353</v>
      </c>
      <c r="C279" s="19" t="s">
        <v>432</v>
      </c>
      <c r="D279" s="19" t="s">
        <v>1377</v>
      </c>
      <c r="E279" s="19">
        <v>31000</v>
      </c>
      <c r="F279" s="19">
        <v>31000</v>
      </c>
      <c r="G279" s="19" t="s">
        <v>1534</v>
      </c>
      <c r="H279" s="19" t="s">
        <v>1358</v>
      </c>
    </row>
    <row r="280" spans="1:8">
      <c r="A280" s="19">
        <v>34</v>
      </c>
      <c r="B280" s="19" t="s">
        <v>353</v>
      </c>
      <c r="C280" s="19" t="s">
        <v>436</v>
      </c>
      <c r="D280" s="19" t="s">
        <v>238</v>
      </c>
      <c r="E280" s="19" t="s">
        <v>435</v>
      </c>
      <c r="F280" s="19" t="s">
        <v>435</v>
      </c>
      <c r="G280" s="19" t="s">
        <v>1535</v>
      </c>
      <c r="H280" s="19" t="s">
        <v>1358</v>
      </c>
    </row>
    <row r="281" spans="1:8">
      <c r="A281" s="19">
        <v>34</v>
      </c>
      <c r="B281" s="19" t="s">
        <v>353</v>
      </c>
      <c r="C281" s="19" t="s">
        <v>436</v>
      </c>
      <c r="D281" s="19" t="s">
        <v>255</v>
      </c>
      <c r="E281" s="19">
        <v>2</v>
      </c>
      <c r="F281" s="19">
        <v>2</v>
      </c>
      <c r="G281" s="19" t="s">
        <v>1536</v>
      </c>
      <c r="H281" s="19" t="s">
        <v>1358</v>
      </c>
    </row>
    <row r="282" spans="1:8">
      <c r="A282" s="19">
        <v>34</v>
      </c>
      <c r="B282" s="19" t="s">
        <v>353</v>
      </c>
      <c r="C282" s="19" t="s">
        <v>436</v>
      </c>
      <c r="D282" s="19" t="s">
        <v>256</v>
      </c>
      <c r="E282" s="19" t="s">
        <v>299</v>
      </c>
      <c r="F282" s="19" t="s">
        <v>1460</v>
      </c>
      <c r="G282" s="19"/>
      <c r="H282" s="60" t="s">
        <v>1360</v>
      </c>
    </row>
    <row r="283" spans="1:8">
      <c r="A283" s="19">
        <v>34</v>
      </c>
      <c r="B283" s="19" t="s">
        <v>353</v>
      </c>
      <c r="C283" s="19" t="s">
        <v>436</v>
      </c>
      <c r="D283" s="19" t="s">
        <v>243</v>
      </c>
      <c r="E283" s="19">
        <v>33</v>
      </c>
      <c r="F283" s="19">
        <v>33</v>
      </c>
      <c r="G283" s="19" t="s">
        <v>1537</v>
      </c>
      <c r="H283" s="19" t="s">
        <v>1358</v>
      </c>
    </row>
    <row r="284" spans="1:8">
      <c r="A284" s="19">
        <v>34</v>
      </c>
      <c r="B284" s="19" t="s">
        <v>353</v>
      </c>
      <c r="C284" s="19" t="s">
        <v>436</v>
      </c>
      <c r="D284" s="19" t="s">
        <v>257</v>
      </c>
      <c r="E284" s="19">
        <v>1.5</v>
      </c>
      <c r="F284" s="19">
        <v>1.5</v>
      </c>
      <c r="G284" s="19" t="s">
        <v>1537</v>
      </c>
      <c r="H284" s="19" t="s">
        <v>1358</v>
      </c>
    </row>
    <row r="285" spans="1:8">
      <c r="A285" s="19">
        <v>34</v>
      </c>
      <c r="B285" s="19" t="s">
        <v>353</v>
      </c>
      <c r="C285" s="19" t="s">
        <v>436</v>
      </c>
      <c r="D285" s="19" t="s">
        <v>245</v>
      </c>
      <c r="E285" s="19">
        <v>1.35</v>
      </c>
      <c r="F285" s="19">
        <v>1.35</v>
      </c>
      <c r="G285" s="19" t="s">
        <v>1537</v>
      </c>
      <c r="H285" s="19" t="s">
        <v>1358</v>
      </c>
    </row>
    <row r="286" spans="1:8">
      <c r="A286" s="19">
        <v>34</v>
      </c>
      <c r="B286" s="19" t="s">
        <v>353</v>
      </c>
      <c r="C286" s="19" t="s">
        <v>436</v>
      </c>
      <c r="D286" s="19" t="s">
        <v>253</v>
      </c>
      <c r="E286" s="19" t="s">
        <v>297</v>
      </c>
      <c r="F286" s="19" t="s">
        <v>1460</v>
      </c>
      <c r="G286" s="19"/>
      <c r="H286" s="60" t="s">
        <v>1360</v>
      </c>
    </row>
    <row r="287" spans="1:8">
      <c r="A287" s="19">
        <v>34</v>
      </c>
      <c r="B287" s="19" t="s">
        <v>353</v>
      </c>
      <c r="C287" s="19" t="s">
        <v>436</v>
      </c>
      <c r="D287" s="19" t="s">
        <v>914</v>
      </c>
      <c r="E287" s="19" t="s">
        <v>355</v>
      </c>
      <c r="F287" s="19" t="s">
        <v>355</v>
      </c>
      <c r="G287" s="19" t="s">
        <v>1538</v>
      </c>
      <c r="H287" s="19" t="s">
        <v>1358</v>
      </c>
    </row>
    <row r="288" spans="1:8">
      <c r="A288" s="19">
        <v>34</v>
      </c>
      <c r="B288" s="19" t="s">
        <v>353</v>
      </c>
      <c r="C288" s="19" t="s">
        <v>436</v>
      </c>
      <c r="D288" s="19" t="s">
        <v>1377</v>
      </c>
      <c r="E288" s="19">
        <v>28000</v>
      </c>
      <c r="F288" s="19">
        <v>28000</v>
      </c>
      <c r="G288" s="19" t="s">
        <v>1538</v>
      </c>
      <c r="H288" s="19" t="s">
        <v>1358</v>
      </c>
    </row>
    <row r="289" spans="1:8">
      <c r="A289" s="19">
        <v>35</v>
      </c>
      <c r="B289" s="19" t="s">
        <v>353</v>
      </c>
      <c r="C289" s="19" t="s">
        <v>440</v>
      </c>
      <c r="D289" s="19" t="s">
        <v>238</v>
      </c>
      <c r="E289" s="19" t="s">
        <v>439</v>
      </c>
      <c r="F289" s="19" t="s">
        <v>439</v>
      </c>
      <c r="G289" s="19" t="s">
        <v>1539</v>
      </c>
      <c r="H289" s="19" t="s">
        <v>1358</v>
      </c>
    </row>
    <row r="290" spans="1:8">
      <c r="A290" s="19">
        <v>35</v>
      </c>
      <c r="B290" s="19" t="s">
        <v>353</v>
      </c>
      <c r="C290" s="19" t="s">
        <v>440</v>
      </c>
      <c r="D290" s="19" t="s">
        <v>255</v>
      </c>
      <c r="E290" s="19">
        <v>1</v>
      </c>
      <c r="F290" s="19">
        <v>1</v>
      </c>
      <c r="G290" s="19" t="s">
        <v>1540</v>
      </c>
      <c r="H290" s="19" t="s">
        <v>1358</v>
      </c>
    </row>
    <row r="291" spans="1:8">
      <c r="A291" s="19">
        <v>35</v>
      </c>
      <c r="B291" s="19" t="s">
        <v>353</v>
      </c>
      <c r="C291" s="19" t="s">
        <v>440</v>
      </c>
      <c r="D291" s="19" t="s">
        <v>256</v>
      </c>
      <c r="E291" s="19" t="s">
        <v>299</v>
      </c>
      <c r="F291" s="19" t="s">
        <v>1460</v>
      </c>
      <c r="G291" s="19"/>
      <c r="H291" s="60" t="s">
        <v>1360</v>
      </c>
    </row>
    <row r="292" spans="1:8">
      <c r="A292" s="19">
        <v>35</v>
      </c>
      <c r="B292" s="19" t="s">
        <v>353</v>
      </c>
      <c r="C292" s="19" t="s">
        <v>440</v>
      </c>
      <c r="D292" s="19" t="s">
        <v>243</v>
      </c>
      <c r="E292" s="19">
        <v>10</v>
      </c>
      <c r="F292" s="19">
        <v>10</v>
      </c>
      <c r="G292" s="19" t="s">
        <v>1541</v>
      </c>
      <c r="H292" s="19" t="s">
        <v>1358</v>
      </c>
    </row>
    <row r="293" spans="1:8">
      <c r="A293" s="19">
        <v>35</v>
      </c>
      <c r="B293" s="19" t="s">
        <v>353</v>
      </c>
      <c r="C293" s="19" t="s">
        <v>440</v>
      </c>
      <c r="D293" s="19" t="s">
        <v>257</v>
      </c>
      <c r="E293" s="19">
        <v>0.6</v>
      </c>
      <c r="F293" s="19">
        <v>0.6</v>
      </c>
      <c r="G293" s="19" t="s">
        <v>1541</v>
      </c>
      <c r="H293" s="19" t="s">
        <v>1358</v>
      </c>
    </row>
    <row r="294" spans="1:8">
      <c r="A294" s="19">
        <v>35</v>
      </c>
      <c r="B294" s="19" t="s">
        <v>353</v>
      </c>
      <c r="C294" s="19" t="s">
        <v>440</v>
      </c>
      <c r="D294" s="19" t="s">
        <v>245</v>
      </c>
      <c r="E294" s="19">
        <v>0.16</v>
      </c>
      <c r="F294" s="19">
        <v>0.16</v>
      </c>
      <c r="G294" s="19" t="s">
        <v>1541</v>
      </c>
      <c r="H294" s="19" t="s">
        <v>1358</v>
      </c>
    </row>
    <row r="295" spans="1:8">
      <c r="A295" s="19">
        <v>35</v>
      </c>
      <c r="B295" s="19" t="s">
        <v>353</v>
      </c>
      <c r="C295" s="19" t="s">
        <v>440</v>
      </c>
      <c r="D295" s="19" t="s">
        <v>253</v>
      </c>
      <c r="E295" s="19" t="s">
        <v>297</v>
      </c>
      <c r="F295" s="19" t="s">
        <v>1460</v>
      </c>
      <c r="G295" s="19"/>
      <c r="H295" s="60" t="s">
        <v>1360</v>
      </c>
    </row>
    <row r="296" spans="1:8">
      <c r="A296" s="19">
        <v>35</v>
      </c>
      <c r="B296" s="19" t="s">
        <v>353</v>
      </c>
      <c r="C296" s="19" t="s">
        <v>440</v>
      </c>
      <c r="D296" s="19" t="s">
        <v>914</v>
      </c>
      <c r="E296" s="19" t="s">
        <v>355</v>
      </c>
      <c r="F296" s="19" t="s">
        <v>355</v>
      </c>
      <c r="G296" s="19" t="s">
        <v>1542</v>
      </c>
      <c r="H296" s="19" t="s">
        <v>1358</v>
      </c>
    </row>
    <row r="297" spans="1:8">
      <c r="A297" s="19">
        <v>35</v>
      </c>
      <c r="B297" s="19" t="s">
        <v>353</v>
      </c>
      <c r="C297" s="19" t="s">
        <v>440</v>
      </c>
      <c r="D297" s="19" t="s">
        <v>1377</v>
      </c>
      <c r="E297" s="19">
        <v>13500</v>
      </c>
      <c r="F297" s="19">
        <v>13500</v>
      </c>
      <c r="G297" s="19" t="s">
        <v>1542</v>
      </c>
      <c r="H297" s="19" t="s">
        <v>1358</v>
      </c>
    </row>
    <row r="298" spans="1:8">
      <c r="A298" s="19">
        <v>36</v>
      </c>
      <c r="B298" s="19" t="s">
        <v>353</v>
      </c>
      <c r="C298" s="19" t="s">
        <v>444</v>
      </c>
      <c r="D298" s="19" t="s">
        <v>238</v>
      </c>
      <c r="E298" s="19" t="s">
        <v>443</v>
      </c>
      <c r="F298" s="19" t="s">
        <v>443</v>
      </c>
      <c r="G298" s="19" t="s">
        <v>1543</v>
      </c>
      <c r="H298" s="19" t="s">
        <v>1358</v>
      </c>
    </row>
    <row r="299" spans="1:8">
      <c r="A299" s="19">
        <v>36</v>
      </c>
      <c r="B299" s="19" t="s">
        <v>353</v>
      </c>
      <c r="C299" s="19" t="s">
        <v>444</v>
      </c>
      <c r="D299" s="19" t="s">
        <v>255</v>
      </c>
      <c r="E299" s="19">
        <v>2</v>
      </c>
      <c r="F299" s="19">
        <v>2</v>
      </c>
      <c r="G299" s="19" t="s">
        <v>1544</v>
      </c>
      <c r="H299" s="19" t="s">
        <v>1358</v>
      </c>
    </row>
    <row r="300" spans="1:8">
      <c r="A300" s="19">
        <v>36</v>
      </c>
      <c r="B300" s="19" t="s">
        <v>353</v>
      </c>
      <c r="C300" s="19" t="s">
        <v>444</v>
      </c>
      <c r="D300" s="19" t="s">
        <v>256</v>
      </c>
      <c r="E300" s="19" t="s">
        <v>299</v>
      </c>
      <c r="F300" s="19" t="s">
        <v>1460</v>
      </c>
      <c r="G300" s="19"/>
      <c r="H300" s="60" t="s">
        <v>1360</v>
      </c>
    </row>
    <row r="301" spans="1:8">
      <c r="A301" s="19">
        <v>36</v>
      </c>
      <c r="B301" s="19" t="s">
        <v>353</v>
      </c>
      <c r="C301" s="19" t="s">
        <v>444</v>
      </c>
      <c r="D301" s="19" t="s">
        <v>243</v>
      </c>
      <c r="E301" s="19">
        <v>480</v>
      </c>
      <c r="F301" s="19">
        <v>480</v>
      </c>
      <c r="G301" s="19" t="s">
        <v>1545</v>
      </c>
      <c r="H301" s="19" t="s">
        <v>1358</v>
      </c>
    </row>
    <row r="302" spans="1:8">
      <c r="A302" s="19">
        <v>36</v>
      </c>
      <c r="B302" s="19" t="s">
        <v>353</v>
      </c>
      <c r="C302" s="19" t="s">
        <v>444</v>
      </c>
      <c r="D302" s="19" t="s">
        <v>257</v>
      </c>
      <c r="E302" s="19">
        <v>10</v>
      </c>
      <c r="F302" s="19">
        <v>10</v>
      </c>
      <c r="G302" s="19" t="s">
        <v>1545</v>
      </c>
      <c r="H302" s="19" t="s">
        <v>1358</v>
      </c>
    </row>
    <row r="303" spans="1:8">
      <c r="A303" s="19">
        <v>36</v>
      </c>
      <c r="B303" s="19" t="s">
        <v>353</v>
      </c>
      <c r="C303" s="19" t="s">
        <v>444</v>
      </c>
      <c r="D303" s="19" t="s">
        <v>245</v>
      </c>
      <c r="E303" s="19">
        <v>133</v>
      </c>
      <c r="F303" s="19">
        <v>133</v>
      </c>
      <c r="G303" s="19" t="s">
        <v>1545</v>
      </c>
      <c r="H303" s="19" t="s">
        <v>1358</v>
      </c>
    </row>
    <row r="304" spans="1:8">
      <c r="A304" s="19">
        <v>36</v>
      </c>
      <c r="B304" s="19" t="s">
        <v>353</v>
      </c>
      <c r="C304" s="19" t="s">
        <v>444</v>
      </c>
      <c r="D304" s="19" t="s">
        <v>253</v>
      </c>
      <c r="E304" s="19" t="s">
        <v>297</v>
      </c>
      <c r="F304" s="19" t="s">
        <v>1546</v>
      </c>
      <c r="G304" s="19" t="s">
        <v>238</v>
      </c>
      <c r="H304" s="19" t="s">
        <v>1358</v>
      </c>
    </row>
    <row r="305" spans="1:8">
      <c r="A305" s="19">
        <v>36</v>
      </c>
      <c r="B305" s="19" t="s">
        <v>353</v>
      </c>
      <c r="C305" s="19" t="s">
        <v>444</v>
      </c>
      <c r="D305" s="19" t="s">
        <v>914</v>
      </c>
      <c r="E305" s="19" t="s">
        <v>446</v>
      </c>
      <c r="F305" s="19" t="s">
        <v>446</v>
      </c>
      <c r="G305" s="19" t="s">
        <v>1547</v>
      </c>
      <c r="H305" s="19" t="s">
        <v>1358</v>
      </c>
    </row>
    <row r="306" spans="1:8">
      <c r="A306" s="19">
        <v>36</v>
      </c>
      <c r="B306" s="19" t="s">
        <v>353</v>
      </c>
      <c r="C306" s="19" t="s">
        <v>444</v>
      </c>
      <c r="D306" s="19" t="s">
        <v>1377</v>
      </c>
      <c r="E306" s="19">
        <v>37500000000</v>
      </c>
      <c r="F306" s="19">
        <v>37500000000</v>
      </c>
      <c r="G306" s="19" t="s">
        <v>1547</v>
      </c>
      <c r="H306" s="19" t="s">
        <v>1358</v>
      </c>
    </row>
    <row r="307" spans="1:8">
      <c r="A307" s="19">
        <v>37</v>
      </c>
      <c r="B307" s="19" t="s">
        <v>353</v>
      </c>
      <c r="C307" s="19" t="s">
        <v>451</v>
      </c>
      <c r="D307" s="19" t="s">
        <v>238</v>
      </c>
      <c r="E307" s="19" t="s">
        <v>450</v>
      </c>
      <c r="F307" s="19" t="s">
        <v>450</v>
      </c>
      <c r="G307" s="19" t="s">
        <v>1548</v>
      </c>
      <c r="H307" s="19" t="s">
        <v>1358</v>
      </c>
    </row>
    <row r="308" spans="1:8">
      <c r="A308" s="19">
        <v>37</v>
      </c>
      <c r="B308" s="19" t="s">
        <v>353</v>
      </c>
      <c r="C308" s="19" t="s">
        <v>451</v>
      </c>
      <c r="D308" s="19" t="s">
        <v>255</v>
      </c>
      <c r="E308" s="19">
        <v>1</v>
      </c>
      <c r="F308" s="19">
        <v>1</v>
      </c>
      <c r="G308" s="19" t="s">
        <v>1549</v>
      </c>
      <c r="H308" s="19" t="s">
        <v>1358</v>
      </c>
    </row>
    <row r="309" spans="1:8">
      <c r="A309" s="19">
        <v>37</v>
      </c>
      <c r="B309" s="19" t="s">
        <v>353</v>
      </c>
      <c r="C309" s="19" t="s">
        <v>451</v>
      </c>
      <c r="D309" s="19" t="s">
        <v>256</v>
      </c>
      <c r="E309" s="19" t="s">
        <v>299</v>
      </c>
      <c r="F309" s="19" t="s">
        <v>1460</v>
      </c>
      <c r="G309" s="19"/>
      <c r="H309" s="60" t="s">
        <v>1360</v>
      </c>
    </row>
    <row r="310" spans="1:8">
      <c r="A310" s="19">
        <v>37</v>
      </c>
      <c r="B310" s="19" t="s">
        <v>353</v>
      </c>
      <c r="C310" s="19" t="s">
        <v>451</v>
      </c>
      <c r="D310" s="19" t="s">
        <v>243</v>
      </c>
      <c r="E310" s="19">
        <v>480</v>
      </c>
      <c r="F310" s="19">
        <v>480</v>
      </c>
      <c r="G310" s="19" t="s">
        <v>1550</v>
      </c>
      <c r="H310" s="19" t="s">
        <v>1358</v>
      </c>
    </row>
    <row r="311" spans="1:8">
      <c r="A311" s="19">
        <v>37</v>
      </c>
      <c r="B311" s="19" t="s">
        <v>353</v>
      </c>
      <c r="C311" s="19" t="s">
        <v>451</v>
      </c>
      <c r="D311" s="19" t="s">
        <v>257</v>
      </c>
      <c r="E311" s="19">
        <v>10</v>
      </c>
      <c r="F311" s="19">
        <v>10</v>
      </c>
      <c r="G311" s="19" t="s">
        <v>1550</v>
      </c>
      <c r="H311" s="19" t="s">
        <v>1358</v>
      </c>
    </row>
    <row r="312" spans="1:8">
      <c r="A312" s="19">
        <v>37</v>
      </c>
      <c r="B312" s="19" t="s">
        <v>353</v>
      </c>
      <c r="C312" s="19" t="s">
        <v>451</v>
      </c>
      <c r="D312" s="19" t="s">
        <v>245</v>
      </c>
      <c r="E312" s="19">
        <v>133</v>
      </c>
      <c r="F312" s="19">
        <v>133</v>
      </c>
      <c r="G312" s="19" t="s">
        <v>1550</v>
      </c>
      <c r="H312" s="19" t="s">
        <v>1358</v>
      </c>
    </row>
    <row r="313" spans="1:8">
      <c r="A313" s="19">
        <v>37</v>
      </c>
      <c r="B313" s="19" t="s">
        <v>353</v>
      </c>
      <c r="C313" s="19" t="s">
        <v>451</v>
      </c>
      <c r="D313" s="19" t="s">
        <v>253</v>
      </c>
      <c r="E313" s="19" t="s">
        <v>452</v>
      </c>
      <c r="F313" s="19" t="s">
        <v>1551</v>
      </c>
      <c r="G313" s="19" t="s">
        <v>238</v>
      </c>
      <c r="H313" s="19" t="s">
        <v>1358</v>
      </c>
    </row>
    <row r="314" spans="1:8">
      <c r="A314" s="19">
        <v>37</v>
      </c>
      <c r="B314" s="19" t="s">
        <v>353</v>
      </c>
      <c r="C314" s="19" t="s">
        <v>451</v>
      </c>
      <c r="D314" s="19" t="s">
        <v>914</v>
      </c>
      <c r="E314" s="19" t="s">
        <v>446</v>
      </c>
      <c r="F314" s="19" t="s">
        <v>446</v>
      </c>
      <c r="G314" s="19" t="s">
        <v>1552</v>
      </c>
      <c r="H314" s="19" t="s">
        <v>1358</v>
      </c>
    </row>
    <row r="315" spans="1:8">
      <c r="A315" s="19">
        <v>37</v>
      </c>
      <c r="B315" s="19" t="s">
        <v>353</v>
      </c>
      <c r="C315" s="19" t="s">
        <v>451</v>
      </c>
      <c r="D315" s="19" t="s">
        <v>1377</v>
      </c>
      <c r="E315" s="19">
        <v>45000000000</v>
      </c>
      <c r="F315" s="19">
        <v>45000000000</v>
      </c>
      <c r="G315" s="19" t="s">
        <v>1552</v>
      </c>
      <c r="H315" s="19" t="s">
        <v>1358</v>
      </c>
    </row>
    <row r="316" spans="1:8">
      <c r="A316" s="19">
        <v>38</v>
      </c>
      <c r="B316" s="19" t="s">
        <v>353</v>
      </c>
      <c r="C316" s="19" t="s">
        <v>456</v>
      </c>
      <c r="D316" s="19" t="s">
        <v>238</v>
      </c>
      <c r="E316" s="19" t="s">
        <v>455</v>
      </c>
      <c r="F316" s="19" t="s">
        <v>455</v>
      </c>
      <c r="G316" s="19" t="s">
        <v>1553</v>
      </c>
      <c r="H316" s="19" t="s">
        <v>1358</v>
      </c>
    </row>
    <row r="317" spans="1:8">
      <c r="A317" s="19">
        <v>38</v>
      </c>
      <c r="B317" s="19" t="s">
        <v>353</v>
      </c>
      <c r="C317" s="19" t="s">
        <v>456</v>
      </c>
      <c r="D317" s="19" t="s">
        <v>255</v>
      </c>
      <c r="E317" s="19">
        <v>2</v>
      </c>
      <c r="F317" s="19">
        <v>2</v>
      </c>
      <c r="G317" s="19" t="s">
        <v>1554</v>
      </c>
      <c r="H317" s="19" t="s">
        <v>1358</v>
      </c>
    </row>
    <row r="318" spans="1:8">
      <c r="A318" s="19">
        <v>38</v>
      </c>
      <c r="B318" s="19" t="s">
        <v>353</v>
      </c>
      <c r="C318" s="19" t="s">
        <v>456</v>
      </c>
      <c r="D318" s="19" t="s">
        <v>256</v>
      </c>
      <c r="E318" s="19" t="s">
        <v>299</v>
      </c>
      <c r="F318" s="19" t="s">
        <v>1460</v>
      </c>
      <c r="G318" s="19"/>
      <c r="H318" s="60" t="s">
        <v>1360</v>
      </c>
    </row>
    <row r="319" spans="1:8">
      <c r="A319" s="19">
        <v>38</v>
      </c>
      <c r="B319" s="19" t="s">
        <v>353</v>
      </c>
      <c r="C319" s="19" t="s">
        <v>456</v>
      </c>
      <c r="D319" s="19" t="s">
        <v>243</v>
      </c>
      <c r="E319" s="19">
        <v>15</v>
      </c>
      <c r="F319" s="19">
        <v>15</v>
      </c>
      <c r="G319" s="19" t="s">
        <v>1555</v>
      </c>
      <c r="H319" s="19" t="s">
        <v>1358</v>
      </c>
    </row>
    <row r="320" spans="1:8">
      <c r="A320" s="19">
        <v>38</v>
      </c>
      <c r="B320" s="19" t="s">
        <v>353</v>
      </c>
      <c r="C320" s="19" t="s">
        <v>456</v>
      </c>
      <c r="D320" s="19" t="s">
        <v>257</v>
      </c>
      <c r="E320" s="19">
        <v>6</v>
      </c>
      <c r="F320" s="19">
        <v>6</v>
      </c>
      <c r="G320" s="19" t="s">
        <v>1555</v>
      </c>
      <c r="H320" s="19" t="s">
        <v>1358</v>
      </c>
    </row>
    <row r="321" spans="1:8">
      <c r="A321" s="19">
        <v>38</v>
      </c>
      <c r="B321" s="19" t="s">
        <v>353</v>
      </c>
      <c r="C321" s="19" t="s">
        <v>456</v>
      </c>
      <c r="D321" s="19" t="s">
        <v>245</v>
      </c>
      <c r="E321" s="19">
        <v>2.5</v>
      </c>
      <c r="F321" s="19">
        <v>2.5</v>
      </c>
      <c r="G321" s="19" t="s">
        <v>1555</v>
      </c>
      <c r="H321" s="19" t="s">
        <v>1358</v>
      </c>
    </row>
    <row r="322" spans="1:8">
      <c r="A322" s="19">
        <v>38</v>
      </c>
      <c r="B322" s="19" t="s">
        <v>353</v>
      </c>
      <c r="C322" s="19" t="s">
        <v>456</v>
      </c>
      <c r="D322" s="19" t="s">
        <v>253</v>
      </c>
      <c r="E322" s="19" t="s">
        <v>297</v>
      </c>
      <c r="F322" s="19" t="s">
        <v>1460</v>
      </c>
      <c r="G322" s="19"/>
      <c r="H322" s="60" t="s">
        <v>1360</v>
      </c>
    </row>
    <row r="323" spans="1:8">
      <c r="A323" s="19">
        <v>38</v>
      </c>
      <c r="B323" s="19" t="s">
        <v>353</v>
      </c>
      <c r="C323" s="19" t="s">
        <v>456</v>
      </c>
      <c r="D323" s="19" t="s">
        <v>914</v>
      </c>
      <c r="E323" s="19" t="s">
        <v>446</v>
      </c>
      <c r="F323" s="19" t="s">
        <v>446</v>
      </c>
      <c r="G323" s="19" t="s">
        <v>1556</v>
      </c>
      <c r="H323" s="19" t="s">
        <v>1358</v>
      </c>
    </row>
    <row r="324" spans="1:8">
      <c r="A324" s="19">
        <v>38</v>
      </c>
      <c r="B324" s="19" t="s">
        <v>353</v>
      </c>
      <c r="C324" s="19" t="s">
        <v>456</v>
      </c>
      <c r="D324" s="19" t="s">
        <v>1377</v>
      </c>
      <c r="E324" s="19">
        <v>2000000000</v>
      </c>
      <c r="F324" s="19">
        <v>2000000000</v>
      </c>
      <c r="G324" s="19" t="s">
        <v>1556</v>
      </c>
      <c r="H324" s="19" t="s">
        <v>1358</v>
      </c>
    </row>
    <row r="325" spans="1:8">
      <c r="A325" s="19">
        <v>39</v>
      </c>
      <c r="B325" s="19" t="s">
        <v>353</v>
      </c>
      <c r="C325" s="19" t="s">
        <v>460</v>
      </c>
      <c r="D325" s="19" t="s">
        <v>238</v>
      </c>
      <c r="E325" s="19" t="s">
        <v>459</v>
      </c>
      <c r="F325" s="19" t="s">
        <v>459</v>
      </c>
      <c r="G325" s="19" t="s">
        <v>1557</v>
      </c>
      <c r="H325" s="19" t="s">
        <v>1358</v>
      </c>
    </row>
    <row r="326" spans="1:8">
      <c r="A326" s="19">
        <v>39</v>
      </c>
      <c r="B326" s="19" t="s">
        <v>353</v>
      </c>
      <c r="C326" s="19" t="s">
        <v>460</v>
      </c>
      <c r="D326" s="19" t="s">
        <v>255</v>
      </c>
      <c r="E326" s="19">
        <v>2</v>
      </c>
      <c r="F326" s="19">
        <v>2</v>
      </c>
      <c r="G326" s="19" t="s">
        <v>1558</v>
      </c>
      <c r="H326" s="19" t="s">
        <v>1358</v>
      </c>
    </row>
    <row r="327" spans="1:8">
      <c r="A327" s="19">
        <v>39</v>
      </c>
      <c r="B327" s="19" t="s">
        <v>353</v>
      </c>
      <c r="C327" s="19" t="s">
        <v>460</v>
      </c>
      <c r="D327" s="19" t="s">
        <v>256</v>
      </c>
      <c r="E327" s="19" t="s">
        <v>299</v>
      </c>
      <c r="F327" s="19" t="s">
        <v>1460</v>
      </c>
      <c r="G327" s="19"/>
      <c r="H327" s="60" t="s">
        <v>1360</v>
      </c>
    </row>
    <row r="328" spans="1:8">
      <c r="A328" s="19">
        <v>39</v>
      </c>
      <c r="B328" s="19" t="s">
        <v>353</v>
      </c>
      <c r="C328" s="19" t="s">
        <v>460</v>
      </c>
      <c r="D328" s="19" t="s">
        <v>243</v>
      </c>
      <c r="E328" s="19">
        <v>15</v>
      </c>
      <c r="F328" s="19">
        <v>15</v>
      </c>
      <c r="G328" s="19" t="s">
        <v>1559</v>
      </c>
      <c r="H328" s="19" t="s">
        <v>1358</v>
      </c>
    </row>
    <row r="329" spans="1:8">
      <c r="A329" s="19">
        <v>39</v>
      </c>
      <c r="B329" s="19" t="s">
        <v>353</v>
      </c>
      <c r="C329" s="19" t="s">
        <v>460</v>
      </c>
      <c r="D329" s="19" t="s">
        <v>257</v>
      </c>
      <c r="E329" s="19">
        <v>6</v>
      </c>
      <c r="F329" s="19">
        <v>6</v>
      </c>
      <c r="G329" s="19" t="s">
        <v>1559</v>
      </c>
      <c r="H329" s="19" t="s">
        <v>1358</v>
      </c>
    </row>
    <row r="330" spans="1:8">
      <c r="A330" s="19">
        <v>39</v>
      </c>
      <c r="B330" s="19" t="s">
        <v>353</v>
      </c>
      <c r="C330" s="19" t="s">
        <v>460</v>
      </c>
      <c r="D330" s="19" t="s">
        <v>245</v>
      </c>
      <c r="E330" s="19">
        <v>2.5</v>
      </c>
      <c r="F330" s="19">
        <v>2.5</v>
      </c>
      <c r="G330" s="19" t="s">
        <v>1559</v>
      </c>
      <c r="H330" s="19" t="s">
        <v>1358</v>
      </c>
    </row>
    <row r="331" spans="1:8">
      <c r="A331" s="19">
        <v>39</v>
      </c>
      <c r="B331" s="19" t="s">
        <v>353</v>
      </c>
      <c r="C331" s="19" t="s">
        <v>460</v>
      </c>
      <c r="D331" s="19" t="s">
        <v>253</v>
      </c>
      <c r="E331" s="19" t="s">
        <v>297</v>
      </c>
      <c r="F331" s="19" t="s">
        <v>1460</v>
      </c>
      <c r="G331" s="19"/>
      <c r="H331" s="60" t="s">
        <v>1360</v>
      </c>
    </row>
    <row r="332" spans="1:8">
      <c r="A332" s="19">
        <v>39</v>
      </c>
      <c r="B332" s="19" t="s">
        <v>353</v>
      </c>
      <c r="C332" s="19" t="s">
        <v>460</v>
      </c>
      <c r="D332" s="19" t="s">
        <v>914</v>
      </c>
      <c r="E332" s="19" t="s">
        <v>355</v>
      </c>
      <c r="F332" s="19" t="s">
        <v>355</v>
      </c>
      <c r="G332" s="19" t="s">
        <v>1560</v>
      </c>
      <c r="H332" s="19" t="s">
        <v>1358</v>
      </c>
    </row>
    <row r="333" spans="1:8">
      <c r="A333" s="19">
        <v>39</v>
      </c>
      <c r="B333" s="19" t="s">
        <v>353</v>
      </c>
      <c r="C333" s="19" t="s">
        <v>460</v>
      </c>
      <c r="D333" s="19" t="s">
        <v>1377</v>
      </c>
      <c r="E333" s="19">
        <v>17500</v>
      </c>
      <c r="F333" s="19">
        <v>17500</v>
      </c>
      <c r="G333" s="19" t="s">
        <v>1560</v>
      </c>
      <c r="H333" s="19" t="s">
        <v>1358</v>
      </c>
    </row>
    <row r="334" spans="1:8">
      <c r="A334" s="19">
        <v>40</v>
      </c>
      <c r="B334" s="19" t="s">
        <v>353</v>
      </c>
      <c r="C334" s="19" t="s">
        <v>464</v>
      </c>
      <c r="D334" s="19" t="s">
        <v>238</v>
      </c>
      <c r="E334" s="19" t="s">
        <v>463</v>
      </c>
      <c r="F334" s="19" t="s">
        <v>463</v>
      </c>
      <c r="G334" s="19" t="s">
        <v>1561</v>
      </c>
      <c r="H334" s="19" t="s">
        <v>1358</v>
      </c>
    </row>
    <row r="335" spans="1:8">
      <c r="A335" s="19">
        <v>40</v>
      </c>
      <c r="B335" s="19" t="s">
        <v>353</v>
      </c>
      <c r="C335" s="19" t="s">
        <v>464</v>
      </c>
      <c r="D335" s="19" t="s">
        <v>255</v>
      </c>
      <c r="E335" s="19">
        <v>1</v>
      </c>
      <c r="F335" s="19">
        <v>1</v>
      </c>
      <c r="G335" s="19" t="s">
        <v>1562</v>
      </c>
      <c r="H335" s="19" t="s">
        <v>1358</v>
      </c>
    </row>
    <row r="336" spans="1:8">
      <c r="A336" s="19">
        <v>40</v>
      </c>
      <c r="B336" s="19" t="s">
        <v>353</v>
      </c>
      <c r="C336" s="19" t="s">
        <v>464</v>
      </c>
      <c r="D336" s="19" t="s">
        <v>256</v>
      </c>
      <c r="E336" s="19" t="s">
        <v>299</v>
      </c>
      <c r="F336" s="19" t="s">
        <v>1460</v>
      </c>
      <c r="G336" s="19"/>
      <c r="H336" s="60" t="s">
        <v>1360</v>
      </c>
    </row>
    <row r="337" spans="1:8">
      <c r="A337" s="19">
        <v>40</v>
      </c>
      <c r="B337" s="19" t="s">
        <v>353</v>
      </c>
      <c r="C337" s="19" t="s">
        <v>464</v>
      </c>
      <c r="D337" s="19" t="s">
        <v>243</v>
      </c>
      <c r="E337" s="19">
        <v>30</v>
      </c>
      <c r="F337" s="19">
        <v>30</v>
      </c>
      <c r="G337" s="19" t="s">
        <v>1563</v>
      </c>
      <c r="H337" s="19" t="s">
        <v>1358</v>
      </c>
    </row>
    <row r="338" spans="1:8">
      <c r="A338" s="19">
        <v>40</v>
      </c>
      <c r="B338" s="19" t="s">
        <v>353</v>
      </c>
      <c r="C338" s="19" t="s">
        <v>464</v>
      </c>
      <c r="D338" s="19" t="s">
        <v>257</v>
      </c>
      <c r="E338" s="19">
        <v>3</v>
      </c>
      <c r="F338" s="19">
        <v>3</v>
      </c>
      <c r="G338" s="19" t="s">
        <v>1563</v>
      </c>
      <c r="H338" s="19" t="s">
        <v>1358</v>
      </c>
    </row>
    <row r="339" spans="1:8">
      <c r="A339" s="19">
        <v>40</v>
      </c>
      <c r="B339" s="19" t="s">
        <v>353</v>
      </c>
      <c r="C339" s="19" t="s">
        <v>464</v>
      </c>
      <c r="D339" s="19" t="s">
        <v>245</v>
      </c>
      <c r="E339" s="19">
        <v>2.5</v>
      </c>
      <c r="F339" s="19">
        <v>2.5</v>
      </c>
      <c r="G339" s="19" t="s">
        <v>1563</v>
      </c>
      <c r="H339" s="19" t="s">
        <v>1358</v>
      </c>
    </row>
    <row r="340" spans="1:8">
      <c r="A340" s="19">
        <v>40</v>
      </c>
      <c r="B340" s="19" t="s">
        <v>353</v>
      </c>
      <c r="C340" s="19" t="s">
        <v>464</v>
      </c>
      <c r="D340" s="19" t="s">
        <v>253</v>
      </c>
      <c r="E340" s="19" t="s">
        <v>297</v>
      </c>
      <c r="F340" s="19" t="s">
        <v>1460</v>
      </c>
      <c r="G340" s="19"/>
      <c r="H340" s="60" t="s">
        <v>1360</v>
      </c>
    </row>
    <row r="341" spans="1:8">
      <c r="A341" s="19">
        <v>40</v>
      </c>
      <c r="B341" s="19" t="s">
        <v>353</v>
      </c>
      <c r="C341" s="19" t="s">
        <v>464</v>
      </c>
      <c r="D341" s="19" t="s">
        <v>914</v>
      </c>
      <c r="E341" s="19" t="s">
        <v>355</v>
      </c>
      <c r="F341" s="19" t="s">
        <v>355</v>
      </c>
      <c r="G341" s="19" t="s">
        <v>1564</v>
      </c>
      <c r="H341" s="19" t="s">
        <v>1358</v>
      </c>
    </row>
    <row r="342" spans="1:8">
      <c r="A342" s="19">
        <v>40</v>
      </c>
      <c r="B342" s="19" t="s">
        <v>353</v>
      </c>
      <c r="C342" s="19" t="s">
        <v>464</v>
      </c>
      <c r="D342" s="19" t="s">
        <v>1377</v>
      </c>
      <c r="E342" s="19">
        <v>19500</v>
      </c>
      <c r="F342" s="19">
        <v>19500</v>
      </c>
      <c r="G342" s="19" t="s">
        <v>1564</v>
      </c>
      <c r="H342" s="19" t="s">
        <v>1358</v>
      </c>
    </row>
    <row r="343" spans="1:8">
      <c r="A343" s="19">
        <v>41</v>
      </c>
      <c r="B343" s="19" t="s">
        <v>468</v>
      </c>
      <c r="C343" s="19" t="s">
        <v>469</v>
      </c>
      <c r="D343" s="19" t="s">
        <v>238</v>
      </c>
      <c r="E343" s="19" t="s">
        <v>467</v>
      </c>
      <c r="F343" s="19" t="s">
        <v>467</v>
      </c>
      <c r="G343" s="19" t="s">
        <v>1565</v>
      </c>
      <c r="H343" s="19" t="s">
        <v>1358</v>
      </c>
    </row>
    <row r="344" spans="1:8">
      <c r="A344" s="19">
        <v>41</v>
      </c>
      <c r="B344" s="19" t="s">
        <v>468</v>
      </c>
      <c r="C344" s="19" t="s">
        <v>469</v>
      </c>
      <c r="D344" s="19" t="s">
        <v>255</v>
      </c>
      <c r="E344" s="19">
        <v>3</v>
      </c>
      <c r="F344" s="19">
        <v>3</v>
      </c>
      <c r="G344" s="19" t="s">
        <v>1566</v>
      </c>
      <c r="H344" s="19" t="s">
        <v>1358</v>
      </c>
    </row>
    <row r="345" spans="1:8">
      <c r="A345" s="19">
        <v>41</v>
      </c>
      <c r="B345" s="19" t="s">
        <v>468</v>
      </c>
      <c r="C345" s="19" t="s">
        <v>469</v>
      </c>
      <c r="D345" s="19" t="s">
        <v>241</v>
      </c>
      <c r="E345" s="19" t="s">
        <v>128</v>
      </c>
      <c r="F345" s="19" t="s">
        <v>1567</v>
      </c>
      <c r="G345" s="19" t="s">
        <v>1568</v>
      </c>
      <c r="H345" s="19" t="s">
        <v>1358</v>
      </c>
    </row>
    <row r="346" spans="1:8">
      <c r="A346" s="19">
        <v>41</v>
      </c>
      <c r="B346" s="19" t="s">
        <v>468</v>
      </c>
      <c r="C346" s="19" t="s">
        <v>469</v>
      </c>
      <c r="D346" s="19" t="s">
        <v>256</v>
      </c>
      <c r="E346" s="19" t="s">
        <v>299</v>
      </c>
      <c r="F346" s="19" t="s">
        <v>1567</v>
      </c>
      <c r="G346" s="19" t="s">
        <v>1568</v>
      </c>
      <c r="H346" s="19" t="s">
        <v>1358</v>
      </c>
    </row>
    <row r="347" spans="1:8">
      <c r="A347" s="19">
        <v>41</v>
      </c>
      <c r="B347" s="19" t="s">
        <v>468</v>
      </c>
      <c r="C347" s="19" t="s">
        <v>469</v>
      </c>
      <c r="D347" s="19" t="s">
        <v>871</v>
      </c>
      <c r="E347" s="19" t="s">
        <v>107</v>
      </c>
      <c r="F347" s="19" t="s">
        <v>1569</v>
      </c>
      <c r="G347" s="19" t="s">
        <v>1570</v>
      </c>
      <c r="H347" s="19" t="s">
        <v>1358</v>
      </c>
    </row>
    <row r="348" spans="1:8">
      <c r="A348" s="19">
        <v>41</v>
      </c>
      <c r="B348" s="19" t="s">
        <v>468</v>
      </c>
      <c r="C348" s="19" t="s">
        <v>469</v>
      </c>
      <c r="D348" s="19" t="s">
        <v>243</v>
      </c>
      <c r="E348" s="19">
        <v>354</v>
      </c>
      <c r="F348" s="19">
        <v>354</v>
      </c>
      <c r="G348" s="19" t="s">
        <v>1571</v>
      </c>
      <c r="H348" s="19" t="s">
        <v>1358</v>
      </c>
    </row>
    <row r="349" spans="1:8">
      <c r="A349" s="19">
        <v>41</v>
      </c>
      <c r="B349" s="19" t="s">
        <v>468</v>
      </c>
      <c r="C349" s="19" t="s">
        <v>469</v>
      </c>
      <c r="D349" s="19" t="s">
        <v>244</v>
      </c>
      <c r="E349" s="19">
        <v>31.2</v>
      </c>
      <c r="F349" s="19">
        <v>31.2</v>
      </c>
      <c r="G349" s="19" t="s">
        <v>1572</v>
      </c>
      <c r="H349" s="19" t="s">
        <v>1358</v>
      </c>
    </row>
    <row r="350" spans="1:8">
      <c r="A350" s="19">
        <v>41</v>
      </c>
      <c r="B350" s="19" t="s">
        <v>468</v>
      </c>
      <c r="C350" s="19" t="s">
        <v>469</v>
      </c>
      <c r="D350" s="19" t="s">
        <v>257</v>
      </c>
      <c r="E350" s="19">
        <v>4</v>
      </c>
      <c r="F350" s="19">
        <v>4</v>
      </c>
      <c r="G350" s="19" t="s">
        <v>1573</v>
      </c>
      <c r="H350" s="19" t="s">
        <v>1358</v>
      </c>
    </row>
    <row r="351" spans="1:8">
      <c r="A351" s="19">
        <v>41</v>
      </c>
      <c r="B351" s="19" t="s">
        <v>468</v>
      </c>
      <c r="C351" s="19" t="s">
        <v>469</v>
      </c>
      <c r="D351" s="19" t="s">
        <v>1198</v>
      </c>
      <c r="E351" s="19" t="s">
        <v>305</v>
      </c>
      <c r="F351" s="19" t="s">
        <v>1574</v>
      </c>
      <c r="G351" s="19"/>
      <c r="H351" s="60" t="s">
        <v>1360</v>
      </c>
    </row>
    <row r="352" spans="1:8">
      <c r="A352" s="19">
        <v>41</v>
      </c>
      <c r="B352" s="19" t="s">
        <v>468</v>
      </c>
      <c r="C352" s="19" t="s">
        <v>469</v>
      </c>
      <c r="D352" s="19" t="s">
        <v>1575</v>
      </c>
      <c r="E352" s="19" t="s">
        <v>1576</v>
      </c>
      <c r="F352" s="19" t="s">
        <v>1577</v>
      </c>
      <c r="G352" s="19" t="s">
        <v>1578</v>
      </c>
      <c r="H352" s="19" t="s">
        <v>1358</v>
      </c>
    </row>
    <row r="353" spans="1:8">
      <c r="A353" s="19">
        <v>41</v>
      </c>
      <c r="B353" s="19" t="s">
        <v>468</v>
      </c>
      <c r="C353" s="19" t="s">
        <v>469</v>
      </c>
      <c r="D353" s="19" t="s">
        <v>253</v>
      </c>
      <c r="E353" s="19" t="s">
        <v>297</v>
      </c>
      <c r="F353" s="19" t="s">
        <v>1460</v>
      </c>
      <c r="G353" s="19"/>
      <c r="H353" s="60" t="s">
        <v>1360</v>
      </c>
    </row>
    <row r="354" spans="1:8">
      <c r="A354" s="19">
        <v>41</v>
      </c>
      <c r="B354" s="19" t="s">
        <v>468</v>
      </c>
      <c r="C354" s="19" t="s">
        <v>469</v>
      </c>
      <c r="D354" s="19" t="s">
        <v>914</v>
      </c>
      <c r="E354" s="19" t="s">
        <v>355</v>
      </c>
      <c r="F354" s="19" t="s">
        <v>355</v>
      </c>
      <c r="G354" s="19" t="s">
        <v>1579</v>
      </c>
      <c r="H354" s="19" t="s">
        <v>1358</v>
      </c>
    </row>
    <row r="355" spans="1:8">
      <c r="A355" s="19">
        <v>41</v>
      </c>
      <c r="B355" s="19" t="s">
        <v>468</v>
      </c>
      <c r="C355" s="19" t="s">
        <v>469</v>
      </c>
      <c r="D355" s="19" t="s">
        <v>1377</v>
      </c>
      <c r="E355" s="19">
        <v>55000</v>
      </c>
      <c r="F355" s="19">
        <v>55000</v>
      </c>
      <c r="G355" s="19" t="s">
        <v>1579</v>
      </c>
      <c r="H355" s="19" t="s">
        <v>1358</v>
      </c>
    </row>
    <row r="356" spans="1:8">
      <c r="A356" s="19">
        <v>42</v>
      </c>
      <c r="B356" s="19" t="s">
        <v>468</v>
      </c>
      <c r="C356" s="19" t="s">
        <v>478</v>
      </c>
      <c r="D356" s="19" t="s">
        <v>238</v>
      </c>
      <c r="E356" s="19" t="s">
        <v>477</v>
      </c>
      <c r="F356" s="19" t="s">
        <v>477</v>
      </c>
      <c r="G356" s="19" t="s">
        <v>1580</v>
      </c>
      <c r="H356" s="19" t="s">
        <v>1358</v>
      </c>
    </row>
    <row r="357" spans="1:8">
      <c r="A357" s="19">
        <v>42</v>
      </c>
      <c r="B357" s="19" t="s">
        <v>468</v>
      </c>
      <c r="C357" s="19" t="s">
        <v>478</v>
      </c>
      <c r="D357" s="19" t="s">
        <v>255</v>
      </c>
      <c r="E357" s="19">
        <v>3</v>
      </c>
      <c r="F357" s="19">
        <v>3</v>
      </c>
      <c r="G357" s="19" t="s">
        <v>1581</v>
      </c>
      <c r="H357" s="19" t="s">
        <v>1358</v>
      </c>
    </row>
    <row r="358" spans="1:8">
      <c r="A358" s="19">
        <v>42</v>
      </c>
      <c r="B358" s="19" t="s">
        <v>468</v>
      </c>
      <c r="C358" s="19" t="s">
        <v>478</v>
      </c>
      <c r="D358" s="19" t="s">
        <v>241</v>
      </c>
      <c r="E358" s="19" t="s">
        <v>128</v>
      </c>
      <c r="F358" s="19" t="s">
        <v>1567</v>
      </c>
      <c r="G358" s="19" t="s">
        <v>1582</v>
      </c>
      <c r="H358" s="19" t="s">
        <v>1358</v>
      </c>
    </row>
    <row r="359" spans="1:8">
      <c r="A359" s="19">
        <v>42</v>
      </c>
      <c r="B359" s="19" t="s">
        <v>468</v>
      </c>
      <c r="C359" s="19" t="s">
        <v>478</v>
      </c>
      <c r="D359" s="19" t="s">
        <v>256</v>
      </c>
      <c r="E359" s="19" t="s">
        <v>299</v>
      </c>
      <c r="F359" s="19" t="s">
        <v>1567</v>
      </c>
      <c r="G359" s="19" t="s">
        <v>1582</v>
      </c>
      <c r="H359" s="19" t="s">
        <v>1358</v>
      </c>
    </row>
    <row r="360" spans="1:8">
      <c r="A360" s="19">
        <v>42</v>
      </c>
      <c r="B360" s="19" t="s">
        <v>468</v>
      </c>
      <c r="C360" s="19" t="s">
        <v>478</v>
      </c>
      <c r="D360" s="19" t="s">
        <v>871</v>
      </c>
      <c r="E360" s="19" t="s">
        <v>107</v>
      </c>
      <c r="F360" s="19" t="s">
        <v>1569</v>
      </c>
      <c r="G360" s="19" t="s">
        <v>1583</v>
      </c>
      <c r="H360" s="19" t="s">
        <v>1358</v>
      </c>
    </row>
    <row r="361" spans="1:8">
      <c r="A361" s="19">
        <v>42</v>
      </c>
      <c r="B361" s="19" t="s">
        <v>468</v>
      </c>
      <c r="C361" s="19" t="s">
        <v>478</v>
      </c>
      <c r="D361" s="19" t="s">
        <v>243</v>
      </c>
      <c r="E361" s="19">
        <v>255</v>
      </c>
      <c r="F361" s="19">
        <v>255</v>
      </c>
      <c r="G361" s="19" t="s">
        <v>1584</v>
      </c>
      <c r="H361" s="19" t="s">
        <v>1358</v>
      </c>
    </row>
    <row r="362" spans="1:8">
      <c r="A362" s="19">
        <v>42</v>
      </c>
      <c r="B362" s="19" t="s">
        <v>468</v>
      </c>
      <c r="C362" s="19" t="s">
        <v>478</v>
      </c>
      <c r="D362" s="19" t="s">
        <v>244</v>
      </c>
      <c r="E362" s="19">
        <v>170</v>
      </c>
      <c r="F362" s="19">
        <v>170</v>
      </c>
      <c r="G362" s="19" t="s">
        <v>1585</v>
      </c>
      <c r="H362" s="19" t="s">
        <v>1358</v>
      </c>
    </row>
    <row r="363" spans="1:8">
      <c r="A363" s="19">
        <v>42</v>
      </c>
      <c r="B363" s="19" t="s">
        <v>468</v>
      </c>
      <c r="C363" s="19" t="s">
        <v>478</v>
      </c>
      <c r="D363" s="19" t="s">
        <v>257</v>
      </c>
      <c r="E363" s="19">
        <v>17.2</v>
      </c>
      <c r="F363" s="19">
        <v>17.2</v>
      </c>
      <c r="G363" s="19" t="s">
        <v>1586</v>
      </c>
      <c r="H363" s="19" t="s">
        <v>1358</v>
      </c>
    </row>
    <row r="364" spans="1:8">
      <c r="A364" s="19">
        <v>42</v>
      </c>
      <c r="B364" s="19" t="s">
        <v>468</v>
      </c>
      <c r="C364" s="19" t="s">
        <v>478</v>
      </c>
      <c r="D364" s="19" t="s">
        <v>1198</v>
      </c>
      <c r="E364" s="19" t="s">
        <v>305</v>
      </c>
      <c r="F364" s="19" t="s">
        <v>1574</v>
      </c>
      <c r="G364" s="19"/>
      <c r="H364" s="60" t="s">
        <v>1360</v>
      </c>
    </row>
    <row r="365" spans="1:8">
      <c r="A365" s="19">
        <v>42</v>
      </c>
      <c r="B365" s="19" t="s">
        <v>468</v>
      </c>
      <c r="C365" s="19" t="s">
        <v>478</v>
      </c>
      <c r="D365" s="19" t="s">
        <v>1575</v>
      </c>
      <c r="E365" s="19" t="s">
        <v>1576</v>
      </c>
      <c r="F365" s="19" t="s">
        <v>1577</v>
      </c>
      <c r="G365" s="19" t="s">
        <v>1587</v>
      </c>
      <c r="H365" s="19" t="s">
        <v>1358</v>
      </c>
    </row>
    <row r="366" spans="1:8">
      <c r="A366" s="19">
        <v>42</v>
      </c>
      <c r="B366" s="19" t="s">
        <v>468</v>
      </c>
      <c r="C366" s="19" t="s">
        <v>478</v>
      </c>
      <c r="D366" s="19" t="s">
        <v>253</v>
      </c>
      <c r="E366" s="19" t="s">
        <v>297</v>
      </c>
      <c r="F366" s="19" t="s">
        <v>1460</v>
      </c>
      <c r="G366" s="19"/>
      <c r="H366" s="60" t="s">
        <v>1360</v>
      </c>
    </row>
    <row r="367" spans="1:8">
      <c r="A367" s="19">
        <v>42</v>
      </c>
      <c r="B367" s="19" t="s">
        <v>468</v>
      </c>
      <c r="C367" s="19" t="s">
        <v>478</v>
      </c>
      <c r="D367" s="19" t="s">
        <v>914</v>
      </c>
      <c r="E367" s="19" t="s">
        <v>355</v>
      </c>
      <c r="F367" s="19" t="s">
        <v>355</v>
      </c>
      <c r="G367" s="19" t="s">
        <v>1588</v>
      </c>
      <c r="H367" s="19" t="s">
        <v>1358</v>
      </c>
    </row>
    <row r="368" spans="1:8">
      <c r="A368" s="19">
        <v>42</v>
      </c>
      <c r="B368" s="19" t="s">
        <v>468</v>
      </c>
      <c r="C368" s="19" t="s">
        <v>478</v>
      </c>
      <c r="D368" s="19" t="s">
        <v>1377</v>
      </c>
      <c r="E368" s="19">
        <v>60000</v>
      </c>
      <c r="F368" s="19">
        <v>60000</v>
      </c>
      <c r="G368" s="19" t="s">
        <v>1588</v>
      </c>
      <c r="H368" s="19" t="s">
        <v>1358</v>
      </c>
    </row>
    <row r="369" spans="1:8">
      <c r="A369" s="19">
        <v>43</v>
      </c>
      <c r="B369" s="19" t="s">
        <v>468</v>
      </c>
      <c r="C369" s="19" t="s">
        <v>482</v>
      </c>
      <c r="D369" s="19" t="s">
        <v>238</v>
      </c>
      <c r="E369" s="19" t="s">
        <v>481</v>
      </c>
      <c r="F369" s="19" t="s">
        <v>481</v>
      </c>
      <c r="G369" s="19" t="s">
        <v>1589</v>
      </c>
      <c r="H369" s="19" t="s">
        <v>1358</v>
      </c>
    </row>
    <row r="370" spans="1:8">
      <c r="A370" s="19">
        <v>43</v>
      </c>
      <c r="B370" s="19" t="s">
        <v>468</v>
      </c>
      <c r="C370" s="19" t="s">
        <v>482</v>
      </c>
      <c r="D370" s="19" t="s">
        <v>255</v>
      </c>
      <c r="E370" s="19">
        <v>2</v>
      </c>
      <c r="F370" s="19">
        <v>2</v>
      </c>
      <c r="G370" s="19" t="s">
        <v>1590</v>
      </c>
      <c r="H370" s="19" t="s">
        <v>1358</v>
      </c>
    </row>
    <row r="371" spans="1:8">
      <c r="A371" s="19">
        <v>43</v>
      </c>
      <c r="B371" s="19" t="s">
        <v>468</v>
      </c>
      <c r="C371" s="19" t="s">
        <v>482</v>
      </c>
      <c r="D371" s="19" t="s">
        <v>256</v>
      </c>
      <c r="E371" s="19" t="s">
        <v>485</v>
      </c>
      <c r="F371" s="19" t="s">
        <v>1591</v>
      </c>
      <c r="G371" s="19" t="s">
        <v>1592</v>
      </c>
      <c r="H371" s="19" t="s">
        <v>1358</v>
      </c>
    </row>
    <row r="372" spans="1:8">
      <c r="A372" s="19">
        <v>43</v>
      </c>
      <c r="B372" s="19" t="s">
        <v>468</v>
      </c>
      <c r="C372" s="19" t="s">
        <v>482</v>
      </c>
      <c r="D372" s="19" t="s">
        <v>871</v>
      </c>
      <c r="E372" s="19" t="s">
        <v>107</v>
      </c>
      <c r="F372" s="19" t="s">
        <v>1569</v>
      </c>
      <c r="G372" s="19" t="s">
        <v>1593</v>
      </c>
      <c r="H372" s="19" t="s">
        <v>1358</v>
      </c>
    </row>
    <row r="373" spans="1:8">
      <c r="A373" s="19">
        <v>43</v>
      </c>
      <c r="B373" s="19" t="s">
        <v>468</v>
      </c>
      <c r="C373" s="19" t="s">
        <v>482</v>
      </c>
      <c r="D373" s="19" t="s">
        <v>243</v>
      </c>
      <c r="E373" s="19">
        <v>5</v>
      </c>
      <c r="F373" s="19">
        <v>5</v>
      </c>
      <c r="G373" s="19" t="s">
        <v>1594</v>
      </c>
      <c r="H373" s="19" t="s">
        <v>1358</v>
      </c>
    </row>
    <row r="374" spans="1:8">
      <c r="A374" s="19">
        <v>43</v>
      </c>
      <c r="B374" s="19" t="s">
        <v>468</v>
      </c>
      <c r="C374" s="19" t="s">
        <v>482</v>
      </c>
      <c r="D374" s="19" t="s">
        <v>257</v>
      </c>
      <c r="E374" s="19">
        <v>5.3</v>
      </c>
      <c r="F374" s="19">
        <v>5.3</v>
      </c>
      <c r="G374" s="19" t="s">
        <v>1595</v>
      </c>
      <c r="H374" s="19" t="s">
        <v>1358</v>
      </c>
    </row>
    <row r="375" spans="1:8">
      <c r="A375" s="19">
        <v>43</v>
      </c>
      <c r="B375" s="19" t="s">
        <v>468</v>
      </c>
      <c r="C375" s="19" t="s">
        <v>482</v>
      </c>
      <c r="D375" s="19" t="s">
        <v>1198</v>
      </c>
      <c r="E375" s="19" t="s">
        <v>305</v>
      </c>
      <c r="F375" s="19" t="s">
        <v>1574</v>
      </c>
      <c r="G375" s="19"/>
      <c r="H375" s="60" t="s">
        <v>1360</v>
      </c>
    </row>
    <row r="376" spans="1:8">
      <c r="A376" s="19">
        <v>43</v>
      </c>
      <c r="B376" s="19" t="s">
        <v>468</v>
      </c>
      <c r="C376" s="19" t="s">
        <v>482</v>
      </c>
      <c r="D376" s="19" t="s">
        <v>1575</v>
      </c>
      <c r="E376" s="19" t="s">
        <v>1596</v>
      </c>
      <c r="F376" s="19" t="s">
        <v>1597</v>
      </c>
      <c r="G376" s="19" t="s">
        <v>1598</v>
      </c>
      <c r="H376" s="19" t="s">
        <v>1358</v>
      </c>
    </row>
    <row r="377" spans="1:8">
      <c r="A377" s="19">
        <v>43</v>
      </c>
      <c r="B377" s="19" t="s">
        <v>468</v>
      </c>
      <c r="C377" s="19" t="s">
        <v>482</v>
      </c>
      <c r="D377" s="19" t="s">
        <v>253</v>
      </c>
      <c r="E377" s="19" t="s">
        <v>297</v>
      </c>
      <c r="F377" s="19" t="s">
        <v>1460</v>
      </c>
      <c r="G377" s="19"/>
      <c r="H377" s="60" t="s">
        <v>1360</v>
      </c>
    </row>
    <row r="378" spans="1:8">
      <c r="A378" s="19">
        <v>43</v>
      </c>
      <c r="B378" s="19" t="s">
        <v>468</v>
      </c>
      <c r="C378" s="19" t="s">
        <v>482</v>
      </c>
      <c r="D378" s="19" t="s">
        <v>914</v>
      </c>
      <c r="E378" s="19" t="s">
        <v>355</v>
      </c>
      <c r="F378" s="19" t="s">
        <v>355</v>
      </c>
      <c r="G378" s="19" t="s">
        <v>1599</v>
      </c>
      <c r="H378" s="19" t="s">
        <v>1358</v>
      </c>
    </row>
    <row r="379" spans="1:8">
      <c r="A379" s="19">
        <v>43</v>
      </c>
      <c r="B379" s="19" t="s">
        <v>468</v>
      </c>
      <c r="C379" s="19" t="s">
        <v>482</v>
      </c>
      <c r="D379" s="19" t="s">
        <v>1377</v>
      </c>
      <c r="E379" s="19">
        <v>10000</v>
      </c>
      <c r="F379" s="19">
        <v>10000</v>
      </c>
      <c r="G379" s="19" t="s">
        <v>1599</v>
      </c>
      <c r="H379" s="19" t="s">
        <v>1358</v>
      </c>
    </row>
    <row r="380" spans="1:8">
      <c r="A380" s="19">
        <v>44</v>
      </c>
      <c r="B380" s="19" t="s">
        <v>468</v>
      </c>
      <c r="C380" s="19" t="s">
        <v>489</v>
      </c>
      <c r="D380" s="19" t="s">
        <v>238</v>
      </c>
      <c r="E380" s="19" t="s">
        <v>488</v>
      </c>
      <c r="F380" s="19" t="s">
        <v>488</v>
      </c>
      <c r="G380" s="19" t="s">
        <v>1600</v>
      </c>
      <c r="H380" s="19" t="s">
        <v>1358</v>
      </c>
    </row>
    <row r="381" spans="1:8">
      <c r="A381" s="19">
        <v>44</v>
      </c>
      <c r="B381" s="19" t="s">
        <v>468</v>
      </c>
      <c r="C381" s="19" t="s">
        <v>489</v>
      </c>
      <c r="D381" s="19" t="s">
        <v>255</v>
      </c>
      <c r="E381" s="19">
        <v>2</v>
      </c>
      <c r="F381" s="19">
        <v>2</v>
      </c>
      <c r="G381" s="19" t="s">
        <v>1601</v>
      </c>
      <c r="H381" s="19" t="s">
        <v>1358</v>
      </c>
    </row>
    <row r="382" spans="1:8">
      <c r="A382" s="19">
        <v>44</v>
      </c>
      <c r="B382" s="19" t="s">
        <v>468</v>
      </c>
      <c r="C382" s="19" t="s">
        <v>489</v>
      </c>
      <c r="D382" s="19" t="s">
        <v>241</v>
      </c>
      <c r="E382" s="19" t="s">
        <v>128</v>
      </c>
      <c r="F382" s="19" t="s">
        <v>1567</v>
      </c>
      <c r="G382" s="19" t="s">
        <v>1602</v>
      </c>
      <c r="H382" s="19" t="s">
        <v>1358</v>
      </c>
    </row>
    <row r="383" spans="1:8">
      <c r="A383" s="19">
        <v>44</v>
      </c>
      <c r="B383" s="19" t="s">
        <v>468</v>
      </c>
      <c r="C383" s="19" t="s">
        <v>489</v>
      </c>
      <c r="D383" s="19" t="s">
        <v>256</v>
      </c>
      <c r="E383" s="19" t="s">
        <v>299</v>
      </c>
      <c r="F383" s="19" t="s">
        <v>1567</v>
      </c>
      <c r="G383" s="19" t="s">
        <v>1602</v>
      </c>
      <c r="H383" s="19" t="s">
        <v>1358</v>
      </c>
    </row>
    <row r="384" spans="1:8">
      <c r="A384" s="19">
        <v>44</v>
      </c>
      <c r="B384" s="19" t="s">
        <v>468</v>
      </c>
      <c r="C384" s="19" t="s">
        <v>489</v>
      </c>
      <c r="D384" s="19" t="s">
        <v>871</v>
      </c>
      <c r="E384" s="19" t="s">
        <v>111</v>
      </c>
      <c r="F384" s="19" t="s">
        <v>1603</v>
      </c>
      <c r="G384" s="19" t="s">
        <v>1604</v>
      </c>
      <c r="H384" s="19" t="s">
        <v>1358</v>
      </c>
    </row>
    <row r="385" spans="1:8">
      <c r="A385" s="19">
        <v>44</v>
      </c>
      <c r="B385" s="19" t="s">
        <v>468</v>
      </c>
      <c r="C385" s="19" t="s">
        <v>489</v>
      </c>
      <c r="D385" s="19" t="s">
        <v>243</v>
      </c>
      <c r="E385" s="19">
        <v>21</v>
      </c>
      <c r="F385" s="19">
        <v>21</v>
      </c>
      <c r="G385" s="19" t="s">
        <v>1605</v>
      </c>
      <c r="H385" s="19" t="s">
        <v>1358</v>
      </c>
    </row>
    <row r="386" spans="1:8">
      <c r="A386" s="19">
        <v>44</v>
      </c>
      <c r="B386" s="19" t="s">
        <v>468</v>
      </c>
      <c r="C386" s="19" t="s">
        <v>489</v>
      </c>
      <c r="D386" s="19" t="s">
        <v>244</v>
      </c>
      <c r="E386" s="19">
        <v>27.6</v>
      </c>
      <c r="F386" s="19">
        <v>27.6</v>
      </c>
      <c r="G386" s="19" t="s">
        <v>1606</v>
      </c>
      <c r="H386" s="19" t="s">
        <v>1358</v>
      </c>
    </row>
    <row r="387" spans="1:8">
      <c r="A387" s="19">
        <v>44</v>
      </c>
      <c r="B387" s="19" t="s">
        <v>468</v>
      </c>
      <c r="C387" s="19" t="s">
        <v>489</v>
      </c>
      <c r="D387" s="19" t="s">
        <v>257</v>
      </c>
      <c r="E387" s="19">
        <v>4</v>
      </c>
      <c r="F387" s="19">
        <v>4</v>
      </c>
      <c r="G387" s="19" t="s">
        <v>1607</v>
      </c>
      <c r="H387" s="19" t="s">
        <v>1358</v>
      </c>
    </row>
    <row r="388" spans="1:8">
      <c r="A388" s="19">
        <v>44</v>
      </c>
      <c r="B388" s="19" t="s">
        <v>468</v>
      </c>
      <c r="C388" s="19" t="s">
        <v>489</v>
      </c>
      <c r="D388" s="19" t="s">
        <v>1198</v>
      </c>
      <c r="E388" s="19" t="s">
        <v>305</v>
      </c>
      <c r="F388" s="19" t="s">
        <v>1574</v>
      </c>
      <c r="G388" s="19"/>
      <c r="H388" s="60" t="s">
        <v>1360</v>
      </c>
    </row>
    <row r="389" spans="1:8">
      <c r="A389" s="19">
        <v>44</v>
      </c>
      <c r="B389" s="19" t="s">
        <v>468</v>
      </c>
      <c r="C389" s="19" t="s">
        <v>489</v>
      </c>
      <c r="D389" s="19" t="s">
        <v>1575</v>
      </c>
      <c r="E389" s="19" t="s">
        <v>1576</v>
      </c>
      <c r="F389" s="19" t="s">
        <v>1577</v>
      </c>
      <c r="G389" s="19" t="s">
        <v>1608</v>
      </c>
      <c r="H389" s="19" t="s">
        <v>1358</v>
      </c>
    </row>
    <row r="390" spans="1:8">
      <c r="A390" s="19">
        <v>44</v>
      </c>
      <c r="B390" s="19" t="s">
        <v>468</v>
      </c>
      <c r="C390" s="19" t="s">
        <v>489</v>
      </c>
      <c r="D390" s="19" t="s">
        <v>253</v>
      </c>
      <c r="E390" s="19" t="s">
        <v>297</v>
      </c>
      <c r="F390" s="19" t="s">
        <v>1460</v>
      </c>
      <c r="G390" s="19"/>
      <c r="H390" s="60" t="s">
        <v>1360</v>
      </c>
    </row>
    <row r="391" spans="1:8">
      <c r="A391" s="19">
        <v>44</v>
      </c>
      <c r="B391" s="19" t="s">
        <v>468</v>
      </c>
      <c r="C391" s="19" t="s">
        <v>489</v>
      </c>
      <c r="D391" s="19" t="s">
        <v>914</v>
      </c>
      <c r="E391" s="19" t="s">
        <v>355</v>
      </c>
      <c r="F391" s="19" t="s">
        <v>355</v>
      </c>
      <c r="G391" s="19" t="s">
        <v>1609</v>
      </c>
      <c r="H391" s="19" t="s">
        <v>1358</v>
      </c>
    </row>
    <row r="392" spans="1:8">
      <c r="A392" s="19">
        <v>44</v>
      </c>
      <c r="B392" s="19" t="s">
        <v>468</v>
      </c>
      <c r="C392" s="19" t="s">
        <v>489</v>
      </c>
      <c r="D392" s="19" t="s">
        <v>1377</v>
      </c>
      <c r="E392" s="19">
        <v>30000</v>
      </c>
      <c r="F392" s="19">
        <v>30000</v>
      </c>
      <c r="G392" s="19" t="s">
        <v>1609</v>
      </c>
      <c r="H392" s="19" t="s">
        <v>1358</v>
      </c>
    </row>
    <row r="393" spans="1:8">
      <c r="A393" s="19">
        <v>45</v>
      </c>
      <c r="B393" s="19" t="s">
        <v>468</v>
      </c>
      <c r="C393" s="19" t="s">
        <v>493</v>
      </c>
      <c r="D393" s="19" t="s">
        <v>238</v>
      </c>
      <c r="E393" s="19" t="s">
        <v>492</v>
      </c>
      <c r="F393" s="19" t="s">
        <v>492</v>
      </c>
      <c r="G393" s="19" t="s">
        <v>1610</v>
      </c>
      <c r="H393" s="19" t="s">
        <v>1364</v>
      </c>
    </row>
    <row r="394" spans="1:8">
      <c r="A394" s="19">
        <v>45</v>
      </c>
      <c r="B394" s="19" t="s">
        <v>468</v>
      </c>
      <c r="C394" s="19" t="s">
        <v>493</v>
      </c>
      <c r="D394" s="19" t="s">
        <v>255</v>
      </c>
      <c r="E394" s="19">
        <v>2</v>
      </c>
      <c r="F394" s="19">
        <v>2</v>
      </c>
      <c r="G394" s="19" t="s">
        <v>1611</v>
      </c>
      <c r="H394" s="19" t="s">
        <v>1358</v>
      </c>
    </row>
    <row r="395" spans="1:8">
      <c r="A395" s="19">
        <v>45</v>
      </c>
      <c r="B395" s="19" t="s">
        <v>468</v>
      </c>
      <c r="C395" s="19" t="s">
        <v>493</v>
      </c>
      <c r="D395" s="19" t="s">
        <v>241</v>
      </c>
      <c r="E395" s="19" t="s">
        <v>149</v>
      </c>
      <c r="F395" s="19" t="s">
        <v>1612</v>
      </c>
      <c r="G395" s="19" t="s">
        <v>1613</v>
      </c>
      <c r="H395" s="19" t="s">
        <v>1358</v>
      </c>
    </row>
    <row r="396" spans="1:8">
      <c r="A396" s="19">
        <v>45</v>
      </c>
      <c r="B396" s="19" t="s">
        <v>468</v>
      </c>
      <c r="C396" s="19" t="s">
        <v>493</v>
      </c>
      <c r="D396" s="19" t="s">
        <v>256</v>
      </c>
      <c r="E396" s="19" t="s">
        <v>299</v>
      </c>
      <c r="F396" s="19" t="s">
        <v>1612</v>
      </c>
      <c r="G396" s="19" t="s">
        <v>1613</v>
      </c>
      <c r="H396" s="19" t="s">
        <v>1358</v>
      </c>
    </row>
    <row r="397" spans="1:8">
      <c r="A397" s="19">
        <v>45</v>
      </c>
      <c r="B397" s="19" t="s">
        <v>468</v>
      </c>
      <c r="C397" s="19" t="s">
        <v>493</v>
      </c>
      <c r="D397" s="19" t="s">
        <v>871</v>
      </c>
      <c r="E397" s="19" t="s">
        <v>111</v>
      </c>
      <c r="F397" s="19" t="s">
        <v>1603</v>
      </c>
      <c r="G397" s="19" t="s">
        <v>1614</v>
      </c>
      <c r="H397" s="19" t="s">
        <v>1358</v>
      </c>
    </row>
    <row r="398" spans="1:8">
      <c r="A398" s="19">
        <v>45</v>
      </c>
      <c r="B398" s="19" t="s">
        <v>468</v>
      </c>
      <c r="C398" s="19" t="s">
        <v>493</v>
      </c>
      <c r="D398" s="19" t="s">
        <v>243</v>
      </c>
      <c r="E398" s="19">
        <v>73</v>
      </c>
      <c r="F398" s="19">
        <v>73</v>
      </c>
      <c r="G398" s="19" t="s">
        <v>1615</v>
      </c>
      <c r="H398" s="19" t="s">
        <v>1358</v>
      </c>
    </row>
    <row r="399" spans="1:8">
      <c r="A399" s="19">
        <v>45</v>
      </c>
      <c r="B399" s="19" t="s">
        <v>468</v>
      </c>
      <c r="C399" s="19" t="s">
        <v>493</v>
      </c>
      <c r="D399" s="19" t="s">
        <v>244</v>
      </c>
      <c r="E399" s="19">
        <v>607.4</v>
      </c>
      <c r="F399" s="19">
        <v>607.4</v>
      </c>
      <c r="G399" s="19" t="s">
        <v>1616</v>
      </c>
      <c r="H399" s="19" t="s">
        <v>1358</v>
      </c>
    </row>
    <row r="400" spans="1:8">
      <c r="A400" s="19">
        <v>45</v>
      </c>
      <c r="B400" s="19" t="s">
        <v>468</v>
      </c>
      <c r="C400" s="19" t="s">
        <v>493</v>
      </c>
      <c r="D400" s="19" t="s">
        <v>257</v>
      </c>
      <c r="E400" s="19">
        <v>74.400000000000006</v>
      </c>
      <c r="F400" s="19">
        <v>74.400000000000006</v>
      </c>
      <c r="G400" s="19" t="s">
        <v>1617</v>
      </c>
      <c r="H400" s="19" t="s">
        <v>1358</v>
      </c>
    </row>
    <row r="401" spans="1:8">
      <c r="A401" s="19">
        <v>45</v>
      </c>
      <c r="B401" s="19" t="s">
        <v>468</v>
      </c>
      <c r="C401" s="19" t="s">
        <v>493</v>
      </c>
      <c r="D401" s="19" t="s">
        <v>1198</v>
      </c>
      <c r="E401" s="19" t="s">
        <v>305</v>
      </c>
      <c r="F401" s="19" t="s">
        <v>1574</v>
      </c>
      <c r="G401" s="19"/>
      <c r="H401" s="60" t="s">
        <v>1360</v>
      </c>
    </row>
    <row r="402" spans="1:8">
      <c r="A402" s="19">
        <v>45</v>
      </c>
      <c r="B402" s="19" t="s">
        <v>468</v>
      </c>
      <c r="C402" s="19" t="s">
        <v>493</v>
      </c>
      <c r="D402" s="19" t="s">
        <v>1575</v>
      </c>
      <c r="E402" s="19" t="s">
        <v>1576</v>
      </c>
      <c r="F402" s="19" t="s">
        <v>1577</v>
      </c>
      <c r="G402" s="19" t="s">
        <v>1618</v>
      </c>
      <c r="H402" s="19" t="s">
        <v>1358</v>
      </c>
    </row>
    <row r="403" spans="1:8">
      <c r="A403" s="19">
        <v>45</v>
      </c>
      <c r="B403" s="19" t="s">
        <v>468</v>
      </c>
      <c r="C403" s="19" t="s">
        <v>493</v>
      </c>
      <c r="D403" s="19" t="s">
        <v>253</v>
      </c>
      <c r="E403" s="19" t="s">
        <v>297</v>
      </c>
      <c r="F403" s="19" t="s">
        <v>1460</v>
      </c>
      <c r="G403" s="19"/>
      <c r="H403" s="60" t="s">
        <v>1360</v>
      </c>
    </row>
    <row r="404" spans="1:8">
      <c r="A404" s="19">
        <v>45</v>
      </c>
      <c r="B404" s="19" t="s">
        <v>468</v>
      </c>
      <c r="C404" s="19" t="s">
        <v>493</v>
      </c>
      <c r="D404" s="19" t="s">
        <v>914</v>
      </c>
      <c r="E404" s="19" t="s">
        <v>355</v>
      </c>
      <c r="F404" s="19" t="s">
        <v>355</v>
      </c>
      <c r="G404" s="19" t="s">
        <v>1619</v>
      </c>
      <c r="H404" s="19" t="s">
        <v>1358</v>
      </c>
    </row>
    <row r="405" spans="1:8">
      <c r="A405" s="19">
        <v>45</v>
      </c>
      <c r="B405" s="19" t="s">
        <v>468</v>
      </c>
      <c r="C405" s="19" t="s">
        <v>493</v>
      </c>
      <c r="D405" s="19" t="s">
        <v>1377</v>
      </c>
      <c r="E405" s="19">
        <v>210000</v>
      </c>
      <c r="F405" s="19">
        <v>210000</v>
      </c>
      <c r="G405" s="19" t="s">
        <v>1619</v>
      </c>
      <c r="H405" s="19" t="s">
        <v>1358</v>
      </c>
    </row>
    <row r="406" spans="1:8">
      <c r="A406" s="19">
        <v>46</v>
      </c>
      <c r="B406" s="19" t="s">
        <v>468</v>
      </c>
      <c r="C406" s="19" t="s">
        <v>497</v>
      </c>
      <c r="D406" s="19" t="s">
        <v>238</v>
      </c>
      <c r="E406" s="19" t="s">
        <v>496</v>
      </c>
      <c r="F406" s="19" t="s">
        <v>496</v>
      </c>
      <c r="G406" s="19" t="s">
        <v>1620</v>
      </c>
      <c r="H406" s="19" t="s">
        <v>1364</v>
      </c>
    </row>
    <row r="407" spans="1:8">
      <c r="A407" s="19">
        <v>46</v>
      </c>
      <c r="B407" s="19" t="s">
        <v>468</v>
      </c>
      <c r="C407" s="19" t="s">
        <v>497</v>
      </c>
      <c r="D407" s="19" t="s">
        <v>255</v>
      </c>
      <c r="E407" s="19">
        <v>2</v>
      </c>
      <c r="F407" s="19">
        <v>2</v>
      </c>
      <c r="G407" s="19" t="s">
        <v>1621</v>
      </c>
      <c r="H407" s="19" t="s">
        <v>1358</v>
      </c>
    </row>
    <row r="408" spans="1:8">
      <c r="A408" s="19">
        <v>46</v>
      </c>
      <c r="B408" s="19" t="s">
        <v>468</v>
      </c>
      <c r="C408" s="19" t="s">
        <v>497</v>
      </c>
      <c r="D408" s="19" t="s">
        <v>241</v>
      </c>
      <c r="E408" s="19" t="s">
        <v>149</v>
      </c>
      <c r="F408" s="19" t="s">
        <v>1612</v>
      </c>
      <c r="G408" s="19" t="s">
        <v>1622</v>
      </c>
      <c r="H408" s="19" t="s">
        <v>1358</v>
      </c>
    </row>
    <row r="409" spans="1:8">
      <c r="A409" s="19">
        <v>46</v>
      </c>
      <c r="B409" s="19" t="s">
        <v>468</v>
      </c>
      <c r="C409" s="19" t="s">
        <v>497</v>
      </c>
      <c r="D409" s="19" t="s">
        <v>256</v>
      </c>
      <c r="E409" s="19" t="s">
        <v>299</v>
      </c>
      <c r="F409" s="19" t="s">
        <v>1612</v>
      </c>
      <c r="G409" s="19" t="s">
        <v>1622</v>
      </c>
      <c r="H409" s="19" t="s">
        <v>1358</v>
      </c>
    </row>
    <row r="410" spans="1:8">
      <c r="A410" s="19">
        <v>46</v>
      </c>
      <c r="B410" s="19" t="s">
        <v>468</v>
      </c>
      <c r="C410" s="19" t="s">
        <v>497</v>
      </c>
      <c r="D410" s="19" t="s">
        <v>871</v>
      </c>
      <c r="E410" s="19" t="s">
        <v>111</v>
      </c>
      <c r="F410" s="19" t="s">
        <v>1603</v>
      </c>
      <c r="G410" s="19" t="s">
        <v>1623</v>
      </c>
      <c r="H410" s="19" t="s">
        <v>1358</v>
      </c>
    </row>
    <row r="411" spans="1:8">
      <c r="A411" s="19">
        <v>46</v>
      </c>
      <c r="B411" s="19" t="s">
        <v>468</v>
      </c>
      <c r="C411" s="19" t="s">
        <v>497</v>
      </c>
      <c r="D411" s="19" t="s">
        <v>243</v>
      </c>
      <c r="E411" s="19">
        <v>36</v>
      </c>
      <c r="F411" s="19">
        <v>36</v>
      </c>
      <c r="G411" s="19" t="s">
        <v>1624</v>
      </c>
      <c r="H411" s="19" t="s">
        <v>1358</v>
      </c>
    </row>
    <row r="412" spans="1:8">
      <c r="A412" s="19">
        <v>46</v>
      </c>
      <c r="B412" s="19" t="s">
        <v>468</v>
      </c>
      <c r="C412" s="19" t="s">
        <v>497</v>
      </c>
      <c r="D412" s="19" t="s">
        <v>244</v>
      </c>
      <c r="E412" s="19">
        <v>331</v>
      </c>
      <c r="F412" s="19">
        <v>331</v>
      </c>
      <c r="G412" s="19" t="s">
        <v>1625</v>
      </c>
      <c r="H412" s="19" t="s">
        <v>1358</v>
      </c>
    </row>
    <row r="413" spans="1:8">
      <c r="A413" s="19">
        <v>46</v>
      </c>
      <c r="B413" s="19" t="s">
        <v>468</v>
      </c>
      <c r="C413" s="19" t="s">
        <v>497</v>
      </c>
      <c r="D413" s="19" t="s">
        <v>257</v>
      </c>
      <c r="E413" s="19">
        <v>37.4</v>
      </c>
      <c r="F413" s="19">
        <v>37.4</v>
      </c>
      <c r="G413" s="19" t="s">
        <v>1626</v>
      </c>
      <c r="H413" s="19" t="s">
        <v>1358</v>
      </c>
    </row>
    <row r="414" spans="1:8">
      <c r="A414" s="19">
        <v>46</v>
      </c>
      <c r="B414" s="19" t="s">
        <v>468</v>
      </c>
      <c r="C414" s="19" t="s">
        <v>497</v>
      </c>
      <c r="D414" s="19" t="s">
        <v>1198</v>
      </c>
      <c r="E414" s="19" t="s">
        <v>305</v>
      </c>
      <c r="F414" s="19" t="s">
        <v>1574</v>
      </c>
      <c r="G414" s="19"/>
      <c r="H414" s="60" t="s">
        <v>1360</v>
      </c>
    </row>
    <row r="415" spans="1:8">
      <c r="A415" s="19">
        <v>46</v>
      </c>
      <c r="B415" s="19" t="s">
        <v>468</v>
      </c>
      <c r="C415" s="19" t="s">
        <v>497</v>
      </c>
      <c r="D415" s="19" t="s">
        <v>1575</v>
      </c>
      <c r="E415" s="19" t="s">
        <v>1576</v>
      </c>
      <c r="F415" s="19" t="s">
        <v>1577</v>
      </c>
      <c r="G415" s="19" t="s">
        <v>1627</v>
      </c>
      <c r="H415" s="19" t="s">
        <v>1358</v>
      </c>
    </row>
    <row r="416" spans="1:8">
      <c r="A416" s="19">
        <v>46</v>
      </c>
      <c r="B416" s="19" t="s">
        <v>468</v>
      </c>
      <c r="C416" s="19" t="s">
        <v>497</v>
      </c>
      <c r="D416" s="19" t="s">
        <v>253</v>
      </c>
      <c r="E416" s="19" t="s">
        <v>297</v>
      </c>
      <c r="F416" s="19" t="s">
        <v>1460</v>
      </c>
      <c r="G416" s="19"/>
      <c r="H416" s="60" t="s">
        <v>1360</v>
      </c>
    </row>
    <row r="417" spans="1:8">
      <c r="A417" s="19">
        <v>46</v>
      </c>
      <c r="B417" s="19" t="s">
        <v>468</v>
      </c>
      <c r="C417" s="19" t="s">
        <v>497</v>
      </c>
      <c r="D417" s="19" t="s">
        <v>914</v>
      </c>
      <c r="E417" s="19" t="s">
        <v>355</v>
      </c>
      <c r="F417" s="19" t="s">
        <v>355</v>
      </c>
      <c r="G417" s="19" t="s">
        <v>1628</v>
      </c>
      <c r="H417" s="19" t="s">
        <v>1358</v>
      </c>
    </row>
    <row r="418" spans="1:8">
      <c r="A418" s="19">
        <v>46</v>
      </c>
      <c r="B418" s="19" t="s">
        <v>468</v>
      </c>
      <c r="C418" s="19" t="s">
        <v>497</v>
      </c>
      <c r="D418" s="19" t="s">
        <v>1377</v>
      </c>
      <c r="E418" s="19">
        <v>150000</v>
      </c>
      <c r="F418" s="19">
        <v>150000</v>
      </c>
      <c r="G418" s="19" t="s">
        <v>1628</v>
      </c>
      <c r="H418" s="19" t="s">
        <v>1358</v>
      </c>
    </row>
    <row r="419" spans="1:8">
      <c r="A419" s="19">
        <v>47</v>
      </c>
      <c r="B419" s="19" t="s">
        <v>468</v>
      </c>
      <c r="C419" s="19" t="s">
        <v>501</v>
      </c>
      <c r="D419" s="19" t="s">
        <v>238</v>
      </c>
      <c r="E419" s="19" t="s">
        <v>500</v>
      </c>
      <c r="F419" s="19" t="s">
        <v>500</v>
      </c>
      <c r="G419" s="19" t="s">
        <v>1629</v>
      </c>
      <c r="H419" s="19" t="s">
        <v>1358</v>
      </c>
    </row>
    <row r="420" spans="1:8">
      <c r="A420" s="19">
        <v>47</v>
      </c>
      <c r="B420" s="19" t="s">
        <v>468</v>
      </c>
      <c r="C420" s="19" t="s">
        <v>501</v>
      </c>
      <c r="D420" s="19" t="s">
        <v>255</v>
      </c>
      <c r="E420" s="19">
        <v>2</v>
      </c>
      <c r="F420" s="19">
        <v>2</v>
      </c>
      <c r="G420" s="19" t="s">
        <v>1630</v>
      </c>
      <c r="H420" s="19" t="s">
        <v>1358</v>
      </c>
    </row>
    <row r="421" spans="1:8">
      <c r="A421" s="19">
        <v>47</v>
      </c>
      <c r="B421" s="19" t="s">
        <v>468</v>
      </c>
      <c r="C421" s="19" t="s">
        <v>501</v>
      </c>
      <c r="D421" s="19" t="s">
        <v>241</v>
      </c>
      <c r="E421" s="19" t="s">
        <v>128</v>
      </c>
      <c r="F421" s="19" t="s">
        <v>1567</v>
      </c>
      <c r="G421" s="19" t="s">
        <v>1631</v>
      </c>
      <c r="H421" s="19" t="s">
        <v>1358</v>
      </c>
    </row>
    <row r="422" spans="1:8">
      <c r="A422" s="19">
        <v>47</v>
      </c>
      <c r="B422" s="19" t="s">
        <v>468</v>
      </c>
      <c r="C422" s="19" t="s">
        <v>501</v>
      </c>
      <c r="D422" s="19" t="s">
        <v>256</v>
      </c>
      <c r="E422" s="19" t="s">
        <v>299</v>
      </c>
      <c r="F422" s="19" t="s">
        <v>1567</v>
      </c>
      <c r="G422" s="19" t="s">
        <v>1631</v>
      </c>
      <c r="H422" s="19" t="s">
        <v>1358</v>
      </c>
    </row>
    <row r="423" spans="1:8">
      <c r="A423" s="19">
        <v>47</v>
      </c>
      <c r="B423" s="19" t="s">
        <v>468</v>
      </c>
      <c r="C423" s="19" t="s">
        <v>501</v>
      </c>
      <c r="D423" s="19" t="s">
        <v>871</v>
      </c>
      <c r="E423" s="19" t="s">
        <v>83</v>
      </c>
      <c r="F423" s="19" t="s">
        <v>1632</v>
      </c>
      <c r="G423" s="19" t="s">
        <v>1633</v>
      </c>
      <c r="H423" s="19" t="s">
        <v>1358</v>
      </c>
    </row>
    <row r="424" spans="1:8">
      <c r="A424" s="19">
        <v>47</v>
      </c>
      <c r="B424" s="19" t="s">
        <v>468</v>
      </c>
      <c r="C424" s="19" t="s">
        <v>501</v>
      </c>
      <c r="D424" s="19" t="s">
        <v>243</v>
      </c>
      <c r="E424" s="19">
        <v>23</v>
      </c>
      <c r="F424" s="19">
        <v>23</v>
      </c>
      <c r="G424" s="19" t="s">
        <v>1634</v>
      </c>
      <c r="H424" s="19" t="s">
        <v>1358</v>
      </c>
    </row>
    <row r="425" spans="1:8">
      <c r="A425" s="19">
        <v>47</v>
      </c>
      <c r="B425" s="19" t="s">
        <v>468</v>
      </c>
      <c r="C425" s="19" t="s">
        <v>501</v>
      </c>
      <c r="D425" s="19" t="s">
        <v>244</v>
      </c>
      <c r="E425" s="19">
        <v>158</v>
      </c>
      <c r="F425" s="19">
        <v>158</v>
      </c>
      <c r="G425" s="19" t="s">
        <v>1635</v>
      </c>
      <c r="H425" s="19" t="s">
        <v>1358</v>
      </c>
    </row>
    <row r="426" spans="1:8">
      <c r="A426" s="19">
        <v>47</v>
      </c>
      <c r="B426" s="19" t="s">
        <v>468</v>
      </c>
      <c r="C426" s="19" t="s">
        <v>501</v>
      </c>
      <c r="D426" s="19" t="s">
        <v>257</v>
      </c>
      <c r="E426" s="19">
        <v>16.7</v>
      </c>
      <c r="F426" s="19">
        <v>16.7</v>
      </c>
      <c r="G426" s="19" t="s">
        <v>1636</v>
      </c>
      <c r="H426" s="19" t="s">
        <v>1358</v>
      </c>
    </row>
    <row r="427" spans="1:8">
      <c r="A427" s="19">
        <v>47</v>
      </c>
      <c r="B427" s="19" t="s">
        <v>468</v>
      </c>
      <c r="C427" s="19" t="s">
        <v>501</v>
      </c>
      <c r="D427" s="19" t="s">
        <v>1198</v>
      </c>
      <c r="E427" s="19" t="s">
        <v>305</v>
      </c>
      <c r="F427" s="19" t="s">
        <v>1574</v>
      </c>
      <c r="G427" s="19"/>
      <c r="H427" s="60" t="s">
        <v>1360</v>
      </c>
    </row>
    <row r="428" spans="1:8">
      <c r="A428" s="19">
        <v>47</v>
      </c>
      <c r="B428" s="19" t="s">
        <v>468</v>
      </c>
      <c r="C428" s="19" t="s">
        <v>501</v>
      </c>
      <c r="D428" s="19" t="s">
        <v>1575</v>
      </c>
      <c r="E428" s="19" t="s">
        <v>1576</v>
      </c>
      <c r="F428" s="19" t="s">
        <v>1577</v>
      </c>
      <c r="G428" s="19" t="s">
        <v>1637</v>
      </c>
      <c r="H428" s="19" t="s">
        <v>1358</v>
      </c>
    </row>
    <row r="429" spans="1:8">
      <c r="A429" s="19">
        <v>47</v>
      </c>
      <c r="B429" s="19" t="s">
        <v>468</v>
      </c>
      <c r="C429" s="19" t="s">
        <v>501</v>
      </c>
      <c r="D429" s="19" t="s">
        <v>253</v>
      </c>
      <c r="E429" s="19" t="s">
        <v>297</v>
      </c>
      <c r="F429" s="19" t="s">
        <v>1460</v>
      </c>
      <c r="G429" s="19"/>
      <c r="H429" s="60" t="s">
        <v>1360</v>
      </c>
    </row>
    <row r="430" spans="1:8">
      <c r="A430" s="19">
        <v>47</v>
      </c>
      <c r="B430" s="19" t="s">
        <v>468</v>
      </c>
      <c r="C430" s="19" t="s">
        <v>501</v>
      </c>
      <c r="D430" s="19" t="s">
        <v>914</v>
      </c>
      <c r="E430" s="19" t="s">
        <v>355</v>
      </c>
      <c r="F430" s="19" t="s">
        <v>355</v>
      </c>
      <c r="G430" s="19" t="s">
        <v>1638</v>
      </c>
      <c r="H430" s="19" t="s">
        <v>1358</v>
      </c>
    </row>
    <row r="431" spans="1:8">
      <c r="A431" s="19">
        <v>47</v>
      </c>
      <c r="B431" s="19" t="s">
        <v>468</v>
      </c>
      <c r="C431" s="19" t="s">
        <v>501</v>
      </c>
      <c r="D431" s="19" t="s">
        <v>1377</v>
      </c>
      <c r="E431" s="19">
        <v>16500</v>
      </c>
      <c r="F431" s="19">
        <v>16500</v>
      </c>
      <c r="G431" s="19" t="s">
        <v>1638</v>
      </c>
      <c r="H431" s="19" t="s">
        <v>1358</v>
      </c>
    </row>
    <row r="432" spans="1:8">
      <c r="A432" s="19">
        <v>48</v>
      </c>
      <c r="B432" s="19" t="s">
        <v>468</v>
      </c>
      <c r="C432" s="19" t="s">
        <v>505</v>
      </c>
      <c r="D432" s="19" t="s">
        <v>238</v>
      </c>
      <c r="E432" s="19" t="s">
        <v>504</v>
      </c>
      <c r="F432" s="19" t="s">
        <v>504</v>
      </c>
      <c r="G432" s="19" t="s">
        <v>1639</v>
      </c>
      <c r="H432" s="19" t="s">
        <v>1358</v>
      </c>
    </row>
    <row r="433" spans="1:8">
      <c r="A433" s="19">
        <v>48</v>
      </c>
      <c r="B433" s="19" t="s">
        <v>468</v>
      </c>
      <c r="C433" s="19" t="s">
        <v>505</v>
      </c>
      <c r="D433" s="19" t="s">
        <v>255</v>
      </c>
      <c r="E433" s="19">
        <v>1</v>
      </c>
      <c r="F433" s="19">
        <v>1</v>
      </c>
      <c r="G433" s="19" t="s">
        <v>1640</v>
      </c>
      <c r="H433" s="19" t="s">
        <v>1358</v>
      </c>
    </row>
    <row r="434" spans="1:8">
      <c r="A434" s="19">
        <v>48</v>
      </c>
      <c r="B434" s="19" t="s">
        <v>468</v>
      </c>
      <c r="C434" s="19" t="s">
        <v>505</v>
      </c>
      <c r="D434" s="19" t="s">
        <v>241</v>
      </c>
      <c r="E434" s="19" t="s">
        <v>128</v>
      </c>
      <c r="F434" s="19" t="s">
        <v>1567</v>
      </c>
      <c r="G434" s="19" t="s">
        <v>1641</v>
      </c>
      <c r="H434" s="19" t="s">
        <v>1358</v>
      </c>
    </row>
    <row r="435" spans="1:8">
      <c r="A435" s="19">
        <v>48</v>
      </c>
      <c r="B435" s="19" t="s">
        <v>468</v>
      </c>
      <c r="C435" s="19" t="s">
        <v>505</v>
      </c>
      <c r="D435" s="19" t="s">
        <v>256</v>
      </c>
      <c r="E435" s="19" t="s">
        <v>299</v>
      </c>
      <c r="F435" s="19" t="s">
        <v>1567</v>
      </c>
      <c r="G435" s="19" t="s">
        <v>1641</v>
      </c>
      <c r="H435" s="19" t="s">
        <v>1358</v>
      </c>
    </row>
    <row r="436" spans="1:8">
      <c r="A436" s="19">
        <v>48</v>
      </c>
      <c r="B436" s="19" t="s">
        <v>468</v>
      </c>
      <c r="C436" s="19" t="s">
        <v>505</v>
      </c>
      <c r="D436" s="19" t="s">
        <v>871</v>
      </c>
      <c r="E436" s="19" t="s">
        <v>83</v>
      </c>
      <c r="F436" s="19" t="s">
        <v>1632</v>
      </c>
      <c r="G436" s="19" t="s">
        <v>1642</v>
      </c>
      <c r="H436" s="19" t="s">
        <v>1358</v>
      </c>
    </row>
    <row r="437" spans="1:8">
      <c r="A437" s="19">
        <v>48</v>
      </c>
      <c r="B437" s="19" t="s">
        <v>468</v>
      </c>
      <c r="C437" s="19" t="s">
        <v>505</v>
      </c>
      <c r="D437" s="19" t="s">
        <v>243</v>
      </c>
      <c r="E437" s="19">
        <v>43</v>
      </c>
      <c r="F437" s="19">
        <v>43</v>
      </c>
      <c r="G437" s="19" t="s">
        <v>1643</v>
      </c>
      <c r="H437" s="19" t="s">
        <v>1358</v>
      </c>
    </row>
    <row r="438" spans="1:8">
      <c r="A438" s="19">
        <v>48</v>
      </c>
      <c r="B438" s="19" t="s">
        <v>468</v>
      </c>
      <c r="C438" s="19" t="s">
        <v>505</v>
      </c>
      <c r="D438" s="19" t="s">
        <v>244</v>
      </c>
      <c r="E438" s="19">
        <v>158</v>
      </c>
      <c r="F438" s="19">
        <v>158</v>
      </c>
      <c r="G438" s="19" t="s">
        <v>1644</v>
      </c>
      <c r="H438" s="19" t="s">
        <v>1358</v>
      </c>
    </row>
    <row r="439" spans="1:8">
      <c r="A439" s="19">
        <v>48</v>
      </c>
      <c r="B439" s="19" t="s">
        <v>468</v>
      </c>
      <c r="C439" s="19" t="s">
        <v>505</v>
      </c>
      <c r="D439" s="19" t="s">
        <v>257</v>
      </c>
      <c r="E439" s="19">
        <v>16.7</v>
      </c>
      <c r="F439" s="19">
        <v>16.7</v>
      </c>
      <c r="G439" s="19" t="s">
        <v>1645</v>
      </c>
      <c r="H439" s="19" t="s">
        <v>1358</v>
      </c>
    </row>
    <row r="440" spans="1:8">
      <c r="A440" s="19">
        <v>48</v>
      </c>
      <c r="B440" s="19" t="s">
        <v>468</v>
      </c>
      <c r="C440" s="19" t="s">
        <v>505</v>
      </c>
      <c r="D440" s="19" t="s">
        <v>1198</v>
      </c>
      <c r="E440" s="19" t="s">
        <v>305</v>
      </c>
      <c r="F440" s="19" t="s">
        <v>1574</v>
      </c>
      <c r="G440" s="19"/>
      <c r="H440" s="60" t="s">
        <v>1360</v>
      </c>
    </row>
    <row r="441" spans="1:8">
      <c r="A441" s="19">
        <v>48</v>
      </c>
      <c r="B441" s="19" t="s">
        <v>468</v>
      </c>
      <c r="C441" s="19" t="s">
        <v>505</v>
      </c>
      <c r="D441" s="19" t="s">
        <v>1575</v>
      </c>
      <c r="E441" s="19" t="s">
        <v>1576</v>
      </c>
      <c r="F441" s="19" t="s">
        <v>1577</v>
      </c>
      <c r="G441" s="19" t="s">
        <v>1646</v>
      </c>
      <c r="H441" s="19" t="s">
        <v>1358</v>
      </c>
    </row>
    <row r="442" spans="1:8">
      <c r="A442" s="19">
        <v>48</v>
      </c>
      <c r="B442" s="19" t="s">
        <v>468</v>
      </c>
      <c r="C442" s="19" t="s">
        <v>505</v>
      </c>
      <c r="D442" s="19" t="s">
        <v>253</v>
      </c>
      <c r="E442" s="19" t="s">
        <v>297</v>
      </c>
      <c r="F442" s="19" t="s">
        <v>1460</v>
      </c>
      <c r="G442" s="19"/>
      <c r="H442" s="60" t="s">
        <v>1360</v>
      </c>
    </row>
    <row r="443" spans="1:8">
      <c r="A443" s="19">
        <v>48</v>
      </c>
      <c r="B443" s="19" t="s">
        <v>468</v>
      </c>
      <c r="C443" s="19" t="s">
        <v>505</v>
      </c>
      <c r="D443" s="19" t="s">
        <v>914</v>
      </c>
      <c r="E443" s="19" t="s">
        <v>355</v>
      </c>
      <c r="F443" s="19" t="s">
        <v>355</v>
      </c>
      <c r="G443" s="19" t="s">
        <v>1647</v>
      </c>
      <c r="H443" s="19" t="s">
        <v>1358</v>
      </c>
    </row>
    <row r="444" spans="1:8">
      <c r="A444" s="19">
        <v>48</v>
      </c>
      <c r="B444" s="19" t="s">
        <v>468</v>
      </c>
      <c r="C444" s="19" t="s">
        <v>505</v>
      </c>
      <c r="D444" s="19" t="s">
        <v>1377</v>
      </c>
      <c r="E444" s="19">
        <v>17500</v>
      </c>
      <c r="F444" s="19">
        <v>17500</v>
      </c>
      <c r="G444" s="19" t="s">
        <v>1647</v>
      </c>
      <c r="H444" s="19" t="s">
        <v>1358</v>
      </c>
    </row>
    <row r="445" spans="1:8">
      <c r="A445" s="19">
        <v>49</v>
      </c>
      <c r="B445" s="19" t="s">
        <v>468</v>
      </c>
      <c r="C445" s="19" t="s">
        <v>509</v>
      </c>
      <c r="D445" s="19" t="s">
        <v>238</v>
      </c>
      <c r="E445" s="19" t="s">
        <v>508</v>
      </c>
      <c r="F445" s="19" t="s">
        <v>508</v>
      </c>
      <c r="G445" s="19" t="s">
        <v>1648</v>
      </c>
      <c r="H445" s="19" t="s">
        <v>1358</v>
      </c>
    </row>
    <row r="446" spans="1:8">
      <c r="A446" s="19">
        <v>49</v>
      </c>
      <c r="B446" s="19" t="s">
        <v>468</v>
      </c>
      <c r="C446" s="19" t="s">
        <v>509</v>
      </c>
      <c r="D446" s="19" t="s">
        <v>255</v>
      </c>
      <c r="E446" s="19">
        <v>2</v>
      </c>
      <c r="F446" s="19">
        <v>2</v>
      </c>
      <c r="G446" s="19" t="s">
        <v>1649</v>
      </c>
      <c r="H446" s="19" t="s">
        <v>1358</v>
      </c>
    </row>
    <row r="447" spans="1:8">
      <c r="A447" s="19">
        <v>49</v>
      </c>
      <c r="B447" s="19" t="s">
        <v>468</v>
      </c>
      <c r="C447" s="19" t="s">
        <v>509</v>
      </c>
      <c r="D447" s="19" t="s">
        <v>241</v>
      </c>
      <c r="E447" s="19" t="s">
        <v>128</v>
      </c>
      <c r="F447" s="19" t="s">
        <v>1567</v>
      </c>
      <c r="G447" s="19" t="s">
        <v>1650</v>
      </c>
      <c r="H447" s="19" t="s">
        <v>1358</v>
      </c>
    </row>
    <row r="448" spans="1:8">
      <c r="A448" s="19">
        <v>49</v>
      </c>
      <c r="B448" s="19" t="s">
        <v>468</v>
      </c>
      <c r="C448" s="19" t="s">
        <v>509</v>
      </c>
      <c r="D448" s="19" t="s">
        <v>256</v>
      </c>
      <c r="E448" s="19" t="s">
        <v>299</v>
      </c>
      <c r="F448" s="19" t="s">
        <v>1567</v>
      </c>
      <c r="G448" s="19" t="s">
        <v>1650</v>
      </c>
      <c r="H448" s="19" t="s">
        <v>1358</v>
      </c>
    </row>
    <row r="449" spans="1:8">
      <c r="A449" s="19">
        <v>49</v>
      </c>
      <c r="B449" s="19" t="s">
        <v>468</v>
      </c>
      <c r="C449" s="19" t="s">
        <v>509</v>
      </c>
      <c r="D449" s="19" t="s">
        <v>871</v>
      </c>
      <c r="E449" s="19" t="s">
        <v>86</v>
      </c>
      <c r="F449" s="19" t="s">
        <v>1651</v>
      </c>
      <c r="G449" s="19" t="s">
        <v>1652</v>
      </c>
      <c r="H449" s="19" t="s">
        <v>1358</v>
      </c>
    </row>
    <row r="450" spans="1:8">
      <c r="A450" s="19">
        <v>49</v>
      </c>
      <c r="B450" s="19" t="s">
        <v>468</v>
      </c>
      <c r="C450" s="19" t="s">
        <v>509</v>
      </c>
      <c r="D450" s="19" t="s">
        <v>243</v>
      </c>
      <c r="E450" s="19">
        <v>15</v>
      </c>
      <c r="F450" s="19">
        <v>15</v>
      </c>
      <c r="G450" s="19" t="s">
        <v>1653</v>
      </c>
      <c r="H450" s="19" t="s">
        <v>1358</v>
      </c>
    </row>
    <row r="451" spans="1:8">
      <c r="A451" s="19">
        <v>49</v>
      </c>
      <c r="B451" s="19" t="s">
        <v>468</v>
      </c>
      <c r="C451" s="19" t="s">
        <v>509</v>
      </c>
      <c r="D451" s="19" t="s">
        <v>244</v>
      </c>
      <c r="E451" s="19">
        <v>50</v>
      </c>
      <c r="F451" s="19">
        <v>50</v>
      </c>
      <c r="G451" s="19" t="s">
        <v>1654</v>
      </c>
      <c r="H451" s="19" t="s">
        <v>1358</v>
      </c>
    </row>
    <row r="452" spans="1:8">
      <c r="A452" s="19">
        <v>49</v>
      </c>
      <c r="B452" s="19" t="s">
        <v>468</v>
      </c>
      <c r="C452" s="19" t="s">
        <v>509</v>
      </c>
      <c r="D452" s="19" t="s">
        <v>257</v>
      </c>
      <c r="E452" s="19">
        <v>7.4</v>
      </c>
      <c r="F452" s="19">
        <v>7.4</v>
      </c>
      <c r="G452" s="19" t="s">
        <v>1655</v>
      </c>
      <c r="H452" s="19" t="s">
        <v>1358</v>
      </c>
    </row>
    <row r="453" spans="1:8">
      <c r="A453" s="19">
        <v>49</v>
      </c>
      <c r="B453" s="19" t="s">
        <v>468</v>
      </c>
      <c r="C453" s="19" t="s">
        <v>509</v>
      </c>
      <c r="D453" s="19" t="s">
        <v>1198</v>
      </c>
      <c r="E453" s="19" t="s">
        <v>305</v>
      </c>
      <c r="F453" s="19" t="s">
        <v>1574</v>
      </c>
      <c r="G453" s="19"/>
      <c r="H453" s="60" t="s">
        <v>1360</v>
      </c>
    </row>
    <row r="454" spans="1:8">
      <c r="A454" s="19">
        <v>49</v>
      </c>
      <c r="B454" s="19" t="s">
        <v>468</v>
      </c>
      <c r="C454" s="19" t="s">
        <v>509</v>
      </c>
      <c r="D454" s="19" t="s">
        <v>1575</v>
      </c>
      <c r="E454" s="19" t="s">
        <v>1576</v>
      </c>
      <c r="F454" s="19" t="s">
        <v>1577</v>
      </c>
      <c r="G454" s="19" t="s">
        <v>1656</v>
      </c>
      <c r="H454" s="19" t="s">
        <v>1358</v>
      </c>
    </row>
    <row r="455" spans="1:8">
      <c r="A455" s="19">
        <v>49</v>
      </c>
      <c r="B455" s="19" t="s">
        <v>468</v>
      </c>
      <c r="C455" s="19" t="s">
        <v>509</v>
      </c>
      <c r="D455" s="19" t="s">
        <v>253</v>
      </c>
      <c r="E455" s="19" t="s">
        <v>297</v>
      </c>
      <c r="F455" s="19" t="s">
        <v>1460</v>
      </c>
      <c r="G455" s="19"/>
      <c r="H455" s="60" t="s">
        <v>1360</v>
      </c>
    </row>
    <row r="456" spans="1:8">
      <c r="A456" s="19">
        <v>49</v>
      </c>
      <c r="B456" s="19" t="s">
        <v>468</v>
      </c>
      <c r="C456" s="19" t="s">
        <v>509</v>
      </c>
      <c r="D456" s="19" t="s">
        <v>914</v>
      </c>
      <c r="E456" s="19" t="s">
        <v>355</v>
      </c>
      <c r="F456" s="19" t="s">
        <v>355</v>
      </c>
      <c r="G456" s="19" t="s">
        <v>1657</v>
      </c>
      <c r="H456" s="19" t="s">
        <v>1358</v>
      </c>
    </row>
    <row r="457" spans="1:8">
      <c r="A457" s="19">
        <v>49</v>
      </c>
      <c r="B457" s="19" t="s">
        <v>468</v>
      </c>
      <c r="C457" s="19" t="s">
        <v>509</v>
      </c>
      <c r="D457" s="19" t="s">
        <v>1377</v>
      </c>
      <c r="E457" s="19">
        <v>10000</v>
      </c>
      <c r="F457" s="19">
        <v>10000</v>
      </c>
      <c r="G457" s="19" t="s">
        <v>1657</v>
      </c>
      <c r="H457" s="19" t="s">
        <v>1358</v>
      </c>
    </row>
    <row r="458" spans="1:8">
      <c r="A458" s="19">
        <v>50</v>
      </c>
      <c r="B458" s="19" t="s">
        <v>468</v>
      </c>
      <c r="C458" s="19" t="s">
        <v>513</v>
      </c>
      <c r="D458" s="19" t="s">
        <v>238</v>
      </c>
      <c r="E458" s="19" t="s">
        <v>512</v>
      </c>
      <c r="F458" s="19" t="s">
        <v>512</v>
      </c>
      <c r="G458" s="19" t="s">
        <v>1658</v>
      </c>
      <c r="H458" s="19" t="s">
        <v>1358</v>
      </c>
    </row>
    <row r="459" spans="1:8">
      <c r="A459" s="19">
        <v>50</v>
      </c>
      <c r="B459" s="19" t="s">
        <v>468</v>
      </c>
      <c r="C459" s="19" t="s">
        <v>513</v>
      </c>
      <c r="D459" s="19" t="s">
        <v>255</v>
      </c>
      <c r="E459" s="19">
        <v>2</v>
      </c>
      <c r="F459" s="19">
        <v>2</v>
      </c>
      <c r="G459" s="19" t="s">
        <v>1659</v>
      </c>
      <c r="H459" s="19" t="s">
        <v>1358</v>
      </c>
    </row>
    <row r="460" spans="1:8">
      <c r="A460" s="19">
        <v>50</v>
      </c>
      <c r="B460" s="19" t="s">
        <v>468</v>
      </c>
      <c r="C460" s="19" t="s">
        <v>513</v>
      </c>
      <c r="D460" s="19" t="s">
        <v>256</v>
      </c>
      <c r="E460" s="19" t="s">
        <v>514</v>
      </c>
      <c r="F460" s="19" t="s">
        <v>1660</v>
      </c>
      <c r="G460" s="19" t="s">
        <v>1661</v>
      </c>
      <c r="H460" s="19" t="s">
        <v>1358</v>
      </c>
    </row>
    <row r="461" spans="1:8">
      <c r="A461" s="19">
        <v>50</v>
      </c>
      <c r="B461" s="19" t="s">
        <v>468</v>
      </c>
      <c r="C461" s="19" t="s">
        <v>513</v>
      </c>
      <c r="D461" s="19" t="s">
        <v>871</v>
      </c>
      <c r="E461" s="19" t="s">
        <v>107</v>
      </c>
      <c r="F461" s="19" t="s">
        <v>1569</v>
      </c>
      <c r="G461" s="19" t="s">
        <v>1662</v>
      </c>
      <c r="H461" s="19" t="s">
        <v>1358</v>
      </c>
    </row>
    <row r="462" spans="1:8">
      <c r="A462" s="19">
        <v>50</v>
      </c>
      <c r="B462" s="19" t="s">
        <v>468</v>
      </c>
      <c r="C462" s="19" t="s">
        <v>513</v>
      </c>
      <c r="D462" s="19" t="s">
        <v>243</v>
      </c>
      <c r="E462" s="19">
        <v>6</v>
      </c>
      <c r="F462" s="19">
        <v>6</v>
      </c>
      <c r="G462" s="19" t="s">
        <v>1663</v>
      </c>
      <c r="H462" s="19" t="s">
        <v>1358</v>
      </c>
    </row>
    <row r="463" spans="1:8">
      <c r="A463" s="19">
        <v>50</v>
      </c>
      <c r="B463" s="19" t="s">
        <v>468</v>
      </c>
      <c r="C463" s="19" t="s">
        <v>513</v>
      </c>
      <c r="D463" s="19" t="s">
        <v>257</v>
      </c>
      <c r="E463" s="19">
        <v>3.6</v>
      </c>
      <c r="F463" s="19">
        <v>3.6</v>
      </c>
      <c r="G463" s="19" t="s">
        <v>1664</v>
      </c>
      <c r="H463" s="19" t="s">
        <v>1358</v>
      </c>
    </row>
    <row r="464" spans="1:8">
      <c r="A464" s="19">
        <v>50</v>
      </c>
      <c r="B464" s="19" t="s">
        <v>468</v>
      </c>
      <c r="C464" s="19" t="s">
        <v>513</v>
      </c>
      <c r="D464" s="19" t="s">
        <v>1198</v>
      </c>
      <c r="E464" s="19" t="s">
        <v>305</v>
      </c>
      <c r="F464" s="19" t="s">
        <v>1574</v>
      </c>
      <c r="G464" s="19"/>
      <c r="H464" s="60" t="s">
        <v>1360</v>
      </c>
    </row>
    <row r="465" spans="1:8">
      <c r="A465" s="19">
        <v>50</v>
      </c>
      <c r="B465" s="19" t="s">
        <v>468</v>
      </c>
      <c r="C465" s="19" t="s">
        <v>513</v>
      </c>
      <c r="D465" s="19" t="s">
        <v>1575</v>
      </c>
      <c r="E465" s="19" t="s">
        <v>1596</v>
      </c>
      <c r="F465" s="19" t="s">
        <v>1597</v>
      </c>
      <c r="G465" s="19" t="s">
        <v>1665</v>
      </c>
      <c r="H465" s="19" t="s">
        <v>1358</v>
      </c>
    </row>
    <row r="466" spans="1:8">
      <c r="A466" s="19">
        <v>50</v>
      </c>
      <c r="B466" s="19" t="s">
        <v>468</v>
      </c>
      <c r="C466" s="19" t="s">
        <v>513</v>
      </c>
      <c r="D466" s="19" t="s">
        <v>253</v>
      </c>
      <c r="E466" s="19" t="s">
        <v>297</v>
      </c>
      <c r="F466" s="19" t="s">
        <v>1460</v>
      </c>
      <c r="G466" s="19"/>
      <c r="H466" s="60" t="s">
        <v>1360</v>
      </c>
    </row>
    <row r="467" spans="1:8">
      <c r="A467" s="19">
        <v>50</v>
      </c>
      <c r="B467" s="19" t="s">
        <v>468</v>
      </c>
      <c r="C467" s="19" t="s">
        <v>513</v>
      </c>
      <c r="D467" s="19" t="s">
        <v>914</v>
      </c>
      <c r="E467" s="19" t="s">
        <v>355</v>
      </c>
      <c r="F467" s="19" t="s">
        <v>355</v>
      </c>
      <c r="G467" s="19" t="s">
        <v>1666</v>
      </c>
      <c r="H467" s="19" t="s">
        <v>1358</v>
      </c>
    </row>
    <row r="468" spans="1:8">
      <c r="A468" s="19">
        <v>50</v>
      </c>
      <c r="B468" s="19" t="s">
        <v>468</v>
      </c>
      <c r="C468" s="19" t="s">
        <v>513</v>
      </c>
      <c r="D468" s="19" t="s">
        <v>1377</v>
      </c>
      <c r="E468" s="19">
        <v>25000</v>
      </c>
      <c r="F468" s="19">
        <v>25000</v>
      </c>
      <c r="G468" s="19" t="s">
        <v>1666</v>
      </c>
      <c r="H468" s="19" t="s">
        <v>1358</v>
      </c>
    </row>
    <row r="469" spans="1:8">
      <c r="A469" s="19">
        <v>51</v>
      </c>
      <c r="B469" s="19" t="s">
        <v>468</v>
      </c>
      <c r="C469" s="19" t="s">
        <v>518</v>
      </c>
      <c r="D469" s="19" t="s">
        <v>238</v>
      </c>
      <c r="E469" s="19" t="s">
        <v>517</v>
      </c>
      <c r="F469" s="19" t="s">
        <v>517</v>
      </c>
      <c r="G469" s="19" t="s">
        <v>1667</v>
      </c>
      <c r="H469" s="19" t="s">
        <v>1358</v>
      </c>
    </row>
    <row r="470" spans="1:8">
      <c r="A470" s="19">
        <v>51</v>
      </c>
      <c r="B470" s="19" t="s">
        <v>468</v>
      </c>
      <c r="C470" s="19" t="s">
        <v>518</v>
      </c>
      <c r="D470" s="19" t="s">
        <v>255</v>
      </c>
      <c r="E470" s="19">
        <v>2</v>
      </c>
      <c r="F470" s="19">
        <v>2</v>
      </c>
      <c r="G470" s="19" t="s">
        <v>1668</v>
      </c>
      <c r="H470" s="19" t="s">
        <v>1358</v>
      </c>
    </row>
    <row r="471" spans="1:8">
      <c r="A471" s="19">
        <v>51</v>
      </c>
      <c r="B471" s="19" t="s">
        <v>468</v>
      </c>
      <c r="C471" s="19" t="s">
        <v>518</v>
      </c>
      <c r="D471" s="19" t="s">
        <v>241</v>
      </c>
      <c r="E471" s="19" t="s">
        <v>128</v>
      </c>
      <c r="F471" s="19" t="s">
        <v>1567</v>
      </c>
      <c r="G471" s="19" t="s">
        <v>1669</v>
      </c>
      <c r="H471" s="19" t="s">
        <v>1358</v>
      </c>
    </row>
    <row r="472" spans="1:8">
      <c r="A472" s="19">
        <v>51</v>
      </c>
      <c r="B472" s="19" t="s">
        <v>468</v>
      </c>
      <c r="C472" s="19" t="s">
        <v>518</v>
      </c>
      <c r="D472" s="19" t="s">
        <v>256</v>
      </c>
      <c r="E472" s="19" t="s">
        <v>299</v>
      </c>
      <c r="F472" s="19" t="s">
        <v>1567</v>
      </c>
      <c r="G472" s="19" t="s">
        <v>1669</v>
      </c>
      <c r="H472" s="19" t="s">
        <v>1358</v>
      </c>
    </row>
    <row r="473" spans="1:8">
      <c r="A473" s="19">
        <v>51</v>
      </c>
      <c r="B473" s="19" t="s">
        <v>468</v>
      </c>
      <c r="C473" s="19" t="s">
        <v>518</v>
      </c>
      <c r="D473" s="19" t="s">
        <v>871</v>
      </c>
      <c r="E473" s="19" t="s">
        <v>111</v>
      </c>
      <c r="F473" s="19" t="s">
        <v>1603</v>
      </c>
      <c r="G473" s="19" t="s">
        <v>1670</v>
      </c>
      <c r="H473" s="19" t="s">
        <v>1358</v>
      </c>
    </row>
    <row r="474" spans="1:8">
      <c r="A474" s="19">
        <v>51</v>
      </c>
      <c r="B474" s="19" t="s">
        <v>468</v>
      </c>
      <c r="C474" s="19" t="s">
        <v>518</v>
      </c>
      <c r="D474" s="19" t="s">
        <v>243</v>
      </c>
      <c r="E474" s="19">
        <v>11</v>
      </c>
      <c r="F474" s="19">
        <v>11</v>
      </c>
      <c r="G474" s="19" t="s">
        <v>1671</v>
      </c>
      <c r="H474" s="19" t="s">
        <v>1358</v>
      </c>
    </row>
    <row r="475" spans="1:8">
      <c r="A475" s="19">
        <v>51</v>
      </c>
      <c r="B475" s="19" t="s">
        <v>468</v>
      </c>
      <c r="C475" s="19" t="s">
        <v>518</v>
      </c>
      <c r="D475" s="19" t="s">
        <v>244</v>
      </c>
      <c r="E475" s="19">
        <v>27.6</v>
      </c>
      <c r="F475" s="19">
        <v>27.6</v>
      </c>
      <c r="G475" s="19" t="s">
        <v>1672</v>
      </c>
      <c r="H475" s="19" t="s">
        <v>1358</v>
      </c>
    </row>
    <row r="476" spans="1:8">
      <c r="A476" s="19">
        <v>51</v>
      </c>
      <c r="B476" s="19" t="s">
        <v>468</v>
      </c>
      <c r="C476" s="19" t="s">
        <v>518</v>
      </c>
      <c r="D476" s="19" t="s">
        <v>257</v>
      </c>
      <c r="E476" s="19">
        <v>3</v>
      </c>
      <c r="F476" s="19">
        <v>3</v>
      </c>
      <c r="G476" s="19" t="s">
        <v>1673</v>
      </c>
      <c r="H476" s="19" t="s">
        <v>1358</v>
      </c>
    </row>
    <row r="477" spans="1:8">
      <c r="A477" s="19">
        <v>51</v>
      </c>
      <c r="B477" s="19" t="s">
        <v>468</v>
      </c>
      <c r="C477" s="19" t="s">
        <v>518</v>
      </c>
      <c r="D477" s="19" t="s">
        <v>1198</v>
      </c>
      <c r="E477" s="19" t="s">
        <v>305</v>
      </c>
      <c r="F477" s="19" t="s">
        <v>1574</v>
      </c>
      <c r="G477" s="19"/>
      <c r="H477" s="60" t="s">
        <v>1360</v>
      </c>
    </row>
    <row r="478" spans="1:8">
      <c r="A478" s="19">
        <v>51</v>
      </c>
      <c r="B478" s="19" t="s">
        <v>468</v>
      </c>
      <c r="C478" s="19" t="s">
        <v>518</v>
      </c>
      <c r="D478" s="19" t="s">
        <v>1575</v>
      </c>
      <c r="E478" s="19" t="s">
        <v>1576</v>
      </c>
      <c r="F478" s="19" t="s">
        <v>1577</v>
      </c>
      <c r="G478" s="19" t="s">
        <v>1674</v>
      </c>
      <c r="H478" s="19" t="s">
        <v>1358</v>
      </c>
    </row>
    <row r="479" spans="1:8">
      <c r="A479" s="19">
        <v>51</v>
      </c>
      <c r="B479" s="19" t="s">
        <v>468</v>
      </c>
      <c r="C479" s="19" t="s">
        <v>518</v>
      </c>
      <c r="D479" s="19" t="s">
        <v>253</v>
      </c>
      <c r="E479" s="19" t="s">
        <v>297</v>
      </c>
      <c r="F479" s="19" t="s">
        <v>1460</v>
      </c>
      <c r="G479" s="19"/>
      <c r="H479" s="60" t="s">
        <v>1360</v>
      </c>
    </row>
    <row r="480" spans="1:8">
      <c r="A480" s="19">
        <v>51</v>
      </c>
      <c r="B480" s="19" t="s">
        <v>468</v>
      </c>
      <c r="C480" s="19" t="s">
        <v>518</v>
      </c>
      <c r="D480" s="19" t="s">
        <v>914</v>
      </c>
      <c r="E480" s="19" t="s">
        <v>355</v>
      </c>
      <c r="F480" s="19" t="s">
        <v>355</v>
      </c>
      <c r="G480" s="19" t="s">
        <v>1675</v>
      </c>
      <c r="H480" s="19" t="s">
        <v>1358</v>
      </c>
    </row>
    <row r="481" spans="1:8">
      <c r="A481" s="19">
        <v>51</v>
      </c>
      <c r="B481" s="19" t="s">
        <v>468</v>
      </c>
      <c r="C481" s="19" t="s">
        <v>518</v>
      </c>
      <c r="D481" s="19" t="s">
        <v>1377</v>
      </c>
      <c r="E481" s="19">
        <v>20000</v>
      </c>
      <c r="F481" s="19">
        <v>20000</v>
      </c>
      <c r="G481" s="19" t="s">
        <v>1675</v>
      </c>
      <c r="H481" s="19" t="s">
        <v>1358</v>
      </c>
    </row>
    <row r="482" spans="1:8">
      <c r="A482" s="19">
        <v>52</v>
      </c>
      <c r="B482" s="19" t="s">
        <v>468</v>
      </c>
      <c r="C482" s="19" t="s">
        <v>522</v>
      </c>
      <c r="D482" s="19" t="s">
        <v>238</v>
      </c>
      <c r="E482" s="19" t="s">
        <v>521</v>
      </c>
      <c r="F482" s="19" t="s">
        <v>521</v>
      </c>
      <c r="G482" s="19" t="s">
        <v>1676</v>
      </c>
      <c r="H482" s="19" t="s">
        <v>1358</v>
      </c>
    </row>
    <row r="483" spans="1:8">
      <c r="A483" s="19">
        <v>52</v>
      </c>
      <c r="B483" s="19" t="s">
        <v>468</v>
      </c>
      <c r="C483" s="19" t="s">
        <v>522</v>
      </c>
      <c r="D483" s="19" t="s">
        <v>255</v>
      </c>
      <c r="E483" s="19">
        <v>2</v>
      </c>
      <c r="F483" s="19">
        <v>2</v>
      </c>
      <c r="G483" s="19" t="s">
        <v>1677</v>
      </c>
      <c r="H483" s="19" t="s">
        <v>1358</v>
      </c>
    </row>
    <row r="484" spans="1:8">
      <c r="A484" s="19">
        <v>52</v>
      </c>
      <c r="B484" s="19" t="s">
        <v>468</v>
      </c>
      <c r="C484" s="19" t="s">
        <v>522</v>
      </c>
      <c r="D484" s="19" t="s">
        <v>241</v>
      </c>
      <c r="E484" s="19" t="s">
        <v>128</v>
      </c>
      <c r="F484" s="19" t="s">
        <v>1567</v>
      </c>
      <c r="G484" s="19" t="s">
        <v>1678</v>
      </c>
      <c r="H484" s="19" t="s">
        <v>1358</v>
      </c>
    </row>
    <row r="485" spans="1:8">
      <c r="A485" s="19">
        <v>52</v>
      </c>
      <c r="B485" s="19" t="s">
        <v>468</v>
      </c>
      <c r="C485" s="19" t="s">
        <v>522</v>
      </c>
      <c r="D485" s="19" t="s">
        <v>256</v>
      </c>
      <c r="E485" s="19" t="s">
        <v>299</v>
      </c>
      <c r="F485" s="19" t="s">
        <v>1567</v>
      </c>
      <c r="G485" s="19" t="s">
        <v>1678</v>
      </c>
      <c r="H485" s="19" t="s">
        <v>1358</v>
      </c>
    </row>
    <row r="486" spans="1:8">
      <c r="A486" s="19">
        <v>52</v>
      </c>
      <c r="B486" s="19" t="s">
        <v>468</v>
      </c>
      <c r="C486" s="19" t="s">
        <v>522</v>
      </c>
      <c r="D486" s="19" t="s">
        <v>871</v>
      </c>
      <c r="E486" s="19" t="s">
        <v>111</v>
      </c>
      <c r="F486" s="19" t="s">
        <v>1603</v>
      </c>
      <c r="G486" s="19" t="s">
        <v>1679</v>
      </c>
      <c r="H486" s="19" t="s">
        <v>1358</v>
      </c>
    </row>
    <row r="487" spans="1:8">
      <c r="A487" s="19">
        <v>52</v>
      </c>
      <c r="B487" s="19" t="s">
        <v>468</v>
      </c>
      <c r="C487" s="19" t="s">
        <v>522</v>
      </c>
      <c r="D487" s="19" t="s">
        <v>243</v>
      </c>
      <c r="E487" s="19">
        <v>15</v>
      </c>
      <c r="F487" s="19">
        <v>15</v>
      </c>
      <c r="G487" s="19" t="s">
        <v>1680</v>
      </c>
      <c r="H487" s="19" t="s">
        <v>1358</v>
      </c>
    </row>
    <row r="488" spans="1:8">
      <c r="A488" s="19">
        <v>52</v>
      </c>
      <c r="B488" s="19" t="s">
        <v>468</v>
      </c>
      <c r="C488" s="19" t="s">
        <v>522</v>
      </c>
      <c r="D488" s="19" t="s">
        <v>244</v>
      </c>
      <c r="E488" s="19">
        <v>46.81</v>
      </c>
      <c r="F488" s="19">
        <v>46.81</v>
      </c>
      <c r="G488" s="19" t="s">
        <v>1681</v>
      </c>
      <c r="H488" s="19" t="s">
        <v>1358</v>
      </c>
    </row>
    <row r="489" spans="1:8">
      <c r="A489" s="19">
        <v>52</v>
      </c>
      <c r="B489" s="19" t="s">
        <v>468</v>
      </c>
      <c r="C489" s="19" t="s">
        <v>522</v>
      </c>
      <c r="D489" s="19" t="s">
        <v>257</v>
      </c>
      <c r="E489" s="19">
        <v>8.5</v>
      </c>
      <c r="F489" s="19">
        <v>8.5</v>
      </c>
      <c r="G489" s="19" t="s">
        <v>1682</v>
      </c>
      <c r="H489" s="19" t="s">
        <v>1358</v>
      </c>
    </row>
    <row r="490" spans="1:8">
      <c r="A490" s="19">
        <v>52</v>
      </c>
      <c r="B490" s="19" t="s">
        <v>468</v>
      </c>
      <c r="C490" s="19" t="s">
        <v>522</v>
      </c>
      <c r="D490" s="19" t="s">
        <v>1198</v>
      </c>
      <c r="E490" s="19" t="s">
        <v>305</v>
      </c>
      <c r="F490" s="19" t="s">
        <v>1574</v>
      </c>
      <c r="G490" s="19"/>
      <c r="H490" s="60" t="s">
        <v>1360</v>
      </c>
    </row>
    <row r="491" spans="1:8">
      <c r="A491" s="19">
        <v>52</v>
      </c>
      <c r="B491" s="19" t="s">
        <v>468</v>
      </c>
      <c r="C491" s="19" t="s">
        <v>522</v>
      </c>
      <c r="D491" s="19" t="s">
        <v>1575</v>
      </c>
      <c r="E491" s="19" t="s">
        <v>1576</v>
      </c>
      <c r="F491" s="19" t="s">
        <v>1577</v>
      </c>
      <c r="G491" s="19" t="s">
        <v>1683</v>
      </c>
      <c r="H491" s="19" t="s">
        <v>1358</v>
      </c>
    </row>
    <row r="492" spans="1:8">
      <c r="A492" s="19">
        <v>52</v>
      </c>
      <c r="B492" s="19" t="s">
        <v>468</v>
      </c>
      <c r="C492" s="19" t="s">
        <v>522</v>
      </c>
      <c r="D492" s="19" t="s">
        <v>253</v>
      </c>
      <c r="E492" s="19" t="s">
        <v>297</v>
      </c>
      <c r="F492" s="19" t="s">
        <v>1460</v>
      </c>
      <c r="G492" s="19"/>
      <c r="H492" s="60" t="s">
        <v>1360</v>
      </c>
    </row>
    <row r="493" spans="1:8">
      <c r="A493" s="19">
        <v>52</v>
      </c>
      <c r="B493" s="19" t="s">
        <v>468</v>
      </c>
      <c r="C493" s="19" t="s">
        <v>522</v>
      </c>
      <c r="D493" s="19" t="s">
        <v>914</v>
      </c>
      <c r="E493" s="19" t="s">
        <v>355</v>
      </c>
      <c r="F493" s="19" t="s">
        <v>355</v>
      </c>
      <c r="G493" s="19" t="s">
        <v>1684</v>
      </c>
      <c r="H493" s="19" t="s">
        <v>1358</v>
      </c>
    </row>
    <row r="494" spans="1:8">
      <c r="A494" s="19">
        <v>52</v>
      </c>
      <c r="B494" s="19" t="s">
        <v>468</v>
      </c>
      <c r="C494" s="19" t="s">
        <v>522</v>
      </c>
      <c r="D494" s="19" t="s">
        <v>1377</v>
      </c>
      <c r="E494" s="19">
        <v>15000</v>
      </c>
      <c r="F494" s="19">
        <v>15000</v>
      </c>
      <c r="G494" s="19" t="s">
        <v>1684</v>
      </c>
      <c r="H494" s="19" t="s">
        <v>1358</v>
      </c>
    </row>
    <row r="495" spans="1:8">
      <c r="A495" s="19">
        <v>53</v>
      </c>
      <c r="B495" s="19" t="s">
        <v>468</v>
      </c>
      <c r="C495" s="19" t="s">
        <v>526</v>
      </c>
      <c r="D495" s="19" t="s">
        <v>241</v>
      </c>
      <c r="E495" s="19" t="s">
        <v>128</v>
      </c>
      <c r="F495" s="19" t="s">
        <v>1567</v>
      </c>
      <c r="G495" s="19" t="s">
        <v>1685</v>
      </c>
      <c r="H495" s="19" t="s">
        <v>1358</v>
      </c>
    </row>
    <row r="496" spans="1:8">
      <c r="A496" s="19">
        <v>53</v>
      </c>
      <c r="B496" s="19" t="s">
        <v>468</v>
      </c>
      <c r="C496" s="19" t="s">
        <v>526</v>
      </c>
      <c r="D496" s="19" t="s">
        <v>256</v>
      </c>
      <c r="E496" s="19" t="s">
        <v>299</v>
      </c>
      <c r="F496" s="19" t="s">
        <v>1567</v>
      </c>
      <c r="G496" s="19" t="s">
        <v>1685</v>
      </c>
      <c r="H496" s="19" t="s">
        <v>1358</v>
      </c>
    </row>
    <row r="497" spans="1:8">
      <c r="A497" s="19">
        <v>53</v>
      </c>
      <c r="B497" s="19" t="s">
        <v>468</v>
      </c>
      <c r="C497" s="19" t="s">
        <v>526</v>
      </c>
      <c r="D497" s="19" t="s">
        <v>871</v>
      </c>
      <c r="E497" s="19" t="s">
        <v>111</v>
      </c>
      <c r="F497" s="19" t="s">
        <v>1603</v>
      </c>
      <c r="G497" s="19" t="s">
        <v>1686</v>
      </c>
      <c r="H497" s="19" t="s">
        <v>1358</v>
      </c>
    </row>
    <row r="498" spans="1:8">
      <c r="A498" s="19">
        <v>53</v>
      </c>
      <c r="B498" s="19" t="s">
        <v>468</v>
      </c>
      <c r="C498" s="19" t="s">
        <v>526</v>
      </c>
      <c r="D498" s="19" t="s">
        <v>243</v>
      </c>
      <c r="E498" s="19">
        <v>21</v>
      </c>
      <c r="F498" s="19">
        <v>21</v>
      </c>
      <c r="G498" s="19" t="s">
        <v>1687</v>
      </c>
      <c r="H498" s="19" t="s">
        <v>1358</v>
      </c>
    </row>
    <row r="499" spans="1:8">
      <c r="A499" s="19">
        <v>53</v>
      </c>
      <c r="B499" s="19" t="s">
        <v>468</v>
      </c>
      <c r="C499" s="19" t="s">
        <v>526</v>
      </c>
      <c r="D499" s="19" t="s">
        <v>244</v>
      </c>
      <c r="E499" s="19">
        <v>44.9</v>
      </c>
      <c r="F499" s="19" t="s">
        <v>1688</v>
      </c>
      <c r="G499" s="19" t="s">
        <v>1689</v>
      </c>
      <c r="H499" s="60" t="s">
        <v>1362</v>
      </c>
    </row>
    <row r="500" spans="1:8">
      <c r="A500" s="19">
        <v>53</v>
      </c>
      <c r="B500" s="19" t="s">
        <v>468</v>
      </c>
      <c r="C500" s="19" t="s">
        <v>526</v>
      </c>
      <c r="D500" s="19" t="s">
        <v>1198</v>
      </c>
      <c r="E500" s="19" t="s">
        <v>305</v>
      </c>
      <c r="F500" s="19" t="s">
        <v>1574</v>
      </c>
      <c r="G500" s="19"/>
      <c r="H500" s="60" t="s">
        <v>1360</v>
      </c>
    </row>
    <row r="501" spans="1:8">
      <c r="A501" s="19">
        <v>53</v>
      </c>
      <c r="B501" s="19" t="s">
        <v>468</v>
      </c>
      <c r="C501" s="19" t="s">
        <v>526</v>
      </c>
      <c r="D501" s="19" t="s">
        <v>1575</v>
      </c>
      <c r="E501" s="19" t="s">
        <v>1576</v>
      </c>
      <c r="F501" s="19" t="s">
        <v>1577</v>
      </c>
      <c r="G501" s="19" t="s">
        <v>1690</v>
      </c>
      <c r="H501" s="19" t="s">
        <v>1358</v>
      </c>
    </row>
    <row r="502" spans="1:8">
      <c r="A502" s="19">
        <v>53</v>
      </c>
      <c r="B502" s="19" t="s">
        <v>468</v>
      </c>
      <c r="C502" s="19" t="s">
        <v>526</v>
      </c>
      <c r="D502" s="19" t="s">
        <v>253</v>
      </c>
      <c r="E502" s="19" t="s">
        <v>297</v>
      </c>
      <c r="F502" s="19" t="s">
        <v>1460</v>
      </c>
      <c r="G502" s="19"/>
      <c r="H502" s="60" t="s">
        <v>1360</v>
      </c>
    </row>
    <row r="503" spans="1:8">
      <c r="A503" s="19">
        <v>53</v>
      </c>
      <c r="B503" s="19" t="s">
        <v>468</v>
      </c>
      <c r="C503" s="19" t="s">
        <v>526</v>
      </c>
      <c r="D503" s="19" t="s">
        <v>1377</v>
      </c>
      <c r="E503" s="19" t="s">
        <v>300</v>
      </c>
      <c r="F503" s="19" t="s">
        <v>1691</v>
      </c>
      <c r="G503" s="19" t="s">
        <v>1692</v>
      </c>
      <c r="H503" s="19" t="s">
        <v>1358</v>
      </c>
    </row>
    <row r="504" spans="1:8">
      <c r="A504" s="19">
        <v>54</v>
      </c>
      <c r="B504" s="19" t="s">
        <v>468</v>
      </c>
      <c r="C504" s="19" t="s">
        <v>531</v>
      </c>
      <c r="D504" s="19" t="s">
        <v>241</v>
      </c>
      <c r="E504" s="19" t="s">
        <v>128</v>
      </c>
      <c r="F504" s="19" t="s">
        <v>1567</v>
      </c>
      <c r="G504" s="19" t="s">
        <v>1693</v>
      </c>
      <c r="H504" s="19" t="s">
        <v>1358</v>
      </c>
    </row>
    <row r="505" spans="1:8">
      <c r="A505" s="19">
        <v>54</v>
      </c>
      <c r="B505" s="19" t="s">
        <v>468</v>
      </c>
      <c r="C505" s="19" t="s">
        <v>531</v>
      </c>
      <c r="D505" s="19" t="s">
        <v>256</v>
      </c>
      <c r="E505" s="19" t="s">
        <v>299</v>
      </c>
      <c r="F505" s="19" t="s">
        <v>1567</v>
      </c>
      <c r="G505" s="19" t="s">
        <v>1693</v>
      </c>
      <c r="H505" s="19" t="s">
        <v>1358</v>
      </c>
    </row>
    <row r="506" spans="1:8">
      <c r="A506" s="19">
        <v>54</v>
      </c>
      <c r="B506" s="19" t="s">
        <v>468</v>
      </c>
      <c r="C506" s="19" t="s">
        <v>531</v>
      </c>
      <c r="D506" s="19" t="s">
        <v>871</v>
      </c>
      <c r="E506" s="19" t="s">
        <v>111</v>
      </c>
      <c r="F506" s="19" t="s">
        <v>1603</v>
      </c>
      <c r="G506" s="19" t="s">
        <v>1694</v>
      </c>
      <c r="H506" s="19" t="s">
        <v>1358</v>
      </c>
    </row>
    <row r="507" spans="1:8">
      <c r="A507" s="19">
        <v>54</v>
      </c>
      <c r="B507" s="19" t="s">
        <v>468</v>
      </c>
      <c r="C507" s="19" t="s">
        <v>531</v>
      </c>
      <c r="D507" s="19" t="s">
        <v>1198</v>
      </c>
      <c r="E507" s="19" t="s">
        <v>305</v>
      </c>
      <c r="F507" s="19" t="s">
        <v>1574</v>
      </c>
      <c r="G507" s="19"/>
      <c r="H507" s="60" t="s">
        <v>1360</v>
      </c>
    </row>
    <row r="508" spans="1:8">
      <c r="A508" s="19">
        <v>54</v>
      </c>
      <c r="B508" s="19" t="s">
        <v>468</v>
      </c>
      <c r="C508" s="19" t="s">
        <v>531</v>
      </c>
      <c r="D508" s="19" t="s">
        <v>1575</v>
      </c>
      <c r="E508" s="19" t="s">
        <v>1576</v>
      </c>
      <c r="F508" s="19" t="s">
        <v>1577</v>
      </c>
      <c r="G508" s="19" t="s">
        <v>1695</v>
      </c>
      <c r="H508" s="19" t="s">
        <v>1358</v>
      </c>
    </row>
    <row r="509" spans="1:8">
      <c r="A509" s="19">
        <v>54</v>
      </c>
      <c r="B509" s="19" t="s">
        <v>468</v>
      </c>
      <c r="C509" s="19" t="s">
        <v>531</v>
      </c>
      <c r="D509" s="19" t="s">
        <v>253</v>
      </c>
      <c r="E509" s="19" t="s">
        <v>297</v>
      </c>
      <c r="F509" s="19" t="s">
        <v>1460</v>
      </c>
      <c r="G509" s="19"/>
      <c r="H509" s="60" t="s">
        <v>1360</v>
      </c>
    </row>
    <row r="510" spans="1:8">
      <c r="A510" s="19">
        <v>54</v>
      </c>
      <c r="B510" s="19" t="s">
        <v>468</v>
      </c>
      <c r="C510" s="19" t="s">
        <v>531</v>
      </c>
      <c r="D510" s="19" t="s">
        <v>1377</v>
      </c>
      <c r="E510" s="19" t="s">
        <v>300</v>
      </c>
      <c r="F510" s="19" t="s">
        <v>1691</v>
      </c>
      <c r="G510" s="19" t="s">
        <v>1696</v>
      </c>
      <c r="H510" s="19" t="s">
        <v>1358</v>
      </c>
    </row>
    <row r="511" spans="1:8">
      <c r="A511" s="19">
        <v>55</v>
      </c>
      <c r="B511" s="19" t="s">
        <v>468</v>
      </c>
      <c r="C511" s="19" t="s">
        <v>535</v>
      </c>
      <c r="D511" s="19" t="s">
        <v>241</v>
      </c>
      <c r="E511" s="19" t="s">
        <v>128</v>
      </c>
      <c r="F511" s="19" t="s">
        <v>1567</v>
      </c>
      <c r="G511" s="19" t="s">
        <v>1697</v>
      </c>
      <c r="H511" s="19" t="s">
        <v>1358</v>
      </c>
    </row>
    <row r="512" spans="1:8">
      <c r="A512" s="19">
        <v>55</v>
      </c>
      <c r="B512" s="19" t="s">
        <v>468</v>
      </c>
      <c r="C512" s="19" t="s">
        <v>535</v>
      </c>
      <c r="D512" s="19" t="s">
        <v>256</v>
      </c>
      <c r="E512" s="19" t="s">
        <v>299</v>
      </c>
      <c r="F512" s="19" t="s">
        <v>1567</v>
      </c>
      <c r="G512" s="19" t="s">
        <v>1697</v>
      </c>
      <c r="H512" s="19" t="s">
        <v>1358</v>
      </c>
    </row>
    <row r="513" spans="1:8">
      <c r="A513" s="19">
        <v>55</v>
      </c>
      <c r="B513" s="19" t="s">
        <v>468</v>
      </c>
      <c r="C513" s="19" t="s">
        <v>535</v>
      </c>
      <c r="D513" s="19" t="s">
        <v>871</v>
      </c>
      <c r="E513" s="19" t="s">
        <v>111</v>
      </c>
      <c r="F513" s="19" t="s">
        <v>1603</v>
      </c>
      <c r="G513" s="19" t="s">
        <v>1698</v>
      </c>
      <c r="H513" s="19" t="s">
        <v>1358</v>
      </c>
    </row>
    <row r="514" spans="1:8">
      <c r="A514" s="19">
        <v>55</v>
      </c>
      <c r="B514" s="19" t="s">
        <v>468</v>
      </c>
      <c r="C514" s="19" t="s">
        <v>535</v>
      </c>
      <c r="D514" s="19" t="s">
        <v>1198</v>
      </c>
      <c r="E514" s="19" t="s">
        <v>305</v>
      </c>
      <c r="F514" s="19" t="s">
        <v>1574</v>
      </c>
      <c r="G514" s="19"/>
      <c r="H514" s="60" t="s">
        <v>1360</v>
      </c>
    </row>
    <row r="515" spans="1:8">
      <c r="A515" s="19">
        <v>55</v>
      </c>
      <c r="B515" s="19" t="s">
        <v>468</v>
      </c>
      <c r="C515" s="19" t="s">
        <v>535</v>
      </c>
      <c r="D515" s="19" t="s">
        <v>1575</v>
      </c>
      <c r="E515" s="19" t="s">
        <v>1576</v>
      </c>
      <c r="F515" s="19" t="s">
        <v>1577</v>
      </c>
      <c r="G515" s="19" t="s">
        <v>1699</v>
      </c>
      <c r="H515" s="19" t="s">
        <v>1358</v>
      </c>
    </row>
    <row r="516" spans="1:8">
      <c r="A516" s="19">
        <v>55</v>
      </c>
      <c r="B516" s="19" t="s">
        <v>468</v>
      </c>
      <c r="C516" s="19" t="s">
        <v>535</v>
      </c>
      <c r="D516" s="19" t="s">
        <v>253</v>
      </c>
      <c r="E516" s="19" t="s">
        <v>297</v>
      </c>
      <c r="F516" s="19" t="s">
        <v>1460</v>
      </c>
      <c r="G516" s="19"/>
      <c r="H516" s="60" t="s">
        <v>1360</v>
      </c>
    </row>
    <row r="517" spans="1:8">
      <c r="A517" s="19">
        <v>55</v>
      </c>
      <c r="B517" s="19" t="s">
        <v>468</v>
      </c>
      <c r="C517" s="19" t="s">
        <v>535</v>
      </c>
      <c r="D517" s="19" t="s">
        <v>1377</v>
      </c>
      <c r="E517" s="19" t="s">
        <v>300</v>
      </c>
      <c r="F517" s="19" t="s">
        <v>1691</v>
      </c>
      <c r="G517" s="19" t="s">
        <v>1696</v>
      </c>
      <c r="H517" s="19" t="s">
        <v>1358</v>
      </c>
    </row>
    <row r="518" spans="1:8">
      <c r="A518" s="19">
        <v>56</v>
      </c>
      <c r="B518" s="19" t="s">
        <v>468</v>
      </c>
      <c r="C518" s="19" t="s">
        <v>538</v>
      </c>
      <c r="D518" s="19" t="s">
        <v>241</v>
      </c>
      <c r="E518" s="19" t="s">
        <v>128</v>
      </c>
      <c r="F518" s="19" t="s">
        <v>1567</v>
      </c>
      <c r="G518" s="19" t="s">
        <v>1697</v>
      </c>
      <c r="H518" s="19" t="s">
        <v>1358</v>
      </c>
    </row>
    <row r="519" spans="1:8">
      <c r="A519" s="19">
        <v>56</v>
      </c>
      <c r="B519" s="19" t="s">
        <v>468</v>
      </c>
      <c r="C519" s="19" t="s">
        <v>538</v>
      </c>
      <c r="D519" s="19" t="s">
        <v>256</v>
      </c>
      <c r="E519" s="19" t="s">
        <v>299</v>
      </c>
      <c r="F519" s="19" t="s">
        <v>1567</v>
      </c>
      <c r="G519" s="19" t="s">
        <v>1697</v>
      </c>
      <c r="H519" s="19" t="s">
        <v>1358</v>
      </c>
    </row>
    <row r="520" spans="1:8">
      <c r="A520" s="19">
        <v>56</v>
      </c>
      <c r="B520" s="19" t="s">
        <v>468</v>
      </c>
      <c r="C520" s="19" t="s">
        <v>538</v>
      </c>
      <c r="D520" s="19" t="s">
        <v>871</v>
      </c>
      <c r="E520" s="19" t="s">
        <v>111</v>
      </c>
      <c r="F520" s="19" t="s">
        <v>1603</v>
      </c>
      <c r="G520" s="19" t="s">
        <v>1698</v>
      </c>
      <c r="H520" s="19" t="s">
        <v>1358</v>
      </c>
    </row>
    <row r="521" spans="1:8">
      <c r="A521" s="19">
        <v>56</v>
      </c>
      <c r="B521" s="19" t="s">
        <v>468</v>
      </c>
      <c r="C521" s="19" t="s">
        <v>538</v>
      </c>
      <c r="D521" s="19" t="s">
        <v>1198</v>
      </c>
      <c r="E521" s="19" t="s">
        <v>305</v>
      </c>
      <c r="F521" s="19" t="s">
        <v>1574</v>
      </c>
      <c r="G521" s="19"/>
      <c r="H521" s="60" t="s">
        <v>1360</v>
      </c>
    </row>
    <row r="522" spans="1:8">
      <c r="A522" s="19">
        <v>56</v>
      </c>
      <c r="B522" s="19" t="s">
        <v>468</v>
      </c>
      <c r="C522" s="19" t="s">
        <v>538</v>
      </c>
      <c r="D522" s="19" t="s">
        <v>1575</v>
      </c>
      <c r="E522" s="19" t="s">
        <v>1576</v>
      </c>
      <c r="F522" s="19" t="s">
        <v>1577</v>
      </c>
      <c r="G522" s="19" t="s">
        <v>1699</v>
      </c>
      <c r="H522" s="19" t="s">
        <v>1358</v>
      </c>
    </row>
    <row r="523" spans="1:8">
      <c r="A523" s="19">
        <v>56</v>
      </c>
      <c r="B523" s="19" t="s">
        <v>468</v>
      </c>
      <c r="C523" s="19" t="s">
        <v>538</v>
      </c>
      <c r="D523" s="19" t="s">
        <v>253</v>
      </c>
      <c r="E523" s="19" t="s">
        <v>297</v>
      </c>
      <c r="F523" s="19" t="s">
        <v>1460</v>
      </c>
      <c r="G523" s="19"/>
      <c r="H523" s="60" t="s">
        <v>1360</v>
      </c>
    </row>
    <row r="524" spans="1:8">
      <c r="A524" s="19">
        <v>56</v>
      </c>
      <c r="B524" s="19" t="s">
        <v>468</v>
      </c>
      <c r="C524" s="19" t="s">
        <v>538</v>
      </c>
      <c r="D524" s="19" t="s">
        <v>1377</v>
      </c>
      <c r="E524" s="19" t="s">
        <v>300</v>
      </c>
      <c r="F524" s="19" t="s">
        <v>1691</v>
      </c>
      <c r="G524" s="19" t="s">
        <v>1696</v>
      </c>
      <c r="H524" s="19" t="s">
        <v>1358</v>
      </c>
    </row>
    <row r="525" spans="1:8">
      <c r="A525" s="19">
        <v>57</v>
      </c>
      <c r="B525" s="19" t="s">
        <v>468</v>
      </c>
      <c r="C525" s="19" t="s">
        <v>542</v>
      </c>
      <c r="D525" s="19" t="s">
        <v>256</v>
      </c>
      <c r="E525" s="19" t="s">
        <v>485</v>
      </c>
      <c r="F525" s="19" t="s">
        <v>1591</v>
      </c>
      <c r="G525" s="19" t="s">
        <v>1700</v>
      </c>
      <c r="H525" s="19" t="s">
        <v>1358</v>
      </c>
    </row>
    <row r="526" spans="1:8">
      <c r="A526" s="19">
        <v>57</v>
      </c>
      <c r="B526" s="19" t="s">
        <v>468</v>
      </c>
      <c r="C526" s="19" t="s">
        <v>542</v>
      </c>
      <c r="D526" s="19" t="s">
        <v>871</v>
      </c>
      <c r="E526" s="19" t="s">
        <v>107</v>
      </c>
      <c r="F526" s="19" t="s">
        <v>1569</v>
      </c>
      <c r="G526" s="19" t="s">
        <v>1701</v>
      </c>
      <c r="H526" s="19" t="s">
        <v>1358</v>
      </c>
    </row>
    <row r="527" spans="1:8">
      <c r="A527" s="19">
        <v>57</v>
      </c>
      <c r="B527" s="19" t="s">
        <v>468</v>
      </c>
      <c r="C527" s="19" t="s">
        <v>542</v>
      </c>
      <c r="D527" s="19" t="s">
        <v>1198</v>
      </c>
      <c r="E527" s="19" t="s">
        <v>305</v>
      </c>
      <c r="F527" s="19" t="s">
        <v>1574</v>
      </c>
      <c r="G527" s="19"/>
      <c r="H527" s="60" t="s">
        <v>1360</v>
      </c>
    </row>
    <row r="528" spans="1:8">
      <c r="A528" s="19">
        <v>57</v>
      </c>
      <c r="B528" s="19" t="s">
        <v>468</v>
      </c>
      <c r="C528" s="19" t="s">
        <v>542</v>
      </c>
      <c r="D528" s="19" t="s">
        <v>1575</v>
      </c>
      <c r="E528" s="19" t="s">
        <v>1596</v>
      </c>
      <c r="F528" s="19" t="s">
        <v>1597</v>
      </c>
      <c r="G528" s="19" t="s">
        <v>1702</v>
      </c>
      <c r="H528" s="19" t="s">
        <v>1358</v>
      </c>
    </row>
    <row r="529" spans="1:8">
      <c r="A529" s="19">
        <v>57</v>
      </c>
      <c r="B529" s="19" t="s">
        <v>468</v>
      </c>
      <c r="C529" s="19" t="s">
        <v>542</v>
      </c>
      <c r="D529" s="19" t="s">
        <v>253</v>
      </c>
      <c r="E529" s="19" t="s">
        <v>297</v>
      </c>
      <c r="F529" s="19" t="s">
        <v>1460</v>
      </c>
      <c r="G529" s="19"/>
      <c r="H529" s="60" t="s">
        <v>1360</v>
      </c>
    </row>
    <row r="530" spans="1:8">
      <c r="A530" s="19">
        <v>57</v>
      </c>
      <c r="B530" s="19" t="s">
        <v>468</v>
      </c>
      <c r="C530" s="19" t="s">
        <v>542</v>
      </c>
      <c r="D530" s="19" t="s">
        <v>1377</v>
      </c>
      <c r="E530" s="19" t="s">
        <v>300</v>
      </c>
      <c r="F530" s="19" t="s">
        <v>1691</v>
      </c>
      <c r="G530" s="19" t="s">
        <v>1696</v>
      </c>
      <c r="H530" s="19" t="s">
        <v>1358</v>
      </c>
    </row>
    <row r="531" spans="1:8">
      <c r="A531" s="19">
        <v>58</v>
      </c>
      <c r="B531" s="19" t="s">
        <v>468</v>
      </c>
      <c r="C531" s="19" t="s">
        <v>546</v>
      </c>
      <c r="D531" s="19" t="s">
        <v>256</v>
      </c>
      <c r="E531" s="19" t="s">
        <v>343</v>
      </c>
      <c r="F531" s="19" t="s">
        <v>1703</v>
      </c>
      <c r="G531" s="19" t="s">
        <v>1704</v>
      </c>
      <c r="H531" s="19" t="s">
        <v>1358</v>
      </c>
    </row>
    <row r="532" spans="1:8">
      <c r="A532" s="19">
        <v>58</v>
      </c>
      <c r="B532" s="19" t="s">
        <v>468</v>
      </c>
      <c r="C532" s="19" t="s">
        <v>546</v>
      </c>
      <c r="D532" s="19" t="s">
        <v>871</v>
      </c>
      <c r="E532" s="19" t="s">
        <v>111</v>
      </c>
      <c r="F532" s="19" t="s">
        <v>1603</v>
      </c>
      <c r="G532" s="19" t="s">
        <v>1705</v>
      </c>
      <c r="H532" s="19" t="s">
        <v>1358</v>
      </c>
    </row>
    <row r="533" spans="1:8">
      <c r="A533" s="19">
        <v>58</v>
      </c>
      <c r="B533" s="19" t="s">
        <v>468</v>
      </c>
      <c r="C533" s="19" t="s">
        <v>546</v>
      </c>
      <c r="D533" s="19" t="s">
        <v>1198</v>
      </c>
      <c r="E533" s="19" t="s">
        <v>305</v>
      </c>
      <c r="F533" s="19" t="s">
        <v>1574</v>
      </c>
      <c r="G533" s="19"/>
      <c r="H533" s="60" t="s">
        <v>1360</v>
      </c>
    </row>
    <row r="534" spans="1:8">
      <c r="A534" s="19">
        <v>58</v>
      </c>
      <c r="B534" s="19" t="s">
        <v>468</v>
      </c>
      <c r="C534" s="19" t="s">
        <v>546</v>
      </c>
      <c r="D534" s="19" t="s">
        <v>1575</v>
      </c>
      <c r="E534" s="19" t="s">
        <v>1576</v>
      </c>
      <c r="F534" s="19" t="s">
        <v>1577</v>
      </c>
      <c r="G534" s="19" t="s">
        <v>1706</v>
      </c>
      <c r="H534" s="19" t="s">
        <v>1358</v>
      </c>
    </row>
    <row r="535" spans="1:8">
      <c r="A535" s="19">
        <v>58</v>
      </c>
      <c r="B535" s="19" t="s">
        <v>468</v>
      </c>
      <c r="C535" s="19" t="s">
        <v>546</v>
      </c>
      <c r="D535" s="19" t="s">
        <v>253</v>
      </c>
      <c r="E535" s="19" t="s">
        <v>297</v>
      </c>
      <c r="F535" s="19" t="s">
        <v>1460</v>
      </c>
      <c r="G535" s="19"/>
      <c r="H535" s="60" t="s">
        <v>1360</v>
      </c>
    </row>
    <row r="536" spans="1:8">
      <c r="A536" s="19">
        <v>58</v>
      </c>
      <c r="B536" s="19" t="s">
        <v>468</v>
      </c>
      <c r="C536" s="19" t="s">
        <v>546</v>
      </c>
      <c r="D536" s="19" t="s">
        <v>1377</v>
      </c>
      <c r="E536" s="19" t="s">
        <v>300</v>
      </c>
      <c r="F536" s="19" t="s">
        <v>1691</v>
      </c>
      <c r="G536" s="19" t="s">
        <v>1707</v>
      </c>
      <c r="H536" s="19" t="s">
        <v>1358</v>
      </c>
    </row>
    <row r="537" spans="1:8">
      <c r="A537" s="19">
        <v>59</v>
      </c>
      <c r="B537" s="19" t="s">
        <v>550</v>
      </c>
      <c r="C537" s="19" t="s">
        <v>551</v>
      </c>
      <c r="D537" s="19" t="s">
        <v>238</v>
      </c>
      <c r="E537" s="19" t="s">
        <v>467</v>
      </c>
      <c r="F537" s="19" t="s">
        <v>467</v>
      </c>
      <c r="G537" s="19" t="s">
        <v>1708</v>
      </c>
      <c r="H537" s="19" t="s">
        <v>1358</v>
      </c>
    </row>
    <row r="538" spans="1:8">
      <c r="A538" s="19">
        <v>59</v>
      </c>
      <c r="B538" s="19" t="s">
        <v>550</v>
      </c>
      <c r="C538" s="19" t="s">
        <v>551</v>
      </c>
      <c r="D538" s="19" t="s">
        <v>255</v>
      </c>
      <c r="E538" s="19">
        <v>3</v>
      </c>
      <c r="F538" s="19">
        <v>3</v>
      </c>
      <c r="G538" s="19" t="s">
        <v>1709</v>
      </c>
      <c r="H538" s="19" t="s">
        <v>1358</v>
      </c>
    </row>
    <row r="539" spans="1:8">
      <c r="A539" s="19">
        <v>59</v>
      </c>
      <c r="B539" s="19" t="s">
        <v>550</v>
      </c>
      <c r="C539" s="19" t="s">
        <v>551</v>
      </c>
      <c r="D539" s="19" t="s">
        <v>241</v>
      </c>
      <c r="E539" s="19" t="s">
        <v>128</v>
      </c>
      <c r="F539" s="19" t="s">
        <v>1567</v>
      </c>
      <c r="G539" s="19" t="s">
        <v>1710</v>
      </c>
      <c r="H539" s="19" t="s">
        <v>1358</v>
      </c>
    </row>
    <row r="540" spans="1:8">
      <c r="A540" s="19">
        <v>59</v>
      </c>
      <c r="B540" s="19" t="s">
        <v>550</v>
      </c>
      <c r="C540" s="19" t="s">
        <v>551</v>
      </c>
      <c r="D540" s="19" t="s">
        <v>256</v>
      </c>
      <c r="E540" s="19" t="s">
        <v>299</v>
      </c>
      <c r="F540" s="19" t="s">
        <v>1567</v>
      </c>
      <c r="G540" s="19" t="s">
        <v>1710</v>
      </c>
      <c r="H540" s="19" t="s">
        <v>1358</v>
      </c>
    </row>
    <row r="541" spans="1:8">
      <c r="A541" s="19">
        <v>59</v>
      </c>
      <c r="B541" s="19" t="s">
        <v>550</v>
      </c>
      <c r="C541" s="19" t="s">
        <v>551</v>
      </c>
      <c r="D541" s="19" t="s">
        <v>871</v>
      </c>
      <c r="E541" s="19" t="s">
        <v>107</v>
      </c>
      <c r="F541" s="19" t="s">
        <v>1569</v>
      </c>
      <c r="G541" s="19" t="s">
        <v>1711</v>
      </c>
      <c r="H541" s="19" t="s">
        <v>1358</v>
      </c>
    </row>
    <row r="542" spans="1:8">
      <c r="A542" s="19">
        <v>59</v>
      </c>
      <c r="B542" s="19" t="s">
        <v>550</v>
      </c>
      <c r="C542" s="19" t="s">
        <v>551</v>
      </c>
      <c r="D542" s="19" t="s">
        <v>243</v>
      </c>
      <c r="E542" s="19">
        <v>186</v>
      </c>
      <c r="F542" s="19">
        <v>186</v>
      </c>
      <c r="G542" s="19" t="s">
        <v>1712</v>
      </c>
      <c r="H542" s="19" t="s">
        <v>1358</v>
      </c>
    </row>
    <row r="543" spans="1:8">
      <c r="A543" s="19">
        <v>59</v>
      </c>
      <c r="B543" s="19" t="s">
        <v>550</v>
      </c>
      <c r="C543" s="19" t="s">
        <v>551</v>
      </c>
      <c r="D543" s="19" t="s">
        <v>244</v>
      </c>
      <c r="E543" s="19">
        <v>33.4</v>
      </c>
      <c r="F543" s="19">
        <v>33.4</v>
      </c>
      <c r="G543" s="19" t="s">
        <v>1713</v>
      </c>
      <c r="H543" s="19" t="s">
        <v>1358</v>
      </c>
    </row>
    <row r="544" spans="1:8">
      <c r="A544" s="19">
        <v>59</v>
      </c>
      <c r="B544" s="19" t="s">
        <v>550</v>
      </c>
      <c r="C544" s="19" t="s">
        <v>551</v>
      </c>
      <c r="D544" s="19" t="s">
        <v>257</v>
      </c>
      <c r="E544" s="19">
        <v>3.9</v>
      </c>
      <c r="F544" s="19">
        <v>3.9</v>
      </c>
      <c r="G544" s="19" t="s">
        <v>1714</v>
      </c>
      <c r="H544" s="19" t="s">
        <v>1358</v>
      </c>
    </row>
    <row r="545" spans="1:8">
      <c r="A545" s="19">
        <v>59</v>
      </c>
      <c r="B545" s="19" t="s">
        <v>550</v>
      </c>
      <c r="C545" s="19" t="s">
        <v>551</v>
      </c>
      <c r="D545" s="19" t="s">
        <v>1198</v>
      </c>
      <c r="E545" s="19" t="s">
        <v>361</v>
      </c>
      <c r="F545" s="19" t="s">
        <v>361</v>
      </c>
      <c r="G545" s="19" t="s">
        <v>1715</v>
      </c>
      <c r="H545" s="19" t="s">
        <v>1358</v>
      </c>
    </row>
    <row r="546" spans="1:8">
      <c r="A546" s="19">
        <v>59</v>
      </c>
      <c r="B546" s="19" t="s">
        <v>550</v>
      </c>
      <c r="C546" s="19" t="s">
        <v>551</v>
      </c>
      <c r="D546" s="19" t="s">
        <v>1575</v>
      </c>
      <c r="E546" s="19" t="s">
        <v>1576</v>
      </c>
      <c r="F546" s="19" t="s">
        <v>1577</v>
      </c>
      <c r="G546" s="19" t="s">
        <v>1716</v>
      </c>
      <c r="H546" s="19" t="s">
        <v>1358</v>
      </c>
    </row>
    <row r="547" spans="1:8">
      <c r="A547" s="19">
        <v>59</v>
      </c>
      <c r="B547" s="19" t="s">
        <v>550</v>
      </c>
      <c r="C547" s="19" t="s">
        <v>551</v>
      </c>
      <c r="D547" s="19" t="s">
        <v>253</v>
      </c>
      <c r="E547" s="19" t="s">
        <v>297</v>
      </c>
      <c r="F547" s="19" t="s">
        <v>1460</v>
      </c>
      <c r="G547" s="19"/>
      <c r="H547" s="60" t="s">
        <v>1360</v>
      </c>
    </row>
    <row r="548" spans="1:8">
      <c r="A548" s="19">
        <v>59</v>
      </c>
      <c r="B548" s="19" t="s">
        <v>550</v>
      </c>
      <c r="C548" s="19" t="s">
        <v>551</v>
      </c>
      <c r="D548" s="19" t="s">
        <v>914</v>
      </c>
      <c r="E548" s="19" t="s">
        <v>355</v>
      </c>
      <c r="F548" s="19" t="s">
        <v>355</v>
      </c>
      <c r="G548" s="19" t="s">
        <v>1717</v>
      </c>
      <c r="H548" s="19" t="s">
        <v>1358</v>
      </c>
    </row>
    <row r="549" spans="1:8">
      <c r="A549" s="19">
        <v>59</v>
      </c>
      <c r="B549" s="19" t="s">
        <v>550</v>
      </c>
      <c r="C549" s="19" t="s">
        <v>551</v>
      </c>
      <c r="D549" s="19" t="s">
        <v>1377</v>
      </c>
      <c r="E549" s="19">
        <v>55000</v>
      </c>
      <c r="F549" s="19">
        <v>55000</v>
      </c>
      <c r="G549" s="19" t="s">
        <v>1717</v>
      </c>
      <c r="H549" s="19" t="s">
        <v>1358</v>
      </c>
    </row>
    <row r="550" spans="1:8">
      <c r="A550" s="19">
        <v>60</v>
      </c>
      <c r="B550" s="19" t="s">
        <v>550</v>
      </c>
      <c r="C550" s="19" t="s">
        <v>555</v>
      </c>
      <c r="D550" s="19" t="s">
        <v>238</v>
      </c>
      <c r="E550" s="19" t="s">
        <v>554</v>
      </c>
      <c r="F550" s="19" t="s">
        <v>554</v>
      </c>
      <c r="G550" s="19" t="s">
        <v>1718</v>
      </c>
      <c r="H550" s="19" t="s">
        <v>1364</v>
      </c>
    </row>
    <row r="551" spans="1:8">
      <c r="A551" s="19">
        <v>60</v>
      </c>
      <c r="B551" s="19" t="s">
        <v>550</v>
      </c>
      <c r="C551" s="19" t="s">
        <v>555</v>
      </c>
      <c r="D551" s="19" t="s">
        <v>255</v>
      </c>
      <c r="E551" s="19">
        <v>2</v>
      </c>
      <c r="F551" s="19">
        <v>2</v>
      </c>
      <c r="G551" s="19" t="s">
        <v>1719</v>
      </c>
      <c r="H551" s="19" t="s">
        <v>1358</v>
      </c>
    </row>
    <row r="552" spans="1:8">
      <c r="A552" s="19">
        <v>60</v>
      </c>
      <c r="B552" s="19" t="s">
        <v>550</v>
      </c>
      <c r="C552" s="19" t="s">
        <v>555</v>
      </c>
      <c r="D552" s="19" t="s">
        <v>241</v>
      </c>
      <c r="E552" s="19" t="s">
        <v>128</v>
      </c>
      <c r="F552" s="19" t="s">
        <v>1567</v>
      </c>
      <c r="G552" s="19" t="s">
        <v>1720</v>
      </c>
      <c r="H552" s="19" t="s">
        <v>1358</v>
      </c>
    </row>
    <row r="553" spans="1:8">
      <c r="A553" s="19">
        <v>60</v>
      </c>
      <c r="B553" s="19" t="s">
        <v>550</v>
      </c>
      <c r="C553" s="19" t="s">
        <v>555</v>
      </c>
      <c r="D553" s="19" t="s">
        <v>256</v>
      </c>
      <c r="E553" s="19" t="s">
        <v>299</v>
      </c>
      <c r="F553" s="19" t="s">
        <v>1567</v>
      </c>
      <c r="G553" s="19" t="s">
        <v>1720</v>
      </c>
      <c r="H553" s="19" t="s">
        <v>1358</v>
      </c>
    </row>
    <row r="554" spans="1:8">
      <c r="A554" s="19">
        <v>60</v>
      </c>
      <c r="B554" s="19" t="s">
        <v>550</v>
      </c>
      <c r="C554" s="19" t="s">
        <v>555</v>
      </c>
      <c r="D554" s="19" t="s">
        <v>871</v>
      </c>
      <c r="E554" s="19" t="s">
        <v>107</v>
      </c>
      <c r="F554" s="19" t="s">
        <v>1569</v>
      </c>
      <c r="G554" s="19" t="s">
        <v>1721</v>
      </c>
      <c r="H554" s="19" t="s">
        <v>1358</v>
      </c>
    </row>
    <row r="555" spans="1:8">
      <c r="A555" s="19">
        <v>60</v>
      </c>
      <c r="B555" s="19" t="s">
        <v>550</v>
      </c>
      <c r="C555" s="19" t="s">
        <v>555</v>
      </c>
      <c r="D555" s="19" t="s">
        <v>243</v>
      </c>
      <c r="E555" s="19">
        <v>37</v>
      </c>
      <c r="F555" s="19">
        <v>37</v>
      </c>
      <c r="G555" s="19" t="s">
        <v>1722</v>
      </c>
      <c r="H555" s="19" t="s">
        <v>1358</v>
      </c>
    </row>
    <row r="556" spans="1:8">
      <c r="A556" s="19">
        <v>60</v>
      </c>
      <c r="B556" s="19" t="s">
        <v>550</v>
      </c>
      <c r="C556" s="19" t="s">
        <v>555</v>
      </c>
      <c r="D556" s="19" t="s">
        <v>244</v>
      </c>
      <c r="E556" s="19">
        <v>39</v>
      </c>
      <c r="F556" s="19">
        <v>39</v>
      </c>
      <c r="G556" s="19" t="s">
        <v>1723</v>
      </c>
      <c r="H556" s="19" t="s">
        <v>1358</v>
      </c>
    </row>
    <row r="557" spans="1:8">
      <c r="A557" s="19">
        <v>60</v>
      </c>
      <c r="B557" s="19" t="s">
        <v>550</v>
      </c>
      <c r="C557" s="19" t="s">
        <v>555</v>
      </c>
      <c r="D557" s="19" t="s">
        <v>257</v>
      </c>
      <c r="E557" s="19">
        <v>5.4</v>
      </c>
      <c r="F557" s="19">
        <v>5.4</v>
      </c>
      <c r="G557" s="19" t="s">
        <v>1724</v>
      </c>
      <c r="H557" s="19" t="s">
        <v>1358</v>
      </c>
    </row>
    <row r="558" spans="1:8">
      <c r="A558" s="19">
        <v>60</v>
      </c>
      <c r="B558" s="19" t="s">
        <v>550</v>
      </c>
      <c r="C558" s="19" t="s">
        <v>555</v>
      </c>
      <c r="D558" s="19" t="s">
        <v>1198</v>
      </c>
      <c r="E558" s="19" t="s">
        <v>361</v>
      </c>
      <c r="F558" s="19" t="s">
        <v>361</v>
      </c>
      <c r="G558" s="19" t="s">
        <v>1725</v>
      </c>
      <c r="H558" s="19" t="s">
        <v>1358</v>
      </c>
    </row>
    <row r="559" spans="1:8">
      <c r="A559" s="19">
        <v>60</v>
      </c>
      <c r="B559" s="19" t="s">
        <v>550</v>
      </c>
      <c r="C559" s="19" t="s">
        <v>555</v>
      </c>
      <c r="D559" s="19" t="s">
        <v>1575</v>
      </c>
      <c r="E559" s="19" t="s">
        <v>1576</v>
      </c>
      <c r="F559" s="19" t="s">
        <v>1577</v>
      </c>
      <c r="G559" s="19" t="s">
        <v>1726</v>
      </c>
      <c r="H559" s="19" t="s">
        <v>1358</v>
      </c>
    </row>
    <row r="560" spans="1:8">
      <c r="A560" s="19">
        <v>60</v>
      </c>
      <c r="B560" s="19" t="s">
        <v>550</v>
      </c>
      <c r="C560" s="19" t="s">
        <v>555</v>
      </c>
      <c r="D560" s="19" t="s">
        <v>253</v>
      </c>
      <c r="E560" s="19" t="s">
        <v>297</v>
      </c>
      <c r="F560" s="19" t="s">
        <v>1460</v>
      </c>
      <c r="G560" s="19"/>
      <c r="H560" s="60" t="s">
        <v>1360</v>
      </c>
    </row>
    <row r="561" spans="1:8">
      <c r="A561" s="19">
        <v>60</v>
      </c>
      <c r="B561" s="19" t="s">
        <v>550</v>
      </c>
      <c r="C561" s="19" t="s">
        <v>555</v>
      </c>
      <c r="D561" s="19" t="s">
        <v>914</v>
      </c>
      <c r="E561" s="19" t="s">
        <v>355</v>
      </c>
      <c r="F561" s="19" t="s">
        <v>355</v>
      </c>
      <c r="G561" s="19" t="s">
        <v>1727</v>
      </c>
      <c r="H561" s="19" t="s">
        <v>1358</v>
      </c>
    </row>
    <row r="562" spans="1:8">
      <c r="A562" s="19">
        <v>60</v>
      </c>
      <c r="B562" s="19" t="s">
        <v>550</v>
      </c>
      <c r="C562" s="19" t="s">
        <v>555</v>
      </c>
      <c r="D562" s="19" t="s">
        <v>1377</v>
      </c>
      <c r="E562" s="19">
        <v>15000</v>
      </c>
      <c r="F562" s="19">
        <v>15000</v>
      </c>
      <c r="G562" s="19" t="s">
        <v>1727</v>
      </c>
      <c r="H562" s="19" t="s">
        <v>1358</v>
      </c>
    </row>
    <row r="563" spans="1:8">
      <c r="A563" s="19">
        <v>61</v>
      </c>
      <c r="B563" s="19" t="s">
        <v>550</v>
      </c>
      <c r="C563" s="19" t="s">
        <v>558</v>
      </c>
      <c r="D563" s="19" t="s">
        <v>238</v>
      </c>
      <c r="E563" s="19" t="s">
        <v>477</v>
      </c>
      <c r="F563" s="19" t="s">
        <v>477</v>
      </c>
      <c r="G563" s="19" t="s">
        <v>1728</v>
      </c>
      <c r="H563" s="19" t="s">
        <v>1358</v>
      </c>
    </row>
    <row r="564" spans="1:8">
      <c r="A564" s="19">
        <v>61</v>
      </c>
      <c r="B564" s="19" t="s">
        <v>550</v>
      </c>
      <c r="C564" s="19" t="s">
        <v>558</v>
      </c>
      <c r="D564" s="19" t="s">
        <v>255</v>
      </c>
      <c r="E564" s="19">
        <v>3</v>
      </c>
      <c r="F564" s="19">
        <v>3</v>
      </c>
      <c r="G564" s="19" t="s">
        <v>1729</v>
      </c>
      <c r="H564" s="19" t="s">
        <v>1358</v>
      </c>
    </row>
    <row r="565" spans="1:8">
      <c r="A565" s="19">
        <v>61</v>
      </c>
      <c r="B565" s="19" t="s">
        <v>550</v>
      </c>
      <c r="C565" s="19" t="s">
        <v>558</v>
      </c>
      <c r="D565" s="19" t="s">
        <v>241</v>
      </c>
      <c r="E565" s="19" t="s">
        <v>128</v>
      </c>
      <c r="F565" s="19" t="s">
        <v>1567</v>
      </c>
      <c r="G565" s="19" t="s">
        <v>1730</v>
      </c>
      <c r="H565" s="19" t="s">
        <v>1358</v>
      </c>
    </row>
    <row r="566" spans="1:8">
      <c r="A566" s="19">
        <v>61</v>
      </c>
      <c r="B566" s="19" t="s">
        <v>550</v>
      </c>
      <c r="C566" s="19" t="s">
        <v>558</v>
      </c>
      <c r="D566" s="19" t="s">
        <v>256</v>
      </c>
      <c r="E566" s="19" t="s">
        <v>299</v>
      </c>
      <c r="F566" s="19" t="s">
        <v>1567</v>
      </c>
      <c r="G566" s="19" t="s">
        <v>1730</v>
      </c>
      <c r="H566" s="19" t="s">
        <v>1358</v>
      </c>
    </row>
    <row r="567" spans="1:8">
      <c r="A567" s="19">
        <v>61</v>
      </c>
      <c r="B567" s="19" t="s">
        <v>550</v>
      </c>
      <c r="C567" s="19" t="s">
        <v>558</v>
      </c>
      <c r="D567" s="19" t="s">
        <v>871</v>
      </c>
      <c r="E567" s="19" t="s">
        <v>107</v>
      </c>
      <c r="F567" s="19" t="s">
        <v>1569</v>
      </c>
      <c r="G567" s="19" t="s">
        <v>1731</v>
      </c>
      <c r="H567" s="19" t="s">
        <v>1358</v>
      </c>
    </row>
    <row r="568" spans="1:8">
      <c r="A568" s="19">
        <v>61</v>
      </c>
      <c r="B568" s="19" t="s">
        <v>550</v>
      </c>
      <c r="C568" s="19" t="s">
        <v>558</v>
      </c>
      <c r="D568" s="19" t="s">
        <v>243</v>
      </c>
      <c r="E568" s="19">
        <v>173</v>
      </c>
      <c r="F568" s="19">
        <v>173</v>
      </c>
      <c r="G568" s="19" t="s">
        <v>1732</v>
      </c>
      <c r="H568" s="19" t="s">
        <v>1358</v>
      </c>
    </row>
    <row r="569" spans="1:8">
      <c r="A569" s="19">
        <v>61</v>
      </c>
      <c r="B569" s="19" t="s">
        <v>550</v>
      </c>
      <c r="C569" s="19" t="s">
        <v>558</v>
      </c>
      <c r="D569" s="19" t="s">
        <v>244</v>
      </c>
      <c r="E569" s="19">
        <v>186.3</v>
      </c>
      <c r="F569" s="19">
        <v>186.3</v>
      </c>
      <c r="G569" s="19" t="s">
        <v>1733</v>
      </c>
      <c r="H569" s="19" t="s">
        <v>1358</v>
      </c>
    </row>
    <row r="570" spans="1:8">
      <c r="A570" s="19">
        <v>61</v>
      </c>
      <c r="B570" s="19" t="s">
        <v>550</v>
      </c>
      <c r="C570" s="19" t="s">
        <v>558</v>
      </c>
      <c r="D570" s="19" t="s">
        <v>257</v>
      </c>
      <c r="E570" s="19">
        <v>18</v>
      </c>
      <c r="F570" s="19">
        <v>18</v>
      </c>
      <c r="G570" s="19" t="s">
        <v>1734</v>
      </c>
      <c r="H570" s="19" t="s">
        <v>1358</v>
      </c>
    </row>
    <row r="571" spans="1:8">
      <c r="A571" s="19">
        <v>61</v>
      </c>
      <c r="B571" s="19" t="s">
        <v>550</v>
      </c>
      <c r="C571" s="19" t="s">
        <v>558</v>
      </c>
      <c r="D571" s="19" t="s">
        <v>1198</v>
      </c>
      <c r="E571" s="19" t="s">
        <v>361</v>
      </c>
      <c r="F571" s="19" t="s">
        <v>361</v>
      </c>
      <c r="G571" s="19" t="s">
        <v>1735</v>
      </c>
      <c r="H571" s="19" t="s">
        <v>1358</v>
      </c>
    </row>
    <row r="572" spans="1:8">
      <c r="A572" s="19">
        <v>61</v>
      </c>
      <c r="B572" s="19" t="s">
        <v>550</v>
      </c>
      <c r="C572" s="19" t="s">
        <v>558</v>
      </c>
      <c r="D572" s="19" t="s">
        <v>1575</v>
      </c>
      <c r="E572" s="19" t="s">
        <v>1576</v>
      </c>
      <c r="F572" s="19" t="s">
        <v>1577</v>
      </c>
      <c r="G572" s="19" t="s">
        <v>1736</v>
      </c>
      <c r="H572" s="19" t="s">
        <v>1358</v>
      </c>
    </row>
    <row r="573" spans="1:8">
      <c r="A573" s="19">
        <v>61</v>
      </c>
      <c r="B573" s="19" t="s">
        <v>550</v>
      </c>
      <c r="C573" s="19" t="s">
        <v>558</v>
      </c>
      <c r="D573" s="19" t="s">
        <v>253</v>
      </c>
      <c r="E573" s="19" t="s">
        <v>297</v>
      </c>
      <c r="F573" s="19" t="s">
        <v>1460</v>
      </c>
      <c r="G573" s="19"/>
      <c r="H573" s="60" t="s">
        <v>1360</v>
      </c>
    </row>
    <row r="574" spans="1:8">
      <c r="A574" s="19">
        <v>61</v>
      </c>
      <c r="B574" s="19" t="s">
        <v>550</v>
      </c>
      <c r="C574" s="19" t="s">
        <v>558</v>
      </c>
      <c r="D574" s="19" t="s">
        <v>914</v>
      </c>
      <c r="E574" s="19" t="s">
        <v>355</v>
      </c>
      <c r="F574" s="19" t="s">
        <v>355</v>
      </c>
      <c r="G574" s="19" t="s">
        <v>1737</v>
      </c>
      <c r="H574" s="19" t="s">
        <v>1358</v>
      </c>
    </row>
    <row r="575" spans="1:8">
      <c r="A575" s="19">
        <v>61</v>
      </c>
      <c r="B575" s="19" t="s">
        <v>550</v>
      </c>
      <c r="C575" s="19" t="s">
        <v>558</v>
      </c>
      <c r="D575" s="19" t="s">
        <v>1377</v>
      </c>
      <c r="E575" s="19">
        <v>60000</v>
      </c>
      <c r="F575" s="19">
        <v>60000</v>
      </c>
      <c r="G575" s="19" t="s">
        <v>1737</v>
      </c>
      <c r="H575" s="19" t="s">
        <v>1358</v>
      </c>
    </row>
    <row r="576" spans="1:8">
      <c r="A576" s="19">
        <v>62</v>
      </c>
      <c r="B576" s="19" t="s">
        <v>550</v>
      </c>
      <c r="C576" s="19" t="s">
        <v>561</v>
      </c>
      <c r="D576" s="19" t="s">
        <v>238</v>
      </c>
      <c r="E576" s="19" t="s">
        <v>481</v>
      </c>
      <c r="F576" s="19" t="s">
        <v>481</v>
      </c>
      <c r="G576" s="19" t="s">
        <v>1738</v>
      </c>
      <c r="H576" s="19" t="s">
        <v>1358</v>
      </c>
    </row>
    <row r="577" spans="1:8">
      <c r="A577" s="19">
        <v>62</v>
      </c>
      <c r="B577" s="19" t="s">
        <v>550</v>
      </c>
      <c r="C577" s="19" t="s">
        <v>561</v>
      </c>
      <c r="D577" s="19" t="s">
        <v>255</v>
      </c>
      <c r="E577" s="19">
        <v>2</v>
      </c>
      <c r="F577" s="19">
        <v>2</v>
      </c>
      <c r="G577" s="19" t="s">
        <v>1739</v>
      </c>
      <c r="H577" s="19" t="s">
        <v>1358</v>
      </c>
    </row>
    <row r="578" spans="1:8">
      <c r="A578" s="19">
        <v>62</v>
      </c>
      <c r="B578" s="19" t="s">
        <v>550</v>
      </c>
      <c r="C578" s="19" t="s">
        <v>561</v>
      </c>
      <c r="D578" s="19" t="s">
        <v>256</v>
      </c>
      <c r="E578" s="19" t="s">
        <v>485</v>
      </c>
      <c r="F578" s="19" t="s">
        <v>1591</v>
      </c>
      <c r="G578" s="19" t="s">
        <v>1740</v>
      </c>
      <c r="H578" s="19" t="s">
        <v>1358</v>
      </c>
    </row>
    <row r="579" spans="1:8">
      <c r="A579" s="19">
        <v>62</v>
      </c>
      <c r="B579" s="19" t="s">
        <v>550</v>
      </c>
      <c r="C579" s="19" t="s">
        <v>561</v>
      </c>
      <c r="D579" s="19" t="s">
        <v>871</v>
      </c>
      <c r="E579" s="19" t="s">
        <v>107</v>
      </c>
      <c r="F579" s="19" t="s">
        <v>1569</v>
      </c>
      <c r="G579" s="19" t="s">
        <v>1741</v>
      </c>
      <c r="H579" s="19" t="s">
        <v>1358</v>
      </c>
    </row>
    <row r="580" spans="1:8">
      <c r="A580" s="19">
        <v>62</v>
      </c>
      <c r="B580" s="19" t="s">
        <v>550</v>
      </c>
      <c r="C580" s="19" t="s">
        <v>561</v>
      </c>
      <c r="D580" s="19" t="s">
        <v>243</v>
      </c>
      <c r="E580" s="19">
        <v>5</v>
      </c>
      <c r="F580" s="19">
        <v>5</v>
      </c>
      <c r="G580" s="19" t="s">
        <v>1742</v>
      </c>
      <c r="H580" s="19" t="s">
        <v>1358</v>
      </c>
    </row>
    <row r="581" spans="1:8">
      <c r="A581" s="19">
        <v>62</v>
      </c>
      <c r="B581" s="19" t="s">
        <v>550</v>
      </c>
      <c r="C581" s="19" t="s">
        <v>561</v>
      </c>
      <c r="D581" s="19" t="s">
        <v>257</v>
      </c>
      <c r="E581" s="19">
        <v>6.5</v>
      </c>
      <c r="F581" s="19">
        <v>6.5</v>
      </c>
      <c r="G581" s="19" t="s">
        <v>1743</v>
      </c>
      <c r="H581" s="19" t="s">
        <v>1358</v>
      </c>
    </row>
    <row r="582" spans="1:8">
      <c r="A582" s="19">
        <v>62</v>
      </c>
      <c r="B582" s="19" t="s">
        <v>550</v>
      </c>
      <c r="C582" s="19" t="s">
        <v>561</v>
      </c>
      <c r="D582" s="19" t="s">
        <v>1198</v>
      </c>
      <c r="E582" s="19" t="s">
        <v>361</v>
      </c>
      <c r="F582" s="19" t="s">
        <v>361</v>
      </c>
      <c r="G582" s="19" t="s">
        <v>1744</v>
      </c>
      <c r="H582" s="19" t="s">
        <v>1358</v>
      </c>
    </row>
    <row r="583" spans="1:8">
      <c r="A583" s="19">
        <v>62</v>
      </c>
      <c r="B583" s="19" t="s">
        <v>550</v>
      </c>
      <c r="C583" s="19" t="s">
        <v>561</v>
      </c>
      <c r="D583" s="19" t="s">
        <v>1575</v>
      </c>
      <c r="E583" s="19" t="s">
        <v>1596</v>
      </c>
      <c r="F583" s="19" t="s">
        <v>1597</v>
      </c>
      <c r="G583" s="19" t="s">
        <v>1745</v>
      </c>
      <c r="H583" s="19" t="s">
        <v>1358</v>
      </c>
    </row>
    <row r="584" spans="1:8">
      <c r="A584" s="19">
        <v>62</v>
      </c>
      <c r="B584" s="19" t="s">
        <v>550</v>
      </c>
      <c r="C584" s="19" t="s">
        <v>561</v>
      </c>
      <c r="D584" s="19" t="s">
        <v>253</v>
      </c>
      <c r="E584" s="19" t="s">
        <v>297</v>
      </c>
      <c r="F584" s="19" t="s">
        <v>1460</v>
      </c>
      <c r="G584" s="19"/>
      <c r="H584" s="60" t="s">
        <v>1360</v>
      </c>
    </row>
    <row r="585" spans="1:8">
      <c r="A585" s="19">
        <v>62</v>
      </c>
      <c r="B585" s="19" t="s">
        <v>550</v>
      </c>
      <c r="C585" s="19" t="s">
        <v>561</v>
      </c>
      <c r="D585" s="19" t="s">
        <v>914</v>
      </c>
      <c r="E585" s="19" t="s">
        <v>355</v>
      </c>
      <c r="F585" s="19" t="s">
        <v>355</v>
      </c>
      <c r="G585" s="19" t="s">
        <v>1746</v>
      </c>
      <c r="H585" s="19" t="s">
        <v>1358</v>
      </c>
    </row>
    <row r="586" spans="1:8">
      <c r="A586" s="19">
        <v>62</v>
      </c>
      <c r="B586" s="19" t="s">
        <v>550</v>
      </c>
      <c r="C586" s="19" t="s">
        <v>561</v>
      </c>
      <c r="D586" s="19" t="s">
        <v>1377</v>
      </c>
      <c r="E586" s="19">
        <v>10000</v>
      </c>
      <c r="F586" s="19">
        <v>10000</v>
      </c>
      <c r="G586" s="19" t="s">
        <v>1746</v>
      </c>
      <c r="H586" s="19" t="s">
        <v>1358</v>
      </c>
    </row>
    <row r="587" spans="1:8">
      <c r="A587" s="19">
        <v>63</v>
      </c>
      <c r="B587" s="19" t="s">
        <v>550</v>
      </c>
      <c r="C587" s="19" t="s">
        <v>564</v>
      </c>
      <c r="D587" s="19" t="s">
        <v>238</v>
      </c>
      <c r="E587" s="19" t="s">
        <v>488</v>
      </c>
      <c r="F587" s="19" t="s">
        <v>488</v>
      </c>
      <c r="G587" s="19" t="s">
        <v>1747</v>
      </c>
      <c r="H587" s="19" t="s">
        <v>1358</v>
      </c>
    </row>
    <row r="588" spans="1:8">
      <c r="A588" s="19">
        <v>63</v>
      </c>
      <c r="B588" s="19" t="s">
        <v>550</v>
      </c>
      <c r="C588" s="19" t="s">
        <v>564</v>
      </c>
      <c r="D588" s="19" t="s">
        <v>255</v>
      </c>
      <c r="E588" s="19">
        <v>2</v>
      </c>
      <c r="F588" s="19">
        <v>2</v>
      </c>
      <c r="G588" s="19" t="s">
        <v>1748</v>
      </c>
      <c r="H588" s="19" t="s">
        <v>1358</v>
      </c>
    </row>
    <row r="589" spans="1:8">
      <c r="A589" s="19">
        <v>63</v>
      </c>
      <c r="B589" s="19" t="s">
        <v>550</v>
      </c>
      <c r="C589" s="19" t="s">
        <v>564</v>
      </c>
      <c r="D589" s="19" t="s">
        <v>241</v>
      </c>
      <c r="E589" s="19" t="s">
        <v>128</v>
      </c>
      <c r="F589" s="19" t="s">
        <v>1567</v>
      </c>
      <c r="G589" s="19" t="s">
        <v>1749</v>
      </c>
      <c r="H589" s="19" t="s">
        <v>1358</v>
      </c>
    </row>
    <row r="590" spans="1:8">
      <c r="A590" s="19">
        <v>63</v>
      </c>
      <c r="B590" s="19" t="s">
        <v>550</v>
      </c>
      <c r="C590" s="19" t="s">
        <v>564</v>
      </c>
      <c r="D590" s="19" t="s">
        <v>256</v>
      </c>
      <c r="E590" s="19" t="s">
        <v>299</v>
      </c>
      <c r="F590" s="19" t="s">
        <v>1567</v>
      </c>
      <c r="G590" s="19" t="s">
        <v>1749</v>
      </c>
      <c r="H590" s="19" t="s">
        <v>1358</v>
      </c>
    </row>
    <row r="591" spans="1:8">
      <c r="A591" s="19">
        <v>63</v>
      </c>
      <c r="B591" s="19" t="s">
        <v>550</v>
      </c>
      <c r="C591" s="19" t="s">
        <v>564</v>
      </c>
      <c r="D591" s="19" t="s">
        <v>871</v>
      </c>
      <c r="E591" s="19" t="s">
        <v>111</v>
      </c>
      <c r="F591" s="19" t="s">
        <v>1603</v>
      </c>
      <c r="G591" s="19" t="s">
        <v>1750</v>
      </c>
      <c r="H591" s="19" t="s">
        <v>1358</v>
      </c>
    </row>
    <row r="592" spans="1:8">
      <c r="A592" s="19">
        <v>63</v>
      </c>
      <c r="B592" s="19" t="s">
        <v>550</v>
      </c>
      <c r="C592" s="19" t="s">
        <v>564</v>
      </c>
      <c r="D592" s="19" t="s">
        <v>243</v>
      </c>
      <c r="E592" s="19">
        <v>14.5</v>
      </c>
      <c r="F592" s="19">
        <v>14.5</v>
      </c>
      <c r="G592" s="19" t="s">
        <v>1751</v>
      </c>
      <c r="H592" s="19" t="s">
        <v>1358</v>
      </c>
    </row>
    <row r="593" spans="1:8">
      <c r="A593" s="19">
        <v>63</v>
      </c>
      <c r="B593" s="19" t="s">
        <v>550</v>
      </c>
      <c r="C593" s="19" t="s">
        <v>564</v>
      </c>
      <c r="D593" s="19" t="s">
        <v>244</v>
      </c>
      <c r="E593" s="19">
        <v>27.6</v>
      </c>
      <c r="F593" s="19">
        <v>27.6</v>
      </c>
      <c r="G593" s="19" t="s">
        <v>1752</v>
      </c>
      <c r="H593" s="19" t="s">
        <v>1358</v>
      </c>
    </row>
    <row r="594" spans="1:8">
      <c r="A594" s="19">
        <v>63</v>
      </c>
      <c r="B594" s="19" t="s">
        <v>550</v>
      </c>
      <c r="C594" s="19" t="s">
        <v>564</v>
      </c>
      <c r="D594" s="19" t="s">
        <v>257</v>
      </c>
      <c r="E594" s="19">
        <v>4</v>
      </c>
      <c r="F594" s="19">
        <v>4</v>
      </c>
      <c r="G594" s="19" t="s">
        <v>1753</v>
      </c>
      <c r="H594" s="19" t="s">
        <v>1358</v>
      </c>
    </row>
    <row r="595" spans="1:8">
      <c r="A595" s="19">
        <v>63</v>
      </c>
      <c r="B595" s="19" t="s">
        <v>550</v>
      </c>
      <c r="C595" s="19" t="s">
        <v>564</v>
      </c>
      <c r="D595" s="19" t="s">
        <v>1198</v>
      </c>
      <c r="E595" s="19" t="s">
        <v>361</v>
      </c>
      <c r="F595" s="19" t="s">
        <v>361</v>
      </c>
      <c r="G595" s="19" t="s">
        <v>1754</v>
      </c>
      <c r="H595" s="19" t="s">
        <v>1358</v>
      </c>
    </row>
    <row r="596" spans="1:8">
      <c r="A596" s="19">
        <v>63</v>
      </c>
      <c r="B596" s="19" t="s">
        <v>550</v>
      </c>
      <c r="C596" s="19" t="s">
        <v>564</v>
      </c>
      <c r="D596" s="19" t="s">
        <v>1575</v>
      </c>
      <c r="E596" s="19" t="s">
        <v>1576</v>
      </c>
      <c r="F596" s="19" t="s">
        <v>1577</v>
      </c>
      <c r="G596" s="19" t="s">
        <v>1755</v>
      </c>
      <c r="H596" s="19" t="s">
        <v>1358</v>
      </c>
    </row>
    <row r="597" spans="1:8">
      <c r="A597" s="19">
        <v>63</v>
      </c>
      <c r="B597" s="19" t="s">
        <v>550</v>
      </c>
      <c r="C597" s="19" t="s">
        <v>564</v>
      </c>
      <c r="D597" s="19" t="s">
        <v>253</v>
      </c>
      <c r="E597" s="19" t="s">
        <v>297</v>
      </c>
      <c r="F597" s="19" t="s">
        <v>1460</v>
      </c>
      <c r="G597" s="19"/>
      <c r="H597" s="60" t="s">
        <v>1360</v>
      </c>
    </row>
    <row r="598" spans="1:8">
      <c r="A598" s="19">
        <v>63</v>
      </c>
      <c r="B598" s="19" t="s">
        <v>550</v>
      </c>
      <c r="C598" s="19" t="s">
        <v>564</v>
      </c>
      <c r="D598" s="19" t="s">
        <v>914</v>
      </c>
      <c r="E598" s="19" t="s">
        <v>355</v>
      </c>
      <c r="F598" s="19" t="s">
        <v>355</v>
      </c>
      <c r="G598" s="19" t="s">
        <v>1756</v>
      </c>
      <c r="H598" s="19" t="s">
        <v>1358</v>
      </c>
    </row>
    <row r="599" spans="1:8">
      <c r="A599" s="19">
        <v>63</v>
      </c>
      <c r="B599" s="19" t="s">
        <v>550</v>
      </c>
      <c r="C599" s="19" t="s">
        <v>564</v>
      </c>
      <c r="D599" s="19" t="s">
        <v>1377</v>
      </c>
      <c r="E599" s="19">
        <v>35000</v>
      </c>
      <c r="F599" s="19">
        <v>35000</v>
      </c>
      <c r="G599" s="19" t="s">
        <v>1756</v>
      </c>
      <c r="H599" s="19" t="s">
        <v>1358</v>
      </c>
    </row>
    <row r="600" spans="1:8">
      <c r="A600" s="19">
        <v>64</v>
      </c>
      <c r="B600" s="19" t="s">
        <v>550</v>
      </c>
      <c r="C600" s="19" t="s">
        <v>567</v>
      </c>
      <c r="D600" s="19" t="s">
        <v>238</v>
      </c>
      <c r="E600" s="19" t="s">
        <v>492</v>
      </c>
      <c r="F600" s="19" t="s">
        <v>492</v>
      </c>
      <c r="G600" s="19" t="s">
        <v>1757</v>
      </c>
      <c r="H600" s="19" t="s">
        <v>1364</v>
      </c>
    </row>
    <row r="601" spans="1:8">
      <c r="A601" s="19">
        <v>64</v>
      </c>
      <c r="B601" s="19" t="s">
        <v>550</v>
      </c>
      <c r="C601" s="19" t="s">
        <v>567</v>
      </c>
      <c r="D601" s="19" t="s">
        <v>255</v>
      </c>
      <c r="E601" s="19">
        <v>2</v>
      </c>
      <c r="F601" s="19">
        <v>2</v>
      </c>
      <c r="G601" s="19" t="s">
        <v>1758</v>
      </c>
      <c r="H601" s="19" t="s">
        <v>1358</v>
      </c>
    </row>
    <row r="602" spans="1:8">
      <c r="A602" s="19">
        <v>64</v>
      </c>
      <c r="B602" s="19" t="s">
        <v>550</v>
      </c>
      <c r="C602" s="19" t="s">
        <v>567</v>
      </c>
      <c r="D602" s="19" t="s">
        <v>241</v>
      </c>
      <c r="E602" s="19" t="s">
        <v>149</v>
      </c>
      <c r="F602" s="19" t="s">
        <v>1612</v>
      </c>
      <c r="G602" s="19" t="s">
        <v>1759</v>
      </c>
      <c r="H602" s="19" t="s">
        <v>1358</v>
      </c>
    </row>
    <row r="603" spans="1:8">
      <c r="A603" s="19">
        <v>64</v>
      </c>
      <c r="B603" s="19" t="s">
        <v>550</v>
      </c>
      <c r="C603" s="19" t="s">
        <v>567</v>
      </c>
      <c r="D603" s="19" t="s">
        <v>256</v>
      </c>
      <c r="E603" s="19" t="s">
        <v>299</v>
      </c>
      <c r="F603" s="19" t="s">
        <v>1612</v>
      </c>
      <c r="G603" s="19" t="s">
        <v>1759</v>
      </c>
      <c r="H603" s="19" t="s">
        <v>1358</v>
      </c>
    </row>
    <row r="604" spans="1:8">
      <c r="A604" s="19">
        <v>64</v>
      </c>
      <c r="B604" s="19" t="s">
        <v>550</v>
      </c>
      <c r="C604" s="19" t="s">
        <v>567</v>
      </c>
      <c r="D604" s="19" t="s">
        <v>871</v>
      </c>
      <c r="E604" s="19" t="s">
        <v>111</v>
      </c>
      <c r="F604" s="19" t="s">
        <v>1603</v>
      </c>
      <c r="G604" s="19" t="s">
        <v>1760</v>
      </c>
      <c r="H604" s="19" t="s">
        <v>1358</v>
      </c>
    </row>
    <row r="605" spans="1:8">
      <c r="A605" s="19">
        <v>64</v>
      </c>
      <c r="B605" s="19" t="s">
        <v>550</v>
      </c>
      <c r="C605" s="19" t="s">
        <v>567</v>
      </c>
      <c r="D605" s="19" t="s">
        <v>243</v>
      </c>
      <c r="E605" s="19">
        <v>44</v>
      </c>
      <c r="F605" s="19">
        <v>44</v>
      </c>
      <c r="G605" s="19" t="s">
        <v>1761</v>
      </c>
      <c r="H605" s="19" t="s">
        <v>1358</v>
      </c>
    </row>
    <row r="606" spans="1:8">
      <c r="A606" s="19">
        <v>64</v>
      </c>
      <c r="B606" s="19" t="s">
        <v>550</v>
      </c>
      <c r="C606" s="19" t="s">
        <v>567</v>
      </c>
      <c r="D606" s="19" t="s">
        <v>244</v>
      </c>
      <c r="E606" s="19">
        <v>670</v>
      </c>
      <c r="F606" s="19">
        <v>670</v>
      </c>
      <c r="G606" s="19" t="s">
        <v>1762</v>
      </c>
      <c r="H606" s="19" t="s">
        <v>1358</v>
      </c>
    </row>
    <row r="607" spans="1:8">
      <c r="A607" s="19">
        <v>64</v>
      </c>
      <c r="B607" s="19" t="s">
        <v>550</v>
      </c>
      <c r="C607" s="19" t="s">
        <v>567</v>
      </c>
      <c r="D607" s="19" t="s">
        <v>257</v>
      </c>
      <c r="E607" s="19">
        <v>74.400000000000006</v>
      </c>
      <c r="F607" s="19">
        <v>74.400000000000006</v>
      </c>
      <c r="G607" s="19" t="s">
        <v>1763</v>
      </c>
      <c r="H607" s="19" t="s">
        <v>1358</v>
      </c>
    </row>
    <row r="608" spans="1:8">
      <c r="A608" s="19">
        <v>64</v>
      </c>
      <c r="B608" s="19" t="s">
        <v>550</v>
      </c>
      <c r="C608" s="19" t="s">
        <v>567</v>
      </c>
      <c r="D608" s="19" t="s">
        <v>1198</v>
      </c>
      <c r="E608" s="19" t="s">
        <v>361</v>
      </c>
      <c r="F608" s="19" t="s">
        <v>361</v>
      </c>
      <c r="G608" s="19" t="s">
        <v>1764</v>
      </c>
      <c r="H608" s="19" t="s">
        <v>1358</v>
      </c>
    </row>
    <row r="609" spans="1:8">
      <c r="A609" s="19">
        <v>64</v>
      </c>
      <c r="B609" s="19" t="s">
        <v>550</v>
      </c>
      <c r="C609" s="19" t="s">
        <v>567</v>
      </c>
      <c r="D609" s="19" t="s">
        <v>1575</v>
      </c>
      <c r="E609" s="19" t="s">
        <v>1576</v>
      </c>
      <c r="F609" s="19" t="s">
        <v>1577</v>
      </c>
      <c r="G609" s="19" t="s">
        <v>1765</v>
      </c>
      <c r="H609" s="19" t="s">
        <v>1358</v>
      </c>
    </row>
    <row r="610" spans="1:8">
      <c r="A610" s="19">
        <v>64</v>
      </c>
      <c r="B610" s="19" t="s">
        <v>550</v>
      </c>
      <c r="C610" s="19" t="s">
        <v>567</v>
      </c>
      <c r="D610" s="19" t="s">
        <v>253</v>
      </c>
      <c r="E610" s="19" t="s">
        <v>297</v>
      </c>
      <c r="F610" s="19" t="s">
        <v>1460</v>
      </c>
      <c r="G610" s="19"/>
      <c r="H610" s="60" t="s">
        <v>1360</v>
      </c>
    </row>
    <row r="611" spans="1:8">
      <c r="A611" s="19">
        <v>64</v>
      </c>
      <c r="B611" s="19" t="s">
        <v>550</v>
      </c>
      <c r="C611" s="19" t="s">
        <v>567</v>
      </c>
      <c r="D611" s="19" t="s">
        <v>914</v>
      </c>
      <c r="E611" s="19" t="s">
        <v>355</v>
      </c>
      <c r="F611" s="19" t="s">
        <v>355</v>
      </c>
      <c r="G611" s="19" t="s">
        <v>1766</v>
      </c>
      <c r="H611" s="19" t="s">
        <v>1358</v>
      </c>
    </row>
    <row r="612" spans="1:8">
      <c r="A612" s="19">
        <v>64</v>
      </c>
      <c r="B612" s="19" t="s">
        <v>550</v>
      </c>
      <c r="C612" s="19" t="s">
        <v>567</v>
      </c>
      <c r="D612" s="19" t="s">
        <v>1377</v>
      </c>
      <c r="E612" s="19">
        <v>230000</v>
      </c>
      <c r="F612" s="19">
        <v>230000</v>
      </c>
      <c r="G612" s="19" t="s">
        <v>1766</v>
      </c>
      <c r="H612" s="19" t="s">
        <v>1358</v>
      </c>
    </row>
    <row r="613" spans="1:8">
      <c r="A613" s="19">
        <v>65</v>
      </c>
      <c r="B613" s="19" t="s">
        <v>550</v>
      </c>
      <c r="C613" s="19" t="s">
        <v>570</v>
      </c>
      <c r="D613" s="19" t="s">
        <v>238</v>
      </c>
      <c r="E613" s="19" t="s">
        <v>496</v>
      </c>
      <c r="F613" s="19" t="s">
        <v>496</v>
      </c>
      <c r="G613" s="19" t="s">
        <v>1767</v>
      </c>
      <c r="H613" s="19" t="s">
        <v>1364</v>
      </c>
    </row>
    <row r="614" spans="1:8">
      <c r="A614" s="19">
        <v>65</v>
      </c>
      <c r="B614" s="19" t="s">
        <v>550</v>
      </c>
      <c r="C614" s="19" t="s">
        <v>570</v>
      </c>
      <c r="D614" s="19" t="s">
        <v>255</v>
      </c>
      <c r="E614" s="19">
        <v>2</v>
      </c>
      <c r="F614" s="19">
        <v>2</v>
      </c>
      <c r="G614" s="19" t="s">
        <v>1768</v>
      </c>
      <c r="H614" s="19" t="s">
        <v>1358</v>
      </c>
    </row>
    <row r="615" spans="1:8">
      <c r="A615" s="19">
        <v>65</v>
      </c>
      <c r="B615" s="19" t="s">
        <v>550</v>
      </c>
      <c r="C615" s="19" t="s">
        <v>570</v>
      </c>
      <c r="D615" s="19" t="s">
        <v>241</v>
      </c>
      <c r="E615" s="19" t="s">
        <v>149</v>
      </c>
      <c r="F615" s="19" t="s">
        <v>1612</v>
      </c>
      <c r="G615" s="19" t="s">
        <v>1769</v>
      </c>
      <c r="H615" s="19" t="s">
        <v>1358</v>
      </c>
    </row>
    <row r="616" spans="1:8">
      <c r="A616" s="19">
        <v>65</v>
      </c>
      <c r="B616" s="19" t="s">
        <v>550</v>
      </c>
      <c r="C616" s="19" t="s">
        <v>570</v>
      </c>
      <c r="D616" s="19" t="s">
        <v>256</v>
      </c>
      <c r="E616" s="19" t="s">
        <v>299</v>
      </c>
      <c r="F616" s="19" t="s">
        <v>1612</v>
      </c>
      <c r="G616" s="19" t="s">
        <v>1769</v>
      </c>
      <c r="H616" s="19" t="s">
        <v>1358</v>
      </c>
    </row>
    <row r="617" spans="1:8">
      <c r="A617" s="19">
        <v>65</v>
      </c>
      <c r="B617" s="19" t="s">
        <v>550</v>
      </c>
      <c r="C617" s="19" t="s">
        <v>570</v>
      </c>
      <c r="D617" s="19" t="s">
        <v>871</v>
      </c>
      <c r="E617" s="19" t="s">
        <v>111</v>
      </c>
      <c r="F617" s="19" t="s">
        <v>1603</v>
      </c>
      <c r="G617" s="19" t="s">
        <v>1770</v>
      </c>
      <c r="H617" s="19" t="s">
        <v>1358</v>
      </c>
    </row>
    <row r="618" spans="1:8">
      <c r="A618" s="19">
        <v>65</v>
      </c>
      <c r="B618" s="19" t="s">
        <v>550</v>
      </c>
      <c r="C618" s="19" t="s">
        <v>570</v>
      </c>
      <c r="D618" s="19" t="s">
        <v>243</v>
      </c>
      <c r="E618" s="19">
        <v>22</v>
      </c>
      <c r="F618" s="19">
        <v>22</v>
      </c>
      <c r="G618" s="19" t="s">
        <v>1771</v>
      </c>
      <c r="H618" s="19" t="s">
        <v>1358</v>
      </c>
    </row>
    <row r="619" spans="1:8">
      <c r="A619" s="19">
        <v>65</v>
      </c>
      <c r="B619" s="19" t="s">
        <v>550</v>
      </c>
      <c r="C619" s="19" t="s">
        <v>570</v>
      </c>
      <c r="D619" s="19" t="s">
        <v>244</v>
      </c>
      <c r="E619" s="19">
        <v>331</v>
      </c>
      <c r="F619" s="19">
        <v>331</v>
      </c>
      <c r="G619" s="19" t="s">
        <v>1772</v>
      </c>
      <c r="H619" s="19" t="s">
        <v>1358</v>
      </c>
    </row>
    <row r="620" spans="1:8">
      <c r="A620" s="19">
        <v>65</v>
      </c>
      <c r="B620" s="19" t="s">
        <v>550</v>
      </c>
      <c r="C620" s="19" t="s">
        <v>570</v>
      </c>
      <c r="D620" s="19" t="s">
        <v>257</v>
      </c>
      <c r="E620" s="19">
        <v>37.4</v>
      </c>
      <c r="F620" s="19">
        <v>37.4</v>
      </c>
      <c r="G620" s="19" t="s">
        <v>1773</v>
      </c>
      <c r="H620" s="19" t="s">
        <v>1358</v>
      </c>
    </row>
    <row r="621" spans="1:8">
      <c r="A621" s="19">
        <v>65</v>
      </c>
      <c r="B621" s="19" t="s">
        <v>550</v>
      </c>
      <c r="C621" s="19" t="s">
        <v>570</v>
      </c>
      <c r="D621" s="19" t="s">
        <v>1198</v>
      </c>
      <c r="E621" s="19" t="s">
        <v>361</v>
      </c>
      <c r="F621" s="19" t="s">
        <v>361</v>
      </c>
      <c r="G621" s="19" t="s">
        <v>1774</v>
      </c>
      <c r="H621" s="19" t="s">
        <v>1358</v>
      </c>
    </row>
    <row r="622" spans="1:8">
      <c r="A622" s="19">
        <v>65</v>
      </c>
      <c r="B622" s="19" t="s">
        <v>550</v>
      </c>
      <c r="C622" s="19" t="s">
        <v>570</v>
      </c>
      <c r="D622" s="19" t="s">
        <v>1575</v>
      </c>
      <c r="E622" s="19" t="s">
        <v>1576</v>
      </c>
      <c r="F622" s="19" t="s">
        <v>1577</v>
      </c>
      <c r="G622" s="19" t="s">
        <v>1775</v>
      </c>
      <c r="H622" s="19" t="s">
        <v>1358</v>
      </c>
    </row>
    <row r="623" spans="1:8">
      <c r="A623" s="19">
        <v>65</v>
      </c>
      <c r="B623" s="19" t="s">
        <v>550</v>
      </c>
      <c r="C623" s="19" t="s">
        <v>570</v>
      </c>
      <c r="D623" s="19" t="s">
        <v>253</v>
      </c>
      <c r="E623" s="19" t="s">
        <v>297</v>
      </c>
      <c r="F623" s="19" t="s">
        <v>1460</v>
      </c>
      <c r="G623" s="19"/>
      <c r="H623" s="60" t="s">
        <v>1360</v>
      </c>
    </row>
    <row r="624" spans="1:8">
      <c r="A624" s="19">
        <v>65</v>
      </c>
      <c r="B624" s="19" t="s">
        <v>550</v>
      </c>
      <c r="C624" s="19" t="s">
        <v>570</v>
      </c>
      <c r="D624" s="19" t="s">
        <v>914</v>
      </c>
      <c r="E624" s="19" t="s">
        <v>355</v>
      </c>
      <c r="F624" s="19" t="s">
        <v>355</v>
      </c>
      <c r="G624" s="19" t="s">
        <v>1776</v>
      </c>
      <c r="H624" s="19" t="s">
        <v>1358</v>
      </c>
    </row>
    <row r="625" spans="1:8">
      <c r="A625" s="19">
        <v>65</v>
      </c>
      <c r="B625" s="19" t="s">
        <v>550</v>
      </c>
      <c r="C625" s="19" t="s">
        <v>570</v>
      </c>
      <c r="D625" s="19" t="s">
        <v>1377</v>
      </c>
      <c r="E625" s="19">
        <v>160000</v>
      </c>
      <c r="F625" s="19">
        <v>160000</v>
      </c>
      <c r="G625" s="19" t="s">
        <v>1776</v>
      </c>
      <c r="H625" s="19" t="s">
        <v>1358</v>
      </c>
    </row>
    <row r="626" spans="1:8">
      <c r="A626" s="19">
        <v>66</v>
      </c>
      <c r="B626" s="19" t="s">
        <v>550</v>
      </c>
      <c r="C626" s="19" t="s">
        <v>573</v>
      </c>
      <c r="D626" s="19" t="s">
        <v>238</v>
      </c>
      <c r="E626" s="19" t="s">
        <v>500</v>
      </c>
      <c r="F626" s="19" t="s">
        <v>500</v>
      </c>
      <c r="G626" s="19" t="s">
        <v>1777</v>
      </c>
      <c r="H626" s="19" t="s">
        <v>1358</v>
      </c>
    </row>
    <row r="627" spans="1:8">
      <c r="A627" s="19">
        <v>66</v>
      </c>
      <c r="B627" s="19" t="s">
        <v>550</v>
      </c>
      <c r="C627" s="19" t="s">
        <v>573</v>
      </c>
      <c r="D627" s="19" t="s">
        <v>255</v>
      </c>
      <c r="E627" s="19">
        <v>2</v>
      </c>
      <c r="F627" s="19">
        <v>2</v>
      </c>
      <c r="G627" s="19" t="s">
        <v>1778</v>
      </c>
      <c r="H627" s="19" t="s">
        <v>1358</v>
      </c>
    </row>
    <row r="628" spans="1:8">
      <c r="A628" s="19">
        <v>66</v>
      </c>
      <c r="B628" s="19" t="s">
        <v>550</v>
      </c>
      <c r="C628" s="19" t="s">
        <v>573</v>
      </c>
      <c r="D628" s="19" t="s">
        <v>241</v>
      </c>
      <c r="E628" s="19" t="s">
        <v>128</v>
      </c>
      <c r="F628" s="19" t="s">
        <v>1567</v>
      </c>
      <c r="G628" s="19" t="s">
        <v>1779</v>
      </c>
      <c r="H628" s="19" t="s">
        <v>1358</v>
      </c>
    </row>
    <row r="629" spans="1:8">
      <c r="A629" s="19">
        <v>66</v>
      </c>
      <c r="B629" s="19" t="s">
        <v>550</v>
      </c>
      <c r="C629" s="19" t="s">
        <v>573</v>
      </c>
      <c r="D629" s="19" t="s">
        <v>256</v>
      </c>
      <c r="E629" s="19" t="s">
        <v>299</v>
      </c>
      <c r="F629" s="19" t="s">
        <v>1567</v>
      </c>
      <c r="G629" s="19" t="s">
        <v>1779</v>
      </c>
      <c r="H629" s="19" t="s">
        <v>1358</v>
      </c>
    </row>
    <row r="630" spans="1:8">
      <c r="A630" s="19">
        <v>66</v>
      </c>
      <c r="B630" s="19" t="s">
        <v>550</v>
      </c>
      <c r="C630" s="19" t="s">
        <v>573</v>
      </c>
      <c r="D630" s="19" t="s">
        <v>871</v>
      </c>
      <c r="E630" s="19" t="s">
        <v>83</v>
      </c>
      <c r="F630" s="19" t="s">
        <v>1632</v>
      </c>
      <c r="G630" s="19" t="s">
        <v>1780</v>
      </c>
      <c r="H630" s="19" t="s">
        <v>1358</v>
      </c>
    </row>
    <row r="631" spans="1:8">
      <c r="A631" s="19">
        <v>66</v>
      </c>
      <c r="B631" s="19" t="s">
        <v>550</v>
      </c>
      <c r="C631" s="19" t="s">
        <v>573</v>
      </c>
      <c r="D631" s="19" t="s">
        <v>243</v>
      </c>
      <c r="E631" s="19">
        <v>19</v>
      </c>
      <c r="F631" s="19">
        <v>19</v>
      </c>
      <c r="G631" s="19" t="s">
        <v>1781</v>
      </c>
      <c r="H631" s="19" t="s">
        <v>1358</v>
      </c>
    </row>
    <row r="632" spans="1:8">
      <c r="A632" s="19">
        <v>66</v>
      </c>
      <c r="B632" s="19" t="s">
        <v>550</v>
      </c>
      <c r="C632" s="19" t="s">
        <v>573</v>
      </c>
      <c r="D632" s="19" t="s">
        <v>244</v>
      </c>
      <c r="E632" s="19">
        <v>168</v>
      </c>
      <c r="F632" s="19">
        <v>168</v>
      </c>
      <c r="G632" s="19" t="s">
        <v>1782</v>
      </c>
      <c r="H632" s="19" t="s">
        <v>1358</v>
      </c>
    </row>
    <row r="633" spans="1:8">
      <c r="A633" s="19">
        <v>66</v>
      </c>
      <c r="B633" s="19" t="s">
        <v>550</v>
      </c>
      <c r="C633" s="19" t="s">
        <v>573</v>
      </c>
      <c r="D633" s="19" t="s">
        <v>257</v>
      </c>
      <c r="E633" s="19">
        <v>17.8</v>
      </c>
      <c r="F633" s="19">
        <v>17.8</v>
      </c>
      <c r="G633" s="19" t="s">
        <v>1783</v>
      </c>
      <c r="H633" s="19" t="s">
        <v>1358</v>
      </c>
    </row>
    <row r="634" spans="1:8">
      <c r="A634" s="19">
        <v>66</v>
      </c>
      <c r="B634" s="19" t="s">
        <v>550</v>
      </c>
      <c r="C634" s="19" t="s">
        <v>573</v>
      </c>
      <c r="D634" s="19" t="s">
        <v>1198</v>
      </c>
      <c r="E634" s="19" t="s">
        <v>305</v>
      </c>
      <c r="F634" s="19" t="s">
        <v>1574</v>
      </c>
      <c r="G634" s="19"/>
      <c r="H634" s="60" t="s">
        <v>1360</v>
      </c>
    </row>
    <row r="635" spans="1:8">
      <c r="A635" s="19">
        <v>66</v>
      </c>
      <c r="B635" s="19" t="s">
        <v>550</v>
      </c>
      <c r="C635" s="19" t="s">
        <v>573</v>
      </c>
      <c r="D635" s="19" t="s">
        <v>1575</v>
      </c>
      <c r="E635" s="19" t="s">
        <v>1576</v>
      </c>
      <c r="F635" s="19" t="s">
        <v>1577</v>
      </c>
      <c r="G635" s="19" t="s">
        <v>1784</v>
      </c>
      <c r="H635" s="19" t="s">
        <v>1358</v>
      </c>
    </row>
    <row r="636" spans="1:8">
      <c r="A636" s="19">
        <v>66</v>
      </c>
      <c r="B636" s="19" t="s">
        <v>550</v>
      </c>
      <c r="C636" s="19" t="s">
        <v>573</v>
      </c>
      <c r="D636" s="19" t="s">
        <v>253</v>
      </c>
      <c r="E636" s="19" t="s">
        <v>297</v>
      </c>
      <c r="F636" s="19" t="s">
        <v>1460</v>
      </c>
      <c r="G636" s="19"/>
      <c r="H636" s="60" t="s">
        <v>1360</v>
      </c>
    </row>
    <row r="637" spans="1:8">
      <c r="A637" s="19">
        <v>66</v>
      </c>
      <c r="B637" s="19" t="s">
        <v>550</v>
      </c>
      <c r="C637" s="19" t="s">
        <v>573</v>
      </c>
      <c r="D637" s="19" t="s">
        <v>914</v>
      </c>
      <c r="E637" s="19" t="s">
        <v>355</v>
      </c>
      <c r="F637" s="19" t="s">
        <v>355</v>
      </c>
      <c r="G637" s="19" t="s">
        <v>1785</v>
      </c>
      <c r="H637" s="19" t="s">
        <v>1358</v>
      </c>
    </row>
    <row r="638" spans="1:8">
      <c r="A638" s="19">
        <v>66</v>
      </c>
      <c r="B638" s="19" t="s">
        <v>550</v>
      </c>
      <c r="C638" s="19" t="s">
        <v>573</v>
      </c>
      <c r="D638" s="19" t="s">
        <v>1377</v>
      </c>
      <c r="E638" s="19">
        <v>16500</v>
      </c>
      <c r="F638" s="19">
        <v>16500</v>
      </c>
      <c r="G638" s="19" t="s">
        <v>1785</v>
      </c>
      <c r="H638" s="19" t="s">
        <v>1358</v>
      </c>
    </row>
    <row r="639" spans="1:8">
      <c r="A639" s="19">
        <v>67</v>
      </c>
      <c r="B639" s="19" t="s">
        <v>550</v>
      </c>
      <c r="C639" s="19" t="s">
        <v>576</v>
      </c>
      <c r="D639" s="19" t="s">
        <v>238</v>
      </c>
      <c r="E639" s="19" t="s">
        <v>504</v>
      </c>
      <c r="F639" s="19" t="s">
        <v>504</v>
      </c>
      <c r="G639" s="19" t="s">
        <v>1786</v>
      </c>
      <c r="H639" s="19" t="s">
        <v>1358</v>
      </c>
    </row>
    <row r="640" spans="1:8">
      <c r="A640" s="19">
        <v>67</v>
      </c>
      <c r="B640" s="19" t="s">
        <v>550</v>
      </c>
      <c r="C640" s="19" t="s">
        <v>576</v>
      </c>
      <c r="D640" s="19" t="s">
        <v>255</v>
      </c>
      <c r="E640" s="19">
        <v>1</v>
      </c>
      <c r="F640" s="19">
        <v>1</v>
      </c>
      <c r="G640" s="19" t="s">
        <v>1787</v>
      </c>
      <c r="H640" s="19" t="s">
        <v>1358</v>
      </c>
    </row>
    <row r="641" spans="1:8">
      <c r="A641" s="19">
        <v>67</v>
      </c>
      <c r="B641" s="19" t="s">
        <v>550</v>
      </c>
      <c r="C641" s="19" t="s">
        <v>576</v>
      </c>
      <c r="D641" s="19" t="s">
        <v>241</v>
      </c>
      <c r="E641" s="19" t="s">
        <v>128</v>
      </c>
      <c r="F641" s="19" t="s">
        <v>1567</v>
      </c>
      <c r="G641" s="19" t="s">
        <v>1788</v>
      </c>
      <c r="H641" s="19" t="s">
        <v>1358</v>
      </c>
    </row>
    <row r="642" spans="1:8">
      <c r="A642" s="19">
        <v>67</v>
      </c>
      <c r="B642" s="19" t="s">
        <v>550</v>
      </c>
      <c r="C642" s="19" t="s">
        <v>576</v>
      </c>
      <c r="D642" s="19" t="s">
        <v>256</v>
      </c>
      <c r="E642" s="19" t="s">
        <v>299</v>
      </c>
      <c r="F642" s="19" t="s">
        <v>1567</v>
      </c>
      <c r="G642" s="19" t="s">
        <v>1788</v>
      </c>
      <c r="H642" s="19" t="s">
        <v>1358</v>
      </c>
    </row>
    <row r="643" spans="1:8">
      <c r="A643" s="19">
        <v>67</v>
      </c>
      <c r="B643" s="19" t="s">
        <v>550</v>
      </c>
      <c r="C643" s="19" t="s">
        <v>576</v>
      </c>
      <c r="D643" s="19" t="s">
        <v>871</v>
      </c>
      <c r="E643" s="19" t="s">
        <v>83</v>
      </c>
      <c r="F643" s="19" t="s">
        <v>1632</v>
      </c>
      <c r="G643" s="19" t="s">
        <v>1789</v>
      </c>
      <c r="H643" s="19" t="s">
        <v>1358</v>
      </c>
    </row>
    <row r="644" spans="1:8">
      <c r="A644" s="19">
        <v>67</v>
      </c>
      <c r="B644" s="19" t="s">
        <v>550</v>
      </c>
      <c r="C644" s="19" t="s">
        <v>576</v>
      </c>
      <c r="D644" s="19" t="s">
        <v>243</v>
      </c>
      <c r="E644" s="19">
        <v>33</v>
      </c>
      <c r="F644" s="19">
        <v>33</v>
      </c>
      <c r="G644" s="19" t="s">
        <v>1790</v>
      </c>
      <c r="H644" s="19" t="s">
        <v>1358</v>
      </c>
    </row>
    <row r="645" spans="1:8">
      <c r="A645" s="19">
        <v>67</v>
      </c>
      <c r="B645" s="19" t="s">
        <v>550</v>
      </c>
      <c r="C645" s="19" t="s">
        <v>576</v>
      </c>
      <c r="D645" s="19" t="s">
        <v>244</v>
      </c>
      <c r="E645" s="19">
        <v>168</v>
      </c>
      <c r="F645" s="19">
        <v>168</v>
      </c>
      <c r="G645" s="19" t="s">
        <v>1791</v>
      </c>
      <c r="H645" s="19" t="s">
        <v>1358</v>
      </c>
    </row>
    <row r="646" spans="1:8">
      <c r="A646" s="19">
        <v>67</v>
      </c>
      <c r="B646" s="19" t="s">
        <v>550</v>
      </c>
      <c r="C646" s="19" t="s">
        <v>576</v>
      </c>
      <c r="D646" s="19" t="s">
        <v>257</v>
      </c>
      <c r="E646" s="19">
        <v>17.8</v>
      </c>
      <c r="F646" s="19">
        <v>17.8</v>
      </c>
      <c r="G646" s="19" t="s">
        <v>1792</v>
      </c>
      <c r="H646" s="19" t="s">
        <v>1358</v>
      </c>
    </row>
    <row r="647" spans="1:8">
      <c r="A647" s="19">
        <v>67</v>
      </c>
      <c r="B647" s="19" t="s">
        <v>550</v>
      </c>
      <c r="C647" s="19" t="s">
        <v>576</v>
      </c>
      <c r="D647" s="19" t="s">
        <v>1198</v>
      </c>
      <c r="E647" s="19" t="s">
        <v>305</v>
      </c>
      <c r="F647" s="19" t="s">
        <v>1574</v>
      </c>
      <c r="G647" s="19"/>
      <c r="H647" s="60" t="s">
        <v>1360</v>
      </c>
    </row>
    <row r="648" spans="1:8">
      <c r="A648" s="19">
        <v>67</v>
      </c>
      <c r="B648" s="19" t="s">
        <v>550</v>
      </c>
      <c r="C648" s="19" t="s">
        <v>576</v>
      </c>
      <c r="D648" s="19" t="s">
        <v>1575</v>
      </c>
      <c r="E648" s="19" t="s">
        <v>1576</v>
      </c>
      <c r="F648" s="19" t="s">
        <v>1577</v>
      </c>
      <c r="G648" s="19" t="s">
        <v>1793</v>
      </c>
      <c r="H648" s="19" t="s">
        <v>1358</v>
      </c>
    </row>
    <row r="649" spans="1:8">
      <c r="A649" s="19">
        <v>67</v>
      </c>
      <c r="B649" s="19" t="s">
        <v>550</v>
      </c>
      <c r="C649" s="19" t="s">
        <v>576</v>
      </c>
      <c r="D649" s="19" t="s">
        <v>253</v>
      </c>
      <c r="E649" s="19" t="s">
        <v>297</v>
      </c>
      <c r="F649" s="19" t="s">
        <v>1460</v>
      </c>
      <c r="G649" s="19"/>
      <c r="H649" s="60" t="s">
        <v>1360</v>
      </c>
    </row>
    <row r="650" spans="1:8">
      <c r="A650" s="19">
        <v>67</v>
      </c>
      <c r="B650" s="19" t="s">
        <v>550</v>
      </c>
      <c r="C650" s="19" t="s">
        <v>576</v>
      </c>
      <c r="D650" s="19" t="s">
        <v>914</v>
      </c>
      <c r="E650" s="19" t="s">
        <v>355</v>
      </c>
      <c r="F650" s="19" t="s">
        <v>355</v>
      </c>
      <c r="G650" s="19" t="s">
        <v>1794</v>
      </c>
      <c r="H650" s="19" t="s">
        <v>1358</v>
      </c>
    </row>
    <row r="651" spans="1:8">
      <c r="A651" s="19">
        <v>67</v>
      </c>
      <c r="B651" s="19" t="s">
        <v>550</v>
      </c>
      <c r="C651" s="19" t="s">
        <v>576</v>
      </c>
      <c r="D651" s="19" t="s">
        <v>1377</v>
      </c>
      <c r="E651" s="19">
        <v>17500</v>
      </c>
      <c r="F651" s="19">
        <v>17500</v>
      </c>
      <c r="G651" s="19" t="s">
        <v>1794</v>
      </c>
      <c r="H651" s="19" t="s">
        <v>1358</v>
      </c>
    </row>
    <row r="652" spans="1:8">
      <c r="A652" s="19">
        <v>68</v>
      </c>
      <c r="B652" s="19" t="s">
        <v>550</v>
      </c>
      <c r="C652" s="19" t="s">
        <v>579</v>
      </c>
      <c r="D652" s="19" t="s">
        <v>238</v>
      </c>
      <c r="E652" s="19" t="s">
        <v>508</v>
      </c>
      <c r="F652" s="19" t="s">
        <v>508</v>
      </c>
      <c r="G652" s="19" t="s">
        <v>1795</v>
      </c>
      <c r="H652" s="19" t="s">
        <v>1358</v>
      </c>
    </row>
    <row r="653" spans="1:8">
      <c r="A653" s="19">
        <v>68</v>
      </c>
      <c r="B653" s="19" t="s">
        <v>550</v>
      </c>
      <c r="C653" s="19" t="s">
        <v>579</v>
      </c>
      <c r="D653" s="19" t="s">
        <v>255</v>
      </c>
      <c r="E653" s="19">
        <v>2</v>
      </c>
      <c r="F653" s="19">
        <v>2</v>
      </c>
      <c r="G653" s="19" t="s">
        <v>1796</v>
      </c>
      <c r="H653" s="19" t="s">
        <v>1358</v>
      </c>
    </row>
    <row r="654" spans="1:8">
      <c r="A654" s="19">
        <v>68</v>
      </c>
      <c r="B654" s="19" t="s">
        <v>550</v>
      </c>
      <c r="C654" s="19" t="s">
        <v>579</v>
      </c>
      <c r="D654" s="19" t="s">
        <v>241</v>
      </c>
      <c r="E654" s="19" t="s">
        <v>128</v>
      </c>
      <c r="F654" s="19" t="s">
        <v>1567</v>
      </c>
      <c r="G654" s="19" t="s">
        <v>1797</v>
      </c>
      <c r="H654" s="19" t="s">
        <v>1358</v>
      </c>
    </row>
    <row r="655" spans="1:8">
      <c r="A655" s="19">
        <v>68</v>
      </c>
      <c r="B655" s="19" t="s">
        <v>550</v>
      </c>
      <c r="C655" s="19" t="s">
        <v>579</v>
      </c>
      <c r="D655" s="19" t="s">
        <v>256</v>
      </c>
      <c r="E655" s="19" t="s">
        <v>299</v>
      </c>
      <c r="F655" s="19" t="s">
        <v>1567</v>
      </c>
      <c r="G655" s="19" t="s">
        <v>1797</v>
      </c>
      <c r="H655" s="19" t="s">
        <v>1358</v>
      </c>
    </row>
    <row r="656" spans="1:8">
      <c r="A656" s="19">
        <v>68</v>
      </c>
      <c r="B656" s="19" t="s">
        <v>550</v>
      </c>
      <c r="C656" s="19" t="s">
        <v>579</v>
      </c>
      <c r="D656" s="19" t="s">
        <v>871</v>
      </c>
      <c r="E656" s="19" t="s">
        <v>86</v>
      </c>
      <c r="F656" s="19" t="s">
        <v>1651</v>
      </c>
      <c r="G656" s="19" t="s">
        <v>1798</v>
      </c>
      <c r="H656" s="19" t="s">
        <v>1358</v>
      </c>
    </row>
    <row r="657" spans="1:8">
      <c r="A657" s="19">
        <v>68</v>
      </c>
      <c r="B657" s="19" t="s">
        <v>550</v>
      </c>
      <c r="C657" s="19" t="s">
        <v>579</v>
      </c>
      <c r="D657" s="19" t="s">
        <v>243</v>
      </c>
      <c r="E657" s="19">
        <v>15</v>
      </c>
      <c r="F657" s="19">
        <v>15</v>
      </c>
      <c r="G657" s="19" t="s">
        <v>1799</v>
      </c>
      <c r="H657" s="19" t="s">
        <v>1358</v>
      </c>
    </row>
    <row r="658" spans="1:8">
      <c r="A658" s="19">
        <v>68</v>
      </c>
      <c r="B658" s="19" t="s">
        <v>550</v>
      </c>
      <c r="C658" s="19" t="s">
        <v>579</v>
      </c>
      <c r="D658" s="19" t="s">
        <v>244</v>
      </c>
      <c r="E658" s="19">
        <v>52</v>
      </c>
      <c r="F658" s="19">
        <v>52</v>
      </c>
      <c r="G658" s="19" t="s">
        <v>1800</v>
      </c>
      <c r="H658" s="19" t="s">
        <v>1358</v>
      </c>
    </row>
    <row r="659" spans="1:8">
      <c r="A659" s="19">
        <v>68</v>
      </c>
      <c r="B659" s="19" t="s">
        <v>550</v>
      </c>
      <c r="C659" s="19" t="s">
        <v>579</v>
      </c>
      <c r="D659" s="19" t="s">
        <v>257</v>
      </c>
      <c r="E659" s="19">
        <v>7.3</v>
      </c>
      <c r="F659" s="19">
        <v>7.3</v>
      </c>
      <c r="G659" s="19" t="s">
        <v>1801</v>
      </c>
      <c r="H659" s="19" t="s">
        <v>1358</v>
      </c>
    </row>
    <row r="660" spans="1:8">
      <c r="A660" s="19">
        <v>68</v>
      </c>
      <c r="B660" s="19" t="s">
        <v>550</v>
      </c>
      <c r="C660" s="19" t="s">
        <v>579</v>
      </c>
      <c r="D660" s="19" t="s">
        <v>1198</v>
      </c>
      <c r="E660" s="19" t="s">
        <v>305</v>
      </c>
      <c r="F660" s="19" t="s">
        <v>1574</v>
      </c>
      <c r="G660" s="19"/>
      <c r="H660" s="60" t="s">
        <v>1360</v>
      </c>
    </row>
    <row r="661" spans="1:8">
      <c r="A661" s="19">
        <v>68</v>
      </c>
      <c r="B661" s="19" t="s">
        <v>550</v>
      </c>
      <c r="C661" s="19" t="s">
        <v>579</v>
      </c>
      <c r="D661" s="19" t="s">
        <v>1575</v>
      </c>
      <c r="E661" s="19" t="s">
        <v>1576</v>
      </c>
      <c r="F661" s="19" t="s">
        <v>1577</v>
      </c>
      <c r="G661" s="19" t="s">
        <v>1802</v>
      </c>
      <c r="H661" s="19" t="s">
        <v>1358</v>
      </c>
    </row>
    <row r="662" spans="1:8">
      <c r="A662" s="19">
        <v>68</v>
      </c>
      <c r="B662" s="19" t="s">
        <v>550</v>
      </c>
      <c r="C662" s="19" t="s">
        <v>579</v>
      </c>
      <c r="D662" s="19" t="s">
        <v>253</v>
      </c>
      <c r="E662" s="19" t="s">
        <v>297</v>
      </c>
      <c r="F662" s="19" t="s">
        <v>1460</v>
      </c>
      <c r="G662" s="19"/>
      <c r="H662" s="60" t="s">
        <v>1360</v>
      </c>
    </row>
    <row r="663" spans="1:8">
      <c r="A663" s="19">
        <v>68</v>
      </c>
      <c r="B663" s="19" t="s">
        <v>550</v>
      </c>
      <c r="C663" s="19" t="s">
        <v>579</v>
      </c>
      <c r="D663" s="19" t="s">
        <v>914</v>
      </c>
      <c r="E663" s="19" t="s">
        <v>355</v>
      </c>
      <c r="F663" s="19" t="s">
        <v>355</v>
      </c>
      <c r="G663" s="19" t="s">
        <v>1803</v>
      </c>
      <c r="H663" s="19" t="s">
        <v>1358</v>
      </c>
    </row>
    <row r="664" spans="1:8">
      <c r="A664" s="19">
        <v>68</v>
      </c>
      <c r="B664" s="19" t="s">
        <v>550</v>
      </c>
      <c r="C664" s="19" t="s">
        <v>579</v>
      </c>
      <c r="D664" s="19" t="s">
        <v>1377</v>
      </c>
      <c r="E664" s="19">
        <v>10000</v>
      </c>
      <c r="F664" s="19">
        <v>10000</v>
      </c>
      <c r="G664" s="19" t="s">
        <v>1803</v>
      </c>
      <c r="H664" s="19" t="s">
        <v>1358</v>
      </c>
    </row>
    <row r="665" spans="1:8">
      <c r="A665" s="19">
        <v>69</v>
      </c>
      <c r="B665" s="19" t="s">
        <v>550</v>
      </c>
      <c r="C665" s="19" t="s">
        <v>582</v>
      </c>
      <c r="D665" s="19" t="s">
        <v>238</v>
      </c>
      <c r="E665" s="19" t="s">
        <v>512</v>
      </c>
      <c r="F665" s="19" t="s">
        <v>512</v>
      </c>
      <c r="G665" s="19" t="s">
        <v>1804</v>
      </c>
      <c r="H665" s="19" t="s">
        <v>1358</v>
      </c>
    </row>
    <row r="666" spans="1:8">
      <c r="A666" s="19">
        <v>69</v>
      </c>
      <c r="B666" s="19" t="s">
        <v>550</v>
      </c>
      <c r="C666" s="19" t="s">
        <v>582</v>
      </c>
      <c r="D666" s="19" t="s">
        <v>255</v>
      </c>
      <c r="E666" s="19">
        <v>2</v>
      </c>
      <c r="F666" s="19">
        <v>2</v>
      </c>
      <c r="G666" s="19" t="s">
        <v>1805</v>
      </c>
      <c r="H666" s="19" t="s">
        <v>1358</v>
      </c>
    </row>
    <row r="667" spans="1:8">
      <c r="A667" s="19">
        <v>69</v>
      </c>
      <c r="B667" s="19" t="s">
        <v>550</v>
      </c>
      <c r="C667" s="19" t="s">
        <v>582</v>
      </c>
      <c r="D667" s="19" t="s">
        <v>256</v>
      </c>
      <c r="E667" s="19" t="s">
        <v>514</v>
      </c>
      <c r="F667" s="19" t="s">
        <v>1660</v>
      </c>
      <c r="G667" s="19" t="s">
        <v>1806</v>
      </c>
      <c r="H667" s="19" t="s">
        <v>1358</v>
      </c>
    </row>
    <row r="668" spans="1:8">
      <c r="A668" s="19">
        <v>69</v>
      </c>
      <c r="B668" s="19" t="s">
        <v>550</v>
      </c>
      <c r="C668" s="19" t="s">
        <v>582</v>
      </c>
      <c r="D668" s="19" t="s">
        <v>871</v>
      </c>
      <c r="E668" s="19" t="s">
        <v>107</v>
      </c>
      <c r="F668" s="19" t="s">
        <v>1569</v>
      </c>
      <c r="G668" s="19" t="s">
        <v>1807</v>
      </c>
      <c r="H668" s="19" t="s">
        <v>1358</v>
      </c>
    </row>
    <row r="669" spans="1:8">
      <c r="A669" s="19">
        <v>69</v>
      </c>
      <c r="B669" s="19" t="s">
        <v>550</v>
      </c>
      <c r="C669" s="19" t="s">
        <v>582</v>
      </c>
      <c r="D669" s="19" t="s">
        <v>243</v>
      </c>
      <c r="E669" s="19">
        <v>5.5</v>
      </c>
      <c r="F669" s="19">
        <v>5.5</v>
      </c>
      <c r="G669" s="19" t="s">
        <v>1808</v>
      </c>
      <c r="H669" s="19" t="s">
        <v>1358</v>
      </c>
    </row>
    <row r="670" spans="1:8">
      <c r="A670" s="19">
        <v>69</v>
      </c>
      <c r="B670" s="19" t="s">
        <v>550</v>
      </c>
      <c r="C670" s="19" t="s">
        <v>582</v>
      </c>
      <c r="D670" s="19" t="s">
        <v>257</v>
      </c>
      <c r="E670" s="19">
        <v>3.6</v>
      </c>
      <c r="F670" s="19">
        <v>3.6</v>
      </c>
      <c r="G670" s="19" t="s">
        <v>1809</v>
      </c>
      <c r="H670" s="19" t="s">
        <v>1358</v>
      </c>
    </row>
    <row r="671" spans="1:8">
      <c r="A671" s="19">
        <v>69</v>
      </c>
      <c r="B671" s="19" t="s">
        <v>550</v>
      </c>
      <c r="C671" s="19" t="s">
        <v>582</v>
      </c>
      <c r="D671" s="19" t="s">
        <v>1198</v>
      </c>
      <c r="E671" s="19" t="s">
        <v>361</v>
      </c>
      <c r="F671" s="19" t="s">
        <v>361</v>
      </c>
      <c r="G671" s="19" t="s">
        <v>1810</v>
      </c>
      <c r="H671" s="19" t="s">
        <v>1358</v>
      </c>
    </row>
    <row r="672" spans="1:8">
      <c r="A672" s="19">
        <v>69</v>
      </c>
      <c r="B672" s="19" t="s">
        <v>550</v>
      </c>
      <c r="C672" s="19" t="s">
        <v>582</v>
      </c>
      <c r="D672" s="19" t="s">
        <v>1575</v>
      </c>
      <c r="E672" s="19" t="s">
        <v>1596</v>
      </c>
      <c r="F672" s="19" t="s">
        <v>1597</v>
      </c>
      <c r="G672" s="19" t="s">
        <v>1811</v>
      </c>
      <c r="H672" s="19" t="s">
        <v>1358</v>
      </c>
    </row>
    <row r="673" spans="1:8">
      <c r="A673" s="19">
        <v>69</v>
      </c>
      <c r="B673" s="19" t="s">
        <v>550</v>
      </c>
      <c r="C673" s="19" t="s">
        <v>582</v>
      </c>
      <c r="D673" s="19" t="s">
        <v>253</v>
      </c>
      <c r="E673" s="19" t="s">
        <v>297</v>
      </c>
      <c r="F673" s="19" t="s">
        <v>1460</v>
      </c>
      <c r="G673" s="19"/>
      <c r="H673" s="60" t="s">
        <v>1360</v>
      </c>
    </row>
    <row r="674" spans="1:8">
      <c r="A674" s="19">
        <v>69</v>
      </c>
      <c r="B674" s="19" t="s">
        <v>550</v>
      </c>
      <c r="C674" s="19" t="s">
        <v>582</v>
      </c>
      <c r="D674" s="19" t="s">
        <v>914</v>
      </c>
      <c r="E674" s="19" t="s">
        <v>355</v>
      </c>
      <c r="F674" s="19" t="s">
        <v>355</v>
      </c>
      <c r="G674" s="19" t="s">
        <v>1812</v>
      </c>
      <c r="H674" s="19" t="s">
        <v>1358</v>
      </c>
    </row>
    <row r="675" spans="1:8">
      <c r="A675" s="19">
        <v>69</v>
      </c>
      <c r="B675" s="19" t="s">
        <v>550</v>
      </c>
      <c r="C675" s="19" t="s">
        <v>582</v>
      </c>
      <c r="D675" s="19" t="s">
        <v>1377</v>
      </c>
      <c r="E675" s="19">
        <v>25000</v>
      </c>
      <c r="F675" s="19">
        <v>25000</v>
      </c>
      <c r="G675" s="19" t="s">
        <v>1812</v>
      </c>
      <c r="H675" s="19" t="s">
        <v>1358</v>
      </c>
    </row>
    <row r="676" spans="1:8">
      <c r="A676" s="19">
        <v>70</v>
      </c>
      <c r="B676" s="19" t="s">
        <v>550</v>
      </c>
      <c r="C676" s="19" t="s">
        <v>585</v>
      </c>
      <c r="D676" s="19" t="s">
        <v>238</v>
      </c>
      <c r="E676" s="19" t="s">
        <v>517</v>
      </c>
      <c r="F676" s="19" t="s">
        <v>517</v>
      </c>
      <c r="G676" s="19" t="s">
        <v>1813</v>
      </c>
      <c r="H676" s="19" t="s">
        <v>1358</v>
      </c>
    </row>
    <row r="677" spans="1:8">
      <c r="A677" s="19">
        <v>70</v>
      </c>
      <c r="B677" s="19" t="s">
        <v>550</v>
      </c>
      <c r="C677" s="19" t="s">
        <v>585</v>
      </c>
      <c r="D677" s="19" t="s">
        <v>255</v>
      </c>
      <c r="E677" s="19">
        <v>2</v>
      </c>
      <c r="F677" s="19">
        <v>2</v>
      </c>
      <c r="G677" s="19" t="s">
        <v>1814</v>
      </c>
      <c r="H677" s="19" t="s">
        <v>1358</v>
      </c>
    </row>
    <row r="678" spans="1:8">
      <c r="A678" s="19">
        <v>70</v>
      </c>
      <c r="B678" s="19" t="s">
        <v>550</v>
      </c>
      <c r="C678" s="19" t="s">
        <v>585</v>
      </c>
      <c r="D678" s="19" t="s">
        <v>241</v>
      </c>
      <c r="E678" s="19" t="s">
        <v>128</v>
      </c>
      <c r="F678" s="19" t="s">
        <v>1567</v>
      </c>
      <c r="G678" s="19" t="s">
        <v>1815</v>
      </c>
      <c r="H678" s="19" t="s">
        <v>1358</v>
      </c>
    </row>
    <row r="679" spans="1:8">
      <c r="A679" s="19">
        <v>70</v>
      </c>
      <c r="B679" s="19" t="s">
        <v>550</v>
      </c>
      <c r="C679" s="19" t="s">
        <v>585</v>
      </c>
      <c r="D679" s="19" t="s">
        <v>256</v>
      </c>
      <c r="E679" s="19" t="s">
        <v>299</v>
      </c>
      <c r="F679" s="19" t="s">
        <v>1567</v>
      </c>
      <c r="G679" s="19" t="s">
        <v>1815</v>
      </c>
      <c r="H679" s="19" t="s">
        <v>1358</v>
      </c>
    </row>
    <row r="680" spans="1:8">
      <c r="A680" s="19">
        <v>70</v>
      </c>
      <c r="B680" s="19" t="s">
        <v>550</v>
      </c>
      <c r="C680" s="19" t="s">
        <v>585</v>
      </c>
      <c r="D680" s="19" t="s">
        <v>871</v>
      </c>
      <c r="E680" s="19" t="s">
        <v>111</v>
      </c>
      <c r="F680" s="19" t="s">
        <v>1603</v>
      </c>
      <c r="G680" s="19" t="s">
        <v>1816</v>
      </c>
      <c r="H680" s="19" t="s">
        <v>1358</v>
      </c>
    </row>
    <row r="681" spans="1:8">
      <c r="A681" s="19">
        <v>70</v>
      </c>
      <c r="B681" s="19" t="s">
        <v>550</v>
      </c>
      <c r="C681" s="19" t="s">
        <v>585</v>
      </c>
      <c r="D681" s="19" t="s">
        <v>243</v>
      </c>
      <c r="E681" s="19">
        <v>11</v>
      </c>
      <c r="F681" s="19">
        <v>11</v>
      </c>
      <c r="G681" s="19" t="s">
        <v>1817</v>
      </c>
      <c r="H681" s="19" t="s">
        <v>1358</v>
      </c>
    </row>
    <row r="682" spans="1:8">
      <c r="A682" s="19">
        <v>70</v>
      </c>
      <c r="B682" s="19" t="s">
        <v>550</v>
      </c>
      <c r="C682" s="19" t="s">
        <v>585</v>
      </c>
      <c r="D682" s="19" t="s">
        <v>244</v>
      </c>
      <c r="E682" s="19">
        <v>28</v>
      </c>
      <c r="F682" s="19">
        <v>28</v>
      </c>
      <c r="G682" s="19" t="s">
        <v>1818</v>
      </c>
      <c r="H682" s="19" t="s">
        <v>1358</v>
      </c>
    </row>
    <row r="683" spans="1:8">
      <c r="A683" s="19">
        <v>70</v>
      </c>
      <c r="B683" s="19" t="s">
        <v>550</v>
      </c>
      <c r="C683" s="19" t="s">
        <v>585</v>
      </c>
      <c r="D683" s="19" t="s">
        <v>257</v>
      </c>
      <c r="E683" s="19">
        <v>3</v>
      </c>
      <c r="F683" s="19">
        <v>3</v>
      </c>
      <c r="G683" s="19" t="s">
        <v>1819</v>
      </c>
      <c r="H683" s="19" t="s">
        <v>1358</v>
      </c>
    </row>
    <row r="684" spans="1:8">
      <c r="A684" s="19">
        <v>70</v>
      </c>
      <c r="B684" s="19" t="s">
        <v>550</v>
      </c>
      <c r="C684" s="19" t="s">
        <v>585</v>
      </c>
      <c r="D684" s="19" t="s">
        <v>1198</v>
      </c>
      <c r="E684" s="19" t="s">
        <v>361</v>
      </c>
      <c r="F684" s="19" t="s">
        <v>361</v>
      </c>
      <c r="G684" s="19" t="s">
        <v>1820</v>
      </c>
      <c r="H684" s="19" t="s">
        <v>1358</v>
      </c>
    </row>
    <row r="685" spans="1:8">
      <c r="A685" s="19">
        <v>70</v>
      </c>
      <c r="B685" s="19" t="s">
        <v>550</v>
      </c>
      <c r="C685" s="19" t="s">
        <v>585</v>
      </c>
      <c r="D685" s="19" t="s">
        <v>1575</v>
      </c>
      <c r="E685" s="19" t="s">
        <v>1576</v>
      </c>
      <c r="F685" s="19" t="s">
        <v>1577</v>
      </c>
      <c r="G685" s="19" t="s">
        <v>1821</v>
      </c>
      <c r="H685" s="19" t="s">
        <v>1358</v>
      </c>
    </row>
    <row r="686" spans="1:8">
      <c r="A686" s="19">
        <v>70</v>
      </c>
      <c r="B686" s="19" t="s">
        <v>550</v>
      </c>
      <c r="C686" s="19" t="s">
        <v>585</v>
      </c>
      <c r="D686" s="19" t="s">
        <v>253</v>
      </c>
      <c r="E686" s="19" t="s">
        <v>297</v>
      </c>
      <c r="F686" s="19" t="s">
        <v>1460</v>
      </c>
      <c r="G686" s="19"/>
      <c r="H686" s="60" t="s">
        <v>1360</v>
      </c>
    </row>
    <row r="687" spans="1:8">
      <c r="A687" s="19">
        <v>70</v>
      </c>
      <c r="B687" s="19" t="s">
        <v>550</v>
      </c>
      <c r="C687" s="19" t="s">
        <v>585</v>
      </c>
      <c r="D687" s="19" t="s">
        <v>914</v>
      </c>
      <c r="E687" s="19" t="s">
        <v>355</v>
      </c>
      <c r="F687" s="19" t="s">
        <v>355</v>
      </c>
      <c r="G687" s="19" t="s">
        <v>1822</v>
      </c>
      <c r="H687" s="19" t="s">
        <v>1358</v>
      </c>
    </row>
    <row r="688" spans="1:8">
      <c r="A688" s="19">
        <v>70</v>
      </c>
      <c r="B688" s="19" t="s">
        <v>550</v>
      </c>
      <c r="C688" s="19" t="s">
        <v>585</v>
      </c>
      <c r="D688" s="19" t="s">
        <v>1377</v>
      </c>
      <c r="E688" s="19">
        <v>20000</v>
      </c>
      <c r="F688" s="19">
        <v>20000</v>
      </c>
      <c r="G688" s="19" t="s">
        <v>1822</v>
      </c>
      <c r="H688" s="19" t="s">
        <v>1358</v>
      </c>
    </row>
    <row r="689" spans="1:8">
      <c r="A689" s="19">
        <v>71</v>
      </c>
      <c r="B689" s="19" t="s">
        <v>550</v>
      </c>
      <c r="C689" s="19" t="s">
        <v>588</v>
      </c>
      <c r="D689" s="19" t="s">
        <v>238</v>
      </c>
      <c r="E689" s="19" t="s">
        <v>521</v>
      </c>
      <c r="F689" s="19" t="s">
        <v>521</v>
      </c>
      <c r="G689" s="19" t="s">
        <v>1823</v>
      </c>
      <c r="H689" s="19" t="s">
        <v>1358</v>
      </c>
    </row>
    <row r="690" spans="1:8">
      <c r="A690" s="19">
        <v>71</v>
      </c>
      <c r="B690" s="19" t="s">
        <v>550</v>
      </c>
      <c r="C690" s="19" t="s">
        <v>588</v>
      </c>
      <c r="D690" s="19" t="s">
        <v>255</v>
      </c>
      <c r="E690" s="19">
        <v>2</v>
      </c>
      <c r="F690" s="19">
        <v>2</v>
      </c>
      <c r="G690" s="19" t="s">
        <v>1824</v>
      </c>
      <c r="H690" s="19" t="s">
        <v>1358</v>
      </c>
    </row>
    <row r="691" spans="1:8">
      <c r="A691" s="19">
        <v>71</v>
      </c>
      <c r="B691" s="19" t="s">
        <v>550</v>
      </c>
      <c r="C691" s="19" t="s">
        <v>588</v>
      </c>
      <c r="D691" s="19" t="s">
        <v>241</v>
      </c>
      <c r="E691" s="19" t="s">
        <v>128</v>
      </c>
      <c r="F691" s="19" t="s">
        <v>1567</v>
      </c>
      <c r="G691" s="19" t="s">
        <v>1825</v>
      </c>
      <c r="H691" s="19" t="s">
        <v>1358</v>
      </c>
    </row>
    <row r="692" spans="1:8">
      <c r="A692" s="19">
        <v>71</v>
      </c>
      <c r="B692" s="19" t="s">
        <v>550</v>
      </c>
      <c r="C692" s="19" t="s">
        <v>588</v>
      </c>
      <c r="D692" s="19" t="s">
        <v>256</v>
      </c>
      <c r="E692" s="19" t="s">
        <v>299</v>
      </c>
      <c r="F692" s="19" t="s">
        <v>1567</v>
      </c>
      <c r="G692" s="19" t="s">
        <v>1825</v>
      </c>
      <c r="H692" s="19" t="s">
        <v>1358</v>
      </c>
    </row>
    <row r="693" spans="1:8">
      <c r="A693" s="19">
        <v>71</v>
      </c>
      <c r="B693" s="19" t="s">
        <v>550</v>
      </c>
      <c r="C693" s="19" t="s">
        <v>588</v>
      </c>
      <c r="D693" s="19" t="s">
        <v>871</v>
      </c>
      <c r="E693" s="19" t="s">
        <v>111</v>
      </c>
      <c r="F693" s="19" t="s">
        <v>1603</v>
      </c>
      <c r="G693" s="19" t="s">
        <v>1826</v>
      </c>
      <c r="H693" s="19" t="s">
        <v>1358</v>
      </c>
    </row>
    <row r="694" spans="1:8">
      <c r="A694" s="19">
        <v>71</v>
      </c>
      <c r="B694" s="19" t="s">
        <v>550</v>
      </c>
      <c r="C694" s="19" t="s">
        <v>588</v>
      </c>
      <c r="D694" s="19" t="s">
        <v>243</v>
      </c>
      <c r="E694" s="19">
        <v>15</v>
      </c>
      <c r="F694" s="19">
        <v>15</v>
      </c>
      <c r="G694" s="19" t="s">
        <v>1827</v>
      </c>
      <c r="H694" s="19" t="s">
        <v>1358</v>
      </c>
    </row>
    <row r="695" spans="1:8">
      <c r="A695" s="19">
        <v>71</v>
      </c>
      <c r="B695" s="19" t="s">
        <v>550</v>
      </c>
      <c r="C695" s="19" t="s">
        <v>588</v>
      </c>
      <c r="D695" s="19" t="s">
        <v>244</v>
      </c>
      <c r="E695" s="19">
        <v>61</v>
      </c>
      <c r="F695" s="19">
        <v>61</v>
      </c>
      <c r="G695" s="19" t="s">
        <v>1828</v>
      </c>
      <c r="H695" s="19" t="s">
        <v>1358</v>
      </c>
    </row>
    <row r="696" spans="1:8">
      <c r="A696" s="19">
        <v>71</v>
      </c>
      <c r="B696" s="19" t="s">
        <v>550</v>
      </c>
      <c r="C696" s="19" t="s">
        <v>588</v>
      </c>
      <c r="D696" s="19" t="s">
        <v>257</v>
      </c>
      <c r="E696" s="19">
        <v>9</v>
      </c>
      <c r="F696" s="19">
        <v>9</v>
      </c>
      <c r="G696" s="19" t="s">
        <v>1829</v>
      </c>
      <c r="H696" s="19" t="s">
        <v>1358</v>
      </c>
    </row>
    <row r="697" spans="1:8">
      <c r="A697" s="19">
        <v>71</v>
      </c>
      <c r="B697" s="19" t="s">
        <v>550</v>
      </c>
      <c r="C697" s="19" t="s">
        <v>588</v>
      </c>
      <c r="D697" s="19" t="s">
        <v>1198</v>
      </c>
      <c r="E697" s="19" t="s">
        <v>361</v>
      </c>
      <c r="F697" s="19" t="s">
        <v>361</v>
      </c>
      <c r="G697" s="19" t="s">
        <v>1830</v>
      </c>
      <c r="H697" s="19" t="s">
        <v>1358</v>
      </c>
    </row>
    <row r="698" spans="1:8">
      <c r="A698" s="19">
        <v>71</v>
      </c>
      <c r="B698" s="19" t="s">
        <v>550</v>
      </c>
      <c r="C698" s="19" t="s">
        <v>588</v>
      </c>
      <c r="D698" s="19" t="s">
        <v>1575</v>
      </c>
      <c r="E698" s="19" t="s">
        <v>1576</v>
      </c>
      <c r="F698" s="19" t="s">
        <v>1577</v>
      </c>
      <c r="G698" s="19" t="s">
        <v>1831</v>
      </c>
      <c r="H698" s="19" t="s">
        <v>1358</v>
      </c>
    </row>
    <row r="699" spans="1:8">
      <c r="A699" s="19">
        <v>71</v>
      </c>
      <c r="B699" s="19" t="s">
        <v>550</v>
      </c>
      <c r="C699" s="19" t="s">
        <v>588</v>
      </c>
      <c r="D699" s="19" t="s">
        <v>253</v>
      </c>
      <c r="E699" s="19" t="s">
        <v>297</v>
      </c>
      <c r="F699" s="19" t="s">
        <v>1460</v>
      </c>
      <c r="G699" s="19"/>
      <c r="H699" s="60" t="s">
        <v>1360</v>
      </c>
    </row>
    <row r="700" spans="1:8">
      <c r="A700" s="19">
        <v>71</v>
      </c>
      <c r="B700" s="19" t="s">
        <v>550</v>
      </c>
      <c r="C700" s="19" t="s">
        <v>588</v>
      </c>
      <c r="D700" s="19" t="s">
        <v>914</v>
      </c>
      <c r="E700" s="19" t="s">
        <v>355</v>
      </c>
      <c r="F700" s="19" t="s">
        <v>355</v>
      </c>
      <c r="G700" s="19" t="s">
        <v>1832</v>
      </c>
      <c r="H700" s="19" t="s">
        <v>1358</v>
      </c>
    </row>
    <row r="701" spans="1:8">
      <c r="A701" s="19">
        <v>71</v>
      </c>
      <c r="B701" s="19" t="s">
        <v>550</v>
      </c>
      <c r="C701" s="19" t="s">
        <v>588</v>
      </c>
      <c r="D701" s="19" t="s">
        <v>1377</v>
      </c>
      <c r="E701" s="19">
        <v>17500</v>
      </c>
      <c r="F701" s="19">
        <v>17500</v>
      </c>
      <c r="G701" s="19" t="s">
        <v>1832</v>
      </c>
      <c r="H701" s="19" t="s">
        <v>1358</v>
      </c>
    </row>
    <row r="702" spans="1:8">
      <c r="A702" s="19">
        <v>72</v>
      </c>
      <c r="B702" s="19" t="s">
        <v>550</v>
      </c>
      <c r="C702" s="19" t="s">
        <v>591</v>
      </c>
      <c r="D702" s="19" t="s">
        <v>241</v>
      </c>
      <c r="E702" s="19" t="s">
        <v>128</v>
      </c>
      <c r="F702" s="19" t="s">
        <v>1567</v>
      </c>
      <c r="G702" s="19" t="s">
        <v>1833</v>
      </c>
      <c r="H702" s="19" t="s">
        <v>1358</v>
      </c>
    </row>
    <row r="703" spans="1:8">
      <c r="A703" s="19">
        <v>72</v>
      </c>
      <c r="B703" s="19" t="s">
        <v>550</v>
      </c>
      <c r="C703" s="19" t="s">
        <v>591</v>
      </c>
      <c r="D703" s="19" t="s">
        <v>256</v>
      </c>
      <c r="E703" s="19" t="s">
        <v>299</v>
      </c>
      <c r="F703" s="19" t="s">
        <v>1567</v>
      </c>
      <c r="G703" s="19" t="s">
        <v>1833</v>
      </c>
      <c r="H703" s="19" t="s">
        <v>1358</v>
      </c>
    </row>
    <row r="704" spans="1:8">
      <c r="A704" s="19">
        <v>72</v>
      </c>
      <c r="B704" s="19" t="s">
        <v>550</v>
      </c>
      <c r="C704" s="19" t="s">
        <v>591</v>
      </c>
      <c r="D704" s="19" t="s">
        <v>871</v>
      </c>
      <c r="E704" s="19" t="s">
        <v>111</v>
      </c>
      <c r="F704" s="19" t="s">
        <v>1603</v>
      </c>
      <c r="G704" s="19" t="s">
        <v>1834</v>
      </c>
      <c r="H704" s="19" t="s">
        <v>1358</v>
      </c>
    </row>
    <row r="705" spans="1:8">
      <c r="A705" s="19">
        <v>72</v>
      </c>
      <c r="B705" s="19" t="s">
        <v>550</v>
      </c>
      <c r="C705" s="19" t="s">
        <v>591</v>
      </c>
      <c r="D705" s="19" t="s">
        <v>243</v>
      </c>
      <c r="E705" s="19">
        <v>15</v>
      </c>
      <c r="F705" s="19">
        <v>15</v>
      </c>
      <c r="G705" s="19" t="s">
        <v>1835</v>
      </c>
      <c r="H705" s="19" t="s">
        <v>1358</v>
      </c>
    </row>
    <row r="706" spans="1:8">
      <c r="A706" s="19">
        <v>72</v>
      </c>
      <c r="B706" s="19" t="s">
        <v>550</v>
      </c>
      <c r="C706" s="19" t="s">
        <v>591</v>
      </c>
      <c r="D706" s="19" t="s">
        <v>244</v>
      </c>
      <c r="E706" s="19">
        <v>44.9</v>
      </c>
      <c r="F706" s="19" t="s">
        <v>1688</v>
      </c>
      <c r="G706" s="19" t="s">
        <v>1836</v>
      </c>
      <c r="H706" s="60" t="s">
        <v>1362</v>
      </c>
    </row>
    <row r="707" spans="1:8">
      <c r="A707" s="19">
        <v>72</v>
      </c>
      <c r="B707" s="19" t="s">
        <v>550</v>
      </c>
      <c r="C707" s="19" t="s">
        <v>591</v>
      </c>
      <c r="D707" s="19" t="s">
        <v>1198</v>
      </c>
      <c r="E707" s="19" t="s">
        <v>361</v>
      </c>
      <c r="F707" s="19" t="s">
        <v>361</v>
      </c>
      <c r="G707" s="19" t="s">
        <v>1837</v>
      </c>
      <c r="H707" s="19" t="s">
        <v>1358</v>
      </c>
    </row>
    <row r="708" spans="1:8">
      <c r="A708" s="19">
        <v>72</v>
      </c>
      <c r="B708" s="19" t="s">
        <v>550</v>
      </c>
      <c r="C708" s="19" t="s">
        <v>591</v>
      </c>
      <c r="D708" s="19" t="s">
        <v>1575</v>
      </c>
      <c r="E708" s="19" t="s">
        <v>1576</v>
      </c>
      <c r="F708" s="19" t="s">
        <v>1577</v>
      </c>
      <c r="G708" s="19" t="s">
        <v>1838</v>
      </c>
      <c r="H708" s="19" t="s">
        <v>1358</v>
      </c>
    </row>
    <row r="709" spans="1:8">
      <c r="A709" s="19">
        <v>72</v>
      </c>
      <c r="B709" s="19" t="s">
        <v>550</v>
      </c>
      <c r="C709" s="19" t="s">
        <v>591</v>
      </c>
      <c r="D709" s="19" t="s">
        <v>253</v>
      </c>
      <c r="E709" s="19" t="s">
        <v>297</v>
      </c>
      <c r="F709" s="19" t="s">
        <v>1460</v>
      </c>
      <c r="G709" s="19"/>
      <c r="H709" s="60" t="s">
        <v>1360</v>
      </c>
    </row>
    <row r="710" spans="1:8">
      <c r="A710" s="19">
        <v>72</v>
      </c>
      <c r="B710" s="19" t="s">
        <v>550</v>
      </c>
      <c r="C710" s="19" t="s">
        <v>591</v>
      </c>
      <c r="D710" s="19" t="s">
        <v>1377</v>
      </c>
      <c r="E710" s="19" t="s">
        <v>300</v>
      </c>
      <c r="F710" s="19" t="s">
        <v>1691</v>
      </c>
      <c r="G710" s="19" t="s">
        <v>1839</v>
      </c>
      <c r="H710" s="19" t="s">
        <v>1358</v>
      </c>
    </row>
    <row r="711" spans="1:8">
      <c r="A711" s="19">
        <v>73</v>
      </c>
      <c r="B711" s="19" t="s">
        <v>550</v>
      </c>
      <c r="C711" s="19" t="s">
        <v>594</v>
      </c>
      <c r="D711" s="19" t="s">
        <v>241</v>
      </c>
      <c r="E711" s="19" t="s">
        <v>128</v>
      </c>
      <c r="F711" s="19" t="s">
        <v>1567</v>
      </c>
      <c r="G711" s="19" t="s">
        <v>1840</v>
      </c>
      <c r="H711" s="19" t="s">
        <v>1358</v>
      </c>
    </row>
    <row r="712" spans="1:8">
      <c r="A712" s="19">
        <v>73</v>
      </c>
      <c r="B712" s="19" t="s">
        <v>550</v>
      </c>
      <c r="C712" s="19" t="s">
        <v>594</v>
      </c>
      <c r="D712" s="19" t="s">
        <v>256</v>
      </c>
      <c r="E712" s="19" t="s">
        <v>299</v>
      </c>
      <c r="F712" s="19" t="s">
        <v>1567</v>
      </c>
      <c r="G712" s="19" t="s">
        <v>1840</v>
      </c>
      <c r="H712" s="19" t="s">
        <v>1358</v>
      </c>
    </row>
    <row r="713" spans="1:8">
      <c r="A713" s="19">
        <v>73</v>
      </c>
      <c r="B713" s="19" t="s">
        <v>550</v>
      </c>
      <c r="C713" s="19" t="s">
        <v>594</v>
      </c>
      <c r="D713" s="19" t="s">
        <v>871</v>
      </c>
      <c r="E713" s="19" t="s">
        <v>111</v>
      </c>
      <c r="F713" s="19" t="s">
        <v>1603</v>
      </c>
      <c r="G713" s="19" t="s">
        <v>1841</v>
      </c>
      <c r="H713" s="19" t="s">
        <v>1358</v>
      </c>
    </row>
    <row r="714" spans="1:8">
      <c r="A714" s="19">
        <v>73</v>
      </c>
      <c r="B714" s="19" t="s">
        <v>550</v>
      </c>
      <c r="C714" s="19" t="s">
        <v>594</v>
      </c>
      <c r="D714" s="19" t="s">
        <v>1198</v>
      </c>
      <c r="E714" s="19" t="s">
        <v>305</v>
      </c>
      <c r="F714" s="19" t="s">
        <v>1574</v>
      </c>
      <c r="G714" s="19"/>
      <c r="H714" s="60" t="s">
        <v>1360</v>
      </c>
    </row>
    <row r="715" spans="1:8">
      <c r="A715" s="19">
        <v>73</v>
      </c>
      <c r="B715" s="19" t="s">
        <v>550</v>
      </c>
      <c r="C715" s="19" t="s">
        <v>594</v>
      </c>
      <c r="D715" s="19" t="s">
        <v>1575</v>
      </c>
      <c r="E715" s="19" t="s">
        <v>1576</v>
      </c>
      <c r="F715" s="19" t="s">
        <v>1577</v>
      </c>
      <c r="G715" s="19" t="s">
        <v>1842</v>
      </c>
      <c r="H715" s="19" t="s">
        <v>1358</v>
      </c>
    </row>
    <row r="716" spans="1:8">
      <c r="A716" s="19">
        <v>73</v>
      </c>
      <c r="B716" s="19" t="s">
        <v>550</v>
      </c>
      <c r="C716" s="19" t="s">
        <v>594</v>
      </c>
      <c r="D716" s="19" t="s">
        <v>253</v>
      </c>
      <c r="E716" s="19" t="s">
        <v>297</v>
      </c>
      <c r="F716" s="19" t="s">
        <v>1460</v>
      </c>
      <c r="G716" s="19"/>
      <c r="H716" s="60" t="s">
        <v>1360</v>
      </c>
    </row>
    <row r="717" spans="1:8">
      <c r="A717" s="19">
        <v>73</v>
      </c>
      <c r="B717" s="19" t="s">
        <v>550</v>
      </c>
      <c r="C717" s="19" t="s">
        <v>594</v>
      </c>
      <c r="D717" s="19" t="s">
        <v>1377</v>
      </c>
      <c r="E717" s="19" t="s">
        <v>300</v>
      </c>
      <c r="F717" s="19" t="s">
        <v>1691</v>
      </c>
      <c r="G717" s="19" t="s">
        <v>1843</v>
      </c>
      <c r="H717" s="19" t="s">
        <v>1358</v>
      </c>
    </row>
    <row r="718" spans="1:8">
      <c r="A718" s="19">
        <v>74</v>
      </c>
      <c r="B718" s="19" t="s">
        <v>550</v>
      </c>
      <c r="C718" s="19" t="s">
        <v>597</v>
      </c>
      <c r="D718" s="19" t="s">
        <v>241</v>
      </c>
      <c r="E718" s="19" t="s">
        <v>128</v>
      </c>
      <c r="F718" s="19" t="s">
        <v>1567</v>
      </c>
      <c r="G718" s="19" t="s">
        <v>1844</v>
      </c>
      <c r="H718" s="19" t="s">
        <v>1358</v>
      </c>
    </row>
    <row r="719" spans="1:8">
      <c r="A719" s="19">
        <v>74</v>
      </c>
      <c r="B719" s="19" t="s">
        <v>550</v>
      </c>
      <c r="C719" s="19" t="s">
        <v>597</v>
      </c>
      <c r="D719" s="19" t="s">
        <v>256</v>
      </c>
      <c r="E719" s="19" t="s">
        <v>299</v>
      </c>
      <c r="F719" s="19" t="s">
        <v>1567</v>
      </c>
      <c r="G719" s="19" t="s">
        <v>1844</v>
      </c>
      <c r="H719" s="19" t="s">
        <v>1358</v>
      </c>
    </row>
    <row r="720" spans="1:8">
      <c r="A720" s="19">
        <v>74</v>
      </c>
      <c r="B720" s="19" t="s">
        <v>550</v>
      </c>
      <c r="C720" s="19" t="s">
        <v>597</v>
      </c>
      <c r="D720" s="19" t="s">
        <v>871</v>
      </c>
      <c r="E720" s="19" t="s">
        <v>111</v>
      </c>
      <c r="F720" s="19" t="s">
        <v>1603</v>
      </c>
      <c r="G720" s="19" t="s">
        <v>1845</v>
      </c>
      <c r="H720" s="19" t="s">
        <v>1358</v>
      </c>
    </row>
    <row r="721" spans="1:8">
      <c r="A721" s="19">
        <v>74</v>
      </c>
      <c r="B721" s="19" t="s">
        <v>550</v>
      </c>
      <c r="C721" s="19" t="s">
        <v>597</v>
      </c>
      <c r="D721" s="19" t="s">
        <v>1198</v>
      </c>
      <c r="E721" s="19" t="s">
        <v>361</v>
      </c>
      <c r="F721" s="19" t="s">
        <v>361</v>
      </c>
      <c r="G721" s="19" t="s">
        <v>1846</v>
      </c>
      <c r="H721" s="19" t="s">
        <v>1358</v>
      </c>
    </row>
    <row r="722" spans="1:8">
      <c r="A722" s="19">
        <v>74</v>
      </c>
      <c r="B722" s="19" t="s">
        <v>550</v>
      </c>
      <c r="C722" s="19" t="s">
        <v>597</v>
      </c>
      <c r="D722" s="19" t="s">
        <v>1575</v>
      </c>
      <c r="E722" s="19" t="s">
        <v>1576</v>
      </c>
      <c r="F722" s="19" t="s">
        <v>1577</v>
      </c>
      <c r="G722" s="19" t="s">
        <v>1847</v>
      </c>
      <c r="H722" s="19" t="s">
        <v>1358</v>
      </c>
    </row>
    <row r="723" spans="1:8">
      <c r="A723" s="19">
        <v>74</v>
      </c>
      <c r="B723" s="19" t="s">
        <v>550</v>
      </c>
      <c r="C723" s="19" t="s">
        <v>597</v>
      </c>
      <c r="D723" s="19" t="s">
        <v>253</v>
      </c>
      <c r="E723" s="19" t="s">
        <v>297</v>
      </c>
      <c r="F723" s="19" t="s">
        <v>1460</v>
      </c>
      <c r="G723" s="19"/>
      <c r="H723" s="60" t="s">
        <v>1360</v>
      </c>
    </row>
    <row r="724" spans="1:8">
      <c r="A724" s="19">
        <v>74</v>
      </c>
      <c r="B724" s="19" t="s">
        <v>550</v>
      </c>
      <c r="C724" s="19" t="s">
        <v>597</v>
      </c>
      <c r="D724" s="19" t="s">
        <v>1377</v>
      </c>
      <c r="E724" s="19" t="s">
        <v>300</v>
      </c>
      <c r="F724" s="19" t="s">
        <v>1691</v>
      </c>
      <c r="G724" s="19" t="s">
        <v>1843</v>
      </c>
      <c r="H724" s="19" t="s">
        <v>1358</v>
      </c>
    </row>
    <row r="725" spans="1:8">
      <c r="A725" s="19">
        <v>75</v>
      </c>
      <c r="B725" s="19" t="s">
        <v>550</v>
      </c>
      <c r="C725" s="19" t="s">
        <v>600</v>
      </c>
      <c r="D725" s="19" t="s">
        <v>241</v>
      </c>
      <c r="E725" s="19" t="s">
        <v>128</v>
      </c>
      <c r="F725" s="19" t="s">
        <v>1567</v>
      </c>
      <c r="G725" s="19" t="s">
        <v>1844</v>
      </c>
      <c r="H725" s="19" t="s">
        <v>1358</v>
      </c>
    </row>
    <row r="726" spans="1:8">
      <c r="A726" s="19">
        <v>75</v>
      </c>
      <c r="B726" s="19" t="s">
        <v>550</v>
      </c>
      <c r="C726" s="19" t="s">
        <v>600</v>
      </c>
      <c r="D726" s="19" t="s">
        <v>256</v>
      </c>
      <c r="E726" s="19" t="s">
        <v>299</v>
      </c>
      <c r="F726" s="19" t="s">
        <v>1567</v>
      </c>
      <c r="G726" s="19" t="s">
        <v>1844</v>
      </c>
      <c r="H726" s="19" t="s">
        <v>1358</v>
      </c>
    </row>
    <row r="727" spans="1:8">
      <c r="A727" s="19">
        <v>75</v>
      </c>
      <c r="B727" s="19" t="s">
        <v>550</v>
      </c>
      <c r="C727" s="19" t="s">
        <v>600</v>
      </c>
      <c r="D727" s="19" t="s">
        <v>871</v>
      </c>
      <c r="E727" s="19" t="s">
        <v>111</v>
      </c>
      <c r="F727" s="19" t="s">
        <v>1603</v>
      </c>
      <c r="G727" s="19" t="s">
        <v>1845</v>
      </c>
      <c r="H727" s="19" t="s">
        <v>1358</v>
      </c>
    </row>
    <row r="728" spans="1:8">
      <c r="A728" s="19">
        <v>75</v>
      </c>
      <c r="B728" s="19" t="s">
        <v>550</v>
      </c>
      <c r="C728" s="19" t="s">
        <v>600</v>
      </c>
      <c r="D728" s="19" t="s">
        <v>1198</v>
      </c>
      <c r="E728" s="19" t="s">
        <v>361</v>
      </c>
      <c r="F728" s="19" t="s">
        <v>361</v>
      </c>
      <c r="G728" s="19" t="s">
        <v>1846</v>
      </c>
      <c r="H728" s="19" t="s">
        <v>1358</v>
      </c>
    </row>
    <row r="729" spans="1:8">
      <c r="A729" s="19">
        <v>75</v>
      </c>
      <c r="B729" s="19" t="s">
        <v>550</v>
      </c>
      <c r="C729" s="19" t="s">
        <v>600</v>
      </c>
      <c r="D729" s="19" t="s">
        <v>1575</v>
      </c>
      <c r="E729" s="19" t="s">
        <v>1576</v>
      </c>
      <c r="F729" s="19" t="s">
        <v>1577</v>
      </c>
      <c r="G729" s="19" t="s">
        <v>1847</v>
      </c>
      <c r="H729" s="19" t="s">
        <v>1358</v>
      </c>
    </row>
    <row r="730" spans="1:8">
      <c r="A730" s="19">
        <v>75</v>
      </c>
      <c r="B730" s="19" t="s">
        <v>550</v>
      </c>
      <c r="C730" s="19" t="s">
        <v>600</v>
      </c>
      <c r="D730" s="19" t="s">
        <v>253</v>
      </c>
      <c r="E730" s="19" t="s">
        <v>297</v>
      </c>
      <c r="F730" s="19" t="s">
        <v>1460</v>
      </c>
      <c r="G730" s="19"/>
      <c r="H730" s="60" t="s">
        <v>1360</v>
      </c>
    </row>
    <row r="731" spans="1:8">
      <c r="A731" s="19">
        <v>75</v>
      </c>
      <c r="B731" s="19" t="s">
        <v>550</v>
      </c>
      <c r="C731" s="19" t="s">
        <v>600</v>
      </c>
      <c r="D731" s="19" t="s">
        <v>1377</v>
      </c>
      <c r="E731" s="19" t="s">
        <v>300</v>
      </c>
      <c r="F731" s="19" t="s">
        <v>1691</v>
      </c>
      <c r="G731" s="19" t="s">
        <v>1843</v>
      </c>
      <c r="H731" s="19" t="s">
        <v>1358</v>
      </c>
    </row>
    <row r="732" spans="1:8">
      <c r="A732" s="19">
        <v>76</v>
      </c>
      <c r="B732" s="19" t="s">
        <v>550</v>
      </c>
      <c r="C732" s="19" t="s">
        <v>603</v>
      </c>
      <c r="D732" s="19" t="s">
        <v>256</v>
      </c>
      <c r="E732" s="19" t="s">
        <v>485</v>
      </c>
      <c r="F732" s="19" t="s">
        <v>1591</v>
      </c>
      <c r="G732" s="19" t="s">
        <v>1848</v>
      </c>
      <c r="H732" s="19" t="s">
        <v>1358</v>
      </c>
    </row>
    <row r="733" spans="1:8">
      <c r="A733" s="19">
        <v>76</v>
      </c>
      <c r="B733" s="19" t="s">
        <v>550</v>
      </c>
      <c r="C733" s="19" t="s">
        <v>603</v>
      </c>
      <c r="D733" s="19" t="s">
        <v>871</v>
      </c>
      <c r="E733" s="19" t="s">
        <v>107</v>
      </c>
      <c r="F733" s="19" t="s">
        <v>1569</v>
      </c>
      <c r="G733" s="19" t="s">
        <v>1849</v>
      </c>
      <c r="H733" s="19" t="s">
        <v>1358</v>
      </c>
    </row>
    <row r="734" spans="1:8">
      <c r="A734" s="19">
        <v>76</v>
      </c>
      <c r="B734" s="19" t="s">
        <v>550</v>
      </c>
      <c r="C734" s="19" t="s">
        <v>603</v>
      </c>
      <c r="D734" s="19" t="s">
        <v>1198</v>
      </c>
      <c r="E734" s="19" t="s">
        <v>305</v>
      </c>
      <c r="F734" s="19" t="s">
        <v>1574</v>
      </c>
      <c r="G734" s="19"/>
      <c r="H734" s="60" t="s">
        <v>1360</v>
      </c>
    </row>
    <row r="735" spans="1:8">
      <c r="A735" s="19">
        <v>76</v>
      </c>
      <c r="B735" s="19" t="s">
        <v>550</v>
      </c>
      <c r="C735" s="19" t="s">
        <v>603</v>
      </c>
      <c r="D735" s="19" t="s">
        <v>1575</v>
      </c>
      <c r="E735" s="19" t="s">
        <v>1596</v>
      </c>
      <c r="F735" s="19" t="s">
        <v>1597</v>
      </c>
      <c r="G735" s="19" t="s">
        <v>1850</v>
      </c>
      <c r="H735" s="19" t="s">
        <v>1358</v>
      </c>
    </row>
    <row r="736" spans="1:8">
      <c r="A736" s="19">
        <v>76</v>
      </c>
      <c r="B736" s="19" t="s">
        <v>550</v>
      </c>
      <c r="C736" s="19" t="s">
        <v>603</v>
      </c>
      <c r="D736" s="19" t="s">
        <v>253</v>
      </c>
      <c r="E736" s="19" t="s">
        <v>297</v>
      </c>
      <c r="F736" s="19" t="s">
        <v>1460</v>
      </c>
      <c r="G736" s="19"/>
      <c r="H736" s="60" t="s">
        <v>1360</v>
      </c>
    </row>
    <row r="737" spans="1:8">
      <c r="A737" s="19">
        <v>76</v>
      </c>
      <c r="B737" s="19" t="s">
        <v>550</v>
      </c>
      <c r="C737" s="19" t="s">
        <v>603</v>
      </c>
      <c r="D737" s="19" t="s">
        <v>1377</v>
      </c>
      <c r="E737" s="19" t="s">
        <v>300</v>
      </c>
      <c r="F737" s="19" t="s">
        <v>1691</v>
      </c>
      <c r="G737" s="19" t="s">
        <v>1843</v>
      </c>
      <c r="H737" s="19" t="s">
        <v>1358</v>
      </c>
    </row>
    <row r="738" spans="1:8">
      <c r="A738" s="19">
        <v>77</v>
      </c>
      <c r="B738" s="19" t="s">
        <v>550</v>
      </c>
      <c r="C738" s="19" t="s">
        <v>606</v>
      </c>
      <c r="D738" s="19" t="s">
        <v>256</v>
      </c>
      <c r="E738" s="19" t="s">
        <v>343</v>
      </c>
      <c r="F738" s="19" t="s">
        <v>1703</v>
      </c>
      <c r="G738" s="19" t="s">
        <v>1851</v>
      </c>
      <c r="H738" s="19" t="s">
        <v>1358</v>
      </c>
    </row>
    <row r="739" spans="1:8">
      <c r="A739" s="19">
        <v>77</v>
      </c>
      <c r="B739" s="19" t="s">
        <v>550</v>
      </c>
      <c r="C739" s="19" t="s">
        <v>606</v>
      </c>
      <c r="D739" s="19" t="s">
        <v>871</v>
      </c>
      <c r="E739" s="19" t="s">
        <v>111</v>
      </c>
      <c r="F739" s="19" t="s">
        <v>1603</v>
      </c>
      <c r="G739" s="19" t="s">
        <v>1852</v>
      </c>
      <c r="H739" s="19" t="s">
        <v>1358</v>
      </c>
    </row>
    <row r="740" spans="1:8">
      <c r="A740" s="19">
        <v>77</v>
      </c>
      <c r="B740" s="19" t="s">
        <v>550</v>
      </c>
      <c r="C740" s="19" t="s">
        <v>606</v>
      </c>
      <c r="D740" s="19" t="s">
        <v>1198</v>
      </c>
      <c r="E740" s="19" t="s">
        <v>361</v>
      </c>
      <c r="F740" s="19" t="s">
        <v>361</v>
      </c>
      <c r="G740" s="19" t="s">
        <v>1853</v>
      </c>
      <c r="H740" s="19" t="s">
        <v>1358</v>
      </c>
    </row>
    <row r="741" spans="1:8">
      <c r="A741" s="19">
        <v>77</v>
      </c>
      <c r="B741" s="19" t="s">
        <v>550</v>
      </c>
      <c r="C741" s="19" t="s">
        <v>606</v>
      </c>
      <c r="D741" s="19" t="s">
        <v>1575</v>
      </c>
      <c r="E741" s="19" t="s">
        <v>1576</v>
      </c>
      <c r="F741" s="19" t="s">
        <v>1577</v>
      </c>
      <c r="G741" s="19" t="s">
        <v>1854</v>
      </c>
      <c r="H741" s="19" t="s">
        <v>1358</v>
      </c>
    </row>
    <row r="742" spans="1:8">
      <c r="A742" s="19">
        <v>77</v>
      </c>
      <c r="B742" s="19" t="s">
        <v>550</v>
      </c>
      <c r="C742" s="19" t="s">
        <v>606</v>
      </c>
      <c r="D742" s="19" t="s">
        <v>253</v>
      </c>
      <c r="E742" s="19" t="s">
        <v>297</v>
      </c>
      <c r="F742" s="19" t="s">
        <v>1460</v>
      </c>
      <c r="G742" s="19"/>
      <c r="H742" s="60" t="s">
        <v>1360</v>
      </c>
    </row>
    <row r="743" spans="1:8">
      <c r="A743" s="19">
        <v>77</v>
      </c>
      <c r="B743" s="19" t="s">
        <v>550</v>
      </c>
      <c r="C743" s="19" t="s">
        <v>606</v>
      </c>
      <c r="D743" s="19" t="s">
        <v>1377</v>
      </c>
      <c r="E743" s="19" t="s">
        <v>300</v>
      </c>
      <c r="F743" s="19" t="s">
        <v>1691</v>
      </c>
      <c r="G743" s="19" t="s">
        <v>1855</v>
      </c>
      <c r="H743" s="19" t="s">
        <v>1358</v>
      </c>
    </row>
    <row r="744" spans="1:8">
      <c r="A744" s="19">
        <v>78</v>
      </c>
      <c r="B744" s="19" t="s">
        <v>550</v>
      </c>
      <c r="C744" s="19" t="s">
        <v>610</v>
      </c>
      <c r="D744" s="19" t="s">
        <v>241</v>
      </c>
      <c r="E744" s="19" t="s">
        <v>128</v>
      </c>
      <c r="F744" s="19" t="s">
        <v>1567</v>
      </c>
      <c r="G744" s="19" t="s">
        <v>1856</v>
      </c>
      <c r="H744" s="19" t="s">
        <v>1358</v>
      </c>
    </row>
    <row r="745" spans="1:8">
      <c r="A745" s="19">
        <v>78</v>
      </c>
      <c r="B745" s="19" t="s">
        <v>550</v>
      </c>
      <c r="C745" s="19" t="s">
        <v>610</v>
      </c>
      <c r="D745" s="19" t="s">
        <v>256</v>
      </c>
      <c r="E745" s="19" t="s">
        <v>299</v>
      </c>
      <c r="F745" s="19" t="s">
        <v>1567</v>
      </c>
      <c r="G745" s="19" t="s">
        <v>1856</v>
      </c>
      <c r="H745" s="19" t="s">
        <v>1358</v>
      </c>
    </row>
    <row r="746" spans="1:8">
      <c r="A746" s="19">
        <v>78</v>
      </c>
      <c r="B746" s="19" t="s">
        <v>550</v>
      </c>
      <c r="C746" s="19" t="s">
        <v>610</v>
      </c>
      <c r="D746" s="19" t="s">
        <v>871</v>
      </c>
      <c r="E746" s="19" t="s">
        <v>111</v>
      </c>
      <c r="F746" s="19" t="s">
        <v>1603</v>
      </c>
      <c r="G746" s="19" t="s">
        <v>1857</v>
      </c>
      <c r="H746" s="19" t="s">
        <v>1358</v>
      </c>
    </row>
    <row r="747" spans="1:8">
      <c r="A747" s="19">
        <v>78</v>
      </c>
      <c r="B747" s="19" t="s">
        <v>550</v>
      </c>
      <c r="C747" s="19" t="s">
        <v>610</v>
      </c>
      <c r="D747" s="19" t="s">
        <v>243</v>
      </c>
      <c r="E747" s="19">
        <v>50</v>
      </c>
      <c r="F747" s="19">
        <v>50</v>
      </c>
      <c r="G747" s="19" t="s">
        <v>1858</v>
      </c>
      <c r="H747" s="19" t="s">
        <v>1358</v>
      </c>
    </row>
    <row r="748" spans="1:8">
      <c r="A748" s="19">
        <v>78</v>
      </c>
      <c r="B748" s="19" t="s">
        <v>550</v>
      </c>
      <c r="C748" s="19" t="s">
        <v>610</v>
      </c>
      <c r="D748" s="19" t="s">
        <v>244</v>
      </c>
      <c r="E748" s="19">
        <v>30.6</v>
      </c>
      <c r="F748" s="19" t="s">
        <v>1859</v>
      </c>
      <c r="G748" s="19" t="s">
        <v>1860</v>
      </c>
      <c r="H748" s="60" t="s">
        <v>1362</v>
      </c>
    </row>
    <row r="749" spans="1:8">
      <c r="A749" s="19">
        <v>78</v>
      </c>
      <c r="B749" s="19" t="s">
        <v>550</v>
      </c>
      <c r="C749" s="19" t="s">
        <v>610</v>
      </c>
      <c r="D749" s="19" t="s">
        <v>1198</v>
      </c>
      <c r="E749" s="19" t="s">
        <v>305</v>
      </c>
      <c r="F749" s="19" t="s">
        <v>1574</v>
      </c>
      <c r="G749" s="19"/>
      <c r="H749" s="60" t="s">
        <v>1360</v>
      </c>
    </row>
    <row r="750" spans="1:8">
      <c r="A750" s="19">
        <v>78</v>
      </c>
      <c r="B750" s="19" t="s">
        <v>550</v>
      </c>
      <c r="C750" s="19" t="s">
        <v>610</v>
      </c>
      <c r="D750" s="19" t="s">
        <v>1575</v>
      </c>
      <c r="E750" s="19" t="s">
        <v>1576</v>
      </c>
      <c r="F750" s="19" t="s">
        <v>1577</v>
      </c>
      <c r="G750" s="19" t="s">
        <v>1861</v>
      </c>
      <c r="H750" s="19" t="s">
        <v>1358</v>
      </c>
    </row>
    <row r="751" spans="1:8">
      <c r="A751" s="19">
        <v>78</v>
      </c>
      <c r="B751" s="19" t="s">
        <v>550</v>
      </c>
      <c r="C751" s="19" t="s">
        <v>610</v>
      </c>
      <c r="D751" s="19" t="s">
        <v>253</v>
      </c>
      <c r="E751" s="19" t="s">
        <v>297</v>
      </c>
      <c r="F751" s="19" t="s">
        <v>1460</v>
      </c>
      <c r="G751" s="19"/>
      <c r="H751" s="60" t="s">
        <v>1360</v>
      </c>
    </row>
    <row r="752" spans="1:8">
      <c r="A752" s="19">
        <v>78</v>
      </c>
      <c r="B752" s="19" t="s">
        <v>550</v>
      </c>
      <c r="C752" s="19" t="s">
        <v>610</v>
      </c>
      <c r="D752" s="19" t="s">
        <v>1377</v>
      </c>
      <c r="E752" s="19" t="s">
        <v>300</v>
      </c>
      <c r="F752" s="19" t="s">
        <v>1691</v>
      </c>
      <c r="G752" s="19" t="s">
        <v>1862</v>
      </c>
      <c r="H752" s="19" t="s">
        <v>1358</v>
      </c>
    </row>
    <row r="753" spans="1:8">
      <c r="A753" s="19">
        <v>79</v>
      </c>
      <c r="B753" s="19" t="s">
        <v>468</v>
      </c>
      <c r="C753" s="19" t="s">
        <v>614</v>
      </c>
      <c r="D753" s="19" t="s">
        <v>238</v>
      </c>
      <c r="E753" s="19" t="s">
        <v>613</v>
      </c>
      <c r="F753" s="19" t="s">
        <v>613</v>
      </c>
      <c r="G753" s="19" t="s">
        <v>1863</v>
      </c>
      <c r="H753" s="19" t="s">
        <v>1358</v>
      </c>
    </row>
    <row r="754" spans="1:8">
      <c r="A754" s="19">
        <v>79</v>
      </c>
      <c r="B754" s="19" t="s">
        <v>468</v>
      </c>
      <c r="C754" s="19" t="s">
        <v>614</v>
      </c>
      <c r="D754" s="19" t="s">
        <v>255</v>
      </c>
      <c r="E754" s="19">
        <v>2</v>
      </c>
      <c r="F754" s="19">
        <v>2</v>
      </c>
      <c r="G754" s="19" t="s">
        <v>1864</v>
      </c>
      <c r="H754" s="19" t="s">
        <v>1358</v>
      </c>
    </row>
    <row r="755" spans="1:8">
      <c r="A755" s="19">
        <v>79</v>
      </c>
      <c r="B755" s="19" t="s">
        <v>468</v>
      </c>
      <c r="C755" s="19" t="s">
        <v>614</v>
      </c>
      <c r="D755" s="19" t="s">
        <v>256</v>
      </c>
      <c r="E755" s="19" t="s">
        <v>299</v>
      </c>
      <c r="F755" s="19" t="s">
        <v>1865</v>
      </c>
      <c r="G755" s="19" t="s">
        <v>1866</v>
      </c>
      <c r="H755" s="19" t="s">
        <v>1358</v>
      </c>
    </row>
    <row r="756" spans="1:8">
      <c r="A756" s="19">
        <v>79</v>
      </c>
      <c r="B756" s="19" t="s">
        <v>468</v>
      </c>
      <c r="C756" s="19" t="s">
        <v>614</v>
      </c>
      <c r="D756" s="19" t="s">
        <v>871</v>
      </c>
      <c r="E756" s="19" t="s">
        <v>70</v>
      </c>
      <c r="F756" s="19" t="s">
        <v>1867</v>
      </c>
      <c r="G756" s="19" t="s">
        <v>1868</v>
      </c>
      <c r="H756" s="19" t="s">
        <v>1358</v>
      </c>
    </row>
    <row r="757" spans="1:8">
      <c r="A757" s="19">
        <v>79</v>
      </c>
      <c r="B757" s="19" t="s">
        <v>468</v>
      </c>
      <c r="C757" s="19" t="s">
        <v>614</v>
      </c>
      <c r="D757" s="19" t="s">
        <v>243</v>
      </c>
      <c r="E757" s="19">
        <v>48</v>
      </c>
      <c r="F757" s="19">
        <v>48</v>
      </c>
      <c r="G757" s="19" t="s">
        <v>1869</v>
      </c>
      <c r="H757" s="19" t="s">
        <v>1358</v>
      </c>
    </row>
    <row r="758" spans="1:8">
      <c r="A758" s="19">
        <v>79</v>
      </c>
      <c r="B758" s="19" t="s">
        <v>468</v>
      </c>
      <c r="C758" s="19" t="s">
        <v>614</v>
      </c>
      <c r="D758" s="19" t="s">
        <v>244</v>
      </c>
      <c r="E758" s="19">
        <v>36</v>
      </c>
      <c r="F758" s="19">
        <v>36</v>
      </c>
      <c r="G758" s="19" t="s">
        <v>1870</v>
      </c>
      <c r="H758" s="19" t="s">
        <v>1358</v>
      </c>
    </row>
    <row r="759" spans="1:8">
      <c r="A759" s="19">
        <v>79</v>
      </c>
      <c r="B759" s="19" t="s">
        <v>468</v>
      </c>
      <c r="C759" s="19" t="s">
        <v>614</v>
      </c>
      <c r="D759" s="19" t="s">
        <v>257</v>
      </c>
      <c r="E759" s="19">
        <v>3</v>
      </c>
      <c r="F759" s="19">
        <v>3</v>
      </c>
      <c r="G759" s="19" t="s">
        <v>1871</v>
      </c>
      <c r="H759" s="19" t="s">
        <v>1358</v>
      </c>
    </row>
    <row r="760" spans="1:8">
      <c r="A760" s="19">
        <v>79</v>
      </c>
      <c r="B760" s="19" t="s">
        <v>468</v>
      </c>
      <c r="C760" s="19" t="s">
        <v>614</v>
      </c>
      <c r="D760" s="19" t="s">
        <v>1198</v>
      </c>
      <c r="E760" s="19" t="s">
        <v>305</v>
      </c>
      <c r="F760" s="19" t="s">
        <v>1574</v>
      </c>
      <c r="G760" s="19"/>
      <c r="H760" s="60" t="s">
        <v>1360</v>
      </c>
    </row>
    <row r="761" spans="1:8">
      <c r="A761" s="19">
        <v>79</v>
      </c>
      <c r="B761" s="19" t="s">
        <v>468</v>
      </c>
      <c r="C761" s="19" t="s">
        <v>614</v>
      </c>
      <c r="D761" s="19" t="s">
        <v>1575</v>
      </c>
      <c r="E761" s="19" t="s">
        <v>1872</v>
      </c>
      <c r="F761" s="19" t="s">
        <v>1873</v>
      </c>
      <c r="G761" s="19" t="s">
        <v>1874</v>
      </c>
      <c r="H761" s="19" t="s">
        <v>1358</v>
      </c>
    </row>
    <row r="762" spans="1:8">
      <c r="A762" s="19">
        <v>79</v>
      </c>
      <c r="B762" s="19" t="s">
        <v>468</v>
      </c>
      <c r="C762" s="19" t="s">
        <v>614</v>
      </c>
      <c r="D762" s="19" t="s">
        <v>253</v>
      </c>
      <c r="E762" s="19" t="s">
        <v>297</v>
      </c>
      <c r="F762" s="19" t="s">
        <v>1460</v>
      </c>
      <c r="G762" s="19"/>
      <c r="H762" s="60" t="s">
        <v>1360</v>
      </c>
    </row>
    <row r="763" spans="1:8">
      <c r="A763" s="19">
        <v>79</v>
      </c>
      <c r="B763" s="19" t="s">
        <v>468</v>
      </c>
      <c r="C763" s="19" t="s">
        <v>614</v>
      </c>
      <c r="D763" s="19" t="s">
        <v>914</v>
      </c>
      <c r="E763" s="19" t="s">
        <v>355</v>
      </c>
      <c r="F763" s="19" t="s">
        <v>355</v>
      </c>
      <c r="G763" s="19" t="s">
        <v>1875</v>
      </c>
      <c r="H763" s="19" t="s">
        <v>1358</v>
      </c>
    </row>
    <row r="764" spans="1:8">
      <c r="A764" s="19">
        <v>79</v>
      </c>
      <c r="B764" s="19" t="s">
        <v>468</v>
      </c>
      <c r="C764" s="19" t="s">
        <v>614</v>
      </c>
      <c r="D764" s="19" t="s">
        <v>1377</v>
      </c>
      <c r="E764" s="19">
        <v>6500</v>
      </c>
      <c r="F764" s="19">
        <v>6500</v>
      </c>
      <c r="G764" s="19" t="s">
        <v>1875</v>
      </c>
      <c r="H764" s="19" t="s">
        <v>1358</v>
      </c>
    </row>
    <row r="765" spans="1:8">
      <c r="A765" s="19">
        <v>80</v>
      </c>
      <c r="B765" s="19" t="s">
        <v>468</v>
      </c>
      <c r="C765" s="19" t="s">
        <v>620</v>
      </c>
      <c r="D765" s="19" t="s">
        <v>238</v>
      </c>
      <c r="E765" s="19" t="s">
        <v>619</v>
      </c>
      <c r="F765" s="19" t="s">
        <v>1876</v>
      </c>
      <c r="G765" s="19" t="s">
        <v>1877</v>
      </c>
      <c r="H765" s="19" t="s">
        <v>1358</v>
      </c>
    </row>
    <row r="766" spans="1:8">
      <c r="A766" s="19">
        <v>80</v>
      </c>
      <c r="B766" s="19" t="s">
        <v>468</v>
      </c>
      <c r="C766" s="19" t="s">
        <v>620</v>
      </c>
      <c r="D766" s="19" t="s">
        <v>255</v>
      </c>
      <c r="E766" s="19">
        <v>1</v>
      </c>
      <c r="F766" s="19">
        <v>1</v>
      </c>
      <c r="G766" s="19" t="s">
        <v>1878</v>
      </c>
      <c r="H766" s="19" t="s">
        <v>1358</v>
      </c>
    </row>
    <row r="767" spans="1:8">
      <c r="A767" s="19">
        <v>80</v>
      </c>
      <c r="B767" s="19" t="s">
        <v>468</v>
      </c>
      <c r="C767" s="19" t="s">
        <v>620</v>
      </c>
      <c r="D767" s="19" t="s">
        <v>256</v>
      </c>
      <c r="E767" s="19" t="s">
        <v>299</v>
      </c>
      <c r="F767" s="19" t="s">
        <v>1865</v>
      </c>
      <c r="G767" s="19" t="s">
        <v>1879</v>
      </c>
      <c r="H767" s="19" t="s">
        <v>1358</v>
      </c>
    </row>
    <row r="768" spans="1:8">
      <c r="A768" s="19">
        <v>80</v>
      </c>
      <c r="B768" s="19" t="s">
        <v>468</v>
      </c>
      <c r="C768" s="19" t="s">
        <v>620</v>
      </c>
      <c r="D768" s="19" t="s">
        <v>871</v>
      </c>
      <c r="E768" s="19" t="s">
        <v>70</v>
      </c>
      <c r="F768" s="19" t="s">
        <v>1867</v>
      </c>
      <c r="G768" s="19" t="s">
        <v>1880</v>
      </c>
      <c r="H768" s="19" t="s">
        <v>1358</v>
      </c>
    </row>
    <row r="769" spans="1:8">
      <c r="A769" s="19">
        <v>80</v>
      </c>
      <c r="B769" s="19" t="s">
        <v>468</v>
      </c>
      <c r="C769" s="19" t="s">
        <v>620</v>
      </c>
      <c r="D769" s="19" t="s">
        <v>243</v>
      </c>
      <c r="E769" s="19">
        <v>33</v>
      </c>
      <c r="F769" s="19">
        <v>33</v>
      </c>
      <c r="G769" s="19" t="s">
        <v>1881</v>
      </c>
      <c r="H769" s="19" t="s">
        <v>1358</v>
      </c>
    </row>
    <row r="770" spans="1:8">
      <c r="A770" s="19">
        <v>80</v>
      </c>
      <c r="B770" s="19" t="s">
        <v>468</v>
      </c>
      <c r="C770" s="19" t="s">
        <v>620</v>
      </c>
      <c r="D770" s="19" t="s">
        <v>244</v>
      </c>
      <c r="E770" s="19">
        <v>31</v>
      </c>
      <c r="F770" s="19">
        <v>31</v>
      </c>
      <c r="G770" s="19" t="s">
        <v>1882</v>
      </c>
      <c r="H770" s="19" t="s">
        <v>1358</v>
      </c>
    </row>
    <row r="771" spans="1:8">
      <c r="A771" s="19">
        <v>80</v>
      </c>
      <c r="B771" s="19" t="s">
        <v>468</v>
      </c>
      <c r="C771" s="19" t="s">
        <v>620</v>
      </c>
      <c r="D771" s="19" t="s">
        <v>257</v>
      </c>
      <c r="E771" s="19">
        <v>2.9</v>
      </c>
      <c r="F771" s="19">
        <v>2.9</v>
      </c>
      <c r="G771" s="19" t="s">
        <v>1883</v>
      </c>
      <c r="H771" s="19" t="s">
        <v>1358</v>
      </c>
    </row>
    <row r="772" spans="1:8">
      <c r="A772" s="19">
        <v>80</v>
      </c>
      <c r="B772" s="19" t="s">
        <v>468</v>
      </c>
      <c r="C772" s="19" t="s">
        <v>620</v>
      </c>
      <c r="D772" s="19" t="s">
        <v>1198</v>
      </c>
      <c r="E772" s="19" t="s">
        <v>305</v>
      </c>
      <c r="F772" s="19" t="s">
        <v>1574</v>
      </c>
      <c r="G772" s="19"/>
      <c r="H772" s="60" t="s">
        <v>1360</v>
      </c>
    </row>
    <row r="773" spans="1:8">
      <c r="A773" s="19">
        <v>80</v>
      </c>
      <c r="B773" s="19" t="s">
        <v>468</v>
      </c>
      <c r="C773" s="19" t="s">
        <v>620</v>
      </c>
      <c r="D773" s="19" t="s">
        <v>1575</v>
      </c>
      <c r="E773" s="19" t="s">
        <v>1872</v>
      </c>
      <c r="F773" s="19" t="s">
        <v>1873</v>
      </c>
      <c r="G773" s="19" t="s">
        <v>1884</v>
      </c>
      <c r="H773" s="19" t="s">
        <v>1358</v>
      </c>
    </row>
    <row r="774" spans="1:8">
      <c r="A774" s="19">
        <v>80</v>
      </c>
      <c r="B774" s="19" t="s">
        <v>468</v>
      </c>
      <c r="C774" s="19" t="s">
        <v>620</v>
      </c>
      <c r="D774" s="19" t="s">
        <v>253</v>
      </c>
      <c r="E774" s="19" t="s">
        <v>297</v>
      </c>
      <c r="F774" s="19" t="s">
        <v>1460</v>
      </c>
      <c r="G774" s="19"/>
      <c r="H774" s="60" t="s">
        <v>1360</v>
      </c>
    </row>
    <row r="775" spans="1:8">
      <c r="A775" s="19">
        <v>80</v>
      </c>
      <c r="B775" s="19" t="s">
        <v>468</v>
      </c>
      <c r="C775" s="19" t="s">
        <v>620</v>
      </c>
      <c r="D775" s="19" t="s">
        <v>914</v>
      </c>
      <c r="E775" s="19" t="s">
        <v>355</v>
      </c>
      <c r="F775" s="19" t="s">
        <v>355</v>
      </c>
      <c r="G775" s="19" t="s">
        <v>1885</v>
      </c>
      <c r="H775" s="19" t="s">
        <v>1358</v>
      </c>
    </row>
    <row r="776" spans="1:8">
      <c r="A776" s="19">
        <v>80</v>
      </c>
      <c r="B776" s="19" t="s">
        <v>468</v>
      </c>
      <c r="C776" s="19" t="s">
        <v>620</v>
      </c>
      <c r="D776" s="19" t="s">
        <v>1377</v>
      </c>
      <c r="E776" s="19">
        <v>6500</v>
      </c>
      <c r="F776" s="19">
        <v>6500</v>
      </c>
      <c r="G776" s="19" t="s">
        <v>1885</v>
      </c>
      <c r="H776" s="19" t="s">
        <v>1358</v>
      </c>
    </row>
    <row r="777" spans="1:8">
      <c r="A777" s="19">
        <v>81</v>
      </c>
      <c r="B777" s="19" t="s">
        <v>468</v>
      </c>
      <c r="C777" s="19" t="s">
        <v>624</v>
      </c>
      <c r="D777" s="19" t="s">
        <v>238</v>
      </c>
      <c r="E777" s="19" t="s">
        <v>623</v>
      </c>
      <c r="F777" s="19" t="s">
        <v>623</v>
      </c>
      <c r="G777" s="19" t="s">
        <v>1886</v>
      </c>
      <c r="H777" s="19" t="s">
        <v>1358</v>
      </c>
    </row>
    <row r="778" spans="1:8">
      <c r="A778" s="19">
        <v>81</v>
      </c>
      <c r="B778" s="19" t="s">
        <v>468</v>
      </c>
      <c r="C778" s="19" t="s">
        <v>624</v>
      </c>
      <c r="D778" s="19" t="s">
        <v>255</v>
      </c>
      <c r="E778" s="19">
        <v>1</v>
      </c>
      <c r="F778" s="19">
        <v>1</v>
      </c>
      <c r="G778" s="19" t="s">
        <v>1887</v>
      </c>
      <c r="H778" s="19" t="s">
        <v>1358</v>
      </c>
    </row>
    <row r="779" spans="1:8">
      <c r="A779" s="19">
        <v>81</v>
      </c>
      <c r="B779" s="19" t="s">
        <v>468</v>
      </c>
      <c r="C779" s="19" t="s">
        <v>624</v>
      </c>
      <c r="D779" s="19" t="s">
        <v>241</v>
      </c>
      <c r="E779" s="19" t="s">
        <v>167</v>
      </c>
      <c r="F779" s="19" t="s">
        <v>1888</v>
      </c>
      <c r="G779" s="19" t="s">
        <v>1889</v>
      </c>
      <c r="H779" s="19" t="s">
        <v>1358</v>
      </c>
    </row>
    <row r="780" spans="1:8">
      <c r="A780" s="19">
        <v>81</v>
      </c>
      <c r="B780" s="19" t="s">
        <v>468</v>
      </c>
      <c r="C780" s="19" t="s">
        <v>624</v>
      </c>
      <c r="D780" s="19" t="s">
        <v>256</v>
      </c>
      <c r="E780" s="19" t="s">
        <v>299</v>
      </c>
      <c r="F780" s="19" t="s">
        <v>1888</v>
      </c>
      <c r="G780" s="19" t="s">
        <v>1889</v>
      </c>
      <c r="H780" s="19" t="s">
        <v>1358</v>
      </c>
    </row>
    <row r="781" spans="1:8">
      <c r="A781" s="19">
        <v>81</v>
      </c>
      <c r="B781" s="19" t="s">
        <v>468</v>
      </c>
      <c r="C781" s="19" t="s">
        <v>624</v>
      </c>
      <c r="D781" s="19" t="s">
        <v>871</v>
      </c>
      <c r="E781" s="19" t="s">
        <v>86</v>
      </c>
      <c r="F781" s="19" t="s">
        <v>1651</v>
      </c>
      <c r="G781" s="19" t="s">
        <v>1890</v>
      </c>
      <c r="H781" s="19" t="s">
        <v>1358</v>
      </c>
    </row>
    <row r="782" spans="1:8">
      <c r="A782" s="19">
        <v>81</v>
      </c>
      <c r="B782" s="19" t="s">
        <v>468</v>
      </c>
      <c r="C782" s="19" t="s">
        <v>624</v>
      </c>
      <c r="D782" s="19" t="s">
        <v>243</v>
      </c>
      <c r="E782" s="19">
        <v>5.5</v>
      </c>
      <c r="F782" s="19">
        <v>5.5</v>
      </c>
      <c r="G782" s="19" t="s">
        <v>1891</v>
      </c>
      <c r="H782" s="19" t="s">
        <v>1358</v>
      </c>
    </row>
    <row r="783" spans="1:8">
      <c r="A783" s="19">
        <v>81</v>
      </c>
      <c r="B783" s="19" t="s">
        <v>468</v>
      </c>
      <c r="C783" s="19" t="s">
        <v>624</v>
      </c>
      <c r="D783" s="19" t="s">
        <v>244</v>
      </c>
      <c r="E783" s="19">
        <v>43</v>
      </c>
      <c r="F783" s="19">
        <v>43</v>
      </c>
      <c r="G783" s="19" t="s">
        <v>1892</v>
      </c>
      <c r="H783" s="19" t="s">
        <v>1358</v>
      </c>
    </row>
    <row r="784" spans="1:8">
      <c r="A784" s="19">
        <v>81</v>
      </c>
      <c r="B784" s="19" t="s">
        <v>468</v>
      </c>
      <c r="C784" s="19" t="s">
        <v>624</v>
      </c>
      <c r="D784" s="19" t="s">
        <v>257</v>
      </c>
      <c r="E784" s="19">
        <v>3.03</v>
      </c>
      <c r="F784" s="19">
        <v>3.03</v>
      </c>
      <c r="G784" s="19" t="s">
        <v>1893</v>
      </c>
      <c r="H784" s="19" t="s">
        <v>1358</v>
      </c>
    </row>
    <row r="785" spans="1:8">
      <c r="A785" s="19">
        <v>81</v>
      </c>
      <c r="B785" s="19" t="s">
        <v>468</v>
      </c>
      <c r="C785" s="19" t="s">
        <v>624</v>
      </c>
      <c r="D785" s="19" t="s">
        <v>1198</v>
      </c>
      <c r="E785" s="19" t="s">
        <v>305</v>
      </c>
      <c r="F785" s="19" t="s">
        <v>1574</v>
      </c>
      <c r="G785" s="19"/>
      <c r="H785" s="60" t="s">
        <v>1360</v>
      </c>
    </row>
    <row r="786" spans="1:8">
      <c r="A786" s="19">
        <v>81</v>
      </c>
      <c r="B786" s="19" t="s">
        <v>468</v>
      </c>
      <c r="C786" s="19" t="s">
        <v>624</v>
      </c>
      <c r="D786" s="19" t="s">
        <v>1575</v>
      </c>
      <c r="E786" s="19" t="s">
        <v>1576</v>
      </c>
      <c r="F786" s="19" t="s">
        <v>1577</v>
      </c>
      <c r="G786" s="19" t="s">
        <v>1894</v>
      </c>
      <c r="H786" s="19" t="s">
        <v>1358</v>
      </c>
    </row>
    <row r="787" spans="1:8">
      <c r="A787" s="19">
        <v>81</v>
      </c>
      <c r="B787" s="19" t="s">
        <v>468</v>
      </c>
      <c r="C787" s="19" t="s">
        <v>624</v>
      </c>
      <c r="D787" s="19" t="s">
        <v>253</v>
      </c>
      <c r="E787" s="19" t="s">
        <v>297</v>
      </c>
      <c r="F787" s="19" t="s">
        <v>1460</v>
      </c>
      <c r="G787" s="19"/>
      <c r="H787" s="60" t="s">
        <v>1360</v>
      </c>
    </row>
    <row r="788" spans="1:8">
      <c r="A788" s="19">
        <v>81</v>
      </c>
      <c r="B788" s="19" t="s">
        <v>468</v>
      </c>
      <c r="C788" s="19" t="s">
        <v>624</v>
      </c>
      <c r="D788" s="19" t="s">
        <v>914</v>
      </c>
      <c r="E788" s="19" t="s">
        <v>355</v>
      </c>
      <c r="F788" s="19" t="s">
        <v>355</v>
      </c>
      <c r="G788" s="19" t="s">
        <v>1895</v>
      </c>
      <c r="H788" s="19" t="s">
        <v>1358</v>
      </c>
    </row>
    <row r="789" spans="1:8">
      <c r="A789" s="19">
        <v>81</v>
      </c>
      <c r="B789" s="19" t="s">
        <v>468</v>
      </c>
      <c r="C789" s="19" t="s">
        <v>624</v>
      </c>
      <c r="D789" s="19" t="s">
        <v>1377</v>
      </c>
      <c r="E789" s="19">
        <v>10000</v>
      </c>
      <c r="F789" s="19">
        <v>10000</v>
      </c>
      <c r="G789" s="19" t="s">
        <v>1895</v>
      </c>
      <c r="H789" s="19" t="s">
        <v>1358</v>
      </c>
    </row>
    <row r="790" spans="1:8">
      <c r="A790" s="19">
        <v>82</v>
      </c>
      <c r="B790" s="19" t="s">
        <v>468</v>
      </c>
      <c r="C790" s="19" t="s">
        <v>628</v>
      </c>
      <c r="D790" s="19" t="s">
        <v>238</v>
      </c>
      <c r="E790" s="19" t="s">
        <v>627</v>
      </c>
      <c r="F790" s="19" t="s">
        <v>627</v>
      </c>
      <c r="G790" s="19" t="s">
        <v>1896</v>
      </c>
      <c r="H790" s="19" t="s">
        <v>1358</v>
      </c>
    </row>
    <row r="791" spans="1:8">
      <c r="A791" s="19">
        <v>82</v>
      </c>
      <c r="B791" s="19" t="s">
        <v>468</v>
      </c>
      <c r="C791" s="19" t="s">
        <v>628</v>
      </c>
      <c r="D791" s="19" t="s">
        <v>255</v>
      </c>
      <c r="E791" s="19">
        <v>1</v>
      </c>
      <c r="F791" s="19">
        <v>1</v>
      </c>
      <c r="G791" s="19" t="s">
        <v>1897</v>
      </c>
      <c r="H791" s="19" t="s">
        <v>1358</v>
      </c>
    </row>
    <row r="792" spans="1:8">
      <c r="A792" s="19">
        <v>82</v>
      </c>
      <c r="B792" s="19" t="s">
        <v>468</v>
      </c>
      <c r="C792" s="19" t="s">
        <v>628</v>
      </c>
      <c r="D792" s="19" t="s">
        <v>256</v>
      </c>
      <c r="E792" s="19" t="s">
        <v>299</v>
      </c>
      <c r="F792" s="19" t="s">
        <v>1865</v>
      </c>
      <c r="G792" s="19" t="s">
        <v>1898</v>
      </c>
      <c r="H792" s="19" t="s">
        <v>1358</v>
      </c>
    </row>
    <row r="793" spans="1:8">
      <c r="A793" s="19">
        <v>82</v>
      </c>
      <c r="B793" s="19" t="s">
        <v>468</v>
      </c>
      <c r="C793" s="19" t="s">
        <v>628</v>
      </c>
      <c r="D793" s="19" t="s">
        <v>871</v>
      </c>
      <c r="E793" s="19" t="s">
        <v>74</v>
      </c>
      <c r="F793" s="19" t="s">
        <v>1899</v>
      </c>
      <c r="G793" s="19" t="s">
        <v>1900</v>
      </c>
      <c r="H793" s="19" t="s">
        <v>1358</v>
      </c>
    </row>
    <row r="794" spans="1:8">
      <c r="A794" s="19">
        <v>82</v>
      </c>
      <c r="B794" s="19" t="s">
        <v>468</v>
      </c>
      <c r="C794" s="19" t="s">
        <v>628</v>
      </c>
      <c r="D794" s="19" t="s">
        <v>243</v>
      </c>
      <c r="E794" s="19">
        <v>10</v>
      </c>
      <c r="F794" s="19">
        <v>10</v>
      </c>
      <c r="G794" s="19" t="s">
        <v>1901</v>
      </c>
      <c r="H794" s="19" t="s">
        <v>1358</v>
      </c>
    </row>
    <row r="795" spans="1:8">
      <c r="A795" s="19">
        <v>82</v>
      </c>
      <c r="B795" s="19" t="s">
        <v>468</v>
      </c>
      <c r="C795" s="19" t="s">
        <v>628</v>
      </c>
      <c r="D795" s="19" t="s">
        <v>244</v>
      </c>
      <c r="E795" s="19">
        <v>41</v>
      </c>
      <c r="F795" s="19">
        <v>41</v>
      </c>
      <c r="G795" s="19" t="s">
        <v>1902</v>
      </c>
      <c r="H795" s="19" t="s">
        <v>1358</v>
      </c>
    </row>
    <row r="796" spans="1:8">
      <c r="A796" s="19">
        <v>82</v>
      </c>
      <c r="B796" s="19" t="s">
        <v>468</v>
      </c>
      <c r="C796" s="19" t="s">
        <v>628</v>
      </c>
      <c r="D796" s="19" t="s">
        <v>257</v>
      </c>
      <c r="E796" s="19">
        <v>3.1</v>
      </c>
      <c r="F796" s="19">
        <v>3.1</v>
      </c>
      <c r="G796" s="19" t="s">
        <v>1903</v>
      </c>
      <c r="H796" s="19" t="s">
        <v>1358</v>
      </c>
    </row>
    <row r="797" spans="1:8">
      <c r="A797" s="19">
        <v>82</v>
      </c>
      <c r="B797" s="19" t="s">
        <v>468</v>
      </c>
      <c r="C797" s="19" t="s">
        <v>628</v>
      </c>
      <c r="D797" s="19" t="s">
        <v>1198</v>
      </c>
      <c r="E797" s="19" t="s">
        <v>305</v>
      </c>
      <c r="F797" s="19" t="s">
        <v>1574</v>
      </c>
      <c r="G797" s="19"/>
      <c r="H797" s="60" t="s">
        <v>1360</v>
      </c>
    </row>
    <row r="798" spans="1:8">
      <c r="A798" s="19">
        <v>82</v>
      </c>
      <c r="B798" s="19" t="s">
        <v>468</v>
      </c>
      <c r="C798" s="19" t="s">
        <v>628</v>
      </c>
      <c r="D798" s="19" t="s">
        <v>1575</v>
      </c>
      <c r="E798" s="19" t="s">
        <v>1872</v>
      </c>
      <c r="F798" s="19" t="s">
        <v>1873</v>
      </c>
      <c r="G798" s="19" t="s">
        <v>1904</v>
      </c>
      <c r="H798" s="19" t="s">
        <v>1358</v>
      </c>
    </row>
    <row r="799" spans="1:8">
      <c r="A799" s="19">
        <v>82</v>
      </c>
      <c r="B799" s="19" t="s">
        <v>468</v>
      </c>
      <c r="C799" s="19" t="s">
        <v>628</v>
      </c>
      <c r="D799" s="19" t="s">
        <v>253</v>
      </c>
      <c r="E799" s="19" t="s">
        <v>297</v>
      </c>
      <c r="F799" s="19" t="s">
        <v>1460</v>
      </c>
      <c r="G799" s="19"/>
      <c r="H799" s="60" t="s">
        <v>1360</v>
      </c>
    </row>
    <row r="800" spans="1:8">
      <c r="A800" s="19">
        <v>82</v>
      </c>
      <c r="B800" s="19" t="s">
        <v>468</v>
      </c>
      <c r="C800" s="19" t="s">
        <v>628</v>
      </c>
      <c r="D800" s="19" t="s">
        <v>914</v>
      </c>
      <c r="E800" s="19" t="s">
        <v>355</v>
      </c>
      <c r="F800" s="19" t="s">
        <v>355</v>
      </c>
      <c r="G800" s="19" t="s">
        <v>1905</v>
      </c>
      <c r="H800" s="19" t="s">
        <v>1358</v>
      </c>
    </row>
    <row r="801" spans="1:8">
      <c r="A801" s="19">
        <v>82</v>
      </c>
      <c r="B801" s="19" t="s">
        <v>468</v>
      </c>
      <c r="C801" s="19" t="s">
        <v>628</v>
      </c>
      <c r="D801" s="19" t="s">
        <v>1377</v>
      </c>
      <c r="E801" s="19">
        <v>7000</v>
      </c>
      <c r="F801" s="19">
        <v>7000</v>
      </c>
      <c r="G801" s="19" t="s">
        <v>1905</v>
      </c>
      <c r="H801" s="19" t="s">
        <v>1358</v>
      </c>
    </row>
    <row r="802" spans="1:8">
      <c r="A802" s="19">
        <v>83</v>
      </c>
      <c r="B802" s="19" t="s">
        <v>468</v>
      </c>
      <c r="C802" s="19" t="s">
        <v>632</v>
      </c>
      <c r="D802" s="19" t="s">
        <v>238</v>
      </c>
      <c r="E802" s="19" t="s">
        <v>631</v>
      </c>
      <c r="F802" s="19" t="s">
        <v>631</v>
      </c>
      <c r="G802" s="19" t="s">
        <v>1906</v>
      </c>
      <c r="H802" s="19" t="s">
        <v>1358</v>
      </c>
    </row>
    <row r="803" spans="1:8">
      <c r="A803" s="19">
        <v>83</v>
      </c>
      <c r="B803" s="19" t="s">
        <v>468</v>
      </c>
      <c r="C803" s="19" t="s">
        <v>632</v>
      </c>
      <c r="D803" s="19" t="s">
        <v>255</v>
      </c>
      <c r="E803" s="19">
        <v>1</v>
      </c>
      <c r="F803" s="19">
        <v>1</v>
      </c>
      <c r="G803" s="19" t="s">
        <v>1907</v>
      </c>
      <c r="H803" s="19" t="s">
        <v>1358</v>
      </c>
    </row>
    <row r="804" spans="1:8">
      <c r="A804" s="19">
        <v>83</v>
      </c>
      <c r="B804" s="19" t="s">
        <v>468</v>
      </c>
      <c r="C804" s="19" t="s">
        <v>632</v>
      </c>
      <c r="D804" s="19" t="s">
        <v>241</v>
      </c>
      <c r="E804" s="19" t="s">
        <v>167</v>
      </c>
      <c r="F804" s="19" t="s">
        <v>1888</v>
      </c>
      <c r="G804" s="19" t="s">
        <v>1908</v>
      </c>
      <c r="H804" s="19" t="s">
        <v>1358</v>
      </c>
    </row>
    <row r="805" spans="1:8">
      <c r="A805" s="19">
        <v>83</v>
      </c>
      <c r="B805" s="19" t="s">
        <v>468</v>
      </c>
      <c r="C805" s="19" t="s">
        <v>632</v>
      </c>
      <c r="D805" s="19" t="s">
        <v>256</v>
      </c>
      <c r="E805" s="19" t="s">
        <v>299</v>
      </c>
      <c r="F805" s="19" t="s">
        <v>1888</v>
      </c>
      <c r="G805" s="19" t="s">
        <v>1908</v>
      </c>
      <c r="H805" s="19" t="s">
        <v>1358</v>
      </c>
    </row>
    <row r="806" spans="1:8">
      <c r="A806" s="19">
        <v>83</v>
      </c>
      <c r="B806" s="19" t="s">
        <v>468</v>
      </c>
      <c r="C806" s="19" t="s">
        <v>632</v>
      </c>
      <c r="D806" s="19" t="s">
        <v>871</v>
      </c>
      <c r="E806" s="19" t="s">
        <v>86</v>
      </c>
      <c r="F806" s="19" t="s">
        <v>1651</v>
      </c>
      <c r="G806" s="19" t="s">
        <v>1909</v>
      </c>
      <c r="H806" s="19" t="s">
        <v>1358</v>
      </c>
    </row>
    <row r="807" spans="1:8">
      <c r="A807" s="19">
        <v>83</v>
      </c>
      <c r="B807" s="19" t="s">
        <v>468</v>
      </c>
      <c r="C807" s="19" t="s">
        <v>632</v>
      </c>
      <c r="D807" s="19" t="s">
        <v>243</v>
      </c>
      <c r="E807" s="19">
        <v>5.5</v>
      </c>
      <c r="F807" s="19">
        <v>5.5</v>
      </c>
      <c r="G807" s="19" t="s">
        <v>1910</v>
      </c>
      <c r="H807" s="19" t="s">
        <v>1358</v>
      </c>
    </row>
    <row r="808" spans="1:8">
      <c r="A808" s="19">
        <v>83</v>
      </c>
      <c r="B808" s="19" t="s">
        <v>468</v>
      </c>
      <c r="C808" s="19" t="s">
        <v>632</v>
      </c>
      <c r="D808" s="19" t="s">
        <v>244</v>
      </c>
      <c r="E808" s="19">
        <v>31</v>
      </c>
      <c r="F808" s="19">
        <v>31</v>
      </c>
      <c r="G808" s="19" t="s">
        <v>1911</v>
      </c>
      <c r="H808" s="19" t="s">
        <v>1358</v>
      </c>
    </row>
    <row r="809" spans="1:8">
      <c r="A809" s="19">
        <v>83</v>
      </c>
      <c r="B809" s="19" t="s">
        <v>468</v>
      </c>
      <c r="C809" s="19" t="s">
        <v>632</v>
      </c>
      <c r="D809" s="19" t="s">
        <v>257</v>
      </c>
      <c r="E809" s="19">
        <v>3.4</v>
      </c>
      <c r="F809" s="19">
        <v>3.4</v>
      </c>
      <c r="G809" s="19" t="s">
        <v>1912</v>
      </c>
      <c r="H809" s="19" t="s">
        <v>1358</v>
      </c>
    </row>
    <row r="810" spans="1:8">
      <c r="A810" s="19">
        <v>83</v>
      </c>
      <c r="B810" s="19" t="s">
        <v>468</v>
      </c>
      <c r="C810" s="19" t="s">
        <v>632</v>
      </c>
      <c r="D810" s="19" t="s">
        <v>1198</v>
      </c>
      <c r="E810" s="19" t="s">
        <v>305</v>
      </c>
      <c r="F810" s="19" t="s">
        <v>1574</v>
      </c>
      <c r="G810" s="19"/>
      <c r="H810" s="60" t="s">
        <v>1360</v>
      </c>
    </row>
    <row r="811" spans="1:8">
      <c r="A811" s="19">
        <v>83</v>
      </c>
      <c r="B811" s="19" t="s">
        <v>468</v>
      </c>
      <c r="C811" s="19" t="s">
        <v>632</v>
      </c>
      <c r="D811" s="19" t="s">
        <v>1575</v>
      </c>
      <c r="E811" s="19" t="s">
        <v>1576</v>
      </c>
      <c r="F811" s="19" t="s">
        <v>1577</v>
      </c>
      <c r="G811" s="19" t="s">
        <v>1913</v>
      </c>
      <c r="H811" s="19" t="s">
        <v>1358</v>
      </c>
    </row>
    <row r="812" spans="1:8">
      <c r="A812" s="19">
        <v>83</v>
      </c>
      <c r="B812" s="19" t="s">
        <v>468</v>
      </c>
      <c r="C812" s="19" t="s">
        <v>632</v>
      </c>
      <c r="D812" s="19" t="s">
        <v>253</v>
      </c>
      <c r="E812" s="19" t="s">
        <v>297</v>
      </c>
      <c r="F812" s="19" t="s">
        <v>1460</v>
      </c>
      <c r="G812" s="19"/>
      <c r="H812" s="60" t="s">
        <v>1360</v>
      </c>
    </row>
    <row r="813" spans="1:8">
      <c r="A813" s="19">
        <v>83</v>
      </c>
      <c r="B813" s="19" t="s">
        <v>468</v>
      </c>
      <c r="C813" s="19" t="s">
        <v>632</v>
      </c>
      <c r="D813" s="19" t="s">
        <v>914</v>
      </c>
      <c r="E813" s="19" t="s">
        <v>355</v>
      </c>
      <c r="F813" s="19" t="s">
        <v>355</v>
      </c>
      <c r="G813" s="19" t="s">
        <v>1914</v>
      </c>
      <c r="H813" s="19" t="s">
        <v>1358</v>
      </c>
    </row>
    <row r="814" spans="1:8">
      <c r="A814" s="19">
        <v>83</v>
      </c>
      <c r="B814" s="19" t="s">
        <v>468</v>
      </c>
      <c r="C814" s="19" t="s">
        <v>632</v>
      </c>
      <c r="D814" s="19" t="s">
        <v>1377</v>
      </c>
      <c r="E814" s="19">
        <v>10000</v>
      </c>
      <c r="F814" s="19">
        <v>10000</v>
      </c>
      <c r="G814" s="19" t="s">
        <v>1914</v>
      </c>
      <c r="H814" s="19" t="s">
        <v>1358</v>
      </c>
    </row>
    <row r="815" spans="1:8">
      <c r="A815" s="19">
        <v>84</v>
      </c>
      <c r="B815" s="19" t="s">
        <v>468</v>
      </c>
      <c r="C815" s="19" t="s">
        <v>636</v>
      </c>
      <c r="D815" s="19" t="s">
        <v>238</v>
      </c>
      <c r="E815" s="19" t="s">
        <v>635</v>
      </c>
      <c r="F815" s="19" t="s">
        <v>635</v>
      </c>
      <c r="G815" s="19" t="s">
        <v>1915</v>
      </c>
      <c r="H815" s="19" t="s">
        <v>1358</v>
      </c>
    </row>
    <row r="816" spans="1:8">
      <c r="A816" s="19">
        <v>84</v>
      </c>
      <c r="B816" s="19" t="s">
        <v>468</v>
      </c>
      <c r="C816" s="19" t="s">
        <v>636</v>
      </c>
      <c r="D816" s="19" t="s">
        <v>255</v>
      </c>
      <c r="E816" s="19">
        <v>1</v>
      </c>
      <c r="F816" s="19">
        <v>1</v>
      </c>
      <c r="G816" s="19" t="s">
        <v>1916</v>
      </c>
      <c r="H816" s="19" t="s">
        <v>1358</v>
      </c>
    </row>
    <row r="817" spans="1:8">
      <c r="A817" s="19">
        <v>84</v>
      </c>
      <c r="B817" s="19" t="s">
        <v>468</v>
      </c>
      <c r="C817" s="19" t="s">
        <v>636</v>
      </c>
      <c r="D817" s="19" t="s">
        <v>241</v>
      </c>
      <c r="E817" s="19" t="s">
        <v>182</v>
      </c>
      <c r="F817" s="19" t="s">
        <v>1917</v>
      </c>
      <c r="G817" s="19" t="s">
        <v>1918</v>
      </c>
      <c r="H817" s="19" t="s">
        <v>1358</v>
      </c>
    </row>
    <row r="818" spans="1:8">
      <c r="A818" s="19">
        <v>84</v>
      </c>
      <c r="B818" s="19" t="s">
        <v>468</v>
      </c>
      <c r="C818" s="19" t="s">
        <v>636</v>
      </c>
      <c r="D818" s="19" t="s">
        <v>256</v>
      </c>
      <c r="E818" s="19" t="s">
        <v>299</v>
      </c>
      <c r="F818" s="19" t="s">
        <v>1917</v>
      </c>
      <c r="G818" s="19" t="s">
        <v>1918</v>
      </c>
      <c r="H818" s="19" t="s">
        <v>1358</v>
      </c>
    </row>
    <row r="819" spans="1:8">
      <c r="A819" s="19">
        <v>84</v>
      </c>
      <c r="B819" s="19" t="s">
        <v>468</v>
      </c>
      <c r="C819" s="19" t="s">
        <v>636</v>
      </c>
      <c r="D819" s="19" t="s">
        <v>871</v>
      </c>
      <c r="E819" s="19" t="s">
        <v>70</v>
      </c>
      <c r="F819" s="19" t="s">
        <v>1867</v>
      </c>
      <c r="G819" s="19" t="s">
        <v>1919</v>
      </c>
      <c r="H819" s="19" t="s">
        <v>1358</v>
      </c>
    </row>
    <row r="820" spans="1:8">
      <c r="A820" s="19">
        <v>84</v>
      </c>
      <c r="B820" s="19" t="s">
        <v>468</v>
      </c>
      <c r="C820" s="19" t="s">
        <v>636</v>
      </c>
      <c r="D820" s="19" t="s">
        <v>243</v>
      </c>
      <c r="E820" s="19">
        <v>770</v>
      </c>
      <c r="F820" s="19">
        <v>770</v>
      </c>
      <c r="G820" s="19" t="s">
        <v>1920</v>
      </c>
      <c r="H820" s="19" t="s">
        <v>1358</v>
      </c>
    </row>
    <row r="821" spans="1:8">
      <c r="A821" s="19">
        <v>84</v>
      </c>
      <c r="B821" s="19" t="s">
        <v>468</v>
      </c>
      <c r="C821" s="19" t="s">
        <v>636</v>
      </c>
      <c r="D821" s="19" t="s">
        <v>244</v>
      </c>
      <c r="E821" s="19">
        <v>107</v>
      </c>
      <c r="F821" s="19">
        <v>107</v>
      </c>
      <c r="G821" s="19" t="s">
        <v>1921</v>
      </c>
      <c r="H821" s="19" t="s">
        <v>1358</v>
      </c>
    </row>
    <row r="822" spans="1:8">
      <c r="A822" s="19">
        <v>84</v>
      </c>
      <c r="B822" s="19" t="s">
        <v>468</v>
      </c>
      <c r="C822" s="19" t="s">
        <v>636</v>
      </c>
      <c r="D822" s="19" t="s">
        <v>257</v>
      </c>
      <c r="E822" s="19">
        <v>11.3</v>
      </c>
      <c r="F822" s="19">
        <v>11.3</v>
      </c>
      <c r="G822" s="19" t="s">
        <v>1922</v>
      </c>
      <c r="H822" s="19" t="s">
        <v>1358</v>
      </c>
    </row>
    <row r="823" spans="1:8">
      <c r="A823" s="19">
        <v>84</v>
      </c>
      <c r="B823" s="19" t="s">
        <v>468</v>
      </c>
      <c r="C823" s="19" t="s">
        <v>636</v>
      </c>
      <c r="D823" s="19" t="s">
        <v>1198</v>
      </c>
      <c r="E823" s="19" t="s">
        <v>305</v>
      </c>
      <c r="F823" s="19" t="s">
        <v>1574</v>
      </c>
      <c r="G823" s="19"/>
      <c r="H823" s="60" t="s">
        <v>1360</v>
      </c>
    </row>
    <row r="824" spans="1:8">
      <c r="A824" s="19">
        <v>84</v>
      </c>
      <c r="B824" s="19" t="s">
        <v>468</v>
      </c>
      <c r="C824" s="19" t="s">
        <v>636</v>
      </c>
      <c r="D824" s="19" t="s">
        <v>1575</v>
      </c>
      <c r="E824" s="19" t="s">
        <v>1923</v>
      </c>
      <c r="F824" s="19" t="s">
        <v>1924</v>
      </c>
      <c r="G824" s="19" t="s">
        <v>1925</v>
      </c>
      <c r="H824" s="19" t="s">
        <v>1358</v>
      </c>
    </row>
    <row r="825" spans="1:8">
      <c r="A825" s="19">
        <v>84</v>
      </c>
      <c r="B825" s="19" t="s">
        <v>468</v>
      </c>
      <c r="C825" s="19" t="s">
        <v>636</v>
      </c>
      <c r="D825" s="19" t="s">
        <v>253</v>
      </c>
      <c r="E825" s="19" t="s">
        <v>297</v>
      </c>
      <c r="F825" s="19" t="s">
        <v>1546</v>
      </c>
      <c r="G825" s="19" t="s">
        <v>238</v>
      </c>
      <c r="H825" s="19" t="s">
        <v>1358</v>
      </c>
    </row>
    <row r="826" spans="1:8">
      <c r="A826" s="19">
        <v>84</v>
      </c>
      <c r="B826" s="19" t="s">
        <v>468</v>
      </c>
      <c r="C826" s="19" t="s">
        <v>636</v>
      </c>
      <c r="D826" s="19" t="s">
        <v>914</v>
      </c>
      <c r="E826" s="19" t="s">
        <v>355</v>
      </c>
      <c r="F826" s="19" t="s">
        <v>355</v>
      </c>
      <c r="G826" s="19" t="s">
        <v>1926</v>
      </c>
      <c r="H826" s="19" t="s">
        <v>1358</v>
      </c>
    </row>
    <row r="827" spans="1:8">
      <c r="A827" s="19">
        <v>84</v>
      </c>
      <c r="B827" s="19" t="s">
        <v>468</v>
      </c>
      <c r="C827" s="19" t="s">
        <v>636</v>
      </c>
      <c r="D827" s="19" t="s">
        <v>1377</v>
      </c>
      <c r="E827" s="19">
        <v>70000</v>
      </c>
      <c r="F827" s="19">
        <v>70000</v>
      </c>
      <c r="G827" s="19" t="s">
        <v>1926</v>
      </c>
      <c r="H827" s="19" t="s">
        <v>1358</v>
      </c>
    </row>
    <row r="828" spans="1:8">
      <c r="A828" s="19">
        <v>85</v>
      </c>
      <c r="B828" s="19" t="s">
        <v>468</v>
      </c>
      <c r="C828" s="19" t="s">
        <v>642</v>
      </c>
      <c r="D828" s="19" t="s">
        <v>238</v>
      </c>
      <c r="E828" s="19" t="s">
        <v>641</v>
      </c>
      <c r="F828" s="19" t="s">
        <v>641</v>
      </c>
      <c r="G828" s="19" t="s">
        <v>1927</v>
      </c>
      <c r="H828" s="19" t="s">
        <v>1358</v>
      </c>
    </row>
    <row r="829" spans="1:8">
      <c r="A829" s="19">
        <v>85</v>
      </c>
      <c r="B829" s="19" t="s">
        <v>468</v>
      </c>
      <c r="C829" s="19" t="s">
        <v>642</v>
      </c>
      <c r="D829" s="19" t="s">
        <v>255</v>
      </c>
      <c r="E829" s="19">
        <v>1</v>
      </c>
      <c r="F829" s="19">
        <v>1</v>
      </c>
      <c r="G829" s="19" t="s">
        <v>1928</v>
      </c>
      <c r="H829" s="19" t="s">
        <v>1358</v>
      </c>
    </row>
    <row r="830" spans="1:8">
      <c r="A830" s="19">
        <v>85</v>
      </c>
      <c r="B830" s="19" t="s">
        <v>468</v>
      </c>
      <c r="C830" s="19" t="s">
        <v>642</v>
      </c>
      <c r="D830" s="19" t="s">
        <v>241</v>
      </c>
      <c r="E830" s="19" t="s">
        <v>182</v>
      </c>
      <c r="F830" s="19" t="s">
        <v>1917</v>
      </c>
      <c r="G830" s="19" t="s">
        <v>1929</v>
      </c>
      <c r="H830" s="19" t="s">
        <v>1358</v>
      </c>
    </row>
    <row r="831" spans="1:8">
      <c r="A831" s="19">
        <v>85</v>
      </c>
      <c r="B831" s="19" t="s">
        <v>468</v>
      </c>
      <c r="C831" s="19" t="s">
        <v>642</v>
      </c>
      <c r="D831" s="19" t="s">
        <v>256</v>
      </c>
      <c r="E831" s="19" t="s">
        <v>299</v>
      </c>
      <c r="F831" s="19" t="s">
        <v>1917</v>
      </c>
      <c r="G831" s="19" t="s">
        <v>1929</v>
      </c>
      <c r="H831" s="19" t="s">
        <v>1358</v>
      </c>
    </row>
    <row r="832" spans="1:8">
      <c r="A832" s="19">
        <v>85</v>
      </c>
      <c r="B832" s="19" t="s">
        <v>468</v>
      </c>
      <c r="C832" s="19" t="s">
        <v>642</v>
      </c>
      <c r="D832" s="19" t="s">
        <v>871</v>
      </c>
      <c r="E832" s="19" t="s">
        <v>70</v>
      </c>
      <c r="F832" s="19" t="s">
        <v>1867</v>
      </c>
      <c r="G832" s="19" t="s">
        <v>1930</v>
      </c>
      <c r="H832" s="19" t="s">
        <v>1358</v>
      </c>
    </row>
    <row r="833" spans="1:8">
      <c r="A833" s="19">
        <v>85</v>
      </c>
      <c r="B833" s="19" t="s">
        <v>468</v>
      </c>
      <c r="C833" s="19" t="s">
        <v>642</v>
      </c>
      <c r="D833" s="19" t="s">
        <v>243</v>
      </c>
      <c r="E833" s="19">
        <v>770</v>
      </c>
      <c r="F833" s="19">
        <v>770</v>
      </c>
      <c r="G833" s="19" t="s">
        <v>1931</v>
      </c>
      <c r="H833" s="19" t="s">
        <v>1358</v>
      </c>
    </row>
    <row r="834" spans="1:8">
      <c r="A834" s="19">
        <v>85</v>
      </c>
      <c r="B834" s="19" t="s">
        <v>468</v>
      </c>
      <c r="C834" s="19" t="s">
        <v>642</v>
      </c>
      <c r="D834" s="19" t="s">
        <v>244</v>
      </c>
      <c r="E834" s="19">
        <v>88.7</v>
      </c>
      <c r="F834" s="19">
        <v>88.7</v>
      </c>
      <c r="G834" s="19" t="s">
        <v>1932</v>
      </c>
      <c r="H834" s="19" t="s">
        <v>1358</v>
      </c>
    </row>
    <row r="835" spans="1:8">
      <c r="A835" s="19">
        <v>85</v>
      </c>
      <c r="B835" s="19" t="s">
        <v>468</v>
      </c>
      <c r="C835" s="19" t="s">
        <v>642</v>
      </c>
      <c r="D835" s="19" t="s">
        <v>257</v>
      </c>
      <c r="E835" s="19">
        <v>9.5</v>
      </c>
      <c r="F835" s="19">
        <v>9.5</v>
      </c>
      <c r="G835" s="19" t="s">
        <v>1933</v>
      </c>
      <c r="H835" s="19" t="s">
        <v>1358</v>
      </c>
    </row>
    <row r="836" spans="1:8">
      <c r="A836" s="19">
        <v>85</v>
      </c>
      <c r="B836" s="19" t="s">
        <v>468</v>
      </c>
      <c r="C836" s="19" t="s">
        <v>642</v>
      </c>
      <c r="D836" s="19" t="s">
        <v>1198</v>
      </c>
      <c r="E836" s="19" t="s">
        <v>305</v>
      </c>
      <c r="F836" s="19" t="s">
        <v>1574</v>
      </c>
      <c r="G836" s="19"/>
      <c r="H836" s="60" t="s">
        <v>1360</v>
      </c>
    </row>
    <row r="837" spans="1:8">
      <c r="A837" s="19">
        <v>85</v>
      </c>
      <c r="B837" s="19" t="s">
        <v>468</v>
      </c>
      <c r="C837" s="19" t="s">
        <v>642</v>
      </c>
      <c r="D837" s="19" t="s">
        <v>1575</v>
      </c>
      <c r="E837" s="19" t="s">
        <v>1923</v>
      </c>
      <c r="F837" s="19" t="s">
        <v>1924</v>
      </c>
      <c r="G837" s="19" t="s">
        <v>1934</v>
      </c>
      <c r="H837" s="19" t="s">
        <v>1358</v>
      </c>
    </row>
    <row r="838" spans="1:8">
      <c r="A838" s="19">
        <v>85</v>
      </c>
      <c r="B838" s="19" t="s">
        <v>468</v>
      </c>
      <c r="C838" s="19" t="s">
        <v>642</v>
      </c>
      <c r="D838" s="19" t="s">
        <v>253</v>
      </c>
      <c r="E838" s="19" t="s">
        <v>452</v>
      </c>
      <c r="F838" s="19" t="s">
        <v>1551</v>
      </c>
      <c r="G838" s="19" t="s">
        <v>238</v>
      </c>
      <c r="H838" s="19" t="s">
        <v>1358</v>
      </c>
    </row>
    <row r="839" spans="1:8">
      <c r="A839" s="19">
        <v>85</v>
      </c>
      <c r="B839" s="19" t="s">
        <v>468</v>
      </c>
      <c r="C839" s="19" t="s">
        <v>642</v>
      </c>
      <c r="D839" s="19" t="s">
        <v>914</v>
      </c>
      <c r="E839" s="19" t="s">
        <v>355</v>
      </c>
      <c r="F839" s="19" t="s">
        <v>355</v>
      </c>
      <c r="G839" s="19" t="s">
        <v>1935</v>
      </c>
      <c r="H839" s="19" t="s">
        <v>1358</v>
      </c>
    </row>
    <row r="840" spans="1:8">
      <c r="A840" s="19">
        <v>85</v>
      </c>
      <c r="B840" s="19" t="s">
        <v>468</v>
      </c>
      <c r="C840" s="19" t="s">
        <v>642</v>
      </c>
      <c r="D840" s="19" t="s">
        <v>1377</v>
      </c>
      <c r="E840" s="19">
        <v>90000</v>
      </c>
      <c r="F840" s="19">
        <v>90000</v>
      </c>
      <c r="G840" s="19" t="s">
        <v>1935</v>
      </c>
      <c r="H840" s="19" t="s">
        <v>1358</v>
      </c>
    </row>
    <row r="841" spans="1:8">
      <c r="A841" s="19">
        <v>86</v>
      </c>
      <c r="B841" s="19" t="s">
        <v>468</v>
      </c>
      <c r="C841" s="19" t="s">
        <v>646</v>
      </c>
      <c r="D841" s="19" t="s">
        <v>238</v>
      </c>
      <c r="E841" s="19" t="s">
        <v>645</v>
      </c>
      <c r="F841" s="19" t="s">
        <v>645</v>
      </c>
      <c r="G841" s="19" t="s">
        <v>1936</v>
      </c>
      <c r="H841" s="19" t="s">
        <v>1358</v>
      </c>
    </row>
    <row r="842" spans="1:8">
      <c r="A842" s="19">
        <v>86</v>
      </c>
      <c r="B842" s="19" t="s">
        <v>468</v>
      </c>
      <c r="C842" s="19" t="s">
        <v>646</v>
      </c>
      <c r="D842" s="19" t="s">
        <v>255</v>
      </c>
      <c r="E842" s="19">
        <v>2</v>
      </c>
      <c r="F842" s="19">
        <v>2</v>
      </c>
      <c r="G842" s="19" t="s">
        <v>1937</v>
      </c>
      <c r="H842" s="19" t="s">
        <v>1358</v>
      </c>
    </row>
    <row r="843" spans="1:8">
      <c r="A843" s="19">
        <v>86</v>
      </c>
      <c r="B843" s="19" t="s">
        <v>468</v>
      </c>
      <c r="C843" s="19" t="s">
        <v>646</v>
      </c>
      <c r="D843" s="19" t="s">
        <v>241</v>
      </c>
      <c r="E843" s="19" t="s">
        <v>179</v>
      </c>
      <c r="F843" s="19" t="s">
        <v>1938</v>
      </c>
      <c r="G843" s="19" t="s">
        <v>1939</v>
      </c>
      <c r="H843" s="19" t="s">
        <v>1358</v>
      </c>
    </row>
    <row r="844" spans="1:8">
      <c r="A844" s="19">
        <v>86</v>
      </c>
      <c r="B844" s="19" t="s">
        <v>468</v>
      </c>
      <c r="C844" s="19" t="s">
        <v>646</v>
      </c>
      <c r="D844" s="19" t="s">
        <v>256</v>
      </c>
      <c r="E844" s="19" t="s">
        <v>299</v>
      </c>
      <c r="F844" s="19" t="s">
        <v>1938</v>
      </c>
      <c r="G844" s="19" t="s">
        <v>1939</v>
      </c>
      <c r="H844" s="19" t="s">
        <v>1358</v>
      </c>
    </row>
    <row r="845" spans="1:8">
      <c r="A845" s="19">
        <v>86</v>
      </c>
      <c r="B845" s="19" t="s">
        <v>468</v>
      </c>
      <c r="C845" s="19" t="s">
        <v>646</v>
      </c>
      <c r="D845" s="19" t="s">
        <v>871</v>
      </c>
      <c r="E845" s="19" t="s">
        <v>70</v>
      </c>
      <c r="F845" s="19" t="s">
        <v>1867</v>
      </c>
      <c r="G845" s="19" t="s">
        <v>1940</v>
      </c>
      <c r="H845" s="19" t="s">
        <v>1358</v>
      </c>
    </row>
    <row r="846" spans="1:8">
      <c r="A846" s="19">
        <v>86</v>
      </c>
      <c r="B846" s="19" t="s">
        <v>468</v>
      </c>
      <c r="C846" s="19" t="s">
        <v>646</v>
      </c>
      <c r="D846" s="19" t="s">
        <v>243</v>
      </c>
      <c r="E846" s="19">
        <v>16.5</v>
      </c>
      <c r="F846" s="19">
        <v>16.5</v>
      </c>
      <c r="G846" s="19" t="s">
        <v>1941</v>
      </c>
      <c r="H846" s="19" t="s">
        <v>1358</v>
      </c>
    </row>
    <row r="847" spans="1:8">
      <c r="A847" s="19">
        <v>86</v>
      </c>
      <c r="B847" s="19" t="s">
        <v>468</v>
      </c>
      <c r="C847" s="19" t="s">
        <v>646</v>
      </c>
      <c r="D847" s="19" t="s">
        <v>244</v>
      </c>
      <c r="E847" s="19">
        <v>107</v>
      </c>
      <c r="F847" s="19">
        <v>107</v>
      </c>
      <c r="G847" s="19" t="s">
        <v>1942</v>
      </c>
      <c r="H847" s="19" t="s">
        <v>1358</v>
      </c>
    </row>
    <row r="848" spans="1:8">
      <c r="A848" s="19">
        <v>86</v>
      </c>
      <c r="B848" s="19" t="s">
        <v>468</v>
      </c>
      <c r="C848" s="19" t="s">
        <v>646</v>
      </c>
      <c r="D848" s="19" t="s">
        <v>257</v>
      </c>
      <c r="E848" s="19">
        <v>11.3</v>
      </c>
      <c r="F848" s="19">
        <v>11.3</v>
      </c>
      <c r="G848" s="19" t="s">
        <v>1943</v>
      </c>
      <c r="H848" s="19" t="s">
        <v>1358</v>
      </c>
    </row>
    <row r="849" spans="1:8">
      <c r="A849" s="19">
        <v>86</v>
      </c>
      <c r="B849" s="19" t="s">
        <v>468</v>
      </c>
      <c r="C849" s="19" t="s">
        <v>646</v>
      </c>
      <c r="D849" s="19" t="s">
        <v>1198</v>
      </c>
      <c r="E849" s="19" t="s">
        <v>305</v>
      </c>
      <c r="F849" s="19" t="s">
        <v>1574</v>
      </c>
      <c r="G849" s="19"/>
      <c r="H849" s="60" t="s">
        <v>1360</v>
      </c>
    </row>
    <row r="850" spans="1:8">
      <c r="A850" s="19">
        <v>86</v>
      </c>
      <c r="B850" s="19" t="s">
        <v>468</v>
      </c>
      <c r="C850" s="19" t="s">
        <v>646</v>
      </c>
      <c r="D850" s="19" t="s">
        <v>1575</v>
      </c>
      <c r="E850" s="19" t="s">
        <v>1923</v>
      </c>
      <c r="F850" s="19" t="s">
        <v>1924</v>
      </c>
      <c r="G850" s="19" t="s">
        <v>1944</v>
      </c>
      <c r="H850" s="19" t="s">
        <v>1358</v>
      </c>
    </row>
    <row r="851" spans="1:8">
      <c r="A851" s="19">
        <v>86</v>
      </c>
      <c r="B851" s="19" t="s">
        <v>468</v>
      </c>
      <c r="C851" s="19" t="s">
        <v>646</v>
      </c>
      <c r="D851" s="19" t="s">
        <v>253</v>
      </c>
      <c r="E851" s="19" t="s">
        <v>297</v>
      </c>
      <c r="F851" s="19" t="s">
        <v>1460</v>
      </c>
      <c r="G851" s="19"/>
      <c r="H851" s="60" t="s">
        <v>1360</v>
      </c>
    </row>
    <row r="852" spans="1:8">
      <c r="A852" s="19">
        <v>86</v>
      </c>
      <c r="B852" s="19" t="s">
        <v>468</v>
      </c>
      <c r="C852" s="19" t="s">
        <v>646</v>
      </c>
      <c r="D852" s="19" t="s">
        <v>914</v>
      </c>
      <c r="E852" s="19" t="s">
        <v>355</v>
      </c>
      <c r="F852" s="19" t="s">
        <v>355</v>
      </c>
      <c r="G852" s="19" t="s">
        <v>1945</v>
      </c>
      <c r="H852" s="19" t="s">
        <v>1358</v>
      </c>
    </row>
    <row r="853" spans="1:8">
      <c r="A853" s="19">
        <v>86</v>
      </c>
      <c r="B853" s="19" t="s">
        <v>468</v>
      </c>
      <c r="C853" s="19" t="s">
        <v>646</v>
      </c>
      <c r="D853" s="19" t="s">
        <v>1377</v>
      </c>
      <c r="E853" s="19">
        <v>15000</v>
      </c>
      <c r="F853" s="19">
        <v>15000</v>
      </c>
      <c r="G853" s="19" t="s">
        <v>1945</v>
      </c>
      <c r="H853" s="19" t="s">
        <v>1358</v>
      </c>
    </row>
    <row r="854" spans="1:8">
      <c r="A854" s="19">
        <v>87</v>
      </c>
      <c r="B854" s="19" t="s">
        <v>468</v>
      </c>
      <c r="C854" s="19" t="s">
        <v>650</v>
      </c>
      <c r="D854" s="19" t="s">
        <v>238</v>
      </c>
      <c r="E854" s="19" t="s">
        <v>649</v>
      </c>
      <c r="F854" s="19" t="s">
        <v>649</v>
      </c>
      <c r="G854" s="19" t="s">
        <v>1946</v>
      </c>
      <c r="H854" s="19" t="s">
        <v>1358</v>
      </c>
    </row>
    <row r="855" spans="1:8">
      <c r="A855" s="19">
        <v>87</v>
      </c>
      <c r="B855" s="19" t="s">
        <v>468</v>
      </c>
      <c r="C855" s="19" t="s">
        <v>650</v>
      </c>
      <c r="D855" s="19" t="s">
        <v>255</v>
      </c>
      <c r="E855" s="19">
        <v>1</v>
      </c>
      <c r="F855" s="19">
        <v>1</v>
      </c>
      <c r="G855" s="19" t="s">
        <v>1947</v>
      </c>
      <c r="H855" s="19" t="s">
        <v>1358</v>
      </c>
    </row>
    <row r="856" spans="1:8">
      <c r="A856" s="19">
        <v>87</v>
      </c>
      <c r="B856" s="19" t="s">
        <v>468</v>
      </c>
      <c r="C856" s="19" t="s">
        <v>650</v>
      </c>
      <c r="D856" s="19" t="s">
        <v>256</v>
      </c>
      <c r="E856" s="19" t="s">
        <v>299</v>
      </c>
      <c r="F856" s="19" t="s">
        <v>1865</v>
      </c>
      <c r="G856" s="19" t="s">
        <v>1948</v>
      </c>
      <c r="H856" s="19" t="s">
        <v>1358</v>
      </c>
    </row>
    <row r="857" spans="1:8">
      <c r="A857" s="19">
        <v>87</v>
      </c>
      <c r="B857" s="19" t="s">
        <v>468</v>
      </c>
      <c r="C857" s="19" t="s">
        <v>650</v>
      </c>
      <c r="D857" s="19" t="s">
        <v>871</v>
      </c>
      <c r="E857" s="19" t="s">
        <v>70</v>
      </c>
      <c r="F857" s="19" t="s">
        <v>1867</v>
      </c>
      <c r="G857" s="19" t="s">
        <v>1949</v>
      </c>
      <c r="H857" s="19" t="s">
        <v>1358</v>
      </c>
    </row>
    <row r="858" spans="1:8">
      <c r="A858" s="19">
        <v>87</v>
      </c>
      <c r="B858" s="19" t="s">
        <v>468</v>
      </c>
      <c r="C858" s="19" t="s">
        <v>650</v>
      </c>
      <c r="D858" s="19" t="s">
        <v>243</v>
      </c>
      <c r="E858" s="19">
        <v>33</v>
      </c>
      <c r="F858" s="19">
        <v>33</v>
      </c>
      <c r="G858" s="19" t="s">
        <v>1950</v>
      </c>
      <c r="H858" s="19" t="s">
        <v>1358</v>
      </c>
    </row>
    <row r="859" spans="1:8">
      <c r="A859" s="19">
        <v>87</v>
      </c>
      <c r="B859" s="19" t="s">
        <v>468</v>
      </c>
      <c r="C859" s="19" t="s">
        <v>650</v>
      </c>
      <c r="D859" s="19" t="s">
        <v>244</v>
      </c>
      <c r="E859" s="19">
        <v>30.6</v>
      </c>
      <c r="F859" s="19">
        <v>30.6</v>
      </c>
      <c r="G859" s="19" t="s">
        <v>1951</v>
      </c>
      <c r="H859" s="19" t="s">
        <v>1358</v>
      </c>
    </row>
    <row r="860" spans="1:8">
      <c r="A860" s="19">
        <v>87</v>
      </c>
      <c r="B860" s="19" t="s">
        <v>468</v>
      </c>
      <c r="C860" s="19" t="s">
        <v>650</v>
      </c>
      <c r="D860" s="19" t="s">
        <v>257</v>
      </c>
      <c r="E860" s="19">
        <v>2.9</v>
      </c>
      <c r="F860" s="19">
        <v>2.9</v>
      </c>
      <c r="G860" s="19" t="s">
        <v>1952</v>
      </c>
      <c r="H860" s="19" t="s">
        <v>1358</v>
      </c>
    </row>
    <row r="861" spans="1:8">
      <c r="A861" s="19">
        <v>87</v>
      </c>
      <c r="B861" s="19" t="s">
        <v>468</v>
      </c>
      <c r="C861" s="19" t="s">
        <v>650</v>
      </c>
      <c r="D861" s="19" t="s">
        <v>1198</v>
      </c>
      <c r="E861" s="19" t="s">
        <v>305</v>
      </c>
      <c r="F861" s="19" t="s">
        <v>1574</v>
      </c>
      <c r="G861" s="19"/>
      <c r="H861" s="60" t="s">
        <v>1360</v>
      </c>
    </row>
    <row r="862" spans="1:8">
      <c r="A862" s="19">
        <v>87</v>
      </c>
      <c r="B862" s="19" t="s">
        <v>468</v>
      </c>
      <c r="C862" s="19" t="s">
        <v>650</v>
      </c>
      <c r="D862" s="19" t="s">
        <v>1575</v>
      </c>
      <c r="E862" s="19" t="s">
        <v>1872</v>
      </c>
      <c r="F862" s="19" t="s">
        <v>1873</v>
      </c>
      <c r="G862" s="19" t="s">
        <v>1953</v>
      </c>
      <c r="H862" s="19" t="s">
        <v>1358</v>
      </c>
    </row>
    <row r="863" spans="1:8">
      <c r="A863" s="19">
        <v>87</v>
      </c>
      <c r="B863" s="19" t="s">
        <v>468</v>
      </c>
      <c r="C863" s="19" t="s">
        <v>650</v>
      </c>
      <c r="D863" s="19" t="s">
        <v>253</v>
      </c>
      <c r="E863" s="19" t="s">
        <v>297</v>
      </c>
      <c r="F863" s="19" t="s">
        <v>1460</v>
      </c>
      <c r="G863" s="19"/>
      <c r="H863" s="60" t="s">
        <v>1360</v>
      </c>
    </row>
    <row r="864" spans="1:8">
      <c r="A864" s="19">
        <v>87</v>
      </c>
      <c r="B864" s="19" t="s">
        <v>468</v>
      </c>
      <c r="C864" s="19" t="s">
        <v>650</v>
      </c>
      <c r="D864" s="19" t="s">
        <v>914</v>
      </c>
      <c r="E864" s="19" t="s">
        <v>355</v>
      </c>
      <c r="F864" s="19" t="s">
        <v>355</v>
      </c>
      <c r="G864" s="19" t="s">
        <v>1954</v>
      </c>
      <c r="H864" s="19" t="s">
        <v>1358</v>
      </c>
    </row>
    <row r="865" spans="1:8">
      <c r="A865" s="19">
        <v>87</v>
      </c>
      <c r="B865" s="19" t="s">
        <v>468</v>
      </c>
      <c r="C865" s="19" t="s">
        <v>650</v>
      </c>
      <c r="D865" s="19" t="s">
        <v>1377</v>
      </c>
      <c r="E865" s="19">
        <v>6500</v>
      </c>
      <c r="F865" s="19">
        <v>6500</v>
      </c>
      <c r="G865" s="19" t="s">
        <v>1954</v>
      </c>
      <c r="H865" s="19" t="s">
        <v>1358</v>
      </c>
    </row>
    <row r="866" spans="1:8">
      <c r="A866" s="19">
        <v>88</v>
      </c>
      <c r="B866" s="19" t="s">
        <v>468</v>
      </c>
      <c r="C866" s="19" t="s">
        <v>654</v>
      </c>
      <c r="D866" s="19" t="s">
        <v>238</v>
      </c>
      <c r="E866" s="19" t="s">
        <v>653</v>
      </c>
      <c r="F866" s="19" t="s">
        <v>1955</v>
      </c>
      <c r="G866" s="19" t="s">
        <v>1956</v>
      </c>
      <c r="H866" s="19" t="s">
        <v>1358</v>
      </c>
    </row>
    <row r="867" spans="1:8">
      <c r="A867" s="19">
        <v>88</v>
      </c>
      <c r="B867" s="19" t="s">
        <v>468</v>
      </c>
      <c r="C867" s="19" t="s">
        <v>654</v>
      </c>
      <c r="D867" s="19" t="s">
        <v>255</v>
      </c>
      <c r="E867" s="19">
        <v>2</v>
      </c>
      <c r="F867" s="19">
        <v>2</v>
      </c>
      <c r="G867" s="19" t="s">
        <v>1957</v>
      </c>
      <c r="H867" s="19" t="s">
        <v>1358</v>
      </c>
    </row>
    <row r="868" spans="1:8">
      <c r="A868" s="19">
        <v>88</v>
      </c>
      <c r="B868" s="19" t="s">
        <v>468</v>
      </c>
      <c r="C868" s="19" t="s">
        <v>654</v>
      </c>
      <c r="D868" s="19" t="s">
        <v>256</v>
      </c>
      <c r="E868" s="19" t="s">
        <v>299</v>
      </c>
      <c r="F868" s="19" t="s">
        <v>1865</v>
      </c>
      <c r="G868" s="19" t="s">
        <v>1958</v>
      </c>
      <c r="H868" s="19" t="s">
        <v>1358</v>
      </c>
    </row>
    <row r="869" spans="1:8">
      <c r="A869" s="19">
        <v>88</v>
      </c>
      <c r="B869" s="19" t="s">
        <v>468</v>
      </c>
      <c r="C869" s="19" t="s">
        <v>654</v>
      </c>
      <c r="D869" s="19" t="s">
        <v>871</v>
      </c>
      <c r="E869" s="19" t="s">
        <v>70</v>
      </c>
      <c r="F869" s="19" t="s">
        <v>1867</v>
      </c>
      <c r="G869" s="19" t="s">
        <v>1959</v>
      </c>
      <c r="H869" s="19" t="s">
        <v>1358</v>
      </c>
    </row>
    <row r="870" spans="1:8">
      <c r="A870" s="19">
        <v>88</v>
      </c>
      <c r="B870" s="19" t="s">
        <v>468</v>
      </c>
      <c r="C870" s="19" t="s">
        <v>654</v>
      </c>
      <c r="D870" s="19" t="s">
        <v>243</v>
      </c>
      <c r="E870" s="19">
        <v>3</v>
      </c>
      <c r="F870" s="19">
        <v>3</v>
      </c>
      <c r="G870" s="19" t="s">
        <v>1960</v>
      </c>
      <c r="H870" s="19" t="s">
        <v>1358</v>
      </c>
    </row>
    <row r="871" spans="1:8">
      <c r="A871" s="19">
        <v>88</v>
      </c>
      <c r="B871" s="19" t="s">
        <v>468</v>
      </c>
      <c r="C871" s="19" t="s">
        <v>654</v>
      </c>
      <c r="D871" s="19" t="s">
        <v>244</v>
      </c>
      <c r="E871" s="19">
        <v>30.6</v>
      </c>
      <c r="F871" s="19" t="s">
        <v>1859</v>
      </c>
      <c r="G871" s="19" t="s">
        <v>1961</v>
      </c>
      <c r="H871" s="60" t="s">
        <v>1362</v>
      </c>
    </row>
    <row r="872" spans="1:8">
      <c r="A872" s="19">
        <v>88</v>
      </c>
      <c r="B872" s="19" t="s">
        <v>468</v>
      </c>
      <c r="C872" s="19" t="s">
        <v>654</v>
      </c>
      <c r="D872" s="19" t="s">
        <v>1198</v>
      </c>
      <c r="E872" s="19" t="s">
        <v>305</v>
      </c>
      <c r="F872" s="19" t="s">
        <v>1574</v>
      </c>
      <c r="G872" s="19"/>
      <c r="H872" s="60" t="s">
        <v>1360</v>
      </c>
    </row>
    <row r="873" spans="1:8">
      <c r="A873" s="19">
        <v>88</v>
      </c>
      <c r="B873" s="19" t="s">
        <v>468</v>
      </c>
      <c r="C873" s="19" t="s">
        <v>654</v>
      </c>
      <c r="D873" s="19" t="s">
        <v>1575</v>
      </c>
      <c r="E873" s="19" t="s">
        <v>1872</v>
      </c>
      <c r="F873" s="19" t="s">
        <v>1873</v>
      </c>
      <c r="G873" s="19" t="s">
        <v>1962</v>
      </c>
      <c r="H873" s="19" t="s">
        <v>1358</v>
      </c>
    </row>
    <row r="874" spans="1:8">
      <c r="A874" s="19">
        <v>88</v>
      </c>
      <c r="B874" s="19" t="s">
        <v>468</v>
      </c>
      <c r="C874" s="19" t="s">
        <v>654</v>
      </c>
      <c r="D874" s="19" t="s">
        <v>253</v>
      </c>
      <c r="E874" s="19" t="s">
        <v>297</v>
      </c>
      <c r="F874" s="19" t="s">
        <v>1460</v>
      </c>
      <c r="G874" s="19"/>
      <c r="H874" s="60" t="s">
        <v>1360</v>
      </c>
    </row>
    <row r="875" spans="1:8">
      <c r="A875" s="19">
        <v>88</v>
      </c>
      <c r="B875" s="19" t="s">
        <v>468</v>
      </c>
      <c r="C875" s="19" t="s">
        <v>654</v>
      </c>
      <c r="D875" s="19" t="s">
        <v>914</v>
      </c>
      <c r="E875" s="19" t="s">
        <v>446</v>
      </c>
      <c r="F875" s="19" t="s">
        <v>446</v>
      </c>
      <c r="G875" s="19" t="s">
        <v>1963</v>
      </c>
      <c r="H875" s="19" t="s">
        <v>1358</v>
      </c>
    </row>
    <row r="876" spans="1:8">
      <c r="A876" s="19">
        <v>88</v>
      </c>
      <c r="B876" s="19" t="s">
        <v>468</v>
      </c>
      <c r="C876" s="19" t="s">
        <v>654</v>
      </c>
      <c r="D876" s="19" t="s">
        <v>1377</v>
      </c>
      <c r="E876" s="19">
        <v>300000000</v>
      </c>
      <c r="F876" s="19">
        <v>300000000</v>
      </c>
      <c r="G876" s="19" t="s">
        <v>1963</v>
      </c>
      <c r="H876" s="19" t="s">
        <v>1358</v>
      </c>
    </row>
    <row r="877" spans="1:8">
      <c r="A877" s="19">
        <v>89</v>
      </c>
      <c r="B877" s="19" t="s">
        <v>468</v>
      </c>
      <c r="C877" s="19" t="s">
        <v>660</v>
      </c>
      <c r="D877" s="19" t="s">
        <v>238</v>
      </c>
      <c r="E877" s="19" t="s">
        <v>659</v>
      </c>
      <c r="F877" s="19" t="s">
        <v>1964</v>
      </c>
      <c r="G877" s="19" t="s">
        <v>1965</v>
      </c>
      <c r="H877" s="19" t="s">
        <v>1358</v>
      </c>
    </row>
    <row r="878" spans="1:8">
      <c r="A878" s="19">
        <v>89</v>
      </c>
      <c r="B878" s="19" t="s">
        <v>468</v>
      </c>
      <c r="C878" s="19" t="s">
        <v>660</v>
      </c>
      <c r="D878" s="19" t="s">
        <v>255</v>
      </c>
      <c r="E878" s="19">
        <v>2</v>
      </c>
      <c r="F878" s="19">
        <v>2</v>
      </c>
      <c r="G878" s="19" t="s">
        <v>1966</v>
      </c>
      <c r="H878" s="19" t="s">
        <v>1358</v>
      </c>
    </row>
    <row r="879" spans="1:8">
      <c r="A879" s="19">
        <v>89</v>
      </c>
      <c r="B879" s="19" t="s">
        <v>468</v>
      </c>
      <c r="C879" s="19" t="s">
        <v>660</v>
      </c>
      <c r="D879" s="19" t="s">
        <v>256</v>
      </c>
      <c r="E879" s="19" t="s">
        <v>299</v>
      </c>
      <c r="F879" s="19" t="s">
        <v>1865</v>
      </c>
      <c r="G879" s="19" t="s">
        <v>1967</v>
      </c>
      <c r="H879" s="19" t="s">
        <v>1358</v>
      </c>
    </row>
    <row r="880" spans="1:8">
      <c r="A880" s="19">
        <v>89</v>
      </c>
      <c r="B880" s="19" t="s">
        <v>468</v>
      </c>
      <c r="C880" s="19" t="s">
        <v>660</v>
      </c>
      <c r="D880" s="19" t="s">
        <v>871</v>
      </c>
      <c r="E880" s="19" t="s">
        <v>70</v>
      </c>
      <c r="F880" s="19" t="s">
        <v>1867</v>
      </c>
      <c r="G880" s="19" t="s">
        <v>1968</v>
      </c>
      <c r="H880" s="19" t="s">
        <v>1358</v>
      </c>
    </row>
    <row r="881" spans="1:8">
      <c r="A881" s="19">
        <v>89</v>
      </c>
      <c r="B881" s="19" t="s">
        <v>468</v>
      </c>
      <c r="C881" s="19" t="s">
        <v>660</v>
      </c>
      <c r="D881" s="19" t="s">
        <v>243</v>
      </c>
      <c r="E881" s="19">
        <v>2</v>
      </c>
      <c r="F881" s="19">
        <v>2</v>
      </c>
      <c r="G881" s="19" t="s">
        <v>1969</v>
      </c>
      <c r="H881" s="19" t="s">
        <v>1358</v>
      </c>
    </row>
    <row r="882" spans="1:8">
      <c r="A882" s="19">
        <v>89</v>
      </c>
      <c r="B882" s="19" t="s">
        <v>468</v>
      </c>
      <c r="C882" s="19" t="s">
        <v>660</v>
      </c>
      <c r="D882" s="19" t="s">
        <v>244</v>
      </c>
      <c r="E882" s="19">
        <v>30.6</v>
      </c>
      <c r="F882" s="19" t="s">
        <v>1859</v>
      </c>
      <c r="G882" s="19" t="s">
        <v>1970</v>
      </c>
      <c r="H882" s="60" t="s">
        <v>1362</v>
      </c>
    </row>
    <row r="883" spans="1:8">
      <c r="A883" s="19">
        <v>89</v>
      </c>
      <c r="B883" s="19" t="s">
        <v>468</v>
      </c>
      <c r="C883" s="19" t="s">
        <v>660</v>
      </c>
      <c r="D883" s="19" t="s">
        <v>1198</v>
      </c>
      <c r="E883" s="19" t="s">
        <v>305</v>
      </c>
      <c r="F883" s="19" t="s">
        <v>1574</v>
      </c>
      <c r="G883" s="19"/>
      <c r="H883" s="60" t="s">
        <v>1360</v>
      </c>
    </row>
    <row r="884" spans="1:8">
      <c r="A884" s="19">
        <v>89</v>
      </c>
      <c r="B884" s="19" t="s">
        <v>468</v>
      </c>
      <c r="C884" s="19" t="s">
        <v>660</v>
      </c>
      <c r="D884" s="19" t="s">
        <v>1575</v>
      </c>
      <c r="E884" s="19" t="s">
        <v>1872</v>
      </c>
      <c r="F884" s="19" t="s">
        <v>1873</v>
      </c>
      <c r="G884" s="19" t="s">
        <v>1971</v>
      </c>
      <c r="H884" s="19" t="s">
        <v>1358</v>
      </c>
    </row>
    <row r="885" spans="1:8">
      <c r="A885" s="19">
        <v>89</v>
      </c>
      <c r="B885" s="19" t="s">
        <v>468</v>
      </c>
      <c r="C885" s="19" t="s">
        <v>660</v>
      </c>
      <c r="D885" s="19" t="s">
        <v>253</v>
      </c>
      <c r="E885" s="19" t="s">
        <v>297</v>
      </c>
      <c r="F885" s="19" t="s">
        <v>1460</v>
      </c>
      <c r="G885" s="19"/>
      <c r="H885" s="60" t="s">
        <v>1360</v>
      </c>
    </row>
    <row r="886" spans="1:8">
      <c r="A886" s="19">
        <v>89</v>
      </c>
      <c r="B886" s="19" t="s">
        <v>468</v>
      </c>
      <c r="C886" s="19" t="s">
        <v>660</v>
      </c>
      <c r="D886" s="19" t="s">
        <v>914</v>
      </c>
      <c r="E886" s="19" t="s">
        <v>446</v>
      </c>
      <c r="F886" s="19" t="s">
        <v>446</v>
      </c>
      <c r="G886" s="19" t="s">
        <v>1972</v>
      </c>
      <c r="H886" s="19" t="s">
        <v>1358</v>
      </c>
    </row>
    <row r="887" spans="1:8">
      <c r="A887" s="19">
        <v>89</v>
      </c>
      <c r="B887" s="19" t="s">
        <v>468</v>
      </c>
      <c r="C887" s="19" t="s">
        <v>660</v>
      </c>
      <c r="D887" s="19" t="s">
        <v>1377</v>
      </c>
      <c r="E887" s="19">
        <v>250000000</v>
      </c>
      <c r="F887" s="19">
        <v>250000000</v>
      </c>
      <c r="G887" s="19" t="s">
        <v>1972</v>
      </c>
      <c r="H887" s="19" t="s">
        <v>1358</v>
      </c>
    </row>
    <row r="888" spans="1:8">
      <c r="A888" s="19">
        <v>90</v>
      </c>
      <c r="B888" s="19" t="s">
        <v>468</v>
      </c>
      <c r="C888" s="19" t="s">
        <v>664</v>
      </c>
      <c r="D888" s="19" t="s">
        <v>238</v>
      </c>
      <c r="E888" s="19" t="s">
        <v>663</v>
      </c>
      <c r="F888" s="19" t="s">
        <v>663</v>
      </c>
      <c r="G888" s="19" t="s">
        <v>1973</v>
      </c>
      <c r="H888" s="19" t="s">
        <v>1358</v>
      </c>
    </row>
    <row r="889" spans="1:8">
      <c r="A889" s="19">
        <v>90</v>
      </c>
      <c r="B889" s="19" t="s">
        <v>468</v>
      </c>
      <c r="C889" s="19" t="s">
        <v>664</v>
      </c>
      <c r="D889" s="19" t="s">
        <v>255</v>
      </c>
      <c r="E889" s="19">
        <v>1</v>
      </c>
      <c r="F889" s="19">
        <v>1</v>
      </c>
      <c r="G889" s="19" t="s">
        <v>1974</v>
      </c>
      <c r="H889" s="19" t="s">
        <v>1358</v>
      </c>
    </row>
    <row r="890" spans="1:8">
      <c r="A890" s="19">
        <v>90</v>
      </c>
      <c r="B890" s="19" t="s">
        <v>468</v>
      </c>
      <c r="C890" s="19" t="s">
        <v>664</v>
      </c>
      <c r="D890" s="19" t="s">
        <v>256</v>
      </c>
      <c r="E890" s="19" t="s">
        <v>666</v>
      </c>
      <c r="F890" s="19" t="s">
        <v>1975</v>
      </c>
      <c r="G890" s="19" t="s">
        <v>1976</v>
      </c>
      <c r="H890" s="19" t="s">
        <v>1358</v>
      </c>
    </row>
    <row r="891" spans="1:8">
      <c r="A891" s="19">
        <v>90</v>
      </c>
      <c r="B891" s="19" t="s">
        <v>468</v>
      </c>
      <c r="C891" s="19" t="s">
        <v>664</v>
      </c>
      <c r="D891" s="19" t="s">
        <v>871</v>
      </c>
      <c r="E891" s="19" t="s">
        <v>111</v>
      </c>
      <c r="F891" s="19" t="s">
        <v>1603</v>
      </c>
      <c r="G891" s="19" t="s">
        <v>1977</v>
      </c>
      <c r="H891" s="19" t="s">
        <v>1358</v>
      </c>
    </row>
    <row r="892" spans="1:8">
      <c r="A892" s="19">
        <v>90</v>
      </c>
      <c r="B892" s="19" t="s">
        <v>468</v>
      </c>
      <c r="C892" s="19" t="s">
        <v>664</v>
      </c>
      <c r="D892" s="19" t="s">
        <v>243</v>
      </c>
      <c r="E892" s="19">
        <v>6</v>
      </c>
      <c r="F892" s="19">
        <v>6</v>
      </c>
      <c r="G892" s="19" t="s">
        <v>1978</v>
      </c>
      <c r="H892" s="19" t="s">
        <v>1358</v>
      </c>
    </row>
    <row r="893" spans="1:8">
      <c r="A893" s="19">
        <v>90</v>
      </c>
      <c r="B893" s="19" t="s">
        <v>468</v>
      </c>
      <c r="C893" s="19" t="s">
        <v>664</v>
      </c>
      <c r="D893" s="19" t="s">
        <v>244</v>
      </c>
      <c r="E893" s="19">
        <v>20.399999999999999</v>
      </c>
      <c r="F893" s="19" t="s">
        <v>1979</v>
      </c>
      <c r="G893" s="19" t="s">
        <v>1980</v>
      </c>
      <c r="H893" s="60" t="s">
        <v>1362</v>
      </c>
    </row>
    <row r="894" spans="1:8">
      <c r="A894" s="19">
        <v>90</v>
      </c>
      <c r="B894" s="19" t="s">
        <v>468</v>
      </c>
      <c r="C894" s="19" t="s">
        <v>664</v>
      </c>
      <c r="D894" s="19" t="s">
        <v>1198</v>
      </c>
      <c r="E894" s="19" t="s">
        <v>305</v>
      </c>
      <c r="F894" s="19" t="s">
        <v>1574</v>
      </c>
      <c r="G894" s="19"/>
      <c r="H894" s="60" t="s">
        <v>1360</v>
      </c>
    </row>
    <row r="895" spans="1:8">
      <c r="A895" s="19">
        <v>90</v>
      </c>
      <c r="B895" s="19" t="s">
        <v>468</v>
      </c>
      <c r="C895" s="19" t="s">
        <v>664</v>
      </c>
      <c r="D895" s="19" t="s">
        <v>1575</v>
      </c>
      <c r="E895" s="19" t="s">
        <v>1981</v>
      </c>
      <c r="F895" s="19" t="s">
        <v>665</v>
      </c>
      <c r="G895" s="19" t="s">
        <v>1982</v>
      </c>
      <c r="H895" s="19" t="s">
        <v>1358</v>
      </c>
    </row>
    <row r="896" spans="1:8">
      <c r="A896" s="19">
        <v>90</v>
      </c>
      <c r="B896" s="19" t="s">
        <v>468</v>
      </c>
      <c r="C896" s="19" t="s">
        <v>664</v>
      </c>
      <c r="D896" s="19" t="s">
        <v>253</v>
      </c>
      <c r="E896" s="19" t="s">
        <v>297</v>
      </c>
      <c r="F896" s="19" t="s">
        <v>297</v>
      </c>
      <c r="G896" s="19" t="s">
        <v>1983</v>
      </c>
      <c r="H896" s="19" t="s">
        <v>1358</v>
      </c>
    </row>
    <row r="897" spans="1:8">
      <c r="A897" s="19">
        <v>90</v>
      </c>
      <c r="B897" s="19" t="s">
        <v>468</v>
      </c>
      <c r="C897" s="19" t="s">
        <v>664</v>
      </c>
      <c r="D897" s="19" t="s">
        <v>914</v>
      </c>
      <c r="E897" s="19" t="s">
        <v>355</v>
      </c>
      <c r="F897" s="19" t="s">
        <v>355</v>
      </c>
      <c r="G897" s="19" t="s">
        <v>1984</v>
      </c>
      <c r="H897" s="19" t="s">
        <v>1358</v>
      </c>
    </row>
    <row r="898" spans="1:8">
      <c r="A898" s="19">
        <v>90</v>
      </c>
      <c r="B898" s="19" t="s">
        <v>468</v>
      </c>
      <c r="C898" s="19" t="s">
        <v>664</v>
      </c>
      <c r="D898" s="19" t="s">
        <v>1377</v>
      </c>
      <c r="E898" s="19">
        <v>20000</v>
      </c>
      <c r="F898" s="19">
        <v>20000</v>
      </c>
      <c r="G898" s="19" t="s">
        <v>1984</v>
      </c>
      <c r="H898" s="19" t="s">
        <v>1358</v>
      </c>
    </row>
    <row r="899" spans="1:8">
      <c r="A899" s="19">
        <v>91</v>
      </c>
      <c r="B899" s="19" t="s">
        <v>550</v>
      </c>
      <c r="C899" s="19" t="s">
        <v>669</v>
      </c>
      <c r="D899" s="19" t="s">
        <v>238</v>
      </c>
      <c r="E899" s="19" t="s">
        <v>663</v>
      </c>
      <c r="F899" s="19" t="s">
        <v>663</v>
      </c>
      <c r="G899" s="19" t="s">
        <v>1985</v>
      </c>
      <c r="H899" s="19" t="s">
        <v>1358</v>
      </c>
    </row>
    <row r="900" spans="1:8">
      <c r="A900" s="19">
        <v>91</v>
      </c>
      <c r="B900" s="19" t="s">
        <v>550</v>
      </c>
      <c r="C900" s="19" t="s">
        <v>669</v>
      </c>
      <c r="D900" s="19" t="s">
        <v>255</v>
      </c>
      <c r="E900" s="19">
        <v>1</v>
      </c>
      <c r="F900" s="19">
        <v>1</v>
      </c>
      <c r="G900" s="19" t="s">
        <v>1986</v>
      </c>
      <c r="H900" s="19" t="s">
        <v>1358</v>
      </c>
    </row>
    <row r="901" spans="1:8">
      <c r="A901" s="19">
        <v>91</v>
      </c>
      <c r="B901" s="19" t="s">
        <v>550</v>
      </c>
      <c r="C901" s="19" t="s">
        <v>669</v>
      </c>
      <c r="D901" s="19" t="s">
        <v>256</v>
      </c>
      <c r="E901" s="19" t="s">
        <v>666</v>
      </c>
      <c r="F901" s="19" t="s">
        <v>1975</v>
      </c>
      <c r="G901" s="19" t="s">
        <v>1987</v>
      </c>
      <c r="H901" s="19" t="s">
        <v>1358</v>
      </c>
    </row>
    <row r="902" spans="1:8">
      <c r="A902" s="19">
        <v>91</v>
      </c>
      <c r="B902" s="19" t="s">
        <v>550</v>
      </c>
      <c r="C902" s="19" t="s">
        <v>669</v>
      </c>
      <c r="D902" s="19" t="s">
        <v>871</v>
      </c>
      <c r="E902" s="19" t="s">
        <v>111</v>
      </c>
      <c r="F902" s="19" t="s">
        <v>1603</v>
      </c>
      <c r="G902" s="19" t="s">
        <v>1988</v>
      </c>
      <c r="H902" s="19" t="s">
        <v>1358</v>
      </c>
    </row>
    <row r="903" spans="1:8">
      <c r="A903" s="19">
        <v>91</v>
      </c>
      <c r="B903" s="19" t="s">
        <v>550</v>
      </c>
      <c r="C903" s="19" t="s">
        <v>669</v>
      </c>
      <c r="D903" s="19" t="s">
        <v>243</v>
      </c>
      <c r="E903" s="19">
        <v>6</v>
      </c>
      <c r="F903" s="19">
        <v>6</v>
      </c>
      <c r="G903" s="19" t="s">
        <v>1989</v>
      </c>
      <c r="H903" s="19" t="s">
        <v>1358</v>
      </c>
    </row>
    <row r="904" spans="1:8">
      <c r="A904" s="19">
        <v>91</v>
      </c>
      <c r="B904" s="19" t="s">
        <v>550</v>
      </c>
      <c r="C904" s="19" t="s">
        <v>669</v>
      </c>
      <c r="D904" s="19" t="s">
        <v>244</v>
      </c>
      <c r="E904" s="19">
        <v>20.399999999999999</v>
      </c>
      <c r="F904" s="19" t="s">
        <v>1979</v>
      </c>
      <c r="G904" s="19" t="s">
        <v>1990</v>
      </c>
      <c r="H904" s="60" t="s">
        <v>1362</v>
      </c>
    </row>
    <row r="905" spans="1:8">
      <c r="A905" s="19">
        <v>91</v>
      </c>
      <c r="B905" s="19" t="s">
        <v>550</v>
      </c>
      <c r="C905" s="19" t="s">
        <v>669</v>
      </c>
      <c r="D905" s="19" t="s">
        <v>1198</v>
      </c>
      <c r="E905" s="19" t="s">
        <v>305</v>
      </c>
      <c r="F905" s="19" t="s">
        <v>1574</v>
      </c>
      <c r="G905" s="19"/>
      <c r="H905" s="60" t="s">
        <v>1360</v>
      </c>
    </row>
    <row r="906" spans="1:8">
      <c r="A906" s="19">
        <v>91</v>
      </c>
      <c r="B906" s="19" t="s">
        <v>550</v>
      </c>
      <c r="C906" s="19" t="s">
        <v>669</v>
      </c>
      <c r="D906" s="19" t="s">
        <v>1575</v>
      </c>
      <c r="E906" s="19" t="s">
        <v>1981</v>
      </c>
      <c r="F906" s="19" t="s">
        <v>665</v>
      </c>
      <c r="G906" s="19" t="s">
        <v>1991</v>
      </c>
      <c r="H906" s="19" t="s">
        <v>1358</v>
      </c>
    </row>
    <row r="907" spans="1:8">
      <c r="A907" s="19">
        <v>91</v>
      </c>
      <c r="B907" s="19" t="s">
        <v>550</v>
      </c>
      <c r="C907" s="19" t="s">
        <v>669</v>
      </c>
      <c r="D907" s="19" t="s">
        <v>253</v>
      </c>
      <c r="E907" s="19" t="s">
        <v>297</v>
      </c>
      <c r="F907" s="19" t="s">
        <v>297</v>
      </c>
      <c r="G907" s="19" t="s">
        <v>1992</v>
      </c>
      <c r="H907" s="19" t="s">
        <v>1358</v>
      </c>
    </row>
    <row r="908" spans="1:8">
      <c r="A908" s="19">
        <v>91</v>
      </c>
      <c r="B908" s="19" t="s">
        <v>550</v>
      </c>
      <c r="C908" s="19" t="s">
        <v>669</v>
      </c>
      <c r="D908" s="19" t="s">
        <v>914</v>
      </c>
      <c r="E908" s="19" t="s">
        <v>355</v>
      </c>
      <c r="F908" s="19" t="s">
        <v>355</v>
      </c>
      <c r="G908" s="19" t="s">
        <v>1993</v>
      </c>
      <c r="H908" s="19" t="s">
        <v>1358</v>
      </c>
    </row>
    <row r="909" spans="1:8">
      <c r="A909" s="19">
        <v>91</v>
      </c>
      <c r="B909" s="19" t="s">
        <v>550</v>
      </c>
      <c r="C909" s="19" t="s">
        <v>669</v>
      </c>
      <c r="D909" s="19" t="s">
        <v>1377</v>
      </c>
      <c r="E909" s="19">
        <v>20000</v>
      </c>
      <c r="F909" s="19">
        <v>20000</v>
      </c>
      <c r="G909" s="19" t="s">
        <v>1993</v>
      </c>
      <c r="H909" s="19" t="s">
        <v>1358</v>
      </c>
    </row>
    <row r="910" spans="1:8">
      <c r="A910" s="19">
        <v>92</v>
      </c>
      <c r="B910" s="19" t="s">
        <v>468</v>
      </c>
      <c r="C910" s="19" t="s">
        <v>673</v>
      </c>
      <c r="D910" s="19" t="s">
        <v>238</v>
      </c>
      <c r="E910" s="19" t="s">
        <v>672</v>
      </c>
      <c r="F910" s="19" t="s">
        <v>672</v>
      </c>
      <c r="G910" s="19" t="s">
        <v>1994</v>
      </c>
      <c r="H910" s="19" t="s">
        <v>1358</v>
      </c>
    </row>
    <row r="911" spans="1:8">
      <c r="A911" s="19">
        <v>92</v>
      </c>
      <c r="B911" s="19" t="s">
        <v>468</v>
      </c>
      <c r="C911" s="19" t="s">
        <v>673</v>
      </c>
      <c r="D911" s="19" t="s">
        <v>255</v>
      </c>
      <c r="E911" s="19">
        <v>5</v>
      </c>
      <c r="F911" s="19">
        <v>5</v>
      </c>
      <c r="G911" s="19" t="s">
        <v>1995</v>
      </c>
      <c r="H911" s="19" t="s">
        <v>1358</v>
      </c>
    </row>
    <row r="912" spans="1:8">
      <c r="A912" s="19">
        <v>92</v>
      </c>
      <c r="B912" s="19" t="s">
        <v>468</v>
      </c>
      <c r="C912" s="19" t="s">
        <v>673</v>
      </c>
      <c r="D912" s="19" t="s">
        <v>256</v>
      </c>
      <c r="E912" s="19" t="s">
        <v>674</v>
      </c>
      <c r="F912" s="19" t="s">
        <v>1996</v>
      </c>
      <c r="G912" s="19" t="s">
        <v>1997</v>
      </c>
      <c r="H912" s="19" t="s">
        <v>1358</v>
      </c>
    </row>
    <row r="913" spans="1:8">
      <c r="A913" s="19">
        <v>92</v>
      </c>
      <c r="B913" s="19" t="s">
        <v>468</v>
      </c>
      <c r="C913" s="19" t="s">
        <v>673</v>
      </c>
      <c r="D913" s="19" t="s">
        <v>871</v>
      </c>
      <c r="E913" s="19" t="s">
        <v>115</v>
      </c>
      <c r="F913" s="19" t="s">
        <v>1998</v>
      </c>
      <c r="G913" s="19" t="s">
        <v>1999</v>
      </c>
      <c r="H913" s="19" t="s">
        <v>1358</v>
      </c>
    </row>
    <row r="914" spans="1:8">
      <c r="A914" s="19">
        <v>92</v>
      </c>
      <c r="B914" s="19" t="s">
        <v>468</v>
      </c>
      <c r="C914" s="19" t="s">
        <v>673</v>
      </c>
      <c r="D914" s="19" t="s">
        <v>243</v>
      </c>
      <c r="E914" s="19">
        <v>9.6</v>
      </c>
      <c r="F914" s="19">
        <v>9.6</v>
      </c>
      <c r="G914" s="19" t="s">
        <v>2000</v>
      </c>
      <c r="H914" s="19" t="s">
        <v>1358</v>
      </c>
    </row>
    <row r="915" spans="1:8">
      <c r="A915" s="19">
        <v>92</v>
      </c>
      <c r="B915" s="19" t="s">
        <v>468</v>
      </c>
      <c r="C915" s="19" t="s">
        <v>673</v>
      </c>
      <c r="D915" s="19" t="s">
        <v>1198</v>
      </c>
      <c r="E915" s="19" t="s">
        <v>305</v>
      </c>
      <c r="F915" s="19" t="s">
        <v>1574</v>
      </c>
      <c r="G915" s="19"/>
      <c r="H915" s="60" t="s">
        <v>1360</v>
      </c>
    </row>
    <row r="916" spans="1:8">
      <c r="A916" s="19">
        <v>92</v>
      </c>
      <c r="B916" s="19" t="s">
        <v>468</v>
      </c>
      <c r="C916" s="19" t="s">
        <v>673</v>
      </c>
      <c r="D916" s="19" t="s">
        <v>253</v>
      </c>
      <c r="E916" s="19" t="s">
        <v>297</v>
      </c>
      <c r="F916" s="19" t="s">
        <v>1460</v>
      </c>
      <c r="G916" s="19"/>
      <c r="H916" s="60" t="s">
        <v>1360</v>
      </c>
    </row>
    <row r="917" spans="1:8">
      <c r="A917" s="19">
        <v>92</v>
      </c>
      <c r="B917" s="19" t="s">
        <v>468</v>
      </c>
      <c r="C917" s="19" t="s">
        <v>673</v>
      </c>
      <c r="D917" s="19" t="s">
        <v>914</v>
      </c>
      <c r="E917" s="19" t="s">
        <v>446</v>
      </c>
      <c r="F917" s="19" t="s">
        <v>446</v>
      </c>
      <c r="G917" s="19" t="s">
        <v>2001</v>
      </c>
      <c r="H917" s="19" t="s">
        <v>1358</v>
      </c>
    </row>
    <row r="918" spans="1:8">
      <c r="A918" s="19">
        <v>92</v>
      </c>
      <c r="B918" s="19" t="s">
        <v>468</v>
      </c>
      <c r="C918" s="19" t="s">
        <v>673</v>
      </c>
      <c r="D918" s="19" t="s">
        <v>1377</v>
      </c>
      <c r="E918" s="19">
        <v>100000000</v>
      </c>
      <c r="F918" s="19">
        <v>100000000</v>
      </c>
      <c r="G918" s="19" t="s">
        <v>2001</v>
      </c>
      <c r="H918" s="19" t="s">
        <v>1358</v>
      </c>
    </row>
    <row r="919" spans="1:8">
      <c r="A919" s="19">
        <v>93</v>
      </c>
      <c r="B919" s="19" t="s">
        <v>468</v>
      </c>
      <c r="C919" s="19" t="s">
        <v>678</v>
      </c>
      <c r="D919" s="19" t="s">
        <v>238</v>
      </c>
      <c r="E919" s="19" t="s">
        <v>677</v>
      </c>
      <c r="F919" s="19" t="s">
        <v>677</v>
      </c>
      <c r="G919" s="19" t="s">
        <v>2002</v>
      </c>
      <c r="H919" s="19" t="s">
        <v>1358</v>
      </c>
    </row>
    <row r="920" spans="1:8">
      <c r="A920" s="19">
        <v>93</v>
      </c>
      <c r="B920" s="19" t="s">
        <v>468</v>
      </c>
      <c r="C920" s="19" t="s">
        <v>678</v>
      </c>
      <c r="D920" s="19" t="s">
        <v>255</v>
      </c>
      <c r="E920" s="19">
        <v>1</v>
      </c>
      <c r="F920" s="19">
        <v>1</v>
      </c>
      <c r="G920" s="19" t="s">
        <v>2003</v>
      </c>
      <c r="H920" s="19" t="s">
        <v>1358</v>
      </c>
    </row>
    <row r="921" spans="1:8">
      <c r="A921" s="19">
        <v>93</v>
      </c>
      <c r="B921" s="19" t="s">
        <v>468</v>
      </c>
      <c r="C921" s="19" t="s">
        <v>678</v>
      </c>
      <c r="D921" s="19" t="s">
        <v>256</v>
      </c>
      <c r="E921" s="19" t="s">
        <v>674</v>
      </c>
      <c r="F921" s="19" t="s">
        <v>1996</v>
      </c>
      <c r="G921" s="19" t="s">
        <v>2004</v>
      </c>
      <c r="H921" s="19" t="s">
        <v>1358</v>
      </c>
    </row>
    <row r="922" spans="1:8">
      <c r="A922" s="19">
        <v>93</v>
      </c>
      <c r="B922" s="19" t="s">
        <v>468</v>
      </c>
      <c r="C922" s="19" t="s">
        <v>678</v>
      </c>
      <c r="D922" s="19" t="s">
        <v>871</v>
      </c>
      <c r="E922" s="19" t="s">
        <v>115</v>
      </c>
      <c r="F922" s="19" t="s">
        <v>1998</v>
      </c>
      <c r="G922" s="19" t="s">
        <v>2005</v>
      </c>
      <c r="H922" s="19" t="s">
        <v>1358</v>
      </c>
    </row>
    <row r="923" spans="1:8">
      <c r="A923" s="19">
        <v>93</v>
      </c>
      <c r="B923" s="19" t="s">
        <v>468</v>
      </c>
      <c r="C923" s="19" t="s">
        <v>678</v>
      </c>
      <c r="D923" s="19" t="s">
        <v>243</v>
      </c>
      <c r="E923" s="19">
        <v>9.6</v>
      </c>
      <c r="F923" s="19">
        <v>9.6</v>
      </c>
      <c r="G923" s="19" t="s">
        <v>2006</v>
      </c>
      <c r="H923" s="19" t="s">
        <v>1358</v>
      </c>
    </row>
    <row r="924" spans="1:8">
      <c r="A924" s="19">
        <v>93</v>
      </c>
      <c r="B924" s="19" t="s">
        <v>468</v>
      </c>
      <c r="C924" s="19" t="s">
        <v>678</v>
      </c>
      <c r="D924" s="19" t="s">
        <v>1198</v>
      </c>
      <c r="E924" s="19" t="s">
        <v>305</v>
      </c>
      <c r="F924" s="19" t="s">
        <v>1574</v>
      </c>
      <c r="G924" s="19"/>
      <c r="H924" s="60" t="s">
        <v>1360</v>
      </c>
    </row>
    <row r="925" spans="1:8">
      <c r="A925" s="19">
        <v>93</v>
      </c>
      <c r="B925" s="19" t="s">
        <v>468</v>
      </c>
      <c r="C925" s="19" t="s">
        <v>678</v>
      </c>
      <c r="D925" s="19" t="s">
        <v>253</v>
      </c>
      <c r="E925" s="19" t="s">
        <v>297</v>
      </c>
      <c r="F925" s="19" t="s">
        <v>1460</v>
      </c>
      <c r="G925" s="19"/>
      <c r="H925" s="60" t="s">
        <v>1360</v>
      </c>
    </row>
    <row r="926" spans="1:8">
      <c r="A926" s="19">
        <v>93</v>
      </c>
      <c r="B926" s="19" t="s">
        <v>468</v>
      </c>
      <c r="C926" s="19" t="s">
        <v>678</v>
      </c>
      <c r="D926" s="19" t="s">
        <v>914</v>
      </c>
      <c r="E926" s="19" t="s">
        <v>446</v>
      </c>
      <c r="F926" s="19" t="s">
        <v>446</v>
      </c>
      <c r="G926" s="19" t="s">
        <v>2007</v>
      </c>
      <c r="H926" s="19" t="s">
        <v>1358</v>
      </c>
    </row>
    <row r="927" spans="1:8">
      <c r="A927" s="19">
        <v>93</v>
      </c>
      <c r="B927" s="19" t="s">
        <v>468</v>
      </c>
      <c r="C927" s="19" t="s">
        <v>678</v>
      </c>
      <c r="D927" s="19" t="s">
        <v>1377</v>
      </c>
      <c r="E927" s="19">
        <v>100000000</v>
      </c>
      <c r="F927" s="19">
        <v>100000000</v>
      </c>
      <c r="G927" s="19" t="s">
        <v>2007</v>
      </c>
      <c r="H927" s="19" t="s">
        <v>1358</v>
      </c>
    </row>
    <row r="928" spans="1:8">
      <c r="A928" s="19">
        <v>94</v>
      </c>
      <c r="B928" s="19" t="s">
        <v>682</v>
      </c>
      <c r="C928" s="19" t="s">
        <v>683</v>
      </c>
      <c r="D928" s="19" t="s">
        <v>238</v>
      </c>
      <c r="E928" s="19" t="s">
        <v>681</v>
      </c>
      <c r="F928" s="19" t="s">
        <v>681</v>
      </c>
      <c r="G928" s="19" t="s">
        <v>2008</v>
      </c>
      <c r="H928" s="19" t="s">
        <v>1358</v>
      </c>
    </row>
    <row r="929" spans="1:8">
      <c r="A929" s="19">
        <v>94</v>
      </c>
      <c r="B929" s="19" t="s">
        <v>682</v>
      </c>
      <c r="C929" s="19" t="s">
        <v>683</v>
      </c>
      <c r="D929" s="19" t="s">
        <v>255</v>
      </c>
      <c r="E929" s="19">
        <v>2</v>
      </c>
      <c r="F929" s="19">
        <v>2</v>
      </c>
      <c r="G929" s="19" t="s">
        <v>2009</v>
      </c>
      <c r="H929" s="19" t="s">
        <v>1358</v>
      </c>
    </row>
    <row r="930" spans="1:8">
      <c r="A930" s="19">
        <v>94</v>
      </c>
      <c r="B930" s="19" t="s">
        <v>682</v>
      </c>
      <c r="C930" s="19" t="s">
        <v>683</v>
      </c>
      <c r="D930" s="19" t="s">
        <v>241</v>
      </c>
      <c r="E930" s="19" t="s">
        <v>173</v>
      </c>
      <c r="F930" s="19" t="s">
        <v>2010</v>
      </c>
      <c r="G930" s="19" t="s">
        <v>2008</v>
      </c>
      <c r="H930" s="19" t="s">
        <v>1358</v>
      </c>
    </row>
    <row r="931" spans="1:8">
      <c r="A931" s="19">
        <v>94</v>
      </c>
      <c r="B931" s="19" t="s">
        <v>682</v>
      </c>
      <c r="C931" s="19" t="s">
        <v>683</v>
      </c>
      <c r="D931" s="19" t="s">
        <v>256</v>
      </c>
      <c r="E931" s="19" t="s">
        <v>299</v>
      </c>
      <c r="F931" s="19" t="s">
        <v>2010</v>
      </c>
      <c r="G931" s="19" t="s">
        <v>2008</v>
      </c>
      <c r="H931" s="19" t="s">
        <v>1358</v>
      </c>
    </row>
    <row r="932" spans="1:8">
      <c r="A932" s="19">
        <v>94</v>
      </c>
      <c r="B932" s="19" t="s">
        <v>682</v>
      </c>
      <c r="C932" s="19" t="s">
        <v>683</v>
      </c>
      <c r="D932" s="19" t="s">
        <v>871</v>
      </c>
      <c r="E932" s="19" t="s">
        <v>107</v>
      </c>
      <c r="F932" s="19" t="s">
        <v>1569</v>
      </c>
      <c r="G932" s="19" t="s">
        <v>2008</v>
      </c>
      <c r="H932" s="19" t="s">
        <v>1358</v>
      </c>
    </row>
    <row r="933" spans="1:8">
      <c r="A933" s="19">
        <v>94</v>
      </c>
      <c r="B933" s="19" t="s">
        <v>682</v>
      </c>
      <c r="C933" s="19" t="s">
        <v>683</v>
      </c>
      <c r="D933" s="19" t="s">
        <v>243</v>
      </c>
      <c r="E933" s="19">
        <v>45</v>
      </c>
      <c r="F933" s="19">
        <v>45</v>
      </c>
      <c r="G933" s="19" t="s">
        <v>2008</v>
      </c>
      <c r="H933" s="19" t="s">
        <v>1358</v>
      </c>
    </row>
    <row r="934" spans="1:8">
      <c r="A934" s="19">
        <v>94</v>
      </c>
      <c r="B934" s="19" t="s">
        <v>682</v>
      </c>
      <c r="C934" s="19" t="s">
        <v>683</v>
      </c>
      <c r="D934" s="19" t="s">
        <v>244</v>
      </c>
      <c r="E934" s="19">
        <v>139.1</v>
      </c>
      <c r="F934" s="19">
        <v>139.1</v>
      </c>
      <c r="G934" s="19" t="s">
        <v>2008</v>
      </c>
      <c r="H934" s="19" t="s">
        <v>1358</v>
      </c>
    </row>
    <row r="935" spans="1:8">
      <c r="A935" s="19">
        <v>94</v>
      </c>
      <c r="B935" s="19" t="s">
        <v>682</v>
      </c>
      <c r="C935" s="19" t="s">
        <v>683</v>
      </c>
      <c r="D935" s="19" t="s">
        <v>257</v>
      </c>
      <c r="E935" s="19">
        <v>14.5</v>
      </c>
      <c r="F935" s="19">
        <v>14.5</v>
      </c>
      <c r="G935" s="19" t="s">
        <v>2008</v>
      </c>
      <c r="H935" s="19" t="s">
        <v>1358</v>
      </c>
    </row>
    <row r="936" spans="1:8">
      <c r="A936" s="19">
        <v>94</v>
      </c>
      <c r="B936" s="19" t="s">
        <v>682</v>
      </c>
      <c r="C936" s="19" t="s">
        <v>683</v>
      </c>
      <c r="D936" s="19" t="s">
        <v>1198</v>
      </c>
      <c r="E936" s="19" t="s">
        <v>361</v>
      </c>
      <c r="F936" s="19" t="s">
        <v>361</v>
      </c>
      <c r="G936" s="19" t="s">
        <v>2008</v>
      </c>
      <c r="H936" s="19" t="s">
        <v>1358</v>
      </c>
    </row>
    <row r="937" spans="1:8">
      <c r="A937" s="19">
        <v>94</v>
      </c>
      <c r="B937" s="19" t="s">
        <v>682</v>
      </c>
      <c r="C937" s="19" t="s">
        <v>683</v>
      </c>
      <c r="D937" s="19" t="s">
        <v>1575</v>
      </c>
      <c r="E937" s="19" t="s">
        <v>1576</v>
      </c>
      <c r="F937" s="19" t="s">
        <v>1577</v>
      </c>
      <c r="G937" s="19" t="s">
        <v>2008</v>
      </c>
      <c r="H937" s="19" t="s">
        <v>1358</v>
      </c>
    </row>
    <row r="938" spans="1:8">
      <c r="A938" s="19">
        <v>94</v>
      </c>
      <c r="B938" s="19" t="s">
        <v>682</v>
      </c>
      <c r="C938" s="19" t="s">
        <v>683</v>
      </c>
      <c r="D938" s="19" t="s">
        <v>253</v>
      </c>
      <c r="E938" s="19" t="s">
        <v>297</v>
      </c>
      <c r="F938" s="19" t="s">
        <v>1460</v>
      </c>
      <c r="G938" s="19"/>
      <c r="H938" s="60" t="s">
        <v>1360</v>
      </c>
    </row>
    <row r="939" spans="1:8">
      <c r="A939" s="19">
        <v>94</v>
      </c>
      <c r="B939" s="19" t="s">
        <v>682</v>
      </c>
      <c r="C939" s="19" t="s">
        <v>683</v>
      </c>
      <c r="D939" s="19" t="s">
        <v>914</v>
      </c>
      <c r="E939" s="19" t="s">
        <v>355</v>
      </c>
      <c r="F939" s="19" t="s">
        <v>355</v>
      </c>
      <c r="G939" s="19" t="s">
        <v>2011</v>
      </c>
      <c r="H939" s="19" t="s">
        <v>1358</v>
      </c>
    </row>
    <row r="940" spans="1:8">
      <c r="A940" s="19">
        <v>94</v>
      </c>
      <c r="B940" s="19" t="s">
        <v>682</v>
      </c>
      <c r="C940" s="19" t="s">
        <v>683</v>
      </c>
      <c r="D940" s="19" t="s">
        <v>1377</v>
      </c>
      <c r="E940" s="19">
        <v>111500</v>
      </c>
      <c r="F940" s="19">
        <v>111500</v>
      </c>
      <c r="G940" s="19" t="s">
        <v>2011</v>
      </c>
      <c r="H940" s="19" t="s">
        <v>1358</v>
      </c>
    </row>
    <row r="941" spans="1:8">
      <c r="A941" s="19">
        <v>95</v>
      </c>
      <c r="B941" s="19" t="s">
        <v>682</v>
      </c>
      <c r="C941" s="19" t="s">
        <v>555</v>
      </c>
      <c r="D941" s="19" t="s">
        <v>238</v>
      </c>
      <c r="E941" s="19" t="s">
        <v>613</v>
      </c>
      <c r="F941" s="19" t="s">
        <v>613</v>
      </c>
      <c r="G941" s="19" t="s">
        <v>2012</v>
      </c>
      <c r="H941" s="19" t="s">
        <v>1358</v>
      </c>
    </row>
    <row r="942" spans="1:8">
      <c r="A942" s="19">
        <v>95</v>
      </c>
      <c r="B942" s="19" t="s">
        <v>682</v>
      </c>
      <c r="C942" s="19" t="s">
        <v>555</v>
      </c>
      <c r="D942" s="19" t="s">
        <v>255</v>
      </c>
      <c r="E942" s="19">
        <v>2</v>
      </c>
      <c r="F942" s="19">
        <v>2</v>
      </c>
      <c r="G942" s="19" t="s">
        <v>2013</v>
      </c>
      <c r="H942" s="19" t="s">
        <v>1358</v>
      </c>
    </row>
    <row r="943" spans="1:8">
      <c r="A943" s="19">
        <v>95</v>
      </c>
      <c r="B943" s="19" t="s">
        <v>682</v>
      </c>
      <c r="C943" s="19" t="s">
        <v>555</v>
      </c>
      <c r="D943" s="19" t="s">
        <v>256</v>
      </c>
      <c r="E943" s="19" t="s">
        <v>299</v>
      </c>
      <c r="F943" s="19" t="s">
        <v>1865</v>
      </c>
      <c r="G943" s="19" t="s">
        <v>2012</v>
      </c>
      <c r="H943" s="19" t="s">
        <v>1358</v>
      </c>
    </row>
    <row r="944" spans="1:8">
      <c r="A944" s="19">
        <v>95</v>
      </c>
      <c r="B944" s="19" t="s">
        <v>682</v>
      </c>
      <c r="C944" s="19" t="s">
        <v>555</v>
      </c>
      <c r="D944" s="19" t="s">
        <v>871</v>
      </c>
      <c r="E944" s="19" t="s">
        <v>70</v>
      </c>
      <c r="F944" s="19" t="s">
        <v>1867</v>
      </c>
      <c r="G944" s="19" t="s">
        <v>2012</v>
      </c>
      <c r="H944" s="19" t="s">
        <v>1358</v>
      </c>
    </row>
    <row r="945" spans="1:8">
      <c r="A945" s="19">
        <v>95</v>
      </c>
      <c r="B945" s="19" t="s">
        <v>682</v>
      </c>
      <c r="C945" s="19" t="s">
        <v>555</v>
      </c>
      <c r="D945" s="19" t="s">
        <v>243</v>
      </c>
      <c r="E945" s="19">
        <v>53</v>
      </c>
      <c r="F945" s="19">
        <v>53</v>
      </c>
      <c r="G945" s="19" t="s">
        <v>2012</v>
      </c>
      <c r="H945" s="19" t="s">
        <v>1358</v>
      </c>
    </row>
    <row r="946" spans="1:8">
      <c r="A946" s="19">
        <v>95</v>
      </c>
      <c r="B946" s="19" t="s">
        <v>682</v>
      </c>
      <c r="C946" s="19" t="s">
        <v>555</v>
      </c>
      <c r="D946" s="19" t="s">
        <v>244</v>
      </c>
      <c r="E946" s="19">
        <v>35.700000000000003</v>
      </c>
      <c r="F946" s="19">
        <v>35.700000000000003</v>
      </c>
      <c r="G946" s="19" t="s">
        <v>2012</v>
      </c>
      <c r="H946" s="19" t="s">
        <v>1358</v>
      </c>
    </row>
    <row r="947" spans="1:8">
      <c r="A947" s="19">
        <v>95</v>
      </c>
      <c r="B947" s="19" t="s">
        <v>682</v>
      </c>
      <c r="C947" s="19" t="s">
        <v>555</v>
      </c>
      <c r="D947" s="19" t="s">
        <v>257</v>
      </c>
      <c r="E947" s="19">
        <v>2.9</v>
      </c>
      <c r="F947" s="19">
        <v>2.9</v>
      </c>
      <c r="G947" s="19" t="s">
        <v>2012</v>
      </c>
      <c r="H947" s="19" t="s">
        <v>1358</v>
      </c>
    </row>
    <row r="948" spans="1:8">
      <c r="A948" s="19">
        <v>95</v>
      </c>
      <c r="B948" s="19" t="s">
        <v>682</v>
      </c>
      <c r="C948" s="19" t="s">
        <v>555</v>
      </c>
      <c r="D948" s="19" t="s">
        <v>1198</v>
      </c>
      <c r="E948" s="19" t="s">
        <v>305</v>
      </c>
      <c r="F948" s="19" t="s">
        <v>1574</v>
      </c>
      <c r="G948" s="19"/>
      <c r="H948" s="60" t="s">
        <v>1360</v>
      </c>
    </row>
    <row r="949" spans="1:8">
      <c r="A949" s="19">
        <v>95</v>
      </c>
      <c r="B949" s="19" t="s">
        <v>682</v>
      </c>
      <c r="C949" s="19" t="s">
        <v>555</v>
      </c>
      <c r="D949" s="19" t="s">
        <v>1575</v>
      </c>
      <c r="E949" s="19" t="s">
        <v>1872</v>
      </c>
      <c r="F949" s="19" t="s">
        <v>1873</v>
      </c>
      <c r="G949" s="19" t="s">
        <v>2012</v>
      </c>
      <c r="H949" s="19" t="s">
        <v>1358</v>
      </c>
    </row>
    <row r="950" spans="1:8">
      <c r="A950" s="19">
        <v>95</v>
      </c>
      <c r="B950" s="19" t="s">
        <v>682</v>
      </c>
      <c r="C950" s="19" t="s">
        <v>555</v>
      </c>
      <c r="D950" s="19" t="s">
        <v>253</v>
      </c>
      <c r="E950" s="19" t="s">
        <v>297</v>
      </c>
      <c r="F950" s="19" t="s">
        <v>1460</v>
      </c>
      <c r="G950" s="19"/>
      <c r="H950" s="60" t="s">
        <v>1360</v>
      </c>
    </row>
    <row r="951" spans="1:8">
      <c r="A951" s="19">
        <v>95</v>
      </c>
      <c r="B951" s="19" t="s">
        <v>682</v>
      </c>
      <c r="C951" s="19" t="s">
        <v>555</v>
      </c>
      <c r="D951" s="19" t="s">
        <v>914</v>
      </c>
      <c r="E951" s="19" t="s">
        <v>355</v>
      </c>
      <c r="F951" s="19" t="s">
        <v>355</v>
      </c>
      <c r="G951" s="19" t="s">
        <v>2014</v>
      </c>
      <c r="H951" s="19" t="s">
        <v>1358</v>
      </c>
    </row>
    <row r="952" spans="1:8">
      <c r="A952" s="19">
        <v>95</v>
      </c>
      <c r="B952" s="19" t="s">
        <v>682</v>
      </c>
      <c r="C952" s="19" t="s">
        <v>555</v>
      </c>
      <c r="D952" s="19" t="s">
        <v>1377</v>
      </c>
      <c r="E952" s="19">
        <v>15050</v>
      </c>
      <c r="F952" s="19">
        <v>15050</v>
      </c>
      <c r="G952" s="19" t="s">
        <v>2014</v>
      </c>
      <c r="H952" s="19" t="s">
        <v>1358</v>
      </c>
    </row>
    <row r="953" spans="1:8">
      <c r="A953" s="19">
        <v>96</v>
      </c>
      <c r="B953" s="19" t="s">
        <v>682</v>
      </c>
      <c r="C953" s="19" t="s">
        <v>690</v>
      </c>
      <c r="D953" s="19" t="s">
        <v>238</v>
      </c>
      <c r="E953" s="19" t="s">
        <v>504</v>
      </c>
      <c r="F953" s="19" t="s">
        <v>504</v>
      </c>
      <c r="G953" s="19" t="s">
        <v>2015</v>
      </c>
      <c r="H953" s="19" t="s">
        <v>1358</v>
      </c>
    </row>
    <row r="954" spans="1:8">
      <c r="A954" s="19">
        <v>96</v>
      </c>
      <c r="B954" s="19" t="s">
        <v>682</v>
      </c>
      <c r="C954" s="19" t="s">
        <v>690</v>
      </c>
      <c r="D954" s="19" t="s">
        <v>255</v>
      </c>
      <c r="E954" s="19">
        <v>1</v>
      </c>
      <c r="F954" s="19">
        <v>1</v>
      </c>
      <c r="G954" s="19" t="s">
        <v>2016</v>
      </c>
      <c r="H954" s="19" t="s">
        <v>1358</v>
      </c>
    </row>
    <row r="955" spans="1:8">
      <c r="A955" s="19">
        <v>96</v>
      </c>
      <c r="B955" s="19" t="s">
        <v>682</v>
      </c>
      <c r="C955" s="19" t="s">
        <v>690</v>
      </c>
      <c r="D955" s="19" t="s">
        <v>241</v>
      </c>
      <c r="E955" s="19" t="s">
        <v>128</v>
      </c>
      <c r="F955" s="19" t="s">
        <v>1567</v>
      </c>
      <c r="G955" s="19" t="s">
        <v>2015</v>
      </c>
      <c r="H955" s="19" t="s">
        <v>1358</v>
      </c>
    </row>
    <row r="956" spans="1:8">
      <c r="A956" s="19">
        <v>96</v>
      </c>
      <c r="B956" s="19" t="s">
        <v>682</v>
      </c>
      <c r="C956" s="19" t="s">
        <v>690</v>
      </c>
      <c r="D956" s="19" t="s">
        <v>256</v>
      </c>
      <c r="E956" s="19" t="s">
        <v>299</v>
      </c>
      <c r="F956" s="19" t="s">
        <v>1567</v>
      </c>
      <c r="G956" s="19" t="s">
        <v>2015</v>
      </c>
      <c r="H956" s="19" t="s">
        <v>1358</v>
      </c>
    </row>
    <row r="957" spans="1:8">
      <c r="A957" s="19">
        <v>96</v>
      </c>
      <c r="B957" s="19" t="s">
        <v>682</v>
      </c>
      <c r="C957" s="19" t="s">
        <v>690</v>
      </c>
      <c r="D957" s="19" t="s">
        <v>871</v>
      </c>
      <c r="E957" s="19" t="s">
        <v>70</v>
      </c>
      <c r="F957" s="19" t="s">
        <v>1867</v>
      </c>
      <c r="G957" s="19" t="s">
        <v>2015</v>
      </c>
      <c r="H957" s="19" t="s">
        <v>1358</v>
      </c>
    </row>
    <row r="958" spans="1:8">
      <c r="A958" s="19">
        <v>96</v>
      </c>
      <c r="B958" s="19" t="s">
        <v>682</v>
      </c>
      <c r="C958" s="19" t="s">
        <v>690</v>
      </c>
      <c r="D958" s="19" t="s">
        <v>243</v>
      </c>
      <c r="E958" s="19">
        <v>53</v>
      </c>
      <c r="F958" s="19">
        <v>53</v>
      </c>
      <c r="G958" s="19" t="s">
        <v>2015</v>
      </c>
      <c r="H958" s="19" t="s">
        <v>1358</v>
      </c>
    </row>
    <row r="959" spans="1:8">
      <c r="A959" s="19">
        <v>96</v>
      </c>
      <c r="B959" s="19" t="s">
        <v>682</v>
      </c>
      <c r="C959" s="19" t="s">
        <v>690</v>
      </c>
      <c r="D959" s="19" t="s">
        <v>244</v>
      </c>
      <c r="E959" s="19">
        <v>122.3</v>
      </c>
      <c r="F959" s="19">
        <v>122.3</v>
      </c>
      <c r="G959" s="19" t="s">
        <v>2015</v>
      </c>
      <c r="H959" s="19" t="s">
        <v>1358</v>
      </c>
    </row>
    <row r="960" spans="1:8">
      <c r="A960" s="19">
        <v>96</v>
      </c>
      <c r="B960" s="19" t="s">
        <v>682</v>
      </c>
      <c r="C960" s="19" t="s">
        <v>690</v>
      </c>
      <c r="D960" s="19" t="s">
        <v>257</v>
      </c>
      <c r="E960" s="19">
        <v>12</v>
      </c>
      <c r="F960" s="19">
        <v>12</v>
      </c>
      <c r="G960" s="19" t="s">
        <v>2015</v>
      </c>
      <c r="H960" s="19" t="s">
        <v>1358</v>
      </c>
    </row>
    <row r="961" spans="1:8">
      <c r="A961" s="19">
        <v>96</v>
      </c>
      <c r="B961" s="19" t="s">
        <v>682</v>
      </c>
      <c r="C961" s="19" t="s">
        <v>690</v>
      </c>
      <c r="D961" s="19" t="s">
        <v>1198</v>
      </c>
      <c r="E961" s="19" t="s">
        <v>305</v>
      </c>
      <c r="F961" s="19" t="s">
        <v>1574</v>
      </c>
      <c r="G961" s="19"/>
      <c r="H961" s="60" t="s">
        <v>1360</v>
      </c>
    </row>
    <row r="962" spans="1:8">
      <c r="A962" s="19">
        <v>96</v>
      </c>
      <c r="B962" s="19" t="s">
        <v>682</v>
      </c>
      <c r="C962" s="19" t="s">
        <v>690</v>
      </c>
      <c r="D962" s="19" t="s">
        <v>1575</v>
      </c>
      <c r="E962" s="19" t="s">
        <v>1576</v>
      </c>
      <c r="F962" s="19" t="s">
        <v>1577</v>
      </c>
      <c r="G962" s="19" t="s">
        <v>2015</v>
      </c>
      <c r="H962" s="19" t="s">
        <v>1358</v>
      </c>
    </row>
    <row r="963" spans="1:8">
      <c r="A963" s="19">
        <v>96</v>
      </c>
      <c r="B963" s="19" t="s">
        <v>682</v>
      </c>
      <c r="C963" s="19" t="s">
        <v>690</v>
      </c>
      <c r="D963" s="19" t="s">
        <v>253</v>
      </c>
      <c r="E963" s="19" t="s">
        <v>297</v>
      </c>
      <c r="F963" s="19" t="s">
        <v>1460</v>
      </c>
      <c r="G963" s="19"/>
      <c r="H963" s="60" t="s">
        <v>1360</v>
      </c>
    </row>
    <row r="964" spans="1:8">
      <c r="A964" s="19">
        <v>96</v>
      </c>
      <c r="B964" s="19" t="s">
        <v>682</v>
      </c>
      <c r="C964" s="19" t="s">
        <v>690</v>
      </c>
      <c r="D964" s="19" t="s">
        <v>914</v>
      </c>
      <c r="E964" s="19" t="s">
        <v>355</v>
      </c>
      <c r="F964" s="19" t="s">
        <v>355</v>
      </c>
      <c r="G964" s="19" t="s">
        <v>2017</v>
      </c>
      <c r="H964" s="19" t="s">
        <v>1358</v>
      </c>
    </row>
    <row r="965" spans="1:8">
      <c r="A965" s="19">
        <v>96</v>
      </c>
      <c r="B965" s="19" t="s">
        <v>682</v>
      </c>
      <c r="C965" s="19" t="s">
        <v>690</v>
      </c>
      <c r="D965" s="19" t="s">
        <v>1377</v>
      </c>
      <c r="E965" s="19">
        <v>22250</v>
      </c>
      <c r="F965" s="19">
        <v>22250</v>
      </c>
      <c r="G965" s="19" t="s">
        <v>2017</v>
      </c>
      <c r="H965" s="19" t="s">
        <v>1358</v>
      </c>
    </row>
    <row r="966" spans="1:8">
      <c r="A966" s="19">
        <v>97</v>
      </c>
      <c r="B966" s="19" t="s">
        <v>682</v>
      </c>
      <c r="C966" s="19" t="s">
        <v>693</v>
      </c>
      <c r="D966" s="19" t="s">
        <v>238</v>
      </c>
      <c r="E966" s="19" t="s">
        <v>500</v>
      </c>
      <c r="F966" s="19" t="s">
        <v>500</v>
      </c>
      <c r="G966" s="19" t="s">
        <v>2018</v>
      </c>
      <c r="H966" s="19" t="s">
        <v>1358</v>
      </c>
    </row>
    <row r="967" spans="1:8">
      <c r="A967" s="19">
        <v>97</v>
      </c>
      <c r="B967" s="19" t="s">
        <v>682</v>
      </c>
      <c r="C967" s="19" t="s">
        <v>693</v>
      </c>
      <c r="D967" s="19" t="s">
        <v>255</v>
      </c>
      <c r="E967" s="19">
        <v>2</v>
      </c>
      <c r="F967" s="19">
        <v>2</v>
      </c>
      <c r="G967" s="19" t="s">
        <v>2019</v>
      </c>
      <c r="H967" s="19" t="s">
        <v>1358</v>
      </c>
    </row>
    <row r="968" spans="1:8">
      <c r="A968" s="19">
        <v>97</v>
      </c>
      <c r="B968" s="19" t="s">
        <v>682</v>
      </c>
      <c r="C968" s="19" t="s">
        <v>693</v>
      </c>
      <c r="D968" s="19" t="s">
        <v>241</v>
      </c>
      <c r="E968" s="19" t="s">
        <v>128</v>
      </c>
      <c r="F968" s="19" t="s">
        <v>1567</v>
      </c>
      <c r="G968" s="19" t="s">
        <v>2018</v>
      </c>
      <c r="H968" s="19" t="s">
        <v>1358</v>
      </c>
    </row>
    <row r="969" spans="1:8">
      <c r="A969" s="19">
        <v>97</v>
      </c>
      <c r="B969" s="19" t="s">
        <v>682</v>
      </c>
      <c r="C969" s="19" t="s">
        <v>693</v>
      </c>
      <c r="D969" s="19" t="s">
        <v>256</v>
      </c>
      <c r="E969" s="19" t="s">
        <v>299</v>
      </c>
      <c r="F969" s="19" t="s">
        <v>1567</v>
      </c>
      <c r="G969" s="19" t="s">
        <v>2018</v>
      </c>
      <c r="H969" s="19" t="s">
        <v>1358</v>
      </c>
    </row>
    <row r="970" spans="1:8">
      <c r="A970" s="19">
        <v>97</v>
      </c>
      <c r="B970" s="19" t="s">
        <v>682</v>
      </c>
      <c r="C970" s="19" t="s">
        <v>693</v>
      </c>
      <c r="D970" s="19" t="s">
        <v>871</v>
      </c>
      <c r="E970" s="19" t="s">
        <v>70</v>
      </c>
      <c r="F970" s="19" t="s">
        <v>1867</v>
      </c>
      <c r="G970" s="19" t="s">
        <v>2018</v>
      </c>
      <c r="H970" s="19" t="s">
        <v>1358</v>
      </c>
    </row>
    <row r="971" spans="1:8">
      <c r="A971" s="19">
        <v>97</v>
      </c>
      <c r="B971" s="19" t="s">
        <v>682</v>
      </c>
      <c r="C971" s="19" t="s">
        <v>693</v>
      </c>
      <c r="D971" s="19" t="s">
        <v>243</v>
      </c>
      <c r="E971" s="19">
        <v>31</v>
      </c>
      <c r="F971" s="19">
        <v>31</v>
      </c>
      <c r="G971" s="19" t="s">
        <v>2018</v>
      </c>
      <c r="H971" s="19" t="s">
        <v>1358</v>
      </c>
    </row>
    <row r="972" spans="1:8">
      <c r="A972" s="19">
        <v>97</v>
      </c>
      <c r="B972" s="19" t="s">
        <v>682</v>
      </c>
      <c r="C972" s="19" t="s">
        <v>693</v>
      </c>
      <c r="D972" s="19" t="s">
        <v>244</v>
      </c>
      <c r="E972" s="19">
        <v>122</v>
      </c>
      <c r="F972" s="19">
        <v>122</v>
      </c>
      <c r="G972" s="19" t="s">
        <v>2018</v>
      </c>
      <c r="H972" s="19" t="s">
        <v>1358</v>
      </c>
    </row>
    <row r="973" spans="1:8">
      <c r="A973" s="19">
        <v>97</v>
      </c>
      <c r="B973" s="19" t="s">
        <v>682</v>
      </c>
      <c r="C973" s="19" t="s">
        <v>693</v>
      </c>
      <c r="D973" s="19" t="s">
        <v>257</v>
      </c>
      <c r="E973" s="19">
        <v>13</v>
      </c>
      <c r="F973" s="19">
        <v>13</v>
      </c>
      <c r="G973" s="19" t="s">
        <v>2018</v>
      </c>
      <c r="H973" s="19" t="s">
        <v>1358</v>
      </c>
    </row>
    <row r="974" spans="1:8">
      <c r="A974" s="19">
        <v>97</v>
      </c>
      <c r="B974" s="19" t="s">
        <v>682</v>
      </c>
      <c r="C974" s="19" t="s">
        <v>693</v>
      </c>
      <c r="D974" s="19" t="s">
        <v>1198</v>
      </c>
      <c r="E974" s="19" t="s">
        <v>305</v>
      </c>
      <c r="F974" s="19" t="s">
        <v>1574</v>
      </c>
      <c r="G974" s="19"/>
      <c r="H974" s="60" t="s">
        <v>1360</v>
      </c>
    </row>
    <row r="975" spans="1:8">
      <c r="A975" s="19">
        <v>97</v>
      </c>
      <c r="B975" s="19" t="s">
        <v>682</v>
      </c>
      <c r="C975" s="19" t="s">
        <v>693</v>
      </c>
      <c r="D975" s="19" t="s">
        <v>1575</v>
      </c>
      <c r="E975" s="19" t="s">
        <v>1576</v>
      </c>
      <c r="F975" s="19" t="s">
        <v>1577</v>
      </c>
      <c r="G975" s="19" t="s">
        <v>2018</v>
      </c>
      <c r="H975" s="19" t="s">
        <v>1358</v>
      </c>
    </row>
    <row r="976" spans="1:8">
      <c r="A976" s="19">
        <v>97</v>
      </c>
      <c r="B976" s="19" t="s">
        <v>682</v>
      </c>
      <c r="C976" s="19" t="s">
        <v>693</v>
      </c>
      <c r="D976" s="19" t="s">
        <v>253</v>
      </c>
      <c r="E976" s="19" t="s">
        <v>297</v>
      </c>
      <c r="F976" s="19" t="s">
        <v>1460</v>
      </c>
      <c r="G976" s="19"/>
      <c r="H976" s="60" t="s">
        <v>1360</v>
      </c>
    </row>
    <row r="977" spans="1:8">
      <c r="A977" s="19">
        <v>97</v>
      </c>
      <c r="B977" s="19" t="s">
        <v>682</v>
      </c>
      <c r="C977" s="19" t="s">
        <v>693</v>
      </c>
      <c r="D977" s="19" t="s">
        <v>914</v>
      </c>
      <c r="E977" s="19" t="s">
        <v>355</v>
      </c>
      <c r="F977" s="19" t="s">
        <v>355</v>
      </c>
      <c r="G977" s="19" t="s">
        <v>2020</v>
      </c>
      <c r="H977" s="19" t="s">
        <v>1358</v>
      </c>
    </row>
    <row r="978" spans="1:8">
      <c r="A978" s="19">
        <v>97</v>
      </c>
      <c r="B978" s="19" t="s">
        <v>682</v>
      </c>
      <c r="C978" s="19" t="s">
        <v>693</v>
      </c>
      <c r="D978" s="19" t="s">
        <v>1377</v>
      </c>
      <c r="E978" s="19">
        <v>21500</v>
      </c>
      <c r="F978" s="19">
        <v>21500</v>
      </c>
      <c r="G978" s="19" t="s">
        <v>2020</v>
      </c>
      <c r="H978" s="19" t="s">
        <v>1358</v>
      </c>
    </row>
    <row r="979" spans="1:8">
      <c r="A979" s="19">
        <v>98</v>
      </c>
      <c r="B979" s="19" t="s">
        <v>682</v>
      </c>
      <c r="C979" s="19" t="s">
        <v>489</v>
      </c>
      <c r="D979" s="19" t="s">
        <v>238</v>
      </c>
      <c r="E979" s="19" t="s">
        <v>696</v>
      </c>
      <c r="F979" s="19" t="s">
        <v>696</v>
      </c>
      <c r="G979" s="19" t="s">
        <v>2021</v>
      </c>
      <c r="H979" s="19" t="s">
        <v>1358</v>
      </c>
    </row>
    <row r="980" spans="1:8">
      <c r="A980" s="19">
        <v>98</v>
      </c>
      <c r="B980" s="19" t="s">
        <v>682</v>
      </c>
      <c r="C980" s="19" t="s">
        <v>489</v>
      </c>
      <c r="D980" s="19" t="s">
        <v>255</v>
      </c>
      <c r="E980" s="19">
        <v>2</v>
      </c>
      <c r="F980" s="19">
        <v>2</v>
      </c>
      <c r="G980" s="19" t="s">
        <v>2022</v>
      </c>
      <c r="H980" s="19" t="s">
        <v>1358</v>
      </c>
    </row>
    <row r="981" spans="1:8">
      <c r="A981" s="19">
        <v>98</v>
      </c>
      <c r="B981" s="19" t="s">
        <v>682</v>
      </c>
      <c r="C981" s="19" t="s">
        <v>489</v>
      </c>
      <c r="D981" s="19" t="s">
        <v>241</v>
      </c>
      <c r="E981" s="19" t="s">
        <v>149</v>
      </c>
      <c r="F981" s="19" t="s">
        <v>1612</v>
      </c>
      <c r="G981" s="19" t="s">
        <v>2021</v>
      </c>
      <c r="H981" s="19" t="s">
        <v>1358</v>
      </c>
    </row>
    <row r="982" spans="1:8">
      <c r="A982" s="19">
        <v>98</v>
      </c>
      <c r="B982" s="19" t="s">
        <v>682</v>
      </c>
      <c r="C982" s="19" t="s">
        <v>489</v>
      </c>
      <c r="D982" s="19" t="s">
        <v>256</v>
      </c>
      <c r="E982" s="19" t="s">
        <v>299</v>
      </c>
      <c r="F982" s="19" t="s">
        <v>1612</v>
      </c>
      <c r="G982" s="19" t="s">
        <v>2021</v>
      </c>
      <c r="H982" s="19" t="s">
        <v>1358</v>
      </c>
    </row>
    <row r="983" spans="1:8">
      <c r="A983" s="19">
        <v>98</v>
      </c>
      <c r="B983" s="19" t="s">
        <v>682</v>
      </c>
      <c r="C983" s="19" t="s">
        <v>489</v>
      </c>
      <c r="D983" s="19" t="s">
        <v>871</v>
      </c>
      <c r="E983" s="19" t="s">
        <v>111</v>
      </c>
      <c r="F983" s="19" t="s">
        <v>1603</v>
      </c>
      <c r="G983" s="19" t="s">
        <v>2021</v>
      </c>
      <c r="H983" s="19" t="s">
        <v>1358</v>
      </c>
    </row>
    <row r="984" spans="1:8">
      <c r="A984" s="19">
        <v>98</v>
      </c>
      <c r="B984" s="19" t="s">
        <v>682</v>
      </c>
      <c r="C984" s="19" t="s">
        <v>489</v>
      </c>
      <c r="D984" s="19" t="s">
        <v>243</v>
      </c>
      <c r="E984" s="19">
        <v>91</v>
      </c>
      <c r="F984" s="19">
        <v>91</v>
      </c>
      <c r="G984" s="19" t="s">
        <v>2021</v>
      </c>
      <c r="H984" s="19" t="s">
        <v>1358</v>
      </c>
    </row>
    <row r="985" spans="1:8">
      <c r="A985" s="19">
        <v>98</v>
      </c>
      <c r="B985" s="19" t="s">
        <v>682</v>
      </c>
      <c r="C985" s="19" t="s">
        <v>489</v>
      </c>
      <c r="D985" s="19" t="s">
        <v>244</v>
      </c>
      <c r="E985" s="19">
        <v>650</v>
      </c>
      <c r="F985" s="19">
        <v>650</v>
      </c>
      <c r="G985" s="19" t="s">
        <v>2021</v>
      </c>
      <c r="H985" s="19" t="s">
        <v>1358</v>
      </c>
    </row>
    <row r="986" spans="1:8">
      <c r="A986" s="19">
        <v>98</v>
      </c>
      <c r="B986" s="19" t="s">
        <v>682</v>
      </c>
      <c r="C986" s="19" t="s">
        <v>489</v>
      </c>
      <c r="D986" s="19" t="s">
        <v>257</v>
      </c>
      <c r="E986" s="19">
        <v>72.8</v>
      </c>
      <c r="F986" s="19">
        <v>72.8</v>
      </c>
      <c r="G986" s="19" t="s">
        <v>2021</v>
      </c>
      <c r="H986" s="19" t="s">
        <v>1358</v>
      </c>
    </row>
    <row r="987" spans="1:8">
      <c r="A987" s="19">
        <v>98</v>
      </c>
      <c r="B987" s="19" t="s">
        <v>682</v>
      </c>
      <c r="C987" s="19" t="s">
        <v>489</v>
      </c>
      <c r="D987" s="19" t="s">
        <v>1198</v>
      </c>
      <c r="E987" s="19" t="s">
        <v>361</v>
      </c>
      <c r="F987" s="19" t="s">
        <v>361</v>
      </c>
      <c r="G987" s="19" t="s">
        <v>2021</v>
      </c>
      <c r="H987" s="19" t="s">
        <v>1358</v>
      </c>
    </row>
    <row r="988" spans="1:8">
      <c r="A988" s="19">
        <v>98</v>
      </c>
      <c r="B988" s="19" t="s">
        <v>682</v>
      </c>
      <c r="C988" s="19" t="s">
        <v>489</v>
      </c>
      <c r="D988" s="19" t="s">
        <v>1575</v>
      </c>
      <c r="E988" s="19" t="s">
        <v>1576</v>
      </c>
      <c r="F988" s="19" t="s">
        <v>1577</v>
      </c>
      <c r="G988" s="19" t="s">
        <v>2021</v>
      </c>
      <c r="H988" s="19" t="s">
        <v>1358</v>
      </c>
    </row>
    <row r="989" spans="1:8">
      <c r="A989" s="19">
        <v>98</v>
      </c>
      <c r="B989" s="19" t="s">
        <v>682</v>
      </c>
      <c r="C989" s="19" t="s">
        <v>489</v>
      </c>
      <c r="D989" s="19" t="s">
        <v>253</v>
      </c>
      <c r="E989" s="19" t="s">
        <v>297</v>
      </c>
      <c r="F989" s="19" t="s">
        <v>1460</v>
      </c>
      <c r="G989" s="19"/>
      <c r="H989" s="60" t="s">
        <v>1360</v>
      </c>
    </row>
    <row r="990" spans="1:8">
      <c r="A990" s="19">
        <v>98</v>
      </c>
      <c r="B990" s="19" t="s">
        <v>682</v>
      </c>
      <c r="C990" s="19" t="s">
        <v>489</v>
      </c>
      <c r="D990" s="19" t="s">
        <v>914</v>
      </c>
      <c r="E990" s="19" t="s">
        <v>355</v>
      </c>
      <c r="F990" s="19" t="s">
        <v>355</v>
      </c>
      <c r="G990" s="19" t="s">
        <v>2023</v>
      </c>
      <c r="H990" s="19" t="s">
        <v>1358</v>
      </c>
    </row>
    <row r="991" spans="1:8">
      <c r="A991" s="19">
        <v>98</v>
      </c>
      <c r="B991" s="19" t="s">
        <v>682</v>
      </c>
      <c r="C991" s="19" t="s">
        <v>489</v>
      </c>
      <c r="D991" s="19" t="s">
        <v>1377</v>
      </c>
      <c r="E991" s="19">
        <v>317500</v>
      </c>
      <c r="F991" s="19">
        <v>317500</v>
      </c>
      <c r="G991" s="19" t="s">
        <v>2023</v>
      </c>
      <c r="H991" s="19" t="s">
        <v>1358</v>
      </c>
    </row>
    <row r="992" spans="1:8">
      <c r="A992" s="19">
        <v>99</v>
      </c>
      <c r="B992" s="19" t="s">
        <v>682</v>
      </c>
      <c r="C992" s="19" t="s">
        <v>493</v>
      </c>
      <c r="D992" s="19" t="s">
        <v>238</v>
      </c>
      <c r="E992" s="19" t="s">
        <v>481</v>
      </c>
      <c r="F992" s="19" t="s">
        <v>481</v>
      </c>
      <c r="G992" s="19" t="s">
        <v>2024</v>
      </c>
      <c r="H992" s="19" t="s">
        <v>1358</v>
      </c>
    </row>
    <row r="993" spans="1:8">
      <c r="A993" s="19">
        <v>99</v>
      </c>
      <c r="B993" s="19" t="s">
        <v>682</v>
      </c>
      <c r="C993" s="19" t="s">
        <v>493</v>
      </c>
      <c r="D993" s="19" t="s">
        <v>255</v>
      </c>
      <c r="E993" s="19">
        <v>2</v>
      </c>
      <c r="F993" s="19">
        <v>2</v>
      </c>
      <c r="G993" s="19" t="s">
        <v>2025</v>
      </c>
      <c r="H993" s="19" t="s">
        <v>1358</v>
      </c>
    </row>
    <row r="994" spans="1:8">
      <c r="A994" s="19">
        <v>99</v>
      </c>
      <c r="B994" s="19" t="s">
        <v>682</v>
      </c>
      <c r="C994" s="19" t="s">
        <v>493</v>
      </c>
      <c r="D994" s="19" t="s">
        <v>256</v>
      </c>
      <c r="E994" s="19" t="s">
        <v>485</v>
      </c>
      <c r="F994" s="19" t="s">
        <v>1591</v>
      </c>
      <c r="G994" s="19" t="s">
        <v>2024</v>
      </c>
      <c r="H994" s="19" t="s">
        <v>1358</v>
      </c>
    </row>
    <row r="995" spans="1:8">
      <c r="A995" s="19">
        <v>99</v>
      </c>
      <c r="B995" s="19" t="s">
        <v>682</v>
      </c>
      <c r="C995" s="19" t="s">
        <v>493</v>
      </c>
      <c r="D995" s="19" t="s">
        <v>871</v>
      </c>
      <c r="E995" s="19" t="s">
        <v>107</v>
      </c>
      <c r="F995" s="19" t="s">
        <v>1569</v>
      </c>
      <c r="G995" s="19" t="s">
        <v>2024</v>
      </c>
      <c r="H995" s="19" t="s">
        <v>1358</v>
      </c>
    </row>
    <row r="996" spans="1:8">
      <c r="A996" s="19">
        <v>99</v>
      </c>
      <c r="B996" s="19" t="s">
        <v>682</v>
      </c>
      <c r="C996" s="19" t="s">
        <v>493</v>
      </c>
      <c r="D996" s="19" t="s">
        <v>243</v>
      </c>
      <c r="E996" s="19">
        <v>5</v>
      </c>
      <c r="F996" s="19">
        <v>5</v>
      </c>
      <c r="G996" s="19" t="s">
        <v>2024</v>
      </c>
      <c r="H996" s="19" t="s">
        <v>1358</v>
      </c>
    </row>
    <row r="997" spans="1:8">
      <c r="A997" s="19">
        <v>99</v>
      </c>
      <c r="B997" s="19" t="s">
        <v>682</v>
      </c>
      <c r="C997" s="19" t="s">
        <v>493</v>
      </c>
      <c r="D997" s="19" t="s">
        <v>257</v>
      </c>
      <c r="E997" s="19">
        <v>8</v>
      </c>
      <c r="F997" s="19">
        <v>8</v>
      </c>
      <c r="G997" s="19" t="s">
        <v>2024</v>
      </c>
      <c r="H997" s="19" t="s">
        <v>1358</v>
      </c>
    </row>
    <row r="998" spans="1:8">
      <c r="A998" s="19">
        <v>99</v>
      </c>
      <c r="B998" s="19" t="s">
        <v>682</v>
      </c>
      <c r="C998" s="19" t="s">
        <v>493</v>
      </c>
      <c r="D998" s="19" t="s">
        <v>1198</v>
      </c>
      <c r="E998" s="19" t="s">
        <v>361</v>
      </c>
      <c r="F998" s="19" t="s">
        <v>361</v>
      </c>
      <c r="G998" s="19" t="s">
        <v>2024</v>
      </c>
      <c r="H998" s="19" t="s">
        <v>1358</v>
      </c>
    </row>
    <row r="999" spans="1:8">
      <c r="A999" s="19">
        <v>99</v>
      </c>
      <c r="B999" s="19" t="s">
        <v>682</v>
      </c>
      <c r="C999" s="19" t="s">
        <v>493</v>
      </c>
      <c r="D999" s="19" t="s">
        <v>1575</v>
      </c>
      <c r="E999" s="19" t="s">
        <v>1596</v>
      </c>
      <c r="F999" s="19" t="s">
        <v>1597</v>
      </c>
      <c r="G999" s="19" t="s">
        <v>2024</v>
      </c>
      <c r="H999" s="19" t="s">
        <v>1358</v>
      </c>
    </row>
    <row r="1000" spans="1:8">
      <c r="A1000" s="19">
        <v>99</v>
      </c>
      <c r="B1000" s="19" t="s">
        <v>682</v>
      </c>
      <c r="C1000" s="19" t="s">
        <v>493</v>
      </c>
      <c r="D1000" s="19" t="s">
        <v>253</v>
      </c>
      <c r="E1000" s="19" t="s">
        <v>297</v>
      </c>
      <c r="F1000" s="19" t="s">
        <v>1460</v>
      </c>
      <c r="G1000" s="19"/>
      <c r="H1000" s="60" t="s">
        <v>1360</v>
      </c>
    </row>
    <row r="1001" spans="1:8">
      <c r="A1001" s="19">
        <v>99</v>
      </c>
      <c r="B1001" s="19" t="s">
        <v>682</v>
      </c>
      <c r="C1001" s="19" t="s">
        <v>493</v>
      </c>
      <c r="D1001" s="19" t="s">
        <v>914</v>
      </c>
      <c r="E1001" s="19" t="s">
        <v>355</v>
      </c>
      <c r="F1001" s="19" t="s">
        <v>355</v>
      </c>
      <c r="G1001" s="19" t="s">
        <v>2026</v>
      </c>
      <c r="H1001" s="19" t="s">
        <v>1358</v>
      </c>
    </row>
    <row r="1002" spans="1:8">
      <c r="A1002" s="19">
        <v>99</v>
      </c>
      <c r="B1002" s="19" t="s">
        <v>682</v>
      </c>
      <c r="C1002" s="19" t="s">
        <v>493</v>
      </c>
      <c r="D1002" s="19" t="s">
        <v>1377</v>
      </c>
      <c r="E1002" s="19">
        <v>30000</v>
      </c>
      <c r="F1002" s="19">
        <v>30000</v>
      </c>
      <c r="G1002" s="19" t="s">
        <v>2026</v>
      </c>
      <c r="H1002" s="19" t="s">
        <v>1358</v>
      </c>
    </row>
    <row r="1003" spans="1:8">
      <c r="A1003" s="19">
        <v>100</v>
      </c>
      <c r="B1003" s="19" t="s">
        <v>682</v>
      </c>
      <c r="C1003" s="19" t="s">
        <v>703</v>
      </c>
      <c r="D1003" s="19" t="s">
        <v>238</v>
      </c>
      <c r="E1003" s="19" t="s">
        <v>702</v>
      </c>
      <c r="F1003" s="19" t="s">
        <v>702</v>
      </c>
      <c r="G1003" s="19" t="s">
        <v>2027</v>
      </c>
      <c r="H1003" s="19" t="s">
        <v>1358</v>
      </c>
    </row>
    <row r="1004" spans="1:8">
      <c r="A1004" s="19">
        <v>100</v>
      </c>
      <c r="B1004" s="19" t="s">
        <v>682</v>
      </c>
      <c r="C1004" s="19" t="s">
        <v>703</v>
      </c>
      <c r="D1004" s="19" t="s">
        <v>255</v>
      </c>
      <c r="E1004" s="19">
        <v>2</v>
      </c>
      <c r="F1004" s="19">
        <v>2</v>
      </c>
      <c r="G1004" s="19" t="s">
        <v>2028</v>
      </c>
      <c r="H1004" s="19" t="s">
        <v>1358</v>
      </c>
    </row>
    <row r="1005" spans="1:8">
      <c r="A1005" s="19">
        <v>100</v>
      </c>
      <c r="B1005" s="19" t="s">
        <v>682</v>
      </c>
      <c r="C1005" s="19" t="s">
        <v>703</v>
      </c>
      <c r="D1005" s="19" t="s">
        <v>241</v>
      </c>
      <c r="E1005" s="19" t="s">
        <v>128</v>
      </c>
      <c r="F1005" s="19" t="s">
        <v>1567</v>
      </c>
      <c r="G1005" s="19" t="s">
        <v>2027</v>
      </c>
      <c r="H1005" s="19" t="s">
        <v>1358</v>
      </c>
    </row>
    <row r="1006" spans="1:8">
      <c r="A1006" s="19">
        <v>100</v>
      </c>
      <c r="B1006" s="19" t="s">
        <v>682</v>
      </c>
      <c r="C1006" s="19" t="s">
        <v>703</v>
      </c>
      <c r="D1006" s="19" t="s">
        <v>256</v>
      </c>
      <c r="E1006" s="19" t="s">
        <v>299</v>
      </c>
      <c r="F1006" s="19" t="s">
        <v>1567</v>
      </c>
      <c r="G1006" s="19" t="s">
        <v>2027</v>
      </c>
      <c r="H1006" s="19" t="s">
        <v>1358</v>
      </c>
    </row>
    <row r="1007" spans="1:8">
      <c r="A1007" s="19">
        <v>100</v>
      </c>
      <c r="B1007" s="19" t="s">
        <v>682</v>
      </c>
      <c r="C1007" s="19" t="s">
        <v>703</v>
      </c>
      <c r="D1007" s="19" t="s">
        <v>871</v>
      </c>
      <c r="E1007" s="19" t="s">
        <v>111</v>
      </c>
      <c r="F1007" s="19" t="s">
        <v>1603</v>
      </c>
      <c r="G1007" s="19" t="s">
        <v>2027</v>
      </c>
      <c r="H1007" s="19" t="s">
        <v>1358</v>
      </c>
    </row>
    <row r="1008" spans="1:8">
      <c r="A1008" s="19">
        <v>100</v>
      </c>
      <c r="B1008" s="19" t="s">
        <v>682</v>
      </c>
      <c r="C1008" s="19" t="s">
        <v>703</v>
      </c>
      <c r="D1008" s="19" t="s">
        <v>243</v>
      </c>
      <c r="E1008" s="19">
        <v>15</v>
      </c>
      <c r="F1008" s="19">
        <v>15</v>
      </c>
      <c r="G1008" s="19" t="s">
        <v>2027</v>
      </c>
      <c r="H1008" s="19" t="s">
        <v>1358</v>
      </c>
    </row>
    <row r="1009" spans="1:8">
      <c r="A1009" s="19">
        <v>100</v>
      </c>
      <c r="B1009" s="19" t="s">
        <v>682</v>
      </c>
      <c r="C1009" s="19" t="s">
        <v>703</v>
      </c>
      <c r="D1009" s="19" t="s">
        <v>244</v>
      </c>
      <c r="E1009" s="19">
        <v>27</v>
      </c>
      <c r="F1009" s="19">
        <v>27</v>
      </c>
      <c r="G1009" s="19" t="s">
        <v>2027</v>
      </c>
      <c r="H1009" s="19" t="s">
        <v>1358</v>
      </c>
    </row>
    <row r="1010" spans="1:8">
      <c r="A1010" s="19">
        <v>100</v>
      </c>
      <c r="B1010" s="19" t="s">
        <v>682</v>
      </c>
      <c r="C1010" s="19" t="s">
        <v>703</v>
      </c>
      <c r="D1010" s="19" t="s">
        <v>257</v>
      </c>
      <c r="E1010" s="19">
        <v>3.2</v>
      </c>
      <c r="F1010" s="19">
        <v>3.2</v>
      </c>
      <c r="G1010" s="19" t="s">
        <v>2027</v>
      </c>
      <c r="H1010" s="19" t="s">
        <v>1358</v>
      </c>
    </row>
    <row r="1011" spans="1:8">
      <c r="A1011" s="19">
        <v>100</v>
      </c>
      <c r="B1011" s="19" t="s">
        <v>682</v>
      </c>
      <c r="C1011" s="19" t="s">
        <v>703</v>
      </c>
      <c r="D1011" s="19" t="s">
        <v>1198</v>
      </c>
      <c r="E1011" s="19" t="s">
        <v>305</v>
      </c>
      <c r="F1011" s="19" t="s">
        <v>1574</v>
      </c>
      <c r="G1011" s="19"/>
      <c r="H1011" s="60" t="s">
        <v>1360</v>
      </c>
    </row>
    <row r="1012" spans="1:8">
      <c r="A1012" s="19">
        <v>100</v>
      </c>
      <c r="B1012" s="19" t="s">
        <v>682</v>
      </c>
      <c r="C1012" s="19" t="s">
        <v>703</v>
      </c>
      <c r="D1012" s="19" t="s">
        <v>1575</v>
      </c>
      <c r="E1012" s="19" t="s">
        <v>1576</v>
      </c>
      <c r="F1012" s="19" t="s">
        <v>1577</v>
      </c>
      <c r="G1012" s="19" t="s">
        <v>2027</v>
      </c>
      <c r="H1012" s="19" t="s">
        <v>1358</v>
      </c>
    </row>
    <row r="1013" spans="1:8">
      <c r="A1013" s="19">
        <v>100</v>
      </c>
      <c r="B1013" s="19" t="s">
        <v>682</v>
      </c>
      <c r="C1013" s="19" t="s">
        <v>703</v>
      </c>
      <c r="D1013" s="19" t="s">
        <v>253</v>
      </c>
      <c r="E1013" s="19" t="s">
        <v>297</v>
      </c>
      <c r="F1013" s="19" t="s">
        <v>1460</v>
      </c>
      <c r="G1013" s="19"/>
      <c r="H1013" s="60" t="s">
        <v>1360</v>
      </c>
    </row>
    <row r="1014" spans="1:8">
      <c r="A1014" s="19">
        <v>100</v>
      </c>
      <c r="B1014" s="19" t="s">
        <v>682</v>
      </c>
      <c r="C1014" s="19" t="s">
        <v>703</v>
      </c>
      <c r="D1014" s="19" t="s">
        <v>914</v>
      </c>
      <c r="E1014" s="19" t="s">
        <v>355</v>
      </c>
      <c r="F1014" s="19" t="s">
        <v>355</v>
      </c>
      <c r="G1014" s="19" t="s">
        <v>2029</v>
      </c>
      <c r="H1014" s="19" t="s">
        <v>1358</v>
      </c>
    </row>
    <row r="1015" spans="1:8">
      <c r="A1015" s="19">
        <v>100</v>
      </c>
      <c r="B1015" s="19" t="s">
        <v>682</v>
      </c>
      <c r="C1015" s="19" t="s">
        <v>703</v>
      </c>
      <c r="D1015" s="19" t="s">
        <v>1377</v>
      </c>
      <c r="E1015" s="19">
        <v>29000</v>
      </c>
      <c r="F1015" s="19">
        <v>29000</v>
      </c>
      <c r="G1015" s="19" t="s">
        <v>2029</v>
      </c>
      <c r="H1015" s="19" t="s">
        <v>1358</v>
      </c>
    </row>
    <row r="1016" spans="1:8">
      <c r="A1016" s="19">
        <v>101</v>
      </c>
      <c r="B1016" s="19" t="s">
        <v>682</v>
      </c>
      <c r="C1016" s="19" t="s">
        <v>706</v>
      </c>
      <c r="D1016" s="19" t="s">
        <v>238</v>
      </c>
      <c r="E1016" s="19" t="s">
        <v>696</v>
      </c>
      <c r="F1016" s="19" t="s">
        <v>696</v>
      </c>
      <c r="G1016" s="19" t="s">
        <v>2030</v>
      </c>
      <c r="H1016" s="19" t="s">
        <v>1358</v>
      </c>
    </row>
    <row r="1017" spans="1:8">
      <c r="A1017" s="19">
        <v>101</v>
      </c>
      <c r="B1017" s="19" t="s">
        <v>682</v>
      </c>
      <c r="C1017" s="19" t="s">
        <v>706</v>
      </c>
      <c r="D1017" s="19" t="s">
        <v>255</v>
      </c>
      <c r="E1017" s="19">
        <v>3</v>
      </c>
      <c r="F1017" s="19">
        <v>3</v>
      </c>
      <c r="G1017" s="19" t="s">
        <v>2031</v>
      </c>
      <c r="H1017" s="19" t="s">
        <v>1358</v>
      </c>
    </row>
    <row r="1018" spans="1:8">
      <c r="A1018" s="19">
        <v>101</v>
      </c>
      <c r="B1018" s="19" t="s">
        <v>682</v>
      </c>
      <c r="C1018" s="19" t="s">
        <v>706</v>
      </c>
      <c r="D1018" s="19" t="s">
        <v>241</v>
      </c>
      <c r="E1018" s="19" t="s">
        <v>149</v>
      </c>
      <c r="F1018" s="19" t="s">
        <v>1612</v>
      </c>
      <c r="G1018" s="19" t="s">
        <v>2030</v>
      </c>
      <c r="H1018" s="19" t="s">
        <v>1358</v>
      </c>
    </row>
    <row r="1019" spans="1:8">
      <c r="A1019" s="19">
        <v>101</v>
      </c>
      <c r="B1019" s="19" t="s">
        <v>682</v>
      </c>
      <c r="C1019" s="19" t="s">
        <v>706</v>
      </c>
      <c r="D1019" s="19" t="s">
        <v>256</v>
      </c>
      <c r="E1019" s="19" t="s">
        <v>299</v>
      </c>
      <c r="F1019" s="19" t="s">
        <v>1612</v>
      </c>
      <c r="G1019" s="19" t="s">
        <v>2030</v>
      </c>
      <c r="H1019" s="19" t="s">
        <v>1358</v>
      </c>
    </row>
    <row r="1020" spans="1:8">
      <c r="A1020" s="19">
        <v>101</v>
      </c>
      <c r="B1020" s="19" t="s">
        <v>682</v>
      </c>
      <c r="C1020" s="19" t="s">
        <v>706</v>
      </c>
      <c r="D1020" s="19" t="s">
        <v>871</v>
      </c>
      <c r="E1020" s="19" t="s">
        <v>111</v>
      </c>
      <c r="F1020" s="19" t="s">
        <v>1603</v>
      </c>
      <c r="G1020" s="19" t="s">
        <v>2030</v>
      </c>
      <c r="H1020" s="19" t="s">
        <v>1358</v>
      </c>
    </row>
    <row r="1021" spans="1:8">
      <c r="A1021" s="19">
        <v>101</v>
      </c>
      <c r="B1021" s="19" t="s">
        <v>682</v>
      </c>
      <c r="C1021" s="19" t="s">
        <v>706</v>
      </c>
      <c r="D1021" s="19" t="s">
        <v>243</v>
      </c>
      <c r="E1021" s="19">
        <v>44</v>
      </c>
      <c r="F1021" s="19">
        <v>44</v>
      </c>
      <c r="G1021" s="19" t="s">
        <v>2030</v>
      </c>
      <c r="H1021" s="19" t="s">
        <v>1358</v>
      </c>
    </row>
    <row r="1022" spans="1:8">
      <c r="A1022" s="19">
        <v>101</v>
      </c>
      <c r="B1022" s="19" t="s">
        <v>682</v>
      </c>
      <c r="C1022" s="19" t="s">
        <v>706</v>
      </c>
      <c r="D1022" s="19" t="s">
        <v>244</v>
      </c>
      <c r="E1022" s="19">
        <v>385</v>
      </c>
      <c r="F1022" s="19">
        <v>385</v>
      </c>
      <c r="G1022" s="19" t="s">
        <v>2030</v>
      </c>
      <c r="H1022" s="19" t="s">
        <v>1358</v>
      </c>
    </row>
    <row r="1023" spans="1:8">
      <c r="A1023" s="19">
        <v>101</v>
      </c>
      <c r="B1023" s="19" t="s">
        <v>682</v>
      </c>
      <c r="C1023" s="19" t="s">
        <v>706</v>
      </c>
      <c r="D1023" s="19" t="s">
        <v>257</v>
      </c>
      <c r="E1023" s="19">
        <v>48.2</v>
      </c>
      <c r="F1023" s="19">
        <v>48.2</v>
      </c>
      <c r="G1023" s="19" t="s">
        <v>2030</v>
      </c>
      <c r="H1023" s="19" t="s">
        <v>1358</v>
      </c>
    </row>
    <row r="1024" spans="1:8">
      <c r="A1024" s="19">
        <v>101</v>
      </c>
      <c r="B1024" s="19" t="s">
        <v>682</v>
      </c>
      <c r="C1024" s="19" t="s">
        <v>706</v>
      </c>
      <c r="D1024" s="19" t="s">
        <v>1198</v>
      </c>
      <c r="E1024" s="19" t="s">
        <v>361</v>
      </c>
      <c r="F1024" s="19" t="s">
        <v>361</v>
      </c>
      <c r="G1024" s="19" t="s">
        <v>2030</v>
      </c>
      <c r="H1024" s="19" t="s">
        <v>1358</v>
      </c>
    </row>
    <row r="1025" spans="1:8">
      <c r="A1025" s="19">
        <v>101</v>
      </c>
      <c r="B1025" s="19" t="s">
        <v>682</v>
      </c>
      <c r="C1025" s="19" t="s">
        <v>706</v>
      </c>
      <c r="D1025" s="19" t="s">
        <v>1575</v>
      </c>
      <c r="E1025" s="19" t="s">
        <v>1576</v>
      </c>
      <c r="F1025" s="19" t="s">
        <v>1577</v>
      </c>
      <c r="G1025" s="19" t="s">
        <v>2030</v>
      </c>
      <c r="H1025" s="19" t="s">
        <v>1358</v>
      </c>
    </row>
    <row r="1026" spans="1:8">
      <c r="A1026" s="19">
        <v>101</v>
      </c>
      <c r="B1026" s="19" t="s">
        <v>682</v>
      </c>
      <c r="C1026" s="19" t="s">
        <v>706</v>
      </c>
      <c r="D1026" s="19" t="s">
        <v>253</v>
      </c>
      <c r="E1026" s="19" t="s">
        <v>297</v>
      </c>
      <c r="F1026" s="19" t="s">
        <v>1460</v>
      </c>
      <c r="G1026" s="19"/>
      <c r="H1026" s="60" t="s">
        <v>1360</v>
      </c>
    </row>
    <row r="1027" spans="1:8">
      <c r="A1027" s="19">
        <v>101</v>
      </c>
      <c r="B1027" s="19" t="s">
        <v>682</v>
      </c>
      <c r="C1027" s="19" t="s">
        <v>706</v>
      </c>
      <c r="D1027" s="19" t="s">
        <v>914</v>
      </c>
      <c r="E1027" s="19" t="s">
        <v>355</v>
      </c>
      <c r="F1027" s="19" t="s">
        <v>355</v>
      </c>
      <c r="G1027" s="19" t="s">
        <v>2032</v>
      </c>
      <c r="H1027" s="19" t="s">
        <v>1358</v>
      </c>
    </row>
    <row r="1028" spans="1:8">
      <c r="A1028" s="19">
        <v>101</v>
      </c>
      <c r="B1028" s="19" t="s">
        <v>682</v>
      </c>
      <c r="C1028" s="19" t="s">
        <v>706</v>
      </c>
      <c r="D1028" s="19" t="s">
        <v>1377</v>
      </c>
      <c r="E1028" s="19">
        <v>247500</v>
      </c>
      <c r="F1028" s="19">
        <v>247500</v>
      </c>
      <c r="G1028" s="19" t="s">
        <v>2032</v>
      </c>
      <c r="H1028" s="19" t="s">
        <v>1358</v>
      </c>
    </row>
    <row r="1029" spans="1:8">
      <c r="A1029" s="19">
        <v>102</v>
      </c>
      <c r="B1029" s="19" t="s">
        <v>682</v>
      </c>
      <c r="C1029" s="19" t="s">
        <v>501</v>
      </c>
      <c r="D1029" s="19" t="s">
        <v>238</v>
      </c>
      <c r="E1029" s="19" t="s">
        <v>508</v>
      </c>
      <c r="F1029" s="19" t="s">
        <v>508</v>
      </c>
      <c r="G1029" s="19" t="s">
        <v>2033</v>
      </c>
      <c r="H1029" s="19" t="s">
        <v>1358</v>
      </c>
    </row>
    <row r="1030" spans="1:8">
      <c r="A1030" s="19">
        <v>102</v>
      </c>
      <c r="B1030" s="19" t="s">
        <v>682</v>
      </c>
      <c r="C1030" s="19" t="s">
        <v>501</v>
      </c>
      <c r="D1030" s="19" t="s">
        <v>255</v>
      </c>
      <c r="E1030" s="19">
        <v>2</v>
      </c>
      <c r="F1030" s="19">
        <v>2</v>
      </c>
      <c r="G1030" s="19" t="s">
        <v>2034</v>
      </c>
      <c r="H1030" s="19" t="s">
        <v>1358</v>
      </c>
    </row>
    <row r="1031" spans="1:8">
      <c r="A1031" s="19">
        <v>102</v>
      </c>
      <c r="B1031" s="19" t="s">
        <v>682</v>
      </c>
      <c r="C1031" s="19" t="s">
        <v>501</v>
      </c>
      <c r="D1031" s="19" t="s">
        <v>241</v>
      </c>
      <c r="E1031" s="19" t="s">
        <v>128</v>
      </c>
      <c r="F1031" s="19" t="s">
        <v>1567</v>
      </c>
      <c r="G1031" s="19" t="s">
        <v>2033</v>
      </c>
      <c r="H1031" s="19" t="s">
        <v>1358</v>
      </c>
    </row>
    <row r="1032" spans="1:8">
      <c r="A1032" s="19">
        <v>102</v>
      </c>
      <c r="B1032" s="19" t="s">
        <v>682</v>
      </c>
      <c r="C1032" s="19" t="s">
        <v>501</v>
      </c>
      <c r="D1032" s="19" t="s">
        <v>256</v>
      </c>
      <c r="E1032" s="19" t="s">
        <v>299</v>
      </c>
      <c r="F1032" s="19" t="s">
        <v>1567</v>
      </c>
      <c r="G1032" s="19" t="s">
        <v>2033</v>
      </c>
      <c r="H1032" s="19" t="s">
        <v>1358</v>
      </c>
    </row>
    <row r="1033" spans="1:8">
      <c r="A1033" s="19">
        <v>102</v>
      </c>
      <c r="B1033" s="19" t="s">
        <v>682</v>
      </c>
      <c r="C1033" s="19" t="s">
        <v>501</v>
      </c>
      <c r="D1033" s="19" t="s">
        <v>871</v>
      </c>
      <c r="E1033" s="19" t="s">
        <v>86</v>
      </c>
      <c r="F1033" s="19" t="s">
        <v>1651</v>
      </c>
      <c r="G1033" s="19" t="s">
        <v>2033</v>
      </c>
      <c r="H1033" s="19" t="s">
        <v>1358</v>
      </c>
    </row>
    <row r="1034" spans="1:8">
      <c r="A1034" s="19">
        <v>102</v>
      </c>
      <c r="B1034" s="19" t="s">
        <v>682</v>
      </c>
      <c r="C1034" s="19" t="s">
        <v>501</v>
      </c>
      <c r="D1034" s="19" t="s">
        <v>243</v>
      </c>
      <c r="E1034" s="19">
        <v>10</v>
      </c>
      <c r="F1034" s="19">
        <v>10</v>
      </c>
      <c r="G1034" s="19" t="s">
        <v>2033</v>
      </c>
      <c r="H1034" s="19" t="s">
        <v>1358</v>
      </c>
    </row>
    <row r="1035" spans="1:8">
      <c r="A1035" s="19">
        <v>102</v>
      </c>
      <c r="B1035" s="19" t="s">
        <v>682</v>
      </c>
      <c r="C1035" s="19" t="s">
        <v>501</v>
      </c>
      <c r="D1035" s="19" t="s">
        <v>244</v>
      </c>
      <c r="E1035" s="19">
        <v>40</v>
      </c>
      <c r="F1035" s="19">
        <v>40</v>
      </c>
      <c r="G1035" s="19" t="s">
        <v>2033</v>
      </c>
      <c r="H1035" s="19" t="s">
        <v>1358</v>
      </c>
    </row>
    <row r="1036" spans="1:8">
      <c r="A1036" s="19">
        <v>102</v>
      </c>
      <c r="B1036" s="19" t="s">
        <v>682</v>
      </c>
      <c r="C1036" s="19" t="s">
        <v>501</v>
      </c>
      <c r="D1036" s="19" t="s">
        <v>257</v>
      </c>
      <c r="E1036" s="19">
        <v>6.8</v>
      </c>
      <c r="F1036" s="19">
        <v>6.8</v>
      </c>
      <c r="G1036" s="19" t="s">
        <v>2033</v>
      </c>
      <c r="H1036" s="19" t="s">
        <v>1358</v>
      </c>
    </row>
    <row r="1037" spans="1:8">
      <c r="A1037" s="19">
        <v>102</v>
      </c>
      <c r="B1037" s="19" t="s">
        <v>682</v>
      </c>
      <c r="C1037" s="19" t="s">
        <v>501</v>
      </c>
      <c r="D1037" s="19" t="s">
        <v>1198</v>
      </c>
      <c r="E1037" s="19" t="s">
        <v>305</v>
      </c>
      <c r="F1037" s="19" t="s">
        <v>1574</v>
      </c>
      <c r="G1037" s="19"/>
      <c r="H1037" s="60" t="s">
        <v>1360</v>
      </c>
    </row>
    <row r="1038" spans="1:8">
      <c r="A1038" s="19">
        <v>102</v>
      </c>
      <c r="B1038" s="19" t="s">
        <v>682</v>
      </c>
      <c r="C1038" s="19" t="s">
        <v>501</v>
      </c>
      <c r="D1038" s="19" t="s">
        <v>1575</v>
      </c>
      <c r="E1038" s="19" t="s">
        <v>1576</v>
      </c>
      <c r="F1038" s="19" t="s">
        <v>1577</v>
      </c>
      <c r="G1038" s="19" t="s">
        <v>2033</v>
      </c>
      <c r="H1038" s="19" t="s">
        <v>1358</v>
      </c>
    </row>
    <row r="1039" spans="1:8">
      <c r="A1039" s="19">
        <v>102</v>
      </c>
      <c r="B1039" s="19" t="s">
        <v>682</v>
      </c>
      <c r="C1039" s="19" t="s">
        <v>501</v>
      </c>
      <c r="D1039" s="19" t="s">
        <v>253</v>
      </c>
      <c r="E1039" s="19" t="s">
        <v>297</v>
      </c>
      <c r="F1039" s="19" t="s">
        <v>1460</v>
      </c>
      <c r="G1039" s="19"/>
      <c r="H1039" s="60" t="s">
        <v>1360</v>
      </c>
    </row>
    <row r="1040" spans="1:8">
      <c r="A1040" s="19">
        <v>102</v>
      </c>
      <c r="B1040" s="19" t="s">
        <v>682</v>
      </c>
      <c r="C1040" s="19" t="s">
        <v>501</v>
      </c>
      <c r="D1040" s="19" t="s">
        <v>914</v>
      </c>
      <c r="E1040" s="19" t="s">
        <v>355</v>
      </c>
      <c r="F1040" s="19" t="s">
        <v>355</v>
      </c>
      <c r="G1040" s="19" t="s">
        <v>2035</v>
      </c>
      <c r="H1040" s="19" t="s">
        <v>1358</v>
      </c>
    </row>
    <row r="1041" spans="1:8">
      <c r="A1041" s="19">
        <v>102</v>
      </c>
      <c r="B1041" s="19" t="s">
        <v>682</v>
      </c>
      <c r="C1041" s="19" t="s">
        <v>501</v>
      </c>
      <c r="D1041" s="19" t="s">
        <v>1377</v>
      </c>
      <c r="E1041" s="19">
        <v>25500</v>
      </c>
      <c r="F1041" s="19">
        <v>25500</v>
      </c>
      <c r="G1041" s="19" t="s">
        <v>2035</v>
      </c>
      <c r="H1041" s="19" t="s">
        <v>1358</v>
      </c>
    </row>
    <row r="1042" spans="1:8">
      <c r="A1042" s="19">
        <v>103</v>
      </c>
      <c r="B1042" s="19" t="s">
        <v>682</v>
      </c>
      <c r="C1042" s="19" t="s">
        <v>573</v>
      </c>
      <c r="D1042" s="19" t="s">
        <v>238</v>
      </c>
      <c r="E1042" s="19" t="s">
        <v>521</v>
      </c>
      <c r="F1042" s="19" t="s">
        <v>521</v>
      </c>
      <c r="G1042" s="19" t="s">
        <v>2036</v>
      </c>
      <c r="H1042" s="19" t="s">
        <v>1358</v>
      </c>
    </row>
    <row r="1043" spans="1:8">
      <c r="A1043" s="19">
        <v>103</v>
      </c>
      <c r="B1043" s="19" t="s">
        <v>682</v>
      </c>
      <c r="C1043" s="19" t="s">
        <v>573</v>
      </c>
      <c r="D1043" s="19" t="s">
        <v>255</v>
      </c>
      <c r="E1043" s="19">
        <v>2</v>
      </c>
      <c r="F1043" s="19">
        <v>2</v>
      </c>
      <c r="G1043" s="19" t="s">
        <v>2037</v>
      </c>
      <c r="H1043" s="19" t="s">
        <v>1358</v>
      </c>
    </row>
    <row r="1044" spans="1:8">
      <c r="A1044" s="19">
        <v>103</v>
      </c>
      <c r="B1044" s="19" t="s">
        <v>682</v>
      </c>
      <c r="C1044" s="19" t="s">
        <v>573</v>
      </c>
      <c r="D1044" s="19" t="s">
        <v>241</v>
      </c>
      <c r="E1044" s="19" t="s">
        <v>128</v>
      </c>
      <c r="F1044" s="19" t="s">
        <v>1567</v>
      </c>
      <c r="G1044" s="19" t="s">
        <v>2036</v>
      </c>
      <c r="H1044" s="19" t="s">
        <v>1358</v>
      </c>
    </row>
    <row r="1045" spans="1:8">
      <c r="A1045" s="19">
        <v>103</v>
      </c>
      <c r="B1045" s="19" t="s">
        <v>682</v>
      </c>
      <c r="C1045" s="19" t="s">
        <v>573</v>
      </c>
      <c r="D1045" s="19" t="s">
        <v>256</v>
      </c>
      <c r="E1045" s="19" t="s">
        <v>299</v>
      </c>
      <c r="F1045" s="19" t="s">
        <v>1567</v>
      </c>
      <c r="G1045" s="19" t="s">
        <v>2036</v>
      </c>
      <c r="H1045" s="19" t="s">
        <v>1358</v>
      </c>
    </row>
    <row r="1046" spans="1:8">
      <c r="A1046" s="19">
        <v>103</v>
      </c>
      <c r="B1046" s="19" t="s">
        <v>682</v>
      </c>
      <c r="C1046" s="19" t="s">
        <v>573</v>
      </c>
      <c r="D1046" s="19" t="s">
        <v>871</v>
      </c>
      <c r="E1046" s="19" t="s">
        <v>111</v>
      </c>
      <c r="F1046" s="19" t="s">
        <v>1603</v>
      </c>
      <c r="G1046" s="19" t="s">
        <v>2036</v>
      </c>
      <c r="H1046" s="19" t="s">
        <v>1358</v>
      </c>
    </row>
    <row r="1047" spans="1:8">
      <c r="A1047" s="19">
        <v>103</v>
      </c>
      <c r="B1047" s="19" t="s">
        <v>682</v>
      </c>
      <c r="C1047" s="19" t="s">
        <v>573</v>
      </c>
      <c r="D1047" s="19" t="s">
        <v>243</v>
      </c>
      <c r="E1047" s="19">
        <v>25</v>
      </c>
      <c r="F1047" s="19">
        <v>25</v>
      </c>
      <c r="G1047" s="19" t="s">
        <v>2036</v>
      </c>
      <c r="H1047" s="19" t="s">
        <v>1358</v>
      </c>
    </row>
    <row r="1048" spans="1:8">
      <c r="A1048" s="19">
        <v>103</v>
      </c>
      <c r="B1048" s="19" t="s">
        <v>682</v>
      </c>
      <c r="C1048" s="19" t="s">
        <v>573</v>
      </c>
      <c r="D1048" s="19" t="s">
        <v>244</v>
      </c>
      <c r="E1048" s="19">
        <v>55</v>
      </c>
      <c r="F1048" s="19">
        <v>55</v>
      </c>
      <c r="G1048" s="19" t="s">
        <v>2036</v>
      </c>
      <c r="H1048" s="19" t="s">
        <v>1358</v>
      </c>
    </row>
    <row r="1049" spans="1:8">
      <c r="A1049" s="19">
        <v>103</v>
      </c>
      <c r="B1049" s="19" t="s">
        <v>682</v>
      </c>
      <c r="C1049" s="19" t="s">
        <v>573</v>
      </c>
      <c r="D1049" s="19" t="s">
        <v>257</v>
      </c>
      <c r="E1049" s="19">
        <v>5</v>
      </c>
      <c r="F1049" s="19">
        <v>5</v>
      </c>
      <c r="G1049" s="19" t="s">
        <v>2036</v>
      </c>
      <c r="H1049" s="19" t="s">
        <v>1358</v>
      </c>
    </row>
    <row r="1050" spans="1:8">
      <c r="A1050" s="19">
        <v>103</v>
      </c>
      <c r="B1050" s="19" t="s">
        <v>682</v>
      </c>
      <c r="C1050" s="19" t="s">
        <v>573</v>
      </c>
      <c r="D1050" s="19" t="s">
        <v>1198</v>
      </c>
      <c r="E1050" s="19" t="s">
        <v>361</v>
      </c>
      <c r="F1050" s="19" t="s">
        <v>361</v>
      </c>
      <c r="G1050" s="19" t="s">
        <v>2036</v>
      </c>
      <c r="H1050" s="19" t="s">
        <v>1358</v>
      </c>
    </row>
    <row r="1051" spans="1:8">
      <c r="A1051" s="19">
        <v>103</v>
      </c>
      <c r="B1051" s="19" t="s">
        <v>682</v>
      </c>
      <c r="C1051" s="19" t="s">
        <v>573</v>
      </c>
      <c r="D1051" s="19" t="s">
        <v>1575</v>
      </c>
      <c r="E1051" s="19" t="s">
        <v>1576</v>
      </c>
      <c r="F1051" s="19" t="s">
        <v>1577</v>
      </c>
      <c r="G1051" s="19" t="s">
        <v>2036</v>
      </c>
      <c r="H1051" s="19" t="s">
        <v>1358</v>
      </c>
    </row>
    <row r="1052" spans="1:8">
      <c r="A1052" s="19">
        <v>103</v>
      </c>
      <c r="B1052" s="19" t="s">
        <v>682</v>
      </c>
      <c r="C1052" s="19" t="s">
        <v>573</v>
      </c>
      <c r="D1052" s="19" t="s">
        <v>253</v>
      </c>
      <c r="E1052" s="19" t="s">
        <v>297</v>
      </c>
      <c r="F1052" s="19" t="s">
        <v>1460</v>
      </c>
      <c r="G1052" s="19"/>
      <c r="H1052" s="60" t="s">
        <v>1360</v>
      </c>
    </row>
    <row r="1053" spans="1:8">
      <c r="A1053" s="19">
        <v>103</v>
      </c>
      <c r="B1053" s="19" t="s">
        <v>682</v>
      </c>
      <c r="C1053" s="19" t="s">
        <v>573</v>
      </c>
      <c r="D1053" s="19" t="s">
        <v>914</v>
      </c>
      <c r="E1053" s="19" t="s">
        <v>355</v>
      </c>
      <c r="F1053" s="19" t="s">
        <v>355</v>
      </c>
      <c r="G1053" s="19" t="s">
        <v>2038</v>
      </c>
      <c r="H1053" s="19" t="s">
        <v>1358</v>
      </c>
    </row>
    <row r="1054" spans="1:8">
      <c r="A1054" s="19">
        <v>103</v>
      </c>
      <c r="B1054" s="19" t="s">
        <v>682</v>
      </c>
      <c r="C1054" s="19" t="s">
        <v>573</v>
      </c>
      <c r="D1054" s="19" t="s">
        <v>1377</v>
      </c>
      <c r="E1054" s="19">
        <v>31000</v>
      </c>
      <c r="F1054" s="19">
        <v>31000</v>
      </c>
      <c r="G1054" s="19" t="s">
        <v>2038</v>
      </c>
      <c r="H1054" s="19" t="s">
        <v>1358</v>
      </c>
    </row>
    <row r="1055" spans="1:8">
      <c r="A1055" s="19">
        <v>104</v>
      </c>
      <c r="B1055" s="19" t="s">
        <v>682</v>
      </c>
      <c r="C1055" s="19" t="s">
        <v>576</v>
      </c>
      <c r="D1055" s="19" t="s">
        <v>238</v>
      </c>
      <c r="E1055" s="19" t="s">
        <v>713</v>
      </c>
      <c r="F1055" s="19" t="s">
        <v>713</v>
      </c>
      <c r="G1055" s="19" t="s">
        <v>2039</v>
      </c>
      <c r="H1055" s="19" t="s">
        <v>1358</v>
      </c>
    </row>
    <row r="1056" spans="1:8">
      <c r="A1056" s="19">
        <v>104</v>
      </c>
      <c r="B1056" s="19" t="s">
        <v>682</v>
      </c>
      <c r="C1056" s="19" t="s">
        <v>576</v>
      </c>
      <c r="D1056" s="19" t="s">
        <v>255</v>
      </c>
      <c r="E1056" s="19">
        <v>1</v>
      </c>
      <c r="F1056" s="19">
        <v>1</v>
      </c>
      <c r="G1056" s="19" t="s">
        <v>2040</v>
      </c>
      <c r="H1056" s="19" t="s">
        <v>1358</v>
      </c>
    </row>
    <row r="1057" spans="1:8">
      <c r="A1057" s="19">
        <v>104</v>
      </c>
      <c r="B1057" s="19" t="s">
        <v>682</v>
      </c>
      <c r="C1057" s="19" t="s">
        <v>576</v>
      </c>
      <c r="D1057" s="19" t="s">
        <v>241</v>
      </c>
      <c r="E1057" s="19" t="s">
        <v>167</v>
      </c>
      <c r="F1057" s="19" t="s">
        <v>1888</v>
      </c>
      <c r="G1057" s="19" t="s">
        <v>2039</v>
      </c>
      <c r="H1057" s="19" t="s">
        <v>1358</v>
      </c>
    </row>
    <row r="1058" spans="1:8">
      <c r="A1058" s="19">
        <v>104</v>
      </c>
      <c r="B1058" s="19" t="s">
        <v>682</v>
      </c>
      <c r="C1058" s="19" t="s">
        <v>576</v>
      </c>
      <c r="D1058" s="19" t="s">
        <v>256</v>
      </c>
      <c r="E1058" s="19" t="s">
        <v>299</v>
      </c>
      <c r="F1058" s="19" t="s">
        <v>1888</v>
      </c>
      <c r="G1058" s="19" t="s">
        <v>2039</v>
      </c>
      <c r="H1058" s="19" t="s">
        <v>1358</v>
      </c>
    </row>
    <row r="1059" spans="1:8">
      <c r="A1059" s="19">
        <v>104</v>
      </c>
      <c r="B1059" s="19" t="s">
        <v>682</v>
      </c>
      <c r="C1059" s="19" t="s">
        <v>576</v>
      </c>
      <c r="D1059" s="19" t="s">
        <v>871</v>
      </c>
      <c r="E1059" s="19" t="s">
        <v>86</v>
      </c>
      <c r="F1059" s="19" t="s">
        <v>1651</v>
      </c>
      <c r="G1059" s="19" t="s">
        <v>2039</v>
      </c>
      <c r="H1059" s="19" t="s">
        <v>1358</v>
      </c>
    </row>
    <row r="1060" spans="1:8">
      <c r="A1060" s="19">
        <v>104</v>
      </c>
      <c r="B1060" s="19" t="s">
        <v>682</v>
      </c>
      <c r="C1060" s="19" t="s">
        <v>576</v>
      </c>
      <c r="D1060" s="19" t="s">
        <v>243</v>
      </c>
      <c r="E1060" s="19">
        <v>5</v>
      </c>
      <c r="F1060" s="19">
        <v>5</v>
      </c>
      <c r="G1060" s="19" t="s">
        <v>2039</v>
      </c>
      <c r="H1060" s="19" t="s">
        <v>1358</v>
      </c>
    </row>
    <row r="1061" spans="1:8">
      <c r="A1061" s="19">
        <v>104</v>
      </c>
      <c r="B1061" s="19" t="s">
        <v>682</v>
      </c>
      <c r="C1061" s="19" t="s">
        <v>576</v>
      </c>
      <c r="D1061" s="19" t="s">
        <v>244</v>
      </c>
      <c r="E1061" s="19">
        <v>21.4</v>
      </c>
      <c r="F1061" s="19">
        <v>21.4</v>
      </c>
      <c r="G1061" s="19" t="s">
        <v>2039</v>
      </c>
      <c r="H1061" s="19" t="s">
        <v>1358</v>
      </c>
    </row>
    <row r="1062" spans="1:8">
      <c r="A1062" s="19">
        <v>104</v>
      </c>
      <c r="B1062" s="19" t="s">
        <v>682</v>
      </c>
      <c r="C1062" s="19" t="s">
        <v>576</v>
      </c>
      <c r="D1062" s="19" t="s">
        <v>257</v>
      </c>
      <c r="E1062" s="19">
        <v>2</v>
      </c>
      <c r="F1062" s="19">
        <v>2</v>
      </c>
      <c r="G1062" s="19" t="s">
        <v>2039</v>
      </c>
      <c r="H1062" s="19" t="s">
        <v>1358</v>
      </c>
    </row>
    <row r="1063" spans="1:8">
      <c r="A1063" s="19">
        <v>104</v>
      </c>
      <c r="B1063" s="19" t="s">
        <v>682</v>
      </c>
      <c r="C1063" s="19" t="s">
        <v>576</v>
      </c>
      <c r="D1063" s="19" t="s">
        <v>1198</v>
      </c>
      <c r="E1063" s="19" t="s">
        <v>305</v>
      </c>
      <c r="F1063" s="19" t="s">
        <v>1574</v>
      </c>
      <c r="G1063" s="19"/>
      <c r="H1063" s="60" t="s">
        <v>1360</v>
      </c>
    </row>
    <row r="1064" spans="1:8">
      <c r="A1064" s="19">
        <v>104</v>
      </c>
      <c r="B1064" s="19" t="s">
        <v>682</v>
      </c>
      <c r="C1064" s="19" t="s">
        <v>576</v>
      </c>
      <c r="D1064" s="19" t="s">
        <v>1575</v>
      </c>
      <c r="E1064" s="19" t="s">
        <v>1576</v>
      </c>
      <c r="F1064" s="19" t="s">
        <v>1577</v>
      </c>
      <c r="G1064" s="19" t="s">
        <v>2039</v>
      </c>
      <c r="H1064" s="19" t="s">
        <v>1358</v>
      </c>
    </row>
    <row r="1065" spans="1:8">
      <c r="A1065" s="19">
        <v>104</v>
      </c>
      <c r="B1065" s="19" t="s">
        <v>682</v>
      </c>
      <c r="C1065" s="19" t="s">
        <v>576</v>
      </c>
      <c r="D1065" s="19" t="s">
        <v>253</v>
      </c>
      <c r="E1065" s="19" t="s">
        <v>297</v>
      </c>
      <c r="F1065" s="19" t="s">
        <v>1460</v>
      </c>
      <c r="G1065" s="19"/>
      <c r="H1065" s="60" t="s">
        <v>1360</v>
      </c>
    </row>
    <row r="1066" spans="1:8">
      <c r="A1066" s="19">
        <v>104</v>
      </c>
      <c r="B1066" s="19" t="s">
        <v>682</v>
      </c>
      <c r="C1066" s="19" t="s">
        <v>576</v>
      </c>
      <c r="D1066" s="19" t="s">
        <v>914</v>
      </c>
      <c r="E1066" s="19" t="s">
        <v>355</v>
      </c>
      <c r="F1066" s="19" t="s">
        <v>355</v>
      </c>
      <c r="G1066" s="19" t="s">
        <v>2041</v>
      </c>
      <c r="H1066" s="19" t="s">
        <v>1358</v>
      </c>
    </row>
    <row r="1067" spans="1:8">
      <c r="A1067" s="19">
        <v>104</v>
      </c>
      <c r="B1067" s="19" t="s">
        <v>682</v>
      </c>
      <c r="C1067" s="19" t="s">
        <v>576</v>
      </c>
      <c r="D1067" s="19" t="s">
        <v>1377</v>
      </c>
      <c r="E1067" s="19">
        <v>34500</v>
      </c>
      <c r="F1067" s="19">
        <v>34500</v>
      </c>
      <c r="G1067" s="19" t="s">
        <v>2041</v>
      </c>
      <c r="H1067" s="19" t="s">
        <v>1358</v>
      </c>
    </row>
    <row r="1068" spans="1:8">
      <c r="A1068" s="19">
        <v>105</v>
      </c>
      <c r="B1068" s="19" t="s">
        <v>682</v>
      </c>
      <c r="C1068" s="19" t="s">
        <v>716</v>
      </c>
      <c r="D1068" s="19" t="s">
        <v>238</v>
      </c>
      <c r="E1068" s="19" t="s">
        <v>512</v>
      </c>
      <c r="F1068" s="19" t="s">
        <v>512</v>
      </c>
      <c r="G1068" s="19" t="s">
        <v>2042</v>
      </c>
      <c r="H1068" s="19" t="s">
        <v>1358</v>
      </c>
    </row>
    <row r="1069" spans="1:8">
      <c r="A1069" s="19">
        <v>105</v>
      </c>
      <c r="B1069" s="19" t="s">
        <v>682</v>
      </c>
      <c r="C1069" s="19" t="s">
        <v>716</v>
      </c>
      <c r="D1069" s="19" t="s">
        <v>255</v>
      </c>
      <c r="E1069" s="19">
        <v>2</v>
      </c>
      <c r="F1069" s="19">
        <v>2</v>
      </c>
      <c r="G1069" s="19" t="s">
        <v>2043</v>
      </c>
      <c r="H1069" s="19" t="s">
        <v>1358</v>
      </c>
    </row>
    <row r="1070" spans="1:8">
      <c r="A1070" s="19">
        <v>105</v>
      </c>
      <c r="B1070" s="19" t="s">
        <v>682</v>
      </c>
      <c r="C1070" s="19" t="s">
        <v>716</v>
      </c>
      <c r="D1070" s="19" t="s">
        <v>256</v>
      </c>
      <c r="E1070" s="19" t="s">
        <v>514</v>
      </c>
      <c r="F1070" s="19" t="s">
        <v>1660</v>
      </c>
      <c r="G1070" s="19" t="s">
        <v>2042</v>
      </c>
      <c r="H1070" s="19" t="s">
        <v>1358</v>
      </c>
    </row>
    <row r="1071" spans="1:8">
      <c r="A1071" s="19">
        <v>105</v>
      </c>
      <c r="B1071" s="19" t="s">
        <v>682</v>
      </c>
      <c r="C1071" s="19" t="s">
        <v>716</v>
      </c>
      <c r="D1071" s="19" t="s">
        <v>871</v>
      </c>
      <c r="E1071" s="19" t="s">
        <v>107</v>
      </c>
      <c r="F1071" s="19" t="s">
        <v>1569</v>
      </c>
      <c r="G1071" s="19" t="s">
        <v>2042</v>
      </c>
      <c r="H1071" s="19" t="s">
        <v>1358</v>
      </c>
    </row>
    <row r="1072" spans="1:8">
      <c r="A1072" s="19">
        <v>105</v>
      </c>
      <c r="B1072" s="19" t="s">
        <v>682</v>
      </c>
      <c r="C1072" s="19" t="s">
        <v>716</v>
      </c>
      <c r="D1072" s="19" t="s">
        <v>243</v>
      </c>
      <c r="E1072" s="19">
        <v>5</v>
      </c>
      <c r="F1072" s="19">
        <v>5</v>
      </c>
      <c r="G1072" s="19" t="s">
        <v>2042</v>
      </c>
      <c r="H1072" s="19" t="s">
        <v>1358</v>
      </c>
    </row>
    <row r="1073" spans="1:8">
      <c r="A1073" s="19">
        <v>105</v>
      </c>
      <c r="B1073" s="19" t="s">
        <v>682</v>
      </c>
      <c r="C1073" s="19" t="s">
        <v>716</v>
      </c>
      <c r="D1073" s="19" t="s">
        <v>257</v>
      </c>
      <c r="E1073" s="19">
        <v>6.4</v>
      </c>
      <c r="F1073" s="19">
        <v>6.4</v>
      </c>
      <c r="G1073" s="19" t="s">
        <v>2042</v>
      </c>
      <c r="H1073" s="19" t="s">
        <v>1358</v>
      </c>
    </row>
    <row r="1074" spans="1:8">
      <c r="A1074" s="19">
        <v>105</v>
      </c>
      <c r="B1074" s="19" t="s">
        <v>682</v>
      </c>
      <c r="C1074" s="19" t="s">
        <v>716</v>
      </c>
      <c r="D1074" s="19" t="s">
        <v>1198</v>
      </c>
      <c r="E1074" s="19" t="s">
        <v>361</v>
      </c>
      <c r="F1074" s="19" t="s">
        <v>361</v>
      </c>
      <c r="G1074" s="19" t="s">
        <v>2042</v>
      </c>
      <c r="H1074" s="19" t="s">
        <v>1358</v>
      </c>
    </row>
    <row r="1075" spans="1:8">
      <c r="A1075" s="19">
        <v>105</v>
      </c>
      <c r="B1075" s="19" t="s">
        <v>682</v>
      </c>
      <c r="C1075" s="19" t="s">
        <v>716</v>
      </c>
      <c r="D1075" s="19" t="s">
        <v>1575</v>
      </c>
      <c r="E1075" s="19" t="s">
        <v>1596</v>
      </c>
      <c r="F1075" s="19" t="s">
        <v>1597</v>
      </c>
      <c r="G1075" s="19" t="s">
        <v>2042</v>
      </c>
      <c r="H1075" s="19" t="s">
        <v>1358</v>
      </c>
    </row>
    <row r="1076" spans="1:8">
      <c r="A1076" s="19">
        <v>105</v>
      </c>
      <c r="B1076" s="19" t="s">
        <v>682</v>
      </c>
      <c r="C1076" s="19" t="s">
        <v>716</v>
      </c>
      <c r="D1076" s="19" t="s">
        <v>253</v>
      </c>
      <c r="E1076" s="19" t="s">
        <v>297</v>
      </c>
      <c r="F1076" s="19" t="s">
        <v>1460</v>
      </c>
      <c r="G1076" s="19"/>
      <c r="H1076" s="60" t="s">
        <v>1360</v>
      </c>
    </row>
    <row r="1077" spans="1:8">
      <c r="A1077" s="19">
        <v>105</v>
      </c>
      <c r="B1077" s="19" t="s">
        <v>682</v>
      </c>
      <c r="C1077" s="19" t="s">
        <v>716</v>
      </c>
      <c r="D1077" s="19" t="s">
        <v>914</v>
      </c>
      <c r="E1077" s="19" t="s">
        <v>355</v>
      </c>
      <c r="F1077" s="19" t="s">
        <v>355</v>
      </c>
      <c r="G1077" s="19" t="s">
        <v>2044</v>
      </c>
      <c r="H1077" s="19" t="s">
        <v>1358</v>
      </c>
    </row>
    <row r="1078" spans="1:8">
      <c r="A1078" s="19">
        <v>105</v>
      </c>
      <c r="B1078" s="19" t="s">
        <v>682</v>
      </c>
      <c r="C1078" s="19" t="s">
        <v>716</v>
      </c>
      <c r="D1078" s="19" t="s">
        <v>1377</v>
      </c>
      <c r="E1078" s="19">
        <v>25000</v>
      </c>
      <c r="F1078" s="19">
        <v>25000</v>
      </c>
      <c r="G1078" s="19" t="s">
        <v>2044</v>
      </c>
      <c r="H1078" s="19" t="s">
        <v>1358</v>
      </c>
    </row>
    <row r="1079" spans="1:8">
      <c r="A1079" s="19">
        <v>106</v>
      </c>
      <c r="B1079" s="19" t="s">
        <v>682</v>
      </c>
      <c r="C1079" s="19" t="s">
        <v>720</v>
      </c>
      <c r="D1079" s="19" t="s">
        <v>238</v>
      </c>
      <c r="E1079" s="19" t="s">
        <v>517</v>
      </c>
      <c r="F1079" s="19" t="s">
        <v>517</v>
      </c>
      <c r="G1079" s="19" t="s">
        <v>2045</v>
      </c>
      <c r="H1079" s="19" t="s">
        <v>1358</v>
      </c>
    </row>
    <row r="1080" spans="1:8">
      <c r="A1080" s="19">
        <v>106</v>
      </c>
      <c r="B1080" s="19" t="s">
        <v>682</v>
      </c>
      <c r="C1080" s="19" t="s">
        <v>720</v>
      </c>
      <c r="D1080" s="19" t="s">
        <v>255</v>
      </c>
      <c r="E1080" s="19">
        <v>2</v>
      </c>
      <c r="F1080" s="19">
        <v>2</v>
      </c>
      <c r="G1080" s="19" t="s">
        <v>2046</v>
      </c>
      <c r="H1080" s="19" t="s">
        <v>1358</v>
      </c>
    </row>
    <row r="1081" spans="1:8">
      <c r="A1081" s="19">
        <v>106</v>
      </c>
      <c r="B1081" s="19" t="s">
        <v>682</v>
      </c>
      <c r="C1081" s="19" t="s">
        <v>720</v>
      </c>
      <c r="D1081" s="19" t="s">
        <v>241</v>
      </c>
      <c r="E1081" s="19" t="s">
        <v>128</v>
      </c>
      <c r="F1081" s="19" t="s">
        <v>1567</v>
      </c>
      <c r="G1081" s="19" t="s">
        <v>2045</v>
      </c>
      <c r="H1081" s="19" t="s">
        <v>1358</v>
      </c>
    </row>
    <row r="1082" spans="1:8">
      <c r="A1082" s="19">
        <v>106</v>
      </c>
      <c r="B1082" s="19" t="s">
        <v>682</v>
      </c>
      <c r="C1082" s="19" t="s">
        <v>720</v>
      </c>
      <c r="D1082" s="19" t="s">
        <v>256</v>
      </c>
      <c r="E1082" s="19" t="s">
        <v>299</v>
      </c>
      <c r="F1082" s="19" t="s">
        <v>1567</v>
      </c>
      <c r="G1082" s="19" t="s">
        <v>2045</v>
      </c>
      <c r="H1082" s="19" t="s">
        <v>1358</v>
      </c>
    </row>
    <row r="1083" spans="1:8">
      <c r="A1083" s="19">
        <v>106</v>
      </c>
      <c r="B1083" s="19" t="s">
        <v>682</v>
      </c>
      <c r="C1083" s="19" t="s">
        <v>720</v>
      </c>
      <c r="D1083" s="19" t="s">
        <v>871</v>
      </c>
      <c r="E1083" s="19" t="s">
        <v>111</v>
      </c>
      <c r="F1083" s="19" t="s">
        <v>1603</v>
      </c>
      <c r="G1083" s="19" t="s">
        <v>2045</v>
      </c>
      <c r="H1083" s="19" t="s">
        <v>1358</v>
      </c>
    </row>
    <row r="1084" spans="1:8">
      <c r="A1084" s="19">
        <v>106</v>
      </c>
      <c r="B1084" s="19" t="s">
        <v>682</v>
      </c>
      <c r="C1084" s="19" t="s">
        <v>720</v>
      </c>
      <c r="D1084" s="19" t="s">
        <v>243</v>
      </c>
      <c r="E1084" s="19">
        <v>15</v>
      </c>
      <c r="F1084" s="19">
        <v>15</v>
      </c>
      <c r="G1084" s="19" t="s">
        <v>2045</v>
      </c>
      <c r="H1084" s="19" t="s">
        <v>1358</v>
      </c>
    </row>
    <row r="1085" spans="1:8">
      <c r="A1085" s="19">
        <v>106</v>
      </c>
      <c r="B1085" s="19" t="s">
        <v>682</v>
      </c>
      <c r="C1085" s="19" t="s">
        <v>720</v>
      </c>
      <c r="D1085" s="19" t="s">
        <v>244</v>
      </c>
      <c r="E1085" s="19">
        <v>50</v>
      </c>
      <c r="F1085" s="19">
        <v>50</v>
      </c>
      <c r="G1085" s="19" t="s">
        <v>2045</v>
      </c>
      <c r="H1085" s="19" t="s">
        <v>1358</v>
      </c>
    </row>
    <row r="1086" spans="1:8">
      <c r="A1086" s="19">
        <v>106</v>
      </c>
      <c r="B1086" s="19" t="s">
        <v>682</v>
      </c>
      <c r="C1086" s="19" t="s">
        <v>720</v>
      </c>
      <c r="D1086" s="19" t="s">
        <v>257</v>
      </c>
      <c r="E1086" s="19">
        <v>5.7</v>
      </c>
      <c r="F1086" s="19">
        <v>5.7</v>
      </c>
      <c r="G1086" s="19" t="s">
        <v>2045</v>
      </c>
      <c r="H1086" s="19" t="s">
        <v>1358</v>
      </c>
    </row>
    <row r="1087" spans="1:8">
      <c r="A1087" s="19">
        <v>106</v>
      </c>
      <c r="B1087" s="19" t="s">
        <v>682</v>
      </c>
      <c r="C1087" s="19" t="s">
        <v>720</v>
      </c>
      <c r="D1087" s="19" t="s">
        <v>1198</v>
      </c>
      <c r="E1087" s="19" t="s">
        <v>361</v>
      </c>
      <c r="F1087" s="19" t="s">
        <v>361</v>
      </c>
      <c r="G1087" s="19" t="s">
        <v>2045</v>
      </c>
      <c r="H1087" s="19" t="s">
        <v>1358</v>
      </c>
    </row>
    <row r="1088" spans="1:8">
      <c r="A1088" s="19">
        <v>106</v>
      </c>
      <c r="B1088" s="19" t="s">
        <v>682</v>
      </c>
      <c r="C1088" s="19" t="s">
        <v>720</v>
      </c>
      <c r="D1088" s="19" t="s">
        <v>1575</v>
      </c>
      <c r="E1088" s="19" t="s">
        <v>1576</v>
      </c>
      <c r="F1088" s="19" t="s">
        <v>1577</v>
      </c>
      <c r="G1088" s="19" t="s">
        <v>2045</v>
      </c>
      <c r="H1088" s="19" t="s">
        <v>1358</v>
      </c>
    </row>
    <row r="1089" spans="1:8">
      <c r="A1089" s="19">
        <v>106</v>
      </c>
      <c r="B1089" s="19" t="s">
        <v>682</v>
      </c>
      <c r="C1089" s="19" t="s">
        <v>720</v>
      </c>
      <c r="D1089" s="19" t="s">
        <v>253</v>
      </c>
      <c r="E1089" s="19" t="s">
        <v>297</v>
      </c>
      <c r="F1089" s="19" t="s">
        <v>1460</v>
      </c>
      <c r="G1089" s="19"/>
      <c r="H1089" s="60" t="s">
        <v>1360</v>
      </c>
    </row>
    <row r="1090" spans="1:8">
      <c r="A1090" s="19">
        <v>106</v>
      </c>
      <c r="B1090" s="19" t="s">
        <v>682</v>
      </c>
      <c r="C1090" s="19" t="s">
        <v>720</v>
      </c>
      <c r="D1090" s="19" t="s">
        <v>914</v>
      </c>
      <c r="E1090" s="19" t="s">
        <v>355</v>
      </c>
      <c r="F1090" s="19" t="s">
        <v>355</v>
      </c>
      <c r="G1090" s="19" t="s">
        <v>2047</v>
      </c>
      <c r="H1090" s="19" t="s">
        <v>1358</v>
      </c>
    </row>
    <row r="1091" spans="1:8">
      <c r="A1091" s="19">
        <v>106</v>
      </c>
      <c r="B1091" s="19" t="s">
        <v>682</v>
      </c>
      <c r="C1091" s="19" t="s">
        <v>720</v>
      </c>
      <c r="D1091" s="19" t="s">
        <v>1377</v>
      </c>
      <c r="E1091" s="19">
        <v>29600</v>
      </c>
      <c r="F1091" s="19">
        <v>29600</v>
      </c>
      <c r="G1091" s="19" t="s">
        <v>2047</v>
      </c>
      <c r="H1091" s="19" t="s">
        <v>1358</v>
      </c>
    </row>
    <row r="1092" spans="1:8">
      <c r="A1092" s="19">
        <v>107</v>
      </c>
      <c r="B1092" s="19" t="s">
        <v>682</v>
      </c>
      <c r="C1092" s="19" t="s">
        <v>724</v>
      </c>
      <c r="D1092" s="19" t="s">
        <v>238</v>
      </c>
      <c r="E1092" s="19" t="s">
        <v>723</v>
      </c>
      <c r="F1092" s="19" t="s">
        <v>723</v>
      </c>
      <c r="G1092" s="19" t="s">
        <v>2048</v>
      </c>
      <c r="H1092" s="19" t="s">
        <v>1358</v>
      </c>
    </row>
    <row r="1093" spans="1:8">
      <c r="A1093" s="19">
        <v>107</v>
      </c>
      <c r="B1093" s="19" t="s">
        <v>682</v>
      </c>
      <c r="C1093" s="19" t="s">
        <v>724</v>
      </c>
      <c r="D1093" s="19" t="s">
        <v>255</v>
      </c>
      <c r="E1093" s="19">
        <v>2</v>
      </c>
      <c r="F1093" s="19">
        <v>2</v>
      </c>
      <c r="G1093" s="19" t="s">
        <v>2049</v>
      </c>
      <c r="H1093" s="19" t="s">
        <v>1358</v>
      </c>
    </row>
    <row r="1094" spans="1:8">
      <c r="A1094" s="19">
        <v>107</v>
      </c>
      <c r="B1094" s="19" t="s">
        <v>682</v>
      </c>
      <c r="C1094" s="19" t="s">
        <v>724</v>
      </c>
      <c r="D1094" s="19" t="s">
        <v>241</v>
      </c>
      <c r="E1094" s="19" t="s">
        <v>128</v>
      </c>
      <c r="F1094" s="19" t="s">
        <v>1567</v>
      </c>
      <c r="G1094" s="19" t="s">
        <v>2048</v>
      </c>
      <c r="H1094" s="19" t="s">
        <v>1358</v>
      </c>
    </row>
    <row r="1095" spans="1:8">
      <c r="A1095" s="19">
        <v>107</v>
      </c>
      <c r="B1095" s="19" t="s">
        <v>682</v>
      </c>
      <c r="C1095" s="19" t="s">
        <v>724</v>
      </c>
      <c r="D1095" s="19" t="s">
        <v>256</v>
      </c>
      <c r="E1095" s="19" t="s">
        <v>299</v>
      </c>
      <c r="F1095" s="19" t="s">
        <v>1567</v>
      </c>
      <c r="G1095" s="19" t="s">
        <v>2048</v>
      </c>
      <c r="H1095" s="19" t="s">
        <v>1358</v>
      </c>
    </row>
    <row r="1096" spans="1:8">
      <c r="A1096" s="19">
        <v>107</v>
      </c>
      <c r="B1096" s="19" t="s">
        <v>682</v>
      </c>
      <c r="C1096" s="19" t="s">
        <v>724</v>
      </c>
      <c r="D1096" s="19" t="s">
        <v>871</v>
      </c>
      <c r="E1096" s="19" t="s">
        <v>86</v>
      </c>
      <c r="F1096" s="19" t="s">
        <v>1651</v>
      </c>
      <c r="G1096" s="19" t="s">
        <v>2048</v>
      </c>
      <c r="H1096" s="19" t="s">
        <v>1358</v>
      </c>
    </row>
    <row r="1097" spans="1:8">
      <c r="A1097" s="19">
        <v>107</v>
      </c>
      <c r="B1097" s="19" t="s">
        <v>682</v>
      </c>
      <c r="C1097" s="19" t="s">
        <v>724</v>
      </c>
      <c r="D1097" s="19" t="s">
        <v>243</v>
      </c>
      <c r="E1097" s="19">
        <v>15</v>
      </c>
      <c r="F1097" s="19">
        <v>15</v>
      </c>
      <c r="G1097" s="19" t="s">
        <v>2048</v>
      </c>
      <c r="H1097" s="19" t="s">
        <v>1358</v>
      </c>
    </row>
    <row r="1098" spans="1:8">
      <c r="A1098" s="19">
        <v>107</v>
      </c>
      <c r="B1098" s="19" t="s">
        <v>682</v>
      </c>
      <c r="C1098" s="19" t="s">
        <v>724</v>
      </c>
      <c r="D1098" s="19" t="s">
        <v>244</v>
      </c>
      <c r="E1098" s="19">
        <v>20</v>
      </c>
      <c r="F1098" s="19">
        <v>20</v>
      </c>
      <c r="G1098" s="19" t="s">
        <v>2048</v>
      </c>
      <c r="H1098" s="19" t="s">
        <v>1358</v>
      </c>
    </row>
    <row r="1099" spans="1:8">
      <c r="A1099" s="19">
        <v>107</v>
      </c>
      <c r="B1099" s="19" t="s">
        <v>682</v>
      </c>
      <c r="C1099" s="19" t="s">
        <v>724</v>
      </c>
      <c r="D1099" s="19" t="s">
        <v>257</v>
      </c>
      <c r="E1099" s="19">
        <v>2.5</v>
      </c>
      <c r="F1099" s="19">
        <v>2.5</v>
      </c>
      <c r="G1099" s="19" t="s">
        <v>2048</v>
      </c>
      <c r="H1099" s="19" t="s">
        <v>1358</v>
      </c>
    </row>
    <row r="1100" spans="1:8">
      <c r="A1100" s="19">
        <v>107</v>
      </c>
      <c r="B1100" s="19" t="s">
        <v>682</v>
      </c>
      <c r="C1100" s="19" t="s">
        <v>724</v>
      </c>
      <c r="D1100" s="19" t="s">
        <v>1198</v>
      </c>
      <c r="E1100" s="19" t="s">
        <v>305</v>
      </c>
      <c r="F1100" s="19" t="s">
        <v>1574</v>
      </c>
      <c r="G1100" s="19"/>
      <c r="H1100" s="60" t="s">
        <v>1360</v>
      </c>
    </row>
    <row r="1101" spans="1:8">
      <c r="A1101" s="19">
        <v>107</v>
      </c>
      <c r="B1101" s="19" t="s">
        <v>682</v>
      </c>
      <c r="C1101" s="19" t="s">
        <v>724</v>
      </c>
      <c r="D1101" s="19" t="s">
        <v>1575</v>
      </c>
      <c r="E1101" s="19" t="s">
        <v>1576</v>
      </c>
      <c r="F1101" s="19" t="s">
        <v>1577</v>
      </c>
      <c r="G1101" s="19" t="s">
        <v>2048</v>
      </c>
      <c r="H1101" s="19" t="s">
        <v>1358</v>
      </c>
    </row>
    <row r="1102" spans="1:8">
      <c r="A1102" s="19">
        <v>107</v>
      </c>
      <c r="B1102" s="19" t="s">
        <v>682</v>
      </c>
      <c r="C1102" s="19" t="s">
        <v>724</v>
      </c>
      <c r="D1102" s="19" t="s">
        <v>253</v>
      </c>
      <c r="E1102" s="19" t="s">
        <v>297</v>
      </c>
      <c r="F1102" s="19" t="s">
        <v>1460</v>
      </c>
      <c r="G1102" s="19"/>
      <c r="H1102" s="60" t="s">
        <v>1360</v>
      </c>
    </row>
    <row r="1103" spans="1:8">
      <c r="A1103" s="19">
        <v>107</v>
      </c>
      <c r="B1103" s="19" t="s">
        <v>682</v>
      </c>
      <c r="C1103" s="19" t="s">
        <v>724</v>
      </c>
      <c r="D1103" s="19" t="s">
        <v>914</v>
      </c>
      <c r="E1103" s="19" t="s">
        <v>355</v>
      </c>
      <c r="F1103" s="19" t="s">
        <v>355</v>
      </c>
      <c r="G1103" s="19" t="s">
        <v>2050</v>
      </c>
      <c r="H1103" s="19" t="s">
        <v>1358</v>
      </c>
    </row>
    <row r="1104" spans="1:8">
      <c r="A1104" s="19">
        <v>107</v>
      </c>
      <c r="B1104" s="19" t="s">
        <v>682</v>
      </c>
      <c r="C1104" s="19" t="s">
        <v>724</v>
      </c>
      <c r="D1104" s="19" t="s">
        <v>1377</v>
      </c>
      <c r="E1104" s="19">
        <v>26250</v>
      </c>
      <c r="F1104" s="19">
        <v>26250</v>
      </c>
      <c r="G1104" s="19" t="s">
        <v>2050</v>
      </c>
      <c r="H1104" s="19" t="s">
        <v>1358</v>
      </c>
    </row>
    <row r="1105" spans="1:8">
      <c r="A1105" s="19">
        <v>108</v>
      </c>
      <c r="B1105" s="19" t="s">
        <v>682</v>
      </c>
      <c r="C1105" s="19" t="s">
        <v>727</v>
      </c>
      <c r="D1105" s="19" t="s">
        <v>238</v>
      </c>
      <c r="E1105" s="19" t="s">
        <v>627</v>
      </c>
      <c r="F1105" s="19" t="s">
        <v>627</v>
      </c>
      <c r="G1105" s="19" t="s">
        <v>2051</v>
      </c>
      <c r="H1105" s="19" t="s">
        <v>1358</v>
      </c>
    </row>
    <row r="1106" spans="1:8">
      <c r="A1106" s="19">
        <v>108</v>
      </c>
      <c r="B1106" s="19" t="s">
        <v>682</v>
      </c>
      <c r="C1106" s="19" t="s">
        <v>727</v>
      </c>
      <c r="D1106" s="19" t="s">
        <v>255</v>
      </c>
      <c r="E1106" s="19">
        <v>1</v>
      </c>
      <c r="F1106" s="19">
        <v>1</v>
      </c>
      <c r="G1106" s="19" t="s">
        <v>2052</v>
      </c>
      <c r="H1106" s="19" t="s">
        <v>1358</v>
      </c>
    </row>
    <row r="1107" spans="1:8">
      <c r="A1107" s="19">
        <v>108</v>
      </c>
      <c r="B1107" s="19" t="s">
        <v>682</v>
      </c>
      <c r="C1107" s="19" t="s">
        <v>727</v>
      </c>
      <c r="D1107" s="19" t="s">
        <v>256</v>
      </c>
      <c r="E1107" s="19" t="s">
        <v>299</v>
      </c>
      <c r="F1107" s="19" t="s">
        <v>1865</v>
      </c>
      <c r="G1107" s="19" t="s">
        <v>2051</v>
      </c>
      <c r="H1107" s="19" t="s">
        <v>1358</v>
      </c>
    </row>
    <row r="1108" spans="1:8">
      <c r="A1108" s="19">
        <v>108</v>
      </c>
      <c r="B1108" s="19" t="s">
        <v>682</v>
      </c>
      <c r="C1108" s="19" t="s">
        <v>727</v>
      </c>
      <c r="D1108" s="19" t="s">
        <v>871</v>
      </c>
      <c r="E1108" s="19" t="s">
        <v>74</v>
      </c>
      <c r="F1108" s="19" t="s">
        <v>1899</v>
      </c>
      <c r="G1108" s="19" t="s">
        <v>2051</v>
      </c>
      <c r="H1108" s="19" t="s">
        <v>1358</v>
      </c>
    </row>
    <row r="1109" spans="1:8">
      <c r="A1109" s="19">
        <v>108</v>
      </c>
      <c r="B1109" s="19" t="s">
        <v>682</v>
      </c>
      <c r="C1109" s="19" t="s">
        <v>727</v>
      </c>
      <c r="D1109" s="19" t="s">
        <v>243</v>
      </c>
      <c r="E1109" s="19">
        <v>10</v>
      </c>
      <c r="F1109" s="19">
        <v>10</v>
      </c>
      <c r="G1109" s="19" t="s">
        <v>2051</v>
      </c>
      <c r="H1109" s="19" t="s">
        <v>1358</v>
      </c>
    </row>
    <row r="1110" spans="1:8">
      <c r="A1110" s="19">
        <v>108</v>
      </c>
      <c r="B1110" s="19" t="s">
        <v>682</v>
      </c>
      <c r="C1110" s="19" t="s">
        <v>727</v>
      </c>
      <c r="D1110" s="19" t="s">
        <v>244</v>
      </c>
      <c r="E1110" s="19">
        <v>21</v>
      </c>
      <c r="F1110" s="19">
        <v>21</v>
      </c>
      <c r="G1110" s="19" t="s">
        <v>2051</v>
      </c>
      <c r="H1110" s="19" t="s">
        <v>1358</v>
      </c>
    </row>
    <row r="1111" spans="1:8">
      <c r="A1111" s="19">
        <v>108</v>
      </c>
      <c r="B1111" s="19" t="s">
        <v>682</v>
      </c>
      <c r="C1111" s="19" t="s">
        <v>727</v>
      </c>
      <c r="D1111" s="19" t="s">
        <v>257</v>
      </c>
      <c r="E1111" s="19">
        <v>2</v>
      </c>
      <c r="F1111" s="19">
        <v>2</v>
      </c>
      <c r="G1111" s="19" t="s">
        <v>2051</v>
      </c>
      <c r="H1111" s="19" t="s">
        <v>1358</v>
      </c>
    </row>
    <row r="1112" spans="1:8">
      <c r="A1112" s="19">
        <v>108</v>
      </c>
      <c r="B1112" s="19" t="s">
        <v>682</v>
      </c>
      <c r="C1112" s="19" t="s">
        <v>727</v>
      </c>
      <c r="D1112" s="19" t="s">
        <v>1198</v>
      </c>
      <c r="E1112" s="19" t="s">
        <v>305</v>
      </c>
      <c r="F1112" s="19" t="s">
        <v>1574</v>
      </c>
      <c r="G1112" s="19"/>
      <c r="H1112" s="60" t="s">
        <v>1360</v>
      </c>
    </row>
    <row r="1113" spans="1:8">
      <c r="A1113" s="19">
        <v>108</v>
      </c>
      <c r="B1113" s="19" t="s">
        <v>682</v>
      </c>
      <c r="C1113" s="19" t="s">
        <v>727</v>
      </c>
      <c r="D1113" s="19" t="s">
        <v>1575</v>
      </c>
      <c r="E1113" s="19" t="s">
        <v>1872</v>
      </c>
      <c r="F1113" s="19" t="s">
        <v>1873</v>
      </c>
      <c r="G1113" s="19" t="s">
        <v>2051</v>
      </c>
      <c r="H1113" s="19" t="s">
        <v>1358</v>
      </c>
    </row>
    <row r="1114" spans="1:8">
      <c r="A1114" s="19">
        <v>108</v>
      </c>
      <c r="B1114" s="19" t="s">
        <v>682</v>
      </c>
      <c r="C1114" s="19" t="s">
        <v>727</v>
      </c>
      <c r="D1114" s="19" t="s">
        <v>253</v>
      </c>
      <c r="E1114" s="19" t="s">
        <v>297</v>
      </c>
      <c r="F1114" s="19" t="s">
        <v>1460</v>
      </c>
      <c r="G1114" s="19"/>
      <c r="H1114" s="60" t="s">
        <v>1360</v>
      </c>
    </row>
    <row r="1115" spans="1:8">
      <c r="A1115" s="19">
        <v>108</v>
      </c>
      <c r="B1115" s="19" t="s">
        <v>682</v>
      </c>
      <c r="C1115" s="19" t="s">
        <v>727</v>
      </c>
      <c r="D1115" s="19" t="s">
        <v>914</v>
      </c>
      <c r="E1115" s="19" t="s">
        <v>355</v>
      </c>
      <c r="F1115" s="19" t="s">
        <v>355</v>
      </c>
      <c r="G1115" s="19" t="s">
        <v>2053</v>
      </c>
      <c r="H1115" s="19" t="s">
        <v>1358</v>
      </c>
    </row>
    <row r="1116" spans="1:8">
      <c r="A1116" s="19">
        <v>108</v>
      </c>
      <c r="B1116" s="19" t="s">
        <v>682</v>
      </c>
      <c r="C1116" s="19" t="s">
        <v>727</v>
      </c>
      <c r="D1116" s="19" t="s">
        <v>1377</v>
      </c>
      <c r="E1116" s="19">
        <v>21000</v>
      </c>
      <c r="F1116" s="19">
        <v>21000</v>
      </c>
      <c r="G1116" s="19" t="s">
        <v>2053</v>
      </c>
      <c r="H1116" s="19" t="s">
        <v>1358</v>
      </c>
    </row>
    <row r="1117" spans="1:8">
      <c r="A1117" s="19">
        <v>109</v>
      </c>
      <c r="B1117" s="19" t="s">
        <v>682</v>
      </c>
      <c r="C1117" s="19" t="s">
        <v>730</v>
      </c>
      <c r="D1117" s="19" t="s">
        <v>238</v>
      </c>
      <c r="E1117" s="19" t="s">
        <v>649</v>
      </c>
      <c r="F1117" s="19" t="s">
        <v>649</v>
      </c>
      <c r="G1117" s="19" t="s">
        <v>2054</v>
      </c>
      <c r="H1117" s="19" t="s">
        <v>1358</v>
      </c>
    </row>
    <row r="1118" spans="1:8">
      <c r="A1118" s="19">
        <v>109</v>
      </c>
      <c r="B1118" s="19" t="s">
        <v>682</v>
      </c>
      <c r="C1118" s="19" t="s">
        <v>730</v>
      </c>
      <c r="D1118" s="19" t="s">
        <v>255</v>
      </c>
      <c r="E1118" s="19">
        <v>1</v>
      </c>
      <c r="F1118" s="19">
        <v>1</v>
      </c>
      <c r="G1118" s="19" t="s">
        <v>2055</v>
      </c>
      <c r="H1118" s="19" t="s">
        <v>1358</v>
      </c>
    </row>
    <row r="1119" spans="1:8">
      <c r="A1119" s="19">
        <v>109</v>
      </c>
      <c r="B1119" s="19" t="s">
        <v>682</v>
      </c>
      <c r="C1119" s="19" t="s">
        <v>730</v>
      </c>
      <c r="D1119" s="19" t="s">
        <v>256</v>
      </c>
      <c r="E1119" s="19" t="s">
        <v>299</v>
      </c>
      <c r="F1119" s="19" t="s">
        <v>1865</v>
      </c>
      <c r="G1119" s="19" t="s">
        <v>2054</v>
      </c>
      <c r="H1119" s="19" t="s">
        <v>1358</v>
      </c>
    </row>
    <row r="1120" spans="1:8">
      <c r="A1120" s="19">
        <v>109</v>
      </c>
      <c r="B1120" s="19" t="s">
        <v>682</v>
      </c>
      <c r="C1120" s="19" t="s">
        <v>730</v>
      </c>
      <c r="D1120" s="19" t="s">
        <v>871</v>
      </c>
      <c r="E1120" s="19" t="s">
        <v>70</v>
      </c>
      <c r="F1120" s="19" t="s">
        <v>1867</v>
      </c>
      <c r="G1120" s="19" t="s">
        <v>2054</v>
      </c>
      <c r="H1120" s="19" t="s">
        <v>1358</v>
      </c>
    </row>
    <row r="1121" spans="1:8">
      <c r="A1121" s="19">
        <v>109</v>
      </c>
      <c r="B1121" s="19" t="s">
        <v>682</v>
      </c>
      <c r="C1121" s="19" t="s">
        <v>730</v>
      </c>
      <c r="D1121" s="19" t="s">
        <v>243</v>
      </c>
      <c r="E1121" s="19">
        <v>33</v>
      </c>
      <c r="F1121" s="19">
        <v>33</v>
      </c>
      <c r="G1121" s="19" t="s">
        <v>2054</v>
      </c>
      <c r="H1121" s="19" t="s">
        <v>1358</v>
      </c>
    </row>
    <row r="1122" spans="1:8">
      <c r="A1122" s="19">
        <v>109</v>
      </c>
      <c r="B1122" s="19" t="s">
        <v>682</v>
      </c>
      <c r="C1122" s="19" t="s">
        <v>730</v>
      </c>
      <c r="D1122" s="19" t="s">
        <v>244</v>
      </c>
      <c r="E1122" s="19">
        <v>31</v>
      </c>
      <c r="F1122" s="19">
        <v>31</v>
      </c>
      <c r="G1122" s="19" t="s">
        <v>2054</v>
      </c>
      <c r="H1122" s="19" t="s">
        <v>1358</v>
      </c>
    </row>
    <row r="1123" spans="1:8">
      <c r="A1123" s="19">
        <v>109</v>
      </c>
      <c r="B1123" s="19" t="s">
        <v>682</v>
      </c>
      <c r="C1123" s="19" t="s">
        <v>730</v>
      </c>
      <c r="D1123" s="19" t="s">
        <v>257</v>
      </c>
      <c r="E1123" s="19">
        <v>2.9</v>
      </c>
      <c r="F1123" s="19">
        <v>2.9</v>
      </c>
      <c r="G1123" s="19" t="s">
        <v>2054</v>
      </c>
      <c r="H1123" s="19" t="s">
        <v>1358</v>
      </c>
    </row>
    <row r="1124" spans="1:8">
      <c r="A1124" s="19">
        <v>109</v>
      </c>
      <c r="B1124" s="19" t="s">
        <v>682</v>
      </c>
      <c r="C1124" s="19" t="s">
        <v>730</v>
      </c>
      <c r="D1124" s="19" t="s">
        <v>1198</v>
      </c>
      <c r="E1124" s="19" t="s">
        <v>305</v>
      </c>
      <c r="F1124" s="19" t="s">
        <v>1574</v>
      </c>
      <c r="G1124" s="19"/>
      <c r="H1124" s="60" t="s">
        <v>1360</v>
      </c>
    </row>
    <row r="1125" spans="1:8">
      <c r="A1125" s="19">
        <v>109</v>
      </c>
      <c r="B1125" s="19" t="s">
        <v>682</v>
      </c>
      <c r="C1125" s="19" t="s">
        <v>730</v>
      </c>
      <c r="D1125" s="19" t="s">
        <v>1575</v>
      </c>
      <c r="E1125" s="19" t="s">
        <v>1872</v>
      </c>
      <c r="F1125" s="19" t="s">
        <v>1873</v>
      </c>
      <c r="G1125" s="19" t="s">
        <v>2054</v>
      </c>
      <c r="H1125" s="19" t="s">
        <v>1358</v>
      </c>
    </row>
    <row r="1126" spans="1:8">
      <c r="A1126" s="19">
        <v>109</v>
      </c>
      <c r="B1126" s="19" t="s">
        <v>682</v>
      </c>
      <c r="C1126" s="19" t="s">
        <v>730</v>
      </c>
      <c r="D1126" s="19" t="s">
        <v>253</v>
      </c>
      <c r="E1126" s="19" t="s">
        <v>297</v>
      </c>
      <c r="F1126" s="19" t="s">
        <v>1460</v>
      </c>
      <c r="G1126" s="19"/>
      <c r="H1126" s="60" t="s">
        <v>1360</v>
      </c>
    </row>
    <row r="1127" spans="1:8">
      <c r="A1127" s="19">
        <v>109</v>
      </c>
      <c r="B1127" s="19" t="s">
        <v>682</v>
      </c>
      <c r="C1127" s="19" t="s">
        <v>730</v>
      </c>
      <c r="D1127" s="19" t="s">
        <v>914</v>
      </c>
      <c r="E1127" s="19" t="s">
        <v>355</v>
      </c>
      <c r="F1127" s="19" t="s">
        <v>355</v>
      </c>
      <c r="G1127" s="19" t="s">
        <v>2056</v>
      </c>
      <c r="H1127" s="19" t="s">
        <v>1358</v>
      </c>
    </row>
    <row r="1128" spans="1:8">
      <c r="A1128" s="19">
        <v>109</v>
      </c>
      <c r="B1128" s="19" t="s">
        <v>682</v>
      </c>
      <c r="C1128" s="19" t="s">
        <v>730</v>
      </c>
      <c r="D1128" s="19" t="s">
        <v>1377</v>
      </c>
      <c r="E1128" s="19">
        <v>16000</v>
      </c>
      <c r="F1128" s="19">
        <v>16000</v>
      </c>
      <c r="G1128" s="19" t="s">
        <v>2056</v>
      </c>
      <c r="H1128" s="19" t="s">
        <v>1358</v>
      </c>
    </row>
    <row r="1129" spans="1:8">
      <c r="A1129" s="19">
        <v>110</v>
      </c>
      <c r="B1129" s="19" t="s">
        <v>682</v>
      </c>
      <c r="C1129" s="19" t="s">
        <v>733</v>
      </c>
      <c r="D1129" s="19" t="s">
        <v>238</v>
      </c>
      <c r="E1129" s="19" t="s">
        <v>635</v>
      </c>
      <c r="F1129" s="19" t="s">
        <v>635</v>
      </c>
      <c r="G1129" s="19" t="s">
        <v>2057</v>
      </c>
      <c r="H1129" s="19" t="s">
        <v>1358</v>
      </c>
    </row>
    <row r="1130" spans="1:8">
      <c r="A1130" s="19">
        <v>110</v>
      </c>
      <c r="B1130" s="19" t="s">
        <v>682</v>
      </c>
      <c r="C1130" s="19" t="s">
        <v>733</v>
      </c>
      <c r="D1130" s="19" t="s">
        <v>255</v>
      </c>
      <c r="E1130" s="19">
        <v>1</v>
      </c>
      <c r="F1130" s="19">
        <v>1</v>
      </c>
      <c r="G1130" s="19" t="s">
        <v>2058</v>
      </c>
      <c r="H1130" s="19" t="s">
        <v>1358</v>
      </c>
    </row>
    <row r="1131" spans="1:8">
      <c r="A1131" s="19">
        <v>110</v>
      </c>
      <c r="B1131" s="19" t="s">
        <v>682</v>
      </c>
      <c r="C1131" s="19" t="s">
        <v>733</v>
      </c>
      <c r="D1131" s="19" t="s">
        <v>241</v>
      </c>
      <c r="E1131" s="19" t="s">
        <v>182</v>
      </c>
      <c r="F1131" s="19" t="s">
        <v>1917</v>
      </c>
      <c r="G1131" s="19" t="s">
        <v>2057</v>
      </c>
      <c r="H1131" s="19" t="s">
        <v>1358</v>
      </c>
    </row>
    <row r="1132" spans="1:8">
      <c r="A1132" s="19">
        <v>110</v>
      </c>
      <c r="B1132" s="19" t="s">
        <v>682</v>
      </c>
      <c r="C1132" s="19" t="s">
        <v>733</v>
      </c>
      <c r="D1132" s="19" t="s">
        <v>256</v>
      </c>
      <c r="E1132" s="19" t="s">
        <v>299</v>
      </c>
      <c r="F1132" s="19" t="s">
        <v>1917</v>
      </c>
      <c r="G1132" s="19" t="s">
        <v>2057</v>
      </c>
      <c r="H1132" s="19" t="s">
        <v>1358</v>
      </c>
    </row>
    <row r="1133" spans="1:8">
      <c r="A1133" s="19">
        <v>110</v>
      </c>
      <c r="B1133" s="19" t="s">
        <v>682</v>
      </c>
      <c r="C1133" s="19" t="s">
        <v>733</v>
      </c>
      <c r="D1133" s="19" t="s">
        <v>871</v>
      </c>
      <c r="E1133" s="19" t="s">
        <v>70</v>
      </c>
      <c r="F1133" s="19" t="s">
        <v>1867</v>
      </c>
      <c r="G1133" s="19" t="s">
        <v>2057</v>
      </c>
      <c r="H1133" s="19" t="s">
        <v>1358</v>
      </c>
    </row>
    <row r="1134" spans="1:8">
      <c r="A1134" s="19">
        <v>110</v>
      </c>
      <c r="B1134" s="19" t="s">
        <v>682</v>
      </c>
      <c r="C1134" s="19" t="s">
        <v>733</v>
      </c>
      <c r="D1134" s="19" t="s">
        <v>243</v>
      </c>
      <c r="E1134" s="19">
        <v>825</v>
      </c>
      <c r="F1134" s="19">
        <v>825</v>
      </c>
      <c r="G1134" s="19" t="s">
        <v>2057</v>
      </c>
      <c r="H1134" s="19" t="s">
        <v>1358</v>
      </c>
    </row>
    <row r="1135" spans="1:8">
      <c r="A1135" s="19">
        <v>110</v>
      </c>
      <c r="B1135" s="19" t="s">
        <v>682</v>
      </c>
      <c r="C1135" s="19" t="s">
        <v>733</v>
      </c>
      <c r="D1135" s="19" t="s">
        <v>244</v>
      </c>
      <c r="E1135" s="19">
        <v>107</v>
      </c>
      <c r="F1135" s="19">
        <v>107</v>
      </c>
      <c r="G1135" s="19" t="s">
        <v>2057</v>
      </c>
      <c r="H1135" s="19" t="s">
        <v>1358</v>
      </c>
    </row>
    <row r="1136" spans="1:8">
      <c r="A1136" s="19">
        <v>110</v>
      </c>
      <c r="B1136" s="19" t="s">
        <v>682</v>
      </c>
      <c r="C1136" s="19" t="s">
        <v>733</v>
      </c>
      <c r="D1136" s="19" t="s">
        <v>257</v>
      </c>
      <c r="E1136" s="19">
        <v>11.3</v>
      </c>
      <c r="F1136" s="19">
        <v>11.3</v>
      </c>
      <c r="G1136" s="19" t="s">
        <v>2057</v>
      </c>
      <c r="H1136" s="19" t="s">
        <v>1358</v>
      </c>
    </row>
    <row r="1137" spans="1:8">
      <c r="A1137" s="19">
        <v>110</v>
      </c>
      <c r="B1137" s="19" t="s">
        <v>682</v>
      </c>
      <c r="C1137" s="19" t="s">
        <v>733</v>
      </c>
      <c r="D1137" s="19" t="s">
        <v>1198</v>
      </c>
      <c r="E1137" s="19" t="s">
        <v>305</v>
      </c>
      <c r="F1137" s="19" t="s">
        <v>1574</v>
      </c>
      <c r="G1137" s="19"/>
      <c r="H1137" s="60" t="s">
        <v>1360</v>
      </c>
    </row>
    <row r="1138" spans="1:8">
      <c r="A1138" s="19">
        <v>110</v>
      </c>
      <c r="B1138" s="19" t="s">
        <v>682</v>
      </c>
      <c r="C1138" s="19" t="s">
        <v>733</v>
      </c>
      <c r="D1138" s="19" t="s">
        <v>1575</v>
      </c>
      <c r="E1138" s="19" t="s">
        <v>1923</v>
      </c>
      <c r="F1138" s="19" t="s">
        <v>1924</v>
      </c>
      <c r="G1138" s="19" t="s">
        <v>2057</v>
      </c>
      <c r="H1138" s="19" t="s">
        <v>1358</v>
      </c>
    </row>
    <row r="1139" spans="1:8">
      <c r="A1139" s="19">
        <v>110</v>
      </c>
      <c r="B1139" s="19" t="s">
        <v>682</v>
      </c>
      <c r="C1139" s="19" t="s">
        <v>733</v>
      </c>
      <c r="D1139" s="19" t="s">
        <v>253</v>
      </c>
      <c r="E1139" s="19" t="s">
        <v>297</v>
      </c>
      <c r="F1139" s="19" t="s">
        <v>1546</v>
      </c>
      <c r="G1139" s="19" t="s">
        <v>238</v>
      </c>
      <c r="H1139" s="19" t="s">
        <v>1358</v>
      </c>
    </row>
    <row r="1140" spans="1:8">
      <c r="A1140" s="19">
        <v>110</v>
      </c>
      <c r="B1140" s="19" t="s">
        <v>682</v>
      </c>
      <c r="C1140" s="19" t="s">
        <v>733</v>
      </c>
      <c r="D1140" s="19" t="s">
        <v>914</v>
      </c>
      <c r="E1140" s="19" t="s">
        <v>355</v>
      </c>
      <c r="F1140" s="19" t="s">
        <v>355</v>
      </c>
      <c r="G1140" s="19" t="s">
        <v>2059</v>
      </c>
      <c r="H1140" s="19" t="s">
        <v>1358</v>
      </c>
    </row>
    <row r="1141" spans="1:8">
      <c r="A1141" s="19">
        <v>110</v>
      </c>
      <c r="B1141" s="19" t="s">
        <v>682</v>
      </c>
      <c r="C1141" s="19" t="s">
        <v>733</v>
      </c>
      <c r="D1141" s="19" t="s">
        <v>1377</v>
      </c>
      <c r="E1141" s="19">
        <v>309660.11</v>
      </c>
      <c r="F1141" s="19">
        <v>309660.11</v>
      </c>
      <c r="G1141" s="19" t="s">
        <v>2059</v>
      </c>
      <c r="H1141" s="19" t="s">
        <v>1358</v>
      </c>
    </row>
    <row r="1142" spans="1:8">
      <c r="A1142" s="19">
        <v>111</v>
      </c>
      <c r="B1142" s="19" t="s">
        <v>682</v>
      </c>
      <c r="C1142" s="19" t="s">
        <v>737</v>
      </c>
      <c r="D1142" s="19" t="s">
        <v>238</v>
      </c>
      <c r="E1142" s="19" t="s">
        <v>641</v>
      </c>
      <c r="F1142" s="19" t="s">
        <v>641</v>
      </c>
      <c r="G1142" s="19" t="s">
        <v>2060</v>
      </c>
      <c r="H1142" s="19" t="s">
        <v>1358</v>
      </c>
    </row>
    <row r="1143" spans="1:8">
      <c r="A1143" s="19">
        <v>111</v>
      </c>
      <c r="B1143" s="19" t="s">
        <v>682</v>
      </c>
      <c r="C1143" s="19" t="s">
        <v>737</v>
      </c>
      <c r="D1143" s="19" t="s">
        <v>255</v>
      </c>
      <c r="E1143" s="19">
        <v>1</v>
      </c>
      <c r="F1143" s="19">
        <v>1</v>
      </c>
      <c r="G1143" s="19" t="s">
        <v>2061</v>
      </c>
      <c r="H1143" s="19" t="s">
        <v>1358</v>
      </c>
    </row>
    <row r="1144" spans="1:8">
      <c r="A1144" s="19">
        <v>111</v>
      </c>
      <c r="B1144" s="19" t="s">
        <v>682</v>
      </c>
      <c r="C1144" s="19" t="s">
        <v>737</v>
      </c>
      <c r="D1144" s="19" t="s">
        <v>241</v>
      </c>
      <c r="E1144" s="19" t="s">
        <v>182</v>
      </c>
      <c r="F1144" s="19" t="s">
        <v>1917</v>
      </c>
      <c r="G1144" s="19" t="s">
        <v>2060</v>
      </c>
      <c r="H1144" s="19" t="s">
        <v>1358</v>
      </c>
    </row>
    <row r="1145" spans="1:8">
      <c r="A1145" s="19">
        <v>111</v>
      </c>
      <c r="B1145" s="19" t="s">
        <v>682</v>
      </c>
      <c r="C1145" s="19" t="s">
        <v>737</v>
      </c>
      <c r="D1145" s="19" t="s">
        <v>256</v>
      </c>
      <c r="E1145" s="19" t="s">
        <v>299</v>
      </c>
      <c r="F1145" s="19" t="s">
        <v>1917</v>
      </c>
      <c r="G1145" s="19" t="s">
        <v>2060</v>
      </c>
      <c r="H1145" s="19" t="s">
        <v>1358</v>
      </c>
    </row>
    <row r="1146" spans="1:8">
      <c r="A1146" s="19">
        <v>111</v>
      </c>
      <c r="B1146" s="19" t="s">
        <v>682</v>
      </c>
      <c r="C1146" s="19" t="s">
        <v>737</v>
      </c>
      <c r="D1146" s="19" t="s">
        <v>871</v>
      </c>
      <c r="E1146" s="19" t="s">
        <v>70</v>
      </c>
      <c r="F1146" s="19" t="s">
        <v>1867</v>
      </c>
      <c r="G1146" s="19" t="s">
        <v>2060</v>
      </c>
      <c r="H1146" s="19" t="s">
        <v>1358</v>
      </c>
    </row>
    <row r="1147" spans="1:8">
      <c r="A1147" s="19">
        <v>111</v>
      </c>
      <c r="B1147" s="19" t="s">
        <v>682</v>
      </c>
      <c r="C1147" s="19" t="s">
        <v>737</v>
      </c>
      <c r="D1147" s="19" t="s">
        <v>243</v>
      </c>
      <c r="E1147" s="19">
        <v>825</v>
      </c>
      <c r="F1147" s="19">
        <v>825</v>
      </c>
      <c r="G1147" s="19" t="s">
        <v>2060</v>
      </c>
      <c r="H1147" s="19" t="s">
        <v>1358</v>
      </c>
    </row>
    <row r="1148" spans="1:8">
      <c r="A1148" s="19">
        <v>111</v>
      </c>
      <c r="B1148" s="19" t="s">
        <v>682</v>
      </c>
      <c r="C1148" s="19" t="s">
        <v>737</v>
      </c>
      <c r="D1148" s="19" t="s">
        <v>244</v>
      </c>
      <c r="E1148" s="19">
        <v>107</v>
      </c>
      <c r="F1148" s="19">
        <v>107</v>
      </c>
      <c r="G1148" s="19" t="s">
        <v>2060</v>
      </c>
      <c r="H1148" s="19" t="s">
        <v>1358</v>
      </c>
    </row>
    <row r="1149" spans="1:8">
      <c r="A1149" s="19">
        <v>111</v>
      </c>
      <c r="B1149" s="19" t="s">
        <v>682</v>
      </c>
      <c r="C1149" s="19" t="s">
        <v>737</v>
      </c>
      <c r="D1149" s="19" t="s">
        <v>257</v>
      </c>
      <c r="E1149" s="19">
        <v>11.3</v>
      </c>
      <c r="F1149" s="19">
        <v>11.3</v>
      </c>
      <c r="G1149" s="19" t="s">
        <v>2060</v>
      </c>
      <c r="H1149" s="19" t="s">
        <v>1358</v>
      </c>
    </row>
    <row r="1150" spans="1:8">
      <c r="A1150" s="19">
        <v>111</v>
      </c>
      <c r="B1150" s="19" t="s">
        <v>682</v>
      </c>
      <c r="C1150" s="19" t="s">
        <v>737</v>
      </c>
      <c r="D1150" s="19" t="s">
        <v>1198</v>
      </c>
      <c r="E1150" s="19" t="s">
        <v>305</v>
      </c>
      <c r="F1150" s="19" t="s">
        <v>1574</v>
      </c>
      <c r="G1150" s="19"/>
      <c r="H1150" s="60" t="s">
        <v>1360</v>
      </c>
    </row>
    <row r="1151" spans="1:8">
      <c r="A1151" s="19">
        <v>111</v>
      </c>
      <c r="B1151" s="19" t="s">
        <v>682</v>
      </c>
      <c r="C1151" s="19" t="s">
        <v>737</v>
      </c>
      <c r="D1151" s="19" t="s">
        <v>1575</v>
      </c>
      <c r="E1151" s="19" t="s">
        <v>1923</v>
      </c>
      <c r="F1151" s="19" t="s">
        <v>1924</v>
      </c>
      <c r="G1151" s="19" t="s">
        <v>2060</v>
      </c>
      <c r="H1151" s="19" t="s">
        <v>1358</v>
      </c>
    </row>
    <row r="1152" spans="1:8">
      <c r="A1152" s="19">
        <v>111</v>
      </c>
      <c r="B1152" s="19" t="s">
        <v>682</v>
      </c>
      <c r="C1152" s="19" t="s">
        <v>737</v>
      </c>
      <c r="D1152" s="19" t="s">
        <v>253</v>
      </c>
      <c r="E1152" s="19" t="s">
        <v>452</v>
      </c>
      <c r="F1152" s="19" t="s">
        <v>1551</v>
      </c>
      <c r="G1152" s="19" t="s">
        <v>238</v>
      </c>
      <c r="H1152" s="19" t="s">
        <v>1358</v>
      </c>
    </row>
    <row r="1153" spans="1:8">
      <c r="A1153" s="19">
        <v>111</v>
      </c>
      <c r="B1153" s="19" t="s">
        <v>682</v>
      </c>
      <c r="C1153" s="19" t="s">
        <v>737</v>
      </c>
      <c r="D1153" s="19" t="s">
        <v>914</v>
      </c>
      <c r="E1153" s="19" t="s">
        <v>355</v>
      </c>
      <c r="F1153" s="19" t="s">
        <v>355</v>
      </c>
      <c r="G1153" s="19" t="s">
        <v>2062</v>
      </c>
      <c r="H1153" s="19" t="s">
        <v>1358</v>
      </c>
    </row>
    <row r="1154" spans="1:8">
      <c r="A1154" s="19">
        <v>111</v>
      </c>
      <c r="B1154" s="19" t="s">
        <v>682</v>
      </c>
      <c r="C1154" s="19" t="s">
        <v>737</v>
      </c>
      <c r="D1154" s="19" t="s">
        <v>1377</v>
      </c>
      <c r="E1154" s="19">
        <v>202973.76</v>
      </c>
      <c r="F1154" s="19">
        <v>202973.756666667</v>
      </c>
      <c r="G1154" s="19" t="s">
        <v>2062</v>
      </c>
      <c r="H1154" s="19" t="s">
        <v>1358</v>
      </c>
    </row>
    <row r="1155" spans="1:8">
      <c r="A1155" s="19">
        <v>112</v>
      </c>
      <c r="B1155" s="19" t="s">
        <v>682</v>
      </c>
      <c r="C1155" s="19" t="s">
        <v>740</v>
      </c>
      <c r="D1155" s="19" t="s">
        <v>238</v>
      </c>
      <c r="E1155" s="19" t="s">
        <v>645</v>
      </c>
      <c r="F1155" s="19" t="s">
        <v>645</v>
      </c>
      <c r="G1155" s="19" t="s">
        <v>2063</v>
      </c>
      <c r="H1155" s="19" t="s">
        <v>1358</v>
      </c>
    </row>
    <row r="1156" spans="1:8">
      <c r="A1156" s="19">
        <v>112</v>
      </c>
      <c r="B1156" s="19" t="s">
        <v>682</v>
      </c>
      <c r="C1156" s="19" t="s">
        <v>740</v>
      </c>
      <c r="D1156" s="19" t="s">
        <v>255</v>
      </c>
      <c r="E1156" s="19">
        <v>2</v>
      </c>
      <c r="F1156" s="19">
        <v>2</v>
      </c>
      <c r="G1156" s="19" t="s">
        <v>2064</v>
      </c>
      <c r="H1156" s="19" t="s">
        <v>1358</v>
      </c>
    </row>
    <row r="1157" spans="1:8">
      <c r="A1157" s="19">
        <v>112</v>
      </c>
      <c r="B1157" s="19" t="s">
        <v>682</v>
      </c>
      <c r="C1157" s="19" t="s">
        <v>740</v>
      </c>
      <c r="D1157" s="19" t="s">
        <v>241</v>
      </c>
      <c r="E1157" s="19" t="s">
        <v>179</v>
      </c>
      <c r="F1157" s="19" t="s">
        <v>1938</v>
      </c>
      <c r="G1157" s="19" t="s">
        <v>2063</v>
      </c>
      <c r="H1157" s="19" t="s">
        <v>1358</v>
      </c>
    </row>
    <row r="1158" spans="1:8">
      <c r="A1158" s="19">
        <v>112</v>
      </c>
      <c r="B1158" s="19" t="s">
        <v>682</v>
      </c>
      <c r="C1158" s="19" t="s">
        <v>740</v>
      </c>
      <c r="D1158" s="19" t="s">
        <v>256</v>
      </c>
      <c r="E1158" s="19" t="s">
        <v>299</v>
      </c>
      <c r="F1158" s="19" t="s">
        <v>1938</v>
      </c>
      <c r="G1158" s="19" t="s">
        <v>2063</v>
      </c>
      <c r="H1158" s="19" t="s">
        <v>1358</v>
      </c>
    </row>
    <row r="1159" spans="1:8">
      <c r="A1159" s="19">
        <v>112</v>
      </c>
      <c r="B1159" s="19" t="s">
        <v>682</v>
      </c>
      <c r="C1159" s="19" t="s">
        <v>740</v>
      </c>
      <c r="D1159" s="19" t="s">
        <v>871</v>
      </c>
      <c r="E1159" s="19" t="s">
        <v>70</v>
      </c>
      <c r="F1159" s="19" t="s">
        <v>1867</v>
      </c>
      <c r="G1159" s="19" t="s">
        <v>2063</v>
      </c>
      <c r="H1159" s="19" t="s">
        <v>1358</v>
      </c>
    </row>
    <row r="1160" spans="1:8">
      <c r="A1160" s="19">
        <v>112</v>
      </c>
      <c r="B1160" s="19" t="s">
        <v>682</v>
      </c>
      <c r="C1160" s="19" t="s">
        <v>740</v>
      </c>
      <c r="D1160" s="19" t="s">
        <v>243</v>
      </c>
      <c r="E1160" s="19">
        <v>16.5</v>
      </c>
      <c r="F1160" s="19">
        <v>16.5</v>
      </c>
      <c r="G1160" s="19" t="s">
        <v>2063</v>
      </c>
      <c r="H1160" s="19" t="s">
        <v>1358</v>
      </c>
    </row>
    <row r="1161" spans="1:8">
      <c r="A1161" s="19">
        <v>112</v>
      </c>
      <c r="B1161" s="19" t="s">
        <v>682</v>
      </c>
      <c r="C1161" s="19" t="s">
        <v>740</v>
      </c>
      <c r="D1161" s="19" t="s">
        <v>244</v>
      </c>
      <c r="E1161" s="19">
        <v>107</v>
      </c>
      <c r="F1161" s="19">
        <v>107</v>
      </c>
      <c r="G1161" s="19" t="s">
        <v>2063</v>
      </c>
      <c r="H1161" s="19" t="s">
        <v>1358</v>
      </c>
    </row>
    <row r="1162" spans="1:8">
      <c r="A1162" s="19">
        <v>112</v>
      </c>
      <c r="B1162" s="19" t="s">
        <v>682</v>
      </c>
      <c r="C1162" s="19" t="s">
        <v>740</v>
      </c>
      <c r="D1162" s="19" t="s">
        <v>257</v>
      </c>
      <c r="E1162" s="19">
        <v>11.3</v>
      </c>
      <c r="F1162" s="19">
        <v>11.3</v>
      </c>
      <c r="G1162" s="19" t="s">
        <v>2063</v>
      </c>
      <c r="H1162" s="19" t="s">
        <v>1358</v>
      </c>
    </row>
    <row r="1163" spans="1:8">
      <c r="A1163" s="19">
        <v>112</v>
      </c>
      <c r="B1163" s="19" t="s">
        <v>682</v>
      </c>
      <c r="C1163" s="19" t="s">
        <v>740</v>
      </c>
      <c r="D1163" s="19" t="s">
        <v>1198</v>
      </c>
      <c r="E1163" s="19" t="s">
        <v>305</v>
      </c>
      <c r="F1163" s="19" t="s">
        <v>1574</v>
      </c>
      <c r="G1163" s="19"/>
      <c r="H1163" s="60" t="s">
        <v>1360</v>
      </c>
    </row>
    <row r="1164" spans="1:8">
      <c r="A1164" s="19">
        <v>112</v>
      </c>
      <c r="B1164" s="19" t="s">
        <v>682</v>
      </c>
      <c r="C1164" s="19" t="s">
        <v>740</v>
      </c>
      <c r="D1164" s="19" t="s">
        <v>1575</v>
      </c>
      <c r="E1164" s="19" t="s">
        <v>1923</v>
      </c>
      <c r="F1164" s="19" t="s">
        <v>1924</v>
      </c>
      <c r="G1164" s="19" t="s">
        <v>2063</v>
      </c>
      <c r="H1164" s="19" t="s">
        <v>1358</v>
      </c>
    </row>
    <row r="1165" spans="1:8">
      <c r="A1165" s="19">
        <v>112</v>
      </c>
      <c r="B1165" s="19" t="s">
        <v>682</v>
      </c>
      <c r="C1165" s="19" t="s">
        <v>740</v>
      </c>
      <c r="D1165" s="19" t="s">
        <v>253</v>
      </c>
      <c r="E1165" s="19" t="s">
        <v>297</v>
      </c>
      <c r="F1165" s="19" t="s">
        <v>1460</v>
      </c>
      <c r="G1165" s="19"/>
      <c r="H1165" s="60" t="s">
        <v>1360</v>
      </c>
    </row>
    <row r="1166" spans="1:8">
      <c r="A1166" s="19">
        <v>112</v>
      </c>
      <c r="B1166" s="19" t="s">
        <v>682</v>
      </c>
      <c r="C1166" s="19" t="s">
        <v>740</v>
      </c>
      <c r="D1166" s="19" t="s">
        <v>914</v>
      </c>
      <c r="E1166" s="19" t="s">
        <v>355</v>
      </c>
      <c r="F1166" s="19" t="s">
        <v>355</v>
      </c>
      <c r="G1166" s="19" t="s">
        <v>2065</v>
      </c>
      <c r="H1166" s="19" t="s">
        <v>1358</v>
      </c>
    </row>
    <row r="1167" spans="1:8">
      <c r="A1167" s="19">
        <v>112</v>
      </c>
      <c r="B1167" s="19" t="s">
        <v>682</v>
      </c>
      <c r="C1167" s="19" t="s">
        <v>740</v>
      </c>
      <c r="D1167" s="19" t="s">
        <v>1377</v>
      </c>
      <c r="E1167" s="19">
        <v>26808.07</v>
      </c>
      <c r="F1167" s="19">
        <v>26808.066666666698</v>
      </c>
      <c r="G1167" s="19" t="s">
        <v>2065</v>
      </c>
      <c r="H1167" s="19" t="s">
        <v>1358</v>
      </c>
    </row>
    <row r="1168" spans="1:8">
      <c r="A1168" s="19">
        <v>113</v>
      </c>
      <c r="B1168" s="19" t="s">
        <v>682</v>
      </c>
      <c r="C1168" s="19" t="s">
        <v>743</v>
      </c>
      <c r="D1168" s="19" t="s">
        <v>238</v>
      </c>
      <c r="E1168" s="19" t="s">
        <v>672</v>
      </c>
      <c r="F1168" s="19" t="s">
        <v>672</v>
      </c>
      <c r="G1168" s="19" t="s">
        <v>2066</v>
      </c>
      <c r="H1168" s="19" t="s">
        <v>1358</v>
      </c>
    </row>
    <row r="1169" spans="1:8">
      <c r="A1169" s="19">
        <v>113</v>
      </c>
      <c r="B1169" s="19" t="s">
        <v>682</v>
      </c>
      <c r="C1169" s="19" t="s">
        <v>743</v>
      </c>
      <c r="D1169" s="19" t="s">
        <v>255</v>
      </c>
      <c r="E1169" s="19">
        <v>2</v>
      </c>
      <c r="F1169" s="19">
        <v>2</v>
      </c>
      <c r="G1169" s="19" t="s">
        <v>2067</v>
      </c>
      <c r="H1169" s="19" t="s">
        <v>1358</v>
      </c>
    </row>
    <row r="1170" spans="1:8">
      <c r="A1170" s="19">
        <v>113</v>
      </c>
      <c r="B1170" s="19" t="s">
        <v>682</v>
      </c>
      <c r="C1170" s="19" t="s">
        <v>743</v>
      </c>
      <c r="D1170" s="19" t="s">
        <v>256</v>
      </c>
      <c r="E1170" s="19" t="s">
        <v>674</v>
      </c>
      <c r="F1170" s="19" t="s">
        <v>1996</v>
      </c>
      <c r="G1170" s="19" t="s">
        <v>2066</v>
      </c>
      <c r="H1170" s="19" t="s">
        <v>1358</v>
      </c>
    </row>
    <row r="1171" spans="1:8">
      <c r="A1171" s="19">
        <v>113</v>
      </c>
      <c r="B1171" s="19" t="s">
        <v>682</v>
      </c>
      <c r="C1171" s="19" t="s">
        <v>743</v>
      </c>
      <c r="D1171" s="19" t="s">
        <v>871</v>
      </c>
      <c r="E1171" s="19" t="s">
        <v>115</v>
      </c>
      <c r="F1171" s="19" t="s">
        <v>1998</v>
      </c>
      <c r="G1171" s="19" t="s">
        <v>2066</v>
      </c>
      <c r="H1171" s="19" t="s">
        <v>1358</v>
      </c>
    </row>
    <row r="1172" spans="1:8">
      <c r="A1172" s="19">
        <v>113</v>
      </c>
      <c r="B1172" s="19" t="s">
        <v>682</v>
      </c>
      <c r="C1172" s="19" t="s">
        <v>743</v>
      </c>
      <c r="D1172" s="19" t="s">
        <v>243</v>
      </c>
      <c r="E1172" s="19">
        <v>9.6</v>
      </c>
      <c r="F1172" s="19">
        <v>9.6</v>
      </c>
      <c r="G1172" s="19" t="s">
        <v>2068</v>
      </c>
      <c r="H1172" s="19" t="s">
        <v>1358</v>
      </c>
    </row>
    <row r="1173" spans="1:8">
      <c r="A1173" s="19">
        <v>113</v>
      </c>
      <c r="B1173" s="19" t="s">
        <v>682</v>
      </c>
      <c r="C1173" s="19" t="s">
        <v>743</v>
      </c>
      <c r="D1173" s="19" t="s">
        <v>1198</v>
      </c>
      <c r="E1173" s="19" t="s">
        <v>305</v>
      </c>
      <c r="F1173" s="19" t="s">
        <v>1574</v>
      </c>
      <c r="G1173" s="19"/>
      <c r="H1173" s="60" t="s">
        <v>1360</v>
      </c>
    </row>
    <row r="1174" spans="1:8">
      <c r="A1174" s="19">
        <v>113</v>
      </c>
      <c r="B1174" s="19" t="s">
        <v>682</v>
      </c>
      <c r="C1174" s="19" t="s">
        <v>743</v>
      </c>
      <c r="D1174" s="19" t="s">
        <v>253</v>
      </c>
      <c r="E1174" s="19" t="s">
        <v>744</v>
      </c>
      <c r="F1174" s="19" t="s">
        <v>1460</v>
      </c>
      <c r="G1174" s="19"/>
      <c r="H1174" s="60" t="s">
        <v>1360</v>
      </c>
    </row>
    <row r="1175" spans="1:8">
      <c r="A1175" s="19">
        <v>113</v>
      </c>
      <c r="B1175" s="19" t="s">
        <v>682</v>
      </c>
      <c r="C1175" s="19" t="s">
        <v>743</v>
      </c>
      <c r="D1175" s="19" t="s">
        <v>914</v>
      </c>
      <c r="E1175" s="19" t="s">
        <v>446</v>
      </c>
      <c r="F1175" s="19" t="s">
        <v>446</v>
      </c>
      <c r="G1175" s="19" t="s">
        <v>2069</v>
      </c>
      <c r="H1175" s="19" t="s">
        <v>1358</v>
      </c>
    </row>
    <row r="1176" spans="1:8">
      <c r="A1176" s="19">
        <v>113</v>
      </c>
      <c r="B1176" s="19" t="s">
        <v>682</v>
      </c>
      <c r="C1176" s="19" t="s">
        <v>743</v>
      </c>
      <c r="D1176" s="19" t="s">
        <v>1377</v>
      </c>
      <c r="E1176" s="19">
        <v>100000000</v>
      </c>
      <c r="F1176" s="19">
        <v>100000000</v>
      </c>
      <c r="G1176" s="19" t="s">
        <v>2069</v>
      </c>
      <c r="H1176" s="19" t="s">
        <v>1358</v>
      </c>
    </row>
    <row r="1177" spans="1:8">
      <c r="A1177" s="19">
        <v>114</v>
      </c>
      <c r="B1177" s="19" t="s">
        <v>682</v>
      </c>
      <c r="C1177" s="19" t="s">
        <v>748</v>
      </c>
      <c r="D1177" s="19" t="s">
        <v>238</v>
      </c>
      <c r="E1177" s="19" t="s">
        <v>672</v>
      </c>
      <c r="F1177" s="19" t="s">
        <v>672</v>
      </c>
      <c r="G1177" s="19" t="s">
        <v>2070</v>
      </c>
      <c r="H1177" s="19" t="s">
        <v>1358</v>
      </c>
    </row>
    <row r="1178" spans="1:8">
      <c r="A1178" s="19">
        <v>114</v>
      </c>
      <c r="B1178" s="19" t="s">
        <v>682</v>
      </c>
      <c r="C1178" s="19" t="s">
        <v>748</v>
      </c>
      <c r="D1178" s="19" t="s">
        <v>255</v>
      </c>
      <c r="E1178" s="19">
        <v>1</v>
      </c>
      <c r="F1178" s="19">
        <v>1</v>
      </c>
      <c r="G1178" s="19" t="s">
        <v>2071</v>
      </c>
      <c r="H1178" s="19" t="s">
        <v>1358</v>
      </c>
    </row>
    <row r="1179" spans="1:8">
      <c r="A1179" s="19">
        <v>114</v>
      </c>
      <c r="B1179" s="19" t="s">
        <v>682</v>
      </c>
      <c r="C1179" s="19" t="s">
        <v>748</v>
      </c>
      <c r="D1179" s="19" t="s">
        <v>256</v>
      </c>
      <c r="E1179" s="19" t="s">
        <v>674</v>
      </c>
      <c r="F1179" s="19" t="s">
        <v>1996</v>
      </c>
      <c r="G1179" s="19" t="s">
        <v>2070</v>
      </c>
      <c r="H1179" s="19" t="s">
        <v>1358</v>
      </c>
    </row>
    <row r="1180" spans="1:8">
      <c r="A1180" s="19">
        <v>114</v>
      </c>
      <c r="B1180" s="19" t="s">
        <v>682</v>
      </c>
      <c r="C1180" s="19" t="s">
        <v>748</v>
      </c>
      <c r="D1180" s="19" t="s">
        <v>871</v>
      </c>
      <c r="E1180" s="19" t="s">
        <v>115</v>
      </c>
      <c r="F1180" s="19" t="s">
        <v>1998</v>
      </c>
      <c r="G1180" s="19" t="s">
        <v>2070</v>
      </c>
      <c r="H1180" s="19" t="s">
        <v>1358</v>
      </c>
    </row>
    <row r="1181" spans="1:8">
      <c r="A1181" s="19">
        <v>114</v>
      </c>
      <c r="B1181" s="19" t="s">
        <v>682</v>
      </c>
      <c r="C1181" s="19" t="s">
        <v>748</v>
      </c>
      <c r="D1181" s="19" t="s">
        <v>243</v>
      </c>
      <c r="E1181" s="19">
        <v>9.6</v>
      </c>
      <c r="F1181" s="19">
        <v>9.6</v>
      </c>
      <c r="G1181" s="19" t="s">
        <v>2072</v>
      </c>
      <c r="H1181" s="19" t="s">
        <v>1358</v>
      </c>
    </row>
    <row r="1182" spans="1:8">
      <c r="A1182" s="19">
        <v>114</v>
      </c>
      <c r="B1182" s="19" t="s">
        <v>682</v>
      </c>
      <c r="C1182" s="19" t="s">
        <v>748</v>
      </c>
      <c r="D1182" s="19" t="s">
        <v>1198</v>
      </c>
      <c r="E1182" s="19" t="s">
        <v>305</v>
      </c>
      <c r="F1182" s="19" t="s">
        <v>1574</v>
      </c>
      <c r="G1182" s="19"/>
      <c r="H1182" s="60" t="s">
        <v>1360</v>
      </c>
    </row>
    <row r="1183" spans="1:8">
      <c r="A1183" s="19">
        <v>114</v>
      </c>
      <c r="B1183" s="19" t="s">
        <v>682</v>
      </c>
      <c r="C1183" s="19" t="s">
        <v>748</v>
      </c>
      <c r="D1183" s="19" t="s">
        <v>253</v>
      </c>
      <c r="E1183" s="19" t="s">
        <v>744</v>
      </c>
      <c r="F1183" s="19" t="s">
        <v>1460</v>
      </c>
      <c r="G1183" s="19"/>
      <c r="H1183" s="60" t="s">
        <v>1360</v>
      </c>
    </row>
    <row r="1184" spans="1:8">
      <c r="A1184" s="19">
        <v>114</v>
      </c>
      <c r="B1184" s="19" t="s">
        <v>682</v>
      </c>
      <c r="C1184" s="19" t="s">
        <v>748</v>
      </c>
      <c r="D1184" s="19" t="s">
        <v>914</v>
      </c>
      <c r="E1184" s="19" t="s">
        <v>446</v>
      </c>
      <c r="F1184" s="19" t="s">
        <v>446</v>
      </c>
      <c r="G1184" s="19" t="s">
        <v>2073</v>
      </c>
      <c r="H1184" s="19" t="s">
        <v>1358</v>
      </c>
    </row>
    <row r="1185" spans="1:8">
      <c r="A1185" s="19">
        <v>114</v>
      </c>
      <c r="B1185" s="19" t="s">
        <v>682</v>
      </c>
      <c r="C1185" s="19" t="s">
        <v>748</v>
      </c>
      <c r="D1185" s="19" t="s">
        <v>1377</v>
      </c>
      <c r="E1185" s="19">
        <v>100000000</v>
      </c>
      <c r="F1185" s="19">
        <v>100000000</v>
      </c>
      <c r="G1185" s="19" t="s">
        <v>2073</v>
      </c>
      <c r="H1185" s="19" t="s">
        <v>1358</v>
      </c>
    </row>
    <row r="1186" spans="1:8">
      <c r="A1186" s="19">
        <v>115</v>
      </c>
      <c r="B1186" s="19" t="s">
        <v>750</v>
      </c>
      <c r="C1186" s="19" t="s">
        <v>295</v>
      </c>
      <c r="D1186" s="19" t="s">
        <v>238</v>
      </c>
      <c r="E1186" s="19" t="s">
        <v>293</v>
      </c>
      <c r="F1186" s="19" t="s">
        <v>293</v>
      </c>
      <c r="G1186" s="19" t="s">
        <v>2074</v>
      </c>
      <c r="H1186" s="19" t="s">
        <v>1358</v>
      </c>
    </row>
    <row r="1187" spans="1:8">
      <c r="A1187" s="19">
        <v>115</v>
      </c>
      <c r="B1187" s="19" t="s">
        <v>750</v>
      </c>
      <c r="C1187" s="19" t="s">
        <v>295</v>
      </c>
      <c r="D1187" s="19" t="s">
        <v>256</v>
      </c>
      <c r="E1187" s="19" t="s">
        <v>299</v>
      </c>
      <c r="F1187" s="19" t="s">
        <v>299</v>
      </c>
      <c r="G1187" s="19" t="s">
        <v>2075</v>
      </c>
      <c r="H1187" s="19" t="s">
        <v>1358</v>
      </c>
    </row>
    <row r="1188" spans="1:8">
      <c r="A1188" s="19">
        <v>115</v>
      </c>
      <c r="B1188" s="19" t="s">
        <v>750</v>
      </c>
      <c r="C1188" s="19" t="s">
        <v>295</v>
      </c>
      <c r="D1188" s="19" t="s">
        <v>244</v>
      </c>
      <c r="E1188" s="19">
        <v>95.8</v>
      </c>
      <c r="F1188" s="19">
        <v>95.8</v>
      </c>
      <c r="G1188" s="19" t="s">
        <v>2076</v>
      </c>
      <c r="H1188" s="19" t="s">
        <v>1358</v>
      </c>
    </row>
    <row r="1189" spans="1:8">
      <c r="A1189" s="19">
        <v>115</v>
      </c>
      <c r="B1189" s="19" t="s">
        <v>750</v>
      </c>
      <c r="C1189" s="19" t="s">
        <v>295</v>
      </c>
      <c r="D1189" s="19" t="s">
        <v>245</v>
      </c>
      <c r="E1189" s="19">
        <v>54.3</v>
      </c>
      <c r="F1189" s="19">
        <v>54.3</v>
      </c>
      <c r="G1189" s="19" t="s">
        <v>2077</v>
      </c>
      <c r="H1189" s="19" t="s">
        <v>1358</v>
      </c>
    </row>
    <row r="1190" spans="1:8">
      <c r="A1190" s="19">
        <v>115</v>
      </c>
      <c r="B1190" s="19" t="s">
        <v>750</v>
      </c>
      <c r="C1190" s="19" t="s">
        <v>295</v>
      </c>
      <c r="D1190" s="19" t="s">
        <v>253</v>
      </c>
      <c r="E1190" s="19" t="s">
        <v>297</v>
      </c>
      <c r="F1190" s="19" t="s">
        <v>297</v>
      </c>
      <c r="G1190" s="19" t="s">
        <v>2078</v>
      </c>
      <c r="H1190" s="19" t="s">
        <v>1358</v>
      </c>
    </row>
    <row r="1191" spans="1:8">
      <c r="A1191" s="19">
        <v>115</v>
      </c>
      <c r="B1191" s="19" t="s">
        <v>750</v>
      </c>
      <c r="C1191" s="19" t="s">
        <v>295</v>
      </c>
      <c r="D1191" s="19" t="s">
        <v>914</v>
      </c>
      <c r="E1191" s="19" t="s">
        <v>301</v>
      </c>
      <c r="F1191" s="19" t="s">
        <v>301</v>
      </c>
      <c r="G1191" s="19" t="s">
        <v>2079</v>
      </c>
      <c r="H1191" s="19" t="s">
        <v>1358</v>
      </c>
    </row>
    <row r="1192" spans="1:8">
      <c r="A1192" s="19">
        <v>115</v>
      </c>
      <c r="B1192" s="19" t="s">
        <v>750</v>
      </c>
      <c r="C1192" s="19" t="s">
        <v>295</v>
      </c>
      <c r="D1192" s="19" t="s">
        <v>1377</v>
      </c>
      <c r="E1192" s="19">
        <v>580000</v>
      </c>
      <c r="F1192" s="19">
        <v>580000</v>
      </c>
      <c r="G1192" s="19" t="s">
        <v>2079</v>
      </c>
      <c r="H1192" s="19" t="s">
        <v>1358</v>
      </c>
    </row>
    <row r="1193" spans="1:8">
      <c r="A1193" s="19">
        <v>116</v>
      </c>
      <c r="B1193" s="19" t="s">
        <v>750</v>
      </c>
      <c r="C1193" s="19" t="s">
        <v>295</v>
      </c>
      <c r="D1193" s="19" t="s">
        <v>238</v>
      </c>
      <c r="E1193" s="19" t="s">
        <v>306</v>
      </c>
      <c r="F1193" s="19" t="s">
        <v>306</v>
      </c>
      <c r="G1193" s="19" t="s">
        <v>2080</v>
      </c>
      <c r="H1193" s="19" t="s">
        <v>1358</v>
      </c>
    </row>
    <row r="1194" spans="1:8">
      <c r="A1194" s="19">
        <v>116</v>
      </c>
      <c r="B1194" s="19" t="s">
        <v>750</v>
      </c>
      <c r="C1194" s="19" t="s">
        <v>295</v>
      </c>
      <c r="D1194" s="19" t="s">
        <v>256</v>
      </c>
      <c r="E1194" s="19" t="s">
        <v>299</v>
      </c>
      <c r="F1194" s="19" t="s">
        <v>299</v>
      </c>
      <c r="G1194" s="19" t="s">
        <v>2081</v>
      </c>
      <c r="H1194" s="19" t="s">
        <v>1358</v>
      </c>
    </row>
    <row r="1195" spans="1:8">
      <c r="A1195" s="19">
        <v>116</v>
      </c>
      <c r="B1195" s="19" t="s">
        <v>750</v>
      </c>
      <c r="C1195" s="19" t="s">
        <v>295</v>
      </c>
      <c r="D1195" s="19" t="s">
        <v>244</v>
      </c>
      <c r="E1195" s="19">
        <v>59.85</v>
      </c>
      <c r="F1195" s="19">
        <v>59.85</v>
      </c>
      <c r="G1195" s="19" t="s">
        <v>2082</v>
      </c>
      <c r="H1195" s="19" t="s">
        <v>1358</v>
      </c>
    </row>
    <row r="1196" spans="1:8">
      <c r="A1196" s="19">
        <v>116</v>
      </c>
      <c r="B1196" s="19" t="s">
        <v>750</v>
      </c>
      <c r="C1196" s="19" t="s">
        <v>295</v>
      </c>
      <c r="D1196" s="19" t="s">
        <v>245</v>
      </c>
      <c r="E1196" s="19">
        <v>33.119999999999997</v>
      </c>
      <c r="F1196" s="19">
        <v>33.119999999999997</v>
      </c>
      <c r="G1196" s="19" t="s">
        <v>2083</v>
      </c>
      <c r="H1196" s="19" t="s">
        <v>1358</v>
      </c>
    </row>
    <row r="1197" spans="1:8">
      <c r="A1197" s="19">
        <v>116</v>
      </c>
      <c r="B1197" s="19" t="s">
        <v>750</v>
      </c>
      <c r="C1197" s="19" t="s">
        <v>295</v>
      </c>
      <c r="D1197" s="19" t="s">
        <v>253</v>
      </c>
      <c r="E1197" s="19" t="s">
        <v>297</v>
      </c>
      <c r="F1197" s="19" t="s">
        <v>297</v>
      </c>
      <c r="G1197" s="19" t="s">
        <v>2084</v>
      </c>
      <c r="H1197" s="19" t="s">
        <v>1358</v>
      </c>
    </row>
    <row r="1198" spans="1:8">
      <c r="A1198" s="19">
        <v>116</v>
      </c>
      <c r="B1198" s="19" t="s">
        <v>750</v>
      </c>
      <c r="C1198" s="19" t="s">
        <v>295</v>
      </c>
      <c r="D1198" s="19" t="s">
        <v>914</v>
      </c>
      <c r="E1198" s="19" t="s">
        <v>301</v>
      </c>
      <c r="F1198" s="19" t="s">
        <v>301</v>
      </c>
      <c r="G1198" s="19" t="s">
        <v>2085</v>
      </c>
      <c r="H1198" s="19" t="s">
        <v>1358</v>
      </c>
    </row>
    <row r="1199" spans="1:8">
      <c r="A1199" s="19">
        <v>116</v>
      </c>
      <c r="B1199" s="19" t="s">
        <v>750</v>
      </c>
      <c r="C1199" s="19" t="s">
        <v>295</v>
      </c>
      <c r="D1199" s="19" t="s">
        <v>1377</v>
      </c>
      <c r="E1199" s="19">
        <v>380000</v>
      </c>
      <c r="F1199" s="19">
        <v>380000</v>
      </c>
      <c r="G1199" s="19" t="s">
        <v>2085</v>
      </c>
      <c r="H1199" s="19" t="s">
        <v>1358</v>
      </c>
    </row>
    <row r="1200" spans="1:8">
      <c r="A1200" s="19">
        <v>117</v>
      </c>
      <c r="B1200" s="19" t="s">
        <v>750</v>
      </c>
      <c r="C1200" s="19" t="s">
        <v>295</v>
      </c>
      <c r="D1200" s="19" t="s">
        <v>238</v>
      </c>
      <c r="E1200" s="19" t="s">
        <v>309</v>
      </c>
      <c r="F1200" s="19" t="s">
        <v>309</v>
      </c>
      <c r="G1200" s="19" t="s">
        <v>2086</v>
      </c>
      <c r="H1200" s="19" t="s">
        <v>1358</v>
      </c>
    </row>
    <row r="1201" spans="1:8">
      <c r="A1201" s="19">
        <v>117</v>
      </c>
      <c r="B1201" s="19" t="s">
        <v>750</v>
      </c>
      <c r="C1201" s="19" t="s">
        <v>295</v>
      </c>
      <c r="D1201" s="19" t="s">
        <v>256</v>
      </c>
      <c r="E1201" s="19" t="s">
        <v>299</v>
      </c>
      <c r="F1201" s="19" t="s">
        <v>299</v>
      </c>
      <c r="G1201" s="19" t="s">
        <v>2087</v>
      </c>
      <c r="H1201" s="19" t="s">
        <v>1358</v>
      </c>
    </row>
    <row r="1202" spans="1:8">
      <c r="A1202" s="19">
        <v>117</v>
      </c>
      <c r="B1202" s="19" t="s">
        <v>750</v>
      </c>
      <c r="C1202" s="19" t="s">
        <v>295</v>
      </c>
      <c r="D1202" s="19" t="s">
        <v>244</v>
      </c>
      <c r="E1202" s="19">
        <v>34.75</v>
      </c>
      <c r="F1202" s="19">
        <v>34.75</v>
      </c>
      <c r="G1202" s="19" t="s">
        <v>2088</v>
      </c>
      <c r="H1202" s="19" t="s">
        <v>1358</v>
      </c>
    </row>
    <row r="1203" spans="1:8">
      <c r="A1203" s="19">
        <v>117</v>
      </c>
      <c r="B1203" s="19" t="s">
        <v>750</v>
      </c>
      <c r="C1203" s="19" t="s">
        <v>295</v>
      </c>
      <c r="D1203" s="19" t="s">
        <v>245</v>
      </c>
      <c r="E1203" s="19">
        <v>57.35</v>
      </c>
      <c r="F1203" s="19">
        <v>57.35</v>
      </c>
      <c r="G1203" s="19" t="s">
        <v>2089</v>
      </c>
      <c r="H1203" s="19" t="s">
        <v>1358</v>
      </c>
    </row>
    <row r="1204" spans="1:8">
      <c r="A1204" s="19">
        <v>117</v>
      </c>
      <c r="B1204" s="19" t="s">
        <v>750</v>
      </c>
      <c r="C1204" s="19" t="s">
        <v>295</v>
      </c>
      <c r="D1204" s="19" t="s">
        <v>253</v>
      </c>
      <c r="E1204" s="19" t="s">
        <v>297</v>
      </c>
      <c r="F1204" s="19" t="s">
        <v>297</v>
      </c>
      <c r="G1204" s="19" t="s">
        <v>2090</v>
      </c>
      <c r="H1204" s="19" t="s">
        <v>1358</v>
      </c>
    </row>
    <row r="1205" spans="1:8">
      <c r="A1205" s="19">
        <v>117</v>
      </c>
      <c r="B1205" s="19" t="s">
        <v>750</v>
      </c>
      <c r="C1205" s="19" t="s">
        <v>295</v>
      </c>
      <c r="D1205" s="19" t="s">
        <v>914</v>
      </c>
      <c r="E1205" s="19" t="s">
        <v>301</v>
      </c>
      <c r="F1205" s="19" t="s">
        <v>301</v>
      </c>
      <c r="G1205" s="19" t="s">
        <v>2091</v>
      </c>
      <c r="H1205" s="19" t="s">
        <v>1358</v>
      </c>
    </row>
    <row r="1206" spans="1:8">
      <c r="A1206" s="19">
        <v>117</v>
      </c>
      <c r="B1206" s="19" t="s">
        <v>750</v>
      </c>
      <c r="C1206" s="19" t="s">
        <v>295</v>
      </c>
      <c r="D1206" s="19" t="s">
        <v>1377</v>
      </c>
      <c r="E1206" s="19">
        <v>250000</v>
      </c>
      <c r="F1206" s="19">
        <v>250000</v>
      </c>
      <c r="G1206" s="19" t="s">
        <v>2091</v>
      </c>
      <c r="H1206" s="19" t="s">
        <v>1358</v>
      </c>
    </row>
    <row r="1207" spans="1:8">
      <c r="A1207" s="19">
        <v>118</v>
      </c>
      <c r="B1207" s="19" t="s">
        <v>750</v>
      </c>
      <c r="C1207" s="19" t="s">
        <v>295</v>
      </c>
      <c r="D1207" s="19" t="s">
        <v>238</v>
      </c>
      <c r="E1207" s="19" t="s">
        <v>312</v>
      </c>
      <c r="F1207" s="19" t="s">
        <v>312</v>
      </c>
      <c r="G1207" s="19" t="s">
        <v>2092</v>
      </c>
      <c r="H1207" s="19" t="s">
        <v>1358</v>
      </c>
    </row>
    <row r="1208" spans="1:8">
      <c r="A1208" s="19">
        <v>118</v>
      </c>
      <c r="B1208" s="19" t="s">
        <v>750</v>
      </c>
      <c r="C1208" s="19" t="s">
        <v>295</v>
      </c>
      <c r="D1208" s="19" t="s">
        <v>256</v>
      </c>
      <c r="E1208" s="19" t="s">
        <v>299</v>
      </c>
      <c r="F1208" s="19" t="s">
        <v>299</v>
      </c>
      <c r="G1208" s="19" t="s">
        <v>2093</v>
      </c>
      <c r="H1208" s="19" t="s">
        <v>1358</v>
      </c>
    </row>
    <row r="1209" spans="1:8">
      <c r="A1209" s="19">
        <v>118</v>
      </c>
      <c r="B1209" s="19" t="s">
        <v>750</v>
      </c>
      <c r="C1209" s="19" t="s">
        <v>295</v>
      </c>
      <c r="D1209" s="19" t="s">
        <v>253</v>
      </c>
      <c r="E1209" s="19" t="s">
        <v>297</v>
      </c>
      <c r="F1209" s="19" t="s">
        <v>297</v>
      </c>
      <c r="G1209" s="19" t="s">
        <v>2094</v>
      </c>
      <c r="H1209" s="19" t="s">
        <v>1358</v>
      </c>
    </row>
    <row r="1210" spans="1:8">
      <c r="A1210" s="19">
        <v>118</v>
      </c>
      <c r="B1210" s="19" t="s">
        <v>750</v>
      </c>
      <c r="C1210" s="19" t="s">
        <v>295</v>
      </c>
      <c r="D1210" s="19" t="s">
        <v>914</v>
      </c>
      <c r="E1210" s="19" t="s">
        <v>301</v>
      </c>
      <c r="F1210" s="19" t="s">
        <v>301</v>
      </c>
      <c r="G1210" s="19" t="s">
        <v>2095</v>
      </c>
      <c r="H1210" s="19" t="s">
        <v>1358</v>
      </c>
    </row>
    <row r="1211" spans="1:8">
      <c r="A1211" s="19">
        <v>118</v>
      </c>
      <c r="B1211" s="19" t="s">
        <v>750</v>
      </c>
      <c r="C1211" s="19" t="s">
        <v>295</v>
      </c>
      <c r="D1211" s="19" t="s">
        <v>1377</v>
      </c>
      <c r="E1211" s="19">
        <v>320000</v>
      </c>
      <c r="F1211" s="19">
        <v>320000</v>
      </c>
      <c r="G1211" s="19" t="s">
        <v>2095</v>
      </c>
      <c r="H1211" s="19" t="s">
        <v>1358</v>
      </c>
    </row>
    <row r="1212" spans="1:8">
      <c r="A1212" s="19">
        <v>119</v>
      </c>
      <c r="B1212" s="19" t="s">
        <v>750</v>
      </c>
      <c r="C1212" s="19" t="s">
        <v>295</v>
      </c>
      <c r="D1212" s="19" t="s">
        <v>238</v>
      </c>
      <c r="E1212" s="19" t="s">
        <v>315</v>
      </c>
      <c r="F1212" s="19" t="s">
        <v>315</v>
      </c>
      <c r="G1212" s="19" t="s">
        <v>2008</v>
      </c>
      <c r="H1212" s="19" t="s">
        <v>1358</v>
      </c>
    </row>
    <row r="1213" spans="1:8">
      <c r="A1213" s="19">
        <v>119</v>
      </c>
      <c r="B1213" s="19" t="s">
        <v>750</v>
      </c>
      <c r="C1213" s="19" t="s">
        <v>295</v>
      </c>
      <c r="D1213" s="19" t="s">
        <v>256</v>
      </c>
      <c r="E1213" s="19" t="s">
        <v>299</v>
      </c>
      <c r="F1213" s="19" t="s">
        <v>299</v>
      </c>
      <c r="G1213" s="19" t="s">
        <v>2096</v>
      </c>
      <c r="H1213" s="19" t="s">
        <v>1358</v>
      </c>
    </row>
    <row r="1214" spans="1:8">
      <c r="A1214" s="19">
        <v>119</v>
      </c>
      <c r="B1214" s="19" t="s">
        <v>750</v>
      </c>
      <c r="C1214" s="19" t="s">
        <v>295</v>
      </c>
      <c r="D1214" s="19" t="s">
        <v>244</v>
      </c>
      <c r="E1214" s="19">
        <v>311.3</v>
      </c>
      <c r="F1214" s="19">
        <v>311.3</v>
      </c>
      <c r="G1214" s="19" t="s">
        <v>2011</v>
      </c>
      <c r="H1214" s="19" t="s">
        <v>1358</v>
      </c>
    </row>
    <row r="1215" spans="1:8">
      <c r="A1215" s="19">
        <v>119</v>
      </c>
      <c r="B1215" s="19" t="s">
        <v>750</v>
      </c>
      <c r="C1215" s="19" t="s">
        <v>295</v>
      </c>
      <c r="D1215" s="19" t="s">
        <v>245</v>
      </c>
      <c r="E1215" s="19">
        <v>48</v>
      </c>
      <c r="F1215" s="19">
        <v>48</v>
      </c>
      <c r="G1215" s="19" t="s">
        <v>2097</v>
      </c>
      <c r="H1215" s="19" t="s">
        <v>1358</v>
      </c>
    </row>
    <row r="1216" spans="1:8">
      <c r="A1216" s="19">
        <v>119</v>
      </c>
      <c r="B1216" s="19" t="s">
        <v>750</v>
      </c>
      <c r="C1216" s="19" t="s">
        <v>295</v>
      </c>
      <c r="D1216" s="19" t="s">
        <v>253</v>
      </c>
      <c r="E1216" s="19" t="s">
        <v>297</v>
      </c>
      <c r="F1216" s="19" t="s">
        <v>297</v>
      </c>
      <c r="G1216" s="19" t="s">
        <v>2098</v>
      </c>
      <c r="H1216" s="19" t="s">
        <v>1358</v>
      </c>
    </row>
    <row r="1217" spans="1:8">
      <c r="A1217" s="19">
        <v>119</v>
      </c>
      <c r="B1217" s="19" t="s">
        <v>750</v>
      </c>
      <c r="C1217" s="19" t="s">
        <v>295</v>
      </c>
      <c r="D1217" s="19" t="s">
        <v>914</v>
      </c>
      <c r="E1217" s="19" t="s">
        <v>301</v>
      </c>
      <c r="F1217" s="19" t="s">
        <v>301</v>
      </c>
      <c r="G1217" s="19" t="s">
        <v>2099</v>
      </c>
      <c r="H1217" s="19" t="s">
        <v>1358</v>
      </c>
    </row>
    <row r="1218" spans="1:8">
      <c r="A1218" s="19">
        <v>119</v>
      </c>
      <c r="B1218" s="19" t="s">
        <v>750</v>
      </c>
      <c r="C1218" s="19" t="s">
        <v>295</v>
      </c>
      <c r="D1218" s="19" t="s">
        <v>1377</v>
      </c>
      <c r="E1218" s="19">
        <v>75000</v>
      </c>
      <c r="F1218" s="19">
        <v>75000</v>
      </c>
      <c r="G1218" s="19" t="s">
        <v>2099</v>
      </c>
      <c r="H1218" s="19" t="s">
        <v>1358</v>
      </c>
    </row>
    <row r="1219" spans="1:8">
      <c r="A1219" s="19">
        <v>120</v>
      </c>
      <c r="B1219" s="19" t="s">
        <v>750</v>
      </c>
      <c r="C1219" s="19" t="s">
        <v>295</v>
      </c>
      <c r="D1219" s="19" t="s">
        <v>238</v>
      </c>
      <c r="E1219" s="19" t="s">
        <v>318</v>
      </c>
      <c r="F1219" s="19" t="s">
        <v>318</v>
      </c>
      <c r="G1219" s="19" t="s">
        <v>2012</v>
      </c>
      <c r="H1219" s="19" t="s">
        <v>1358</v>
      </c>
    </row>
    <row r="1220" spans="1:8">
      <c r="A1220" s="19">
        <v>120</v>
      </c>
      <c r="B1220" s="19" t="s">
        <v>750</v>
      </c>
      <c r="C1220" s="19" t="s">
        <v>295</v>
      </c>
      <c r="D1220" s="19" t="s">
        <v>256</v>
      </c>
      <c r="E1220" s="19" t="s">
        <v>299</v>
      </c>
      <c r="F1220" s="19" t="s">
        <v>299</v>
      </c>
      <c r="G1220" s="19" t="s">
        <v>2100</v>
      </c>
      <c r="H1220" s="19" t="s">
        <v>1358</v>
      </c>
    </row>
    <row r="1221" spans="1:8">
      <c r="A1221" s="19">
        <v>120</v>
      </c>
      <c r="B1221" s="19" t="s">
        <v>750</v>
      </c>
      <c r="C1221" s="19" t="s">
        <v>295</v>
      </c>
      <c r="D1221" s="19" t="s">
        <v>244</v>
      </c>
      <c r="E1221" s="19">
        <v>32</v>
      </c>
      <c r="F1221" s="19">
        <v>32</v>
      </c>
      <c r="G1221" s="19" t="s">
        <v>2014</v>
      </c>
      <c r="H1221" s="19" t="s">
        <v>1358</v>
      </c>
    </row>
    <row r="1222" spans="1:8">
      <c r="A1222" s="19">
        <v>120</v>
      </c>
      <c r="B1222" s="19" t="s">
        <v>750</v>
      </c>
      <c r="C1222" s="19" t="s">
        <v>295</v>
      </c>
      <c r="D1222" s="19" t="s">
        <v>245</v>
      </c>
      <c r="E1222" s="19">
        <v>1</v>
      </c>
      <c r="F1222" s="19">
        <v>1</v>
      </c>
      <c r="G1222" s="19" t="s">
        <v>2101</v>
      </c>
      <c r="H1222" s="19" t="s">
        <v>1358</v>
      </c>
    </row>
    <row r="1223" spans="1:8">
      <c r="A1223" s="19">
        <v>120</v>
      </c>
      <c r="B1223" s="19" t="s">
        <v>750</v>
      </c>
      <c r="C1223" s="19" t="s">
        <v>295</v>
      </c>
      <c r="D1223" s="19" t="s">
        <v>253</v>
      </c>
      <c r="E1223" s="19" t="s">
        <v>297</v>
      </c>
      <c r="F1223" s="19" t="s">
        <v>297</v>
      </c>
      <c r="G1223" s="19" t="s">
        <v>2102</v>
      </c>
      <c r="H1223" s="19" t="s">
        <v>1358</v>
      </c>
    </row>
    <row r="1224" spans="1:8">
      <c r="A1224" s="19">
        <v>120</v>
      </c>
      <c r="B1224" s="19" t="s">
        <v>750</v>
      </c>
      <c r="C1224" s="19" t="s">
        <v>295</v>
      </c>
      <c r="D1224" s="19" t="s">
        <v>914</v>
      </c>
      <c r="E1224" s="19" t="s">
        <v>301</v>
      </c>
      <c r="F1224" s="19" t="s">
        <v>301</v>
      </c>
      <c r="G1224" s="19" t="s">
        <v>2103</v>
      </c>
      <c r="H1224" s="19" t="s">
        <v>1358</v>
      </c>
    </row>
    <row r="1225" spans="1:8">
      <c r="A1225" s="19">
        <v>120</v>
      </c>
      <c r="B1225" s="19" t="s">
        <v>750</v>
      </c>
      <c r="C1225" s="19" t="s">
        <v>295</v>
      </c>
      <c r="D1225" s="19" t="s">
        <v>1377</v>
      </c>
      <c r="E1225" s="19">
        <v>60000</v>
      </c>
      <c r="F1225" s="19">
        <v>60000</v>
      </c>
      <c r="G1225" s="19" t="s">
        <v>2103</v>
      </c>
      <c r="H1225" s="19" t="s">
        <v>1358</v>
      </c>
    </row>
    <row r="1226" spans="1:8">
      <c r="A1226" s="19">
        <v>121</v>
      </c>
      <c r="B1226" s="19" t="s">
        <v>750</v>
      </c>
      <c r="C1226" s="19" t="s">
        <v>295</v>
      </c>
      <c r="D1226" s="19" t="s">
        <v>238</v>
      </c>
      <c r="E1226" s="19" t="s">
        <v>322</v>
      </c>
      <c r="F1226" s="19" t="s">
        <v>322</v>
      </c>
      <c r="G1226" s="19" t="s">
        <v>2015</v>
      </c>
      <c r="H1226" s="19" t="s">
        <v>1358</v>
      </c>
    </row>
    <row r="1227" spans="1:8">
      <c r="A1227" s="19">
        <v>121</v>
      </c>
      <c r="B1227" s="19" t="s">
        <v>750</v>
      </c>
      <c r="C1227" s="19" t="s">
        <v>295</v>
      </c>
      <c r="D1227" s="19" t="s">
        <v>256</v>
      </c>
      <c r="E1227" s="19" t="s">
        <v>299</v>
      </c>
      <c r="F1227" s="19" t="s">
        <v>299</v>
      </c>
      <c r="G1227" s="19" t="s">
        <v>2104</v>
      </c>
      <c r="H1227" s="19" t="s">
        <v>1358</v>
      </c>
    </row>
    <row r="1228" spans="1:8">
      <c r="A1228" s="19">
        <v>121</v>
      </c>
      <c r="B1228" s="19" t="s">
        <v>750</v>
      </c>
      <c r="C1228" s="19" t="s">
        <v>295</v>
      </c>
      <c r="D1228" s="19" t="s">
        <v>244</v>
      </c>
      <c r="E1228" s="19">
        <v>36.15</v>
      </c>
      <c r="F1228" s="19">
        <v>36.15</v>
      </c>
      <c r="G1228" s="19" t="s">
        <v>2017</v>
      </c>
      <c r="H1228" s="19" t="s">
        <v>1358</v>
      </c>
    </row>
    <row r="1229" spans="1:8">
      <c r="A1229" s="19">
        <v>121</v>
      </c>
      <c r="B1229" s="19" t="s">
        <v>750</v>
      </c>
      <c r="C1229" s="19" t="s">
        <v>295</v>
      </c>
      <c r="D1229" s="19" t="s">
        <v>245</v>
      </c>
      <c r="E1229" s="19">
        <v>13.1</v>
      </c>
      <c r="F1229" s="19">
        <v>13.1</v>
      </c>
      <c r="G1229" s="19" t="s">
        <v>2105</v>
      </c>
      <c r="H1229" s="19" t="s">
        <v>1358</v>
      </c>
    </row>
    <row r="1230" spans="1:8">
      <c r="A1230" s="19">
        <v>121</v>
      </c>
      <c r="B1230" s="19" t="s">
        <v>750</v>
      </c>
      <c r="C1230" s="19" t="s">
        <v>295</v>
      </c>
      <c r="D1230" s="19" t="s">
        <v>253</v>
      </c>
      <c r="E1230" s="19" t="s">
        <v>297</v>
      </c>
      <c r="F1230" s="19" t="s">
        <v>297</v>
      </c>
      <c r="G1230" s="19" t="s">
        <v>2106</v>
      </c>
      <c r="H1230" s="19" t="s">
        <v>1358</v>
      </c>
    </row>
    <row r="1231" spans="1:8">
      <c r="A1231" s="19">
        <v>121</v>
      </c>
      <c r="B1231" s="19" t="s">
        <v>750</v>
      </c>
      <c r="C1231" s="19" t="s">
        <v>295</v>
      </c>
      <c r="D1231" s="19" t="s">
        <v>914</v>
      </c>
      <c r="E1231" s="19" t="s">
        <v>301</v>
      </c>
      <c r="F1231" s="19" t="s">
        <v>301</v>
      </c>
      <c r="G1231" s="19" t="s">
        <v>2107</v>
      </c>
      <c r="H1231" s="19" t="s">
        <v>1358</v>
      </c>
    </row>
    <row r="1232" spans="1:8">
      <c r="A1232" s="19">
        <v>121</v>
      </c>
      <c r="B1232" s="19" t="s">
        <v>750</v>
      </c>
      <c r="C1232" s="19" t="s">
        <v>295</v>
      </c>
      <c r="D1232" s="19" t="s">
        <v>1377</v>
      </c>
      <c r="E1232" s="19">
        <v>60000</v>
      </c>
      <c r="F1232" s="19">
        <v>60000</v>
      </c>
      <c r="G1232" s="19" t="s">
        <v>2107</v>
      </c>
      <c r="H1232" s="19" t="s">
        <v>1358</v>
      </c>
    </row>
    <row r="1233" spans="1:8">
      <c r="A1233" s="19">
        <v>122</v>
      </c>
      <c r="B1233" s="19" t="s">
        <v>750</v>
      </c>
      <c r="C1233" s="19" t="s">
        <v>295</v>
      </c>
      <c r="D1233" s="19" t="s">
        <v>238</v>
      </c>
      <c r="E1233" s="19" t="s">
        <v>325</v>
      </c>
      <c r="F1233" s="19" t="s">
        <v>325</v>
      </c>
      <c r="G1233" s="19" t="s">
        <v>2018</v>
      </c>
      <c r="H1233" s="19" t="s">
        <v>1358</v>
      </c>
    </row>
    <row r="1234" spans="1:8">
      <c r="A1234" s="19">
        <v>122</v>
      </c>
      <c r="B1234" s="19" t="s">
        <v>750</v>
      </c>
      <c r="C1234" s="19" t="s">
        <v>295</v>
      </c>
      <c r="D1234" s="19" t="s">
        <v>256</v>
      </c>
      <c r="E1234" s="19" t="s">
        <v>299</v>
      </c>
      <c r="F1234" s="19" t="s">
        <v>299</v>
      </c>
      <c r="G1234" s="19" t="s">
        <v>2108</v>
      </c>
      <c r="H1234" s="19" t="s">
        <v>1358</v>
      </c>
    </row>
    <row r="1235" spans="1:8">
      <c r="A1235" s="19">
        <v>122</v>
      </c>
      <c r="B1235" s="19" t="s">
        <v>750</v>
      </c>
      <c r="C1235" s="19" t="s">
        <v>295</v>
      </c>
      <c r="D1235" s="19" t="s">
        <v>244</v>
      </c>
      <c r="E1235" s="19">
        <v>51.5</v>
      </c>
      <c r="F1235" s="19">
        <v>51.5</v>
      </c>
      <c r="G1235" s="19" t="s">
        <v>2020</v>
      </c>
      <c r="H1235" s="19" t="s">
        <v>1358</v>
      </c>
    </row>
    <row r="1236" spans="1:8">
      <c r="A1236" s="19">
        <v>122</v>
      </c>
      <c r="B1236" s="19" t="s">
        <v>750</v>
      </c>
      <c r="C1236" s="19" t="s">
        <v>295</v>
      </c>
      <c r="D1236" s="19" t="s">
        <v>253</v>
      </c>
      <c r="E1236" s="19" t="s">
        <v>297</v>
      </c>
      <c r="F1236" s="19" t="s">
        <v>297</v>
      </c>
      <c r="G1236" s="19" t="s">
        <v>2109</v>
      </c>
      <c r="H1236" s="19" t="s">
        <v>1358</v>
      </c>
    </row>
    <row r="1237" spans="1:8">
      <c r="A1237" s="19">
        <v>122</v>
      </c>
      <c r="B1237" s="19" t="s">
        <v>750</v>
      </c>
      <c r="C1237" s="19" t="s">
        <v>295</v>
      </c>
      <c r="D1237" s="19" t="s">
        <v>914</v>
      </c>
      <c r="E1237" s="19" t="s">
        <v>301</v>
      </c>
      <c r="F1237" s="19" t="s">
        <v>301</v>
      </c>
      <c r="G1237" s="19" t="s">
        <v>2110</v>
      </c>
      <c r="H1237" s="19" t="s">
        <v>1358</v>
      </c>
    </row>
    <row r="1238" spans="1:8">
      <c r="A1238" s="19">
        <v>122</v>
      </c>
      <c r="B1238" s="19" t="s">
        <v>750</v>
      </c>
      <c r="C1238" s="19" t="s">
        <v>295</v>
      </c>
      <c r="D1238" s="19" t="s">
        <v>1377</v>
      </c>
      <c r="E1238" s="19">
        <v>10000</v>
      </c>
      <c r="F1238" s="19">
        <v>10000</v>
      </c>
      <c r="G1238" s="19" t="s">
        <v>2110</v>
      </c>
      <c r="H1238" s="19" t="s">
        <v>1358</v>
      </c>
    </row>
    <row r="1239" spans="1:8">
      <c r="A1239" s="19">
        <v>123</v>
      </c>
      <c r="B1239" s="19" t="s">
        <v>750</v>
      </c>
      <c r="C1239" s="19" t="s">
        <v>295</v>
      </c>
      <c r="D1239" s="19" t="s">
        <v>238</v>
      </c>
      <c r="E1239" s="19" t="s">
        <v>329</v>
      </c>
      <c r="F1239" s="19" t="s">
        <v>329</v>
      </c>
      <c r="G1239" s="19" t="s">
        <v>2021</v>
      </c>
      <c r="H1239" s="19" t="s">
        <v>1358</v>
      </c>
    </row>
    <row r="1240" spans="1:8">
      <c r="A1240" s="19">
        <v>123</v>
      </c>
      <c r="B1240" s="19" t="s">
        <v>750</v>
      </c>
      <c r="C1240" s="19" t="s">
        <v>295</v>
      </c>
      <c r="D1240" s="19" t="s">
        <v>256</v>
      </c>
      <c r="E1240" s="19" t="s">
        <v>299</v>
      </c>
      <c r="F1240" s="19" t="s">
        <v>299</v>
      </c>
      <c r="G1240" s="19" t="s">
        <v>2111</v>
      </c>
      <c r="H1240" s="19" t="s">
        <v>1358</v>
      </c>
    </row>
    <row r="1241" spans="1:8">
      <c r="A1241" s="19">
        <v>123</v>
      </c>
      <c r="B1241" s="19" t="s">
        <v>750</v>
      </c>
      <c r="C1241" s="19" t="s">
        <v>295</v>
      </c>
      <c r="D1241" s="19" t="s">
        <v>244</v>
      </c>
      <c r="E1241" s="19">
        <v>41</v>
      </c>
      <c r="F1241" s="19">
        <v>41</v>
      </c>
      <c r="G1241" s="19" t="s">
        <v>2023</v>
      </c>
      <c r="H1241" s="19" t="s">
        <v>1358</v>
      </c>
    </row>
    <row r="1242" spans="1:8">
      <c r="A1242" s="19">
        <v>123</v>
      </c>
      <c r="B1242" s="19" t="s">
        <v>750</v>
      </c>
      <c r="C1242" s="19" t="s">
        <v>295</v>
      </c>
      <c r="D1242" s="19" t="s">
        <v>245</v>
      </c>
      <c r="E1242" s="19">
        <v>3.9</v>
      </c>
      <c r="F1242" s="19">
        <v>3.9</v>
      </c>
      <c r="G1242" s="19" t="s">
        <v>2112</v>
      </c>
      <c r="H1242" s="19" t="s">
        <v>1358</v>
      </c>
    </row>
    <row r="1243" spans="1:8">
      <c r="A1243" s="19">
        <v>123</v>
      </c>
      <c r="B1243" s="19" t="s">
        <v>750</v>
      </c>
      <c r="C1243" s="19" t="s">
        <v>295</v>
      </c>
      <c r="D1243" s="19" t="s">
        <v>253</v>
      </c>
      <c r="E1243" s="19" t="s">
        <v>297</v>
      </c>
      <c r="F1243" s="19" t="s">
        <v>297</v>
      </c>
      <c r="G1243" s="19" t="s">
        <v>2113</v>
      </c>
      <c r="H1243" s="19" t="s">
        <v>1358</v>
      </c>
    </row>
    <row r="1244" spans="1:8">
      <c r="A1244" s="19">
        <v>123</v>
      </c>
      <c r="B1244" s="19" t="s">
        <v>750</v>
      </c>
      <c r="C1244" s="19" t="s">
        <v>295</v>
      </c>
      <c r="D1244" s="19" t="s">
        <v>914</v>
      </c>
      <c r="E1244" s="19" t="s">
        <v>301</v>
      </c>
      <c r="F1244" s="19" t="s">
        <v>301</v>
      </c>
      <c r="G1244" s="19" t="s">
        <v>2114</v>
      </c>
      <c r="H1244" s="19" t="s">
        <v>1358</v>
      </c>
    </row>
    <row r="1245" spans="1:8">
      <c r="A1245" s="19">
        <v>123</v>
      </c>
      <c r="B1245" s="19" t="s">
        <v>750</v>
      </c>
      <c r="C1245" s="19" t="s">
        <v>295</v>
      </c>
      <c r="D1245" s="19" t="s">
        <v>1377</v>
      </c>
      <c r="E1245" s="19">
        <v>8000</v>
      </c>
      <c r="F1245" s="19">
        <v>8000</v>
      </c>
      <c r="G1245" s="19" t="s">
        <v>2114</v>
      </c>
      <c r="H1245" s="19" t="s">
        <v>1358</v>
      </c>
    </row>
    <row r="1246" spans="1:8">
      <c r="A1246" s="19">
        <v>124</v>
      </c>
      <c r="B1246" s="19" t="s">
        <v>750</v>
      </c>
      <c r="C1246" s="19" t="s">
        <v>295</v>
      </c>
      <c r="D1246" s="19" t="s">
        <v>238</v>
      </c>
      <c r="E1246" s="19" t="s">
        <v>333</v>
      </c>
      <c r="F1246" s="19" t="s">
        <v>333</v>
      </c>
      <c r="G1246" s="19" t="s">
        <v>2024</v>
      </c>
      <c r="H1246" s="19" t="s">
        <v>1358</v>
      </c>
    </row>
    <row r="1247" spans="1:8">
      <c r="A1247" s="19">
        <v>124</v>
      </c>
      <c r="B1247" s="19" t="s">
        <v>750</v>
      </c>
      <c r="C1247" s="19" t="s">
        <v>295</v>
      </c>
      <c r="D1247" s="19" t="s">
        <v>244</v>
      </c>
      <c r="E1247" s="19">
        <v>120</v>
      </c>
      <c r="F1247" s="19">
        <v>120</v>
      </c>
      <c r="G1247" s="19" t="s">
        <v>2026</v>
      </c>
      <c r="H1247" s="19" t="s">
        <v>1358</v>
      </c>
    </row>
    <row r="1248" spans="1:8">
      <c r="A1248" s="19">
        <v>124</v>
      </c>
      <c r="B1248" s="19" t="s">
        <v>750</v>
      </c>
      <c r="C1248" s="19" t="s">
        <v>295</v>
      </c>
      <c r="D1248" s="19" t="s">
        <v>245</v>
      </c>
      <c r="E1248" s="19">
        <v>13.7</v>
      </c>
      <c r="F1248" s="19">
        <v>13.7</v>
      </c>
      <c r="G1248" s="19" t="s">
        <v>2115</v>
      </c>
      <c r="H1248" s="19" t="s">
        <v>1358</v>
      </c>
    </row>
    <row r="1249" spans="1:8">
      <c r="A1249" s="19">
        <v>124</v>
      </c>
      <c r="B1249" s="19" t="s">
        <v>750</v>
      </c>
      <c r="C1249" s="19" t="s">
        <v>295</v>
      </c>
      <c r="D1249" s="19" t="s">
        <v>253</v>
      </c>
      <c r="E1249" s="19" t="s">
        <v>297</v>
      </c>
      <c r="F1249" s="19" t="s">
        <v>297</v>
      </c>
      <c r="G1249" s="19" t="s">
        <v>2116</v>
      </c>
      <c r="H1249" s="19" t="s">
        <v>1358</v>
      </c>
    </row>
    <row r="1250" spans="1:8">
      <c r="A1250" s="19">
        <v>124</v>
      </c>
      <c r="B1250" s="19" t="s">
        <v>750</v>
      </c>
      <c r="C1250" s="19" t="s">
        <v>295</v>
      </c>
      <c r="D1250" s="19" t="s">
        <v>914</v>
      </c>
      <c r="E1250" s="19" t="s">
        <v>301</v>
      </c>
      <c r="F1250" s="19" t="s">
        <v>301</v>
      </c>
      <c r="G1250" s="19" t="s">
        <v>2117</v>
      </c>
      <c r="H1250" s="19" t="s">
        <v>1358</v>
      </c>
    </row>
    <row r="1251" spans="1:8">
      <c r="A1251" s="19">
        <v>124</v>
      </c>
      <c r="B1251" s="19" t="s">
        <v>750</v>
      </c>
      <c r="C1251" s="19" t="s">
        <v>295</v>
      </c>
      <c r="D1251" s="19" t="s">
        <v>1377</v>
      </c>
      <c r="E1251" s="19">
        <v>40000</v>
      </c>
      <c r="F1251" s="19">
        <v>40000</v>
      </c>
      <c r="G1251" s="19" t="s">
        <v>2117</v>
      </c>
      <c r="H1251" s="19" t="s">
        <v>1358</v>
      </c>
    </row>
    <row r="1252" spans="1:8">
      <c r="A1252" s="19">
        <v>125</v>
      </c>
      <c r="B1252" s="19" t="s">
        <v>750</v>
      </c>
      <c r="C1252" s="19" t="s">
        <v>295</v>
      </c>
      <c r="D1252" s="19" t="s">
        <v>238</v>
      </c>
      <c r="E1252" s="19" t="s">
        <v>337</v>
      </c>
      <c r="F1252" s="19" t="s">
        <v>337</v>
      </c>
      <c r="G1252" s="19" t="s">
        <v>2027</v>
      </c>
      <c r="H1252" s="19" t="s">
        <v>1358</v>
      </c>
    </row>
    <row r="1253" spans="1:8">
      <c r="A1253" s="19">
        <v>125</v>
      </c>
      <c r="B1253" s="19" t="s">
        <v>750</v>
      </c>
      <c r="C1253" s="19" t="s">
        <v>295</v>
      </c>
      <c r="D1253" s="19" t="s">
        <v>256</v>
      </c>
      <c r="E1253" s="19" t="s">
        <v>339</v>
      </c>
      <c r="F1253" s="19" t="s">
        <v>1433</v>
      </c>
      <c r="G1253" s="19" t="s">
        <v>2118</v>
      </c>
      <c r="H1253" s="19" t="s">
        <v>1358</v>
      </c>
    </row>
    <row r="1254" spans="1:8">
      <c r="A1254" s="19">
        <v>125</v>
      </c>
      <c r="B1254" s="19" t="s">
        <v>750</v>
      </c>
      <c r="C1254" s="19" t="s">
        <v>295</v>
      </c>
      <c r="D1254" s="19" t="s">
        <v>244</v>
      </c>
      <c r="E1254" s="19">
        <v>27.2</v>
      </c>
      <c r="F1254" s="19">
        <v>27.2</v>
      </c>
      <c r="G1254" s="19" t="s">
        <v>2029</v>
      </c>
      <c r="H1254" s="19" t="s">
        <v>1358</v>
      </c>
    </row>
    <row r="1255" spans="1:8">
      <c r="A1255" s="19">
        <v>125</v>
      </c>
      <c r="B1255" s="19" t="s">
        <v>750</v>
      </c>
      <c r="C1255" s="19" t="s">
        <v>295</v>
      </c>
      <c r="D1255" s="19" t="s">
        <v>253</v>
      </c>
      <c r="E1255" s="19" t="s">
        <v>119</v>
      </c>
      <c r="F1255" s="19" t="s">
        <v>119</v>
      </c>
      <c r="G1255" s="19" t="s">
        <v>2119</v>
      </c>
      <c r="H1255" s="19" t="s">
        <v>1358</v>
      </c>
    </row>
    <row r="1256" spans="1:8">
      <c r="A1256" s="19">
        <v>125</v>
      </c>
      <c r="B1256" s="19" t="s">
        <v>750</v>
      </c>
      <c r="C1256" s="19" t="s">
        <v>295</v>
      </c>
      <c r="D1256" s="19" t="s">
        <v>914</v>
      </c>
      <c r="E1256" s="19" t="s">
        <v>301</v>
      </c>
      <c r="F1256" s="19" t="s">
        <v>301</v>
      </c>
      <c r="G1256" s="19" t="s">
        <v>2120</v>
      </c>
      <c r="H1256" s="19" t="s">
        <v>1358</v>
      </c>
    </row>
    <row r="1257" spans="1:8">
      <c r="A1257" s="19">
        <v>125</v>
      </c>
      <c r="B1257" s="19" t="s">
        <v>750</v>
      </c>
      <c r="C1257" s="19" t="s">
        <v>295</v>
      </c>
      <c r="D1257" s="19" t="s">
        <v>1377</v>
      </c>
      <c r="E1257" s="19">
        <v>5000</v>
      </c>
      <c r="F1257" s="19">
        <v>5000</v>
      </c>
      <c r="G1257" s="19" t="s">
        <v>2120</v>
      </c>
      <c r="H1257" s="19" t="s">
        <v>1358</v>
      </c>
    </row>
    <row r="1258" spans="1:8">
      <c r="A1258" s="19">
        <v>126</v>
      </c>
      <c r="B1258" s="19" t="s">
        <v>750</v>
      </c>
      <c r="C1258" s="19" t="s">
        <v>295</v>
      </c>
      <c r="D1258" s="19" t="s">
        <v>238</v>
      </c>
      <c r="E1258" s="19" t="s">
        <v>342</v>
      </c>
      <c r="F1258" s="19" t="s">
        <v>342</v>
      </c>
      <c r="G1258" s="19" t="s">
        <v>2030</v>
      </c>
      <c r="H1258" s="19" t="s">
        <v>1358</v>
      </c>
    </row>
    <row r="1259" spans="1:8">
      <c r="A1259" s="19">
        <v>126</v>
      </c>
      <c r="B1259" s="19" t="s">
        <v>750</v>
      </c>
      <c r="C1259" s="19" t="s">
        <v>295</v>
      </c>
      <c r="D1259" s="19" t="s">
        <v>256</v>
      </c>
      <c r="E1259" s="19" t="s">
        <v>343</v>
      </c>
      <c r="F1259" s="19" t="s">
        <v>1440</v>
      </c>
      <c r="G1259" s="19" t="s">
        <v>2121</v>
      </c>
      <c r="H1259" s="19" t="s">
        <v>1358</v>
      </c>
    </row>
    <row r="1260" spans="1:8">
      <c r="A1260" s="19">
        <v>126</v>
      </c>
      <c r="B1260" s="19" t="s">
        <v>750</v>
      </c>
      <c r="C1260" s="19" t="s">
        <v>295</v>
      </c>
      <c r="D1260" s="19" t="s">
        <v>244</v>
      </c>
      <c r="E1260" s="19">
        <v>40.799999999999997</v>
      </c>
      <c r="F1260" s="19">
        <v>40.799999999999997</v>
      </c>
      <c r="G1260" s="19" t="s">
        <v>2032</v>
      </c>
      <c r="H1260" s="19" t="s">
        <v>1358</v>
      </c>
    </row>
    <row r="1261" spans="1:8">
      <c r="A1261" s="19">
        <v>126</v>
      </c>
      <c r="B1261" s="19" t="s">
        <v>750</v>
      </c>
      <c r="C1261" s="19" t="s">
        <v>295</v>
      </c>
      <c r="D1261" s="19" t="s">
        <v>245</v>
      </c>
      <c r="E1261" s="19">
        <v>0.83</v>
      </c>
      <c r="F1261" s="19">
        <v>0.83</v>
      </c>
      <c r="G1261" s="19" t="s">
        <v>2122</v>
      </c>
      <c r="H1261" s="19" t="s">
        <v>1358</v>
      </c>
    </row>
    <row r="1262" spans="1:8">
      <c r="A1262" s="19">
        <v>126</v>
      </c>
      <c r="B1262" s="19" t="s">
        <v>750</v>
      </c>
      <c r="C1262" s="19" t="s">
        <v>295</v>
      </c>
      <c r="D1262" s="19" t="s">
        <v>253</v>
      </c>
      <c r="E1262" s="19" t="s">
        <v>297</v>
      </c>
      <c r="F1262" s="19" t="s">
        <v>297</v>
      </c>
      <c r="G1262" s="19" t="s">
        <v>2123</v>
      </c>
      <c r="H1262" s="19" t="s">
        <v>1358</v>
      </c>
    </row>
    <row r="1263" spans="1:8">
      <c r="A1263" s="19">
        <v>126</v>
      </c>
      <c r="B1263" s="19" t="s">
        <v>750</v>
      </c>
      <c r="C1263" s="19" t="s">
        <v>295</v>
      </c>
      <c r="D1263" s="19" t="s">
        <v>914</v>
      </c>
      <c r="E1263" s="19" t="s">
        <v>301</v>
      </c>
      <c r="F1263" s="19" t="s">
        <v>301</v>
      </c>
      <c r="G1263" s="19" t="s">
        <v>2124</v>
      </c>
      <c r="H1263" s="19" t="s">
        <v>1358</v>
      </c>
    </row>
    <row r="1264" spans="1:8">
      <c r="A1264" s="19">
        <v>126</v>
      </c>
      <c r="B1264" s="19" t="s">
        <v>750</v>
      </c>
      <c r="C1264" s="19" t="s">
        <v>295</v>
      </c>
      <c r="D1264" s="19" t="s">
        <v>1377</v>
      </c>
      <c r="E1264" s="19">
        <v>3000</v>
      </c>
      <c r="F1264" s="19">
        <v>3000</v>
      </c>
      <c r="G1264" s="19" t="s">
        <v>2124</v>
      </c>
      <c r="H1264" s="19" t="s">
        <v>1358</v>
      </c>
    </row>
    <row r="1265" spans="1:8">
      <c r="A1265" s="19">
        <v>127</v>
      </c>
      <c r="B1265" s="19" t="s">
        <v>750</v>
      </c>
      <c r="C1265" s="19" t="s">
        <v>295</v>
      </c>
      <c r="D1265" s="19" t="s">
        <v>238</v>
      </c>
      <c r="E1265" s="19" t="s">
        <v>346</v>
      </c>
      <c r="F1265" s="19" t="s">
        <v>346</v>
      </c>
      <c r="G1265" s="19" t="s">
        <v>2033</v>
      </c>
      <c r="H1265" s="19" t="s">
        <v>1358</v>
      </c>
    </row>
    <row r="1266" spans="1:8">
      <c r="A1266" s="19">
        <v>127</v>
      </c>
      <c r="B1266" s="19" t="s">
        <v>750</v>
      </c>
      <c r="C1266" s="19" t="s">
        <v>295</v>
      </c>
      <c r="D1266" s="19" t="s">
        <v>256</v>
      </c>
      <c r="E1266" s="19" t="s">
        <v>299</v>
      </c>
      <c r="F1266" s="19" t="s">
        <v>299</v>
      </c>
      <c r="G1266" s="19" t="s">
        <v>2125</v>
      </c>
      <c r="H1266" s="19" t="s">
        <v>1358</v>
      </c>
    </row>
    <row r="1267" spans="1:8">
      <c r="A1267" s="19">
        <v>127</v>
      </c>
      <c r="B1267" s="19" t="s">
        <v>750</v>
      </c>
      <c r="C1267" s="19" t="s">
        <v>295</v>
      </c>
      <c r="D1267" s="19" t="s">
        <v>253</v>
      </c>
      <c r="E1267" s="19" t="s">
        <v>297</v>
      </c>
      <c r="F1267" s="19" t="s">
        <v>297</v>
      </c>
      <c r="G1267" s="19" t="s">
        <v>2126</v>
      </c>
      <c r="H1267" s="19" t="s">
        <v>1358</v>
      </c>
    </row>
    <row r="1268" spans="1:8">
      <c r="A1268" s="19">
        <v>127</v>
      </c>
      <c r="B1268" s="19" t="s">
        <v>750</v>
      </c>
      <c r="C1268" s="19" t="s">
        <v>295</v>
      </c>
      <c r="D1268" s="19" t="s">
        <v>914</v>
      </c>
      <c r="E1268" s="19" t="s">
        <v>301</v>
      </c>
      <c r="F1268" s="19" t="s">
        <v>301</v>
      </c>
      <c r="G1268" s="19" t="s">
        <v>2127</v>
      </c>
      <c r="H1268" s="19" t="s">
        <v>1358</v>
      </c>
    </row>
    <row r="1269" spans="1:8">
      <c r="A1269" s="19">
        <v>127</v>
      </c>
      <c r="B1269" s="19" t="s">
        <v>750</v>
      </c>
      <c r="C1269" s="19" t="s">
        <v>295</v>
      </c>
      <c r="D1269" s="19" t="s">
        <v>1377</v>
      </c>
      <c r="E1269" s="19">
        <v>3000</v>
      </c>
      <c r="F1269" s="19">
        <v>3000</v>
      </c>
      <c r="G1269" s="19" t="s">
        <v>2127</v>
      </c>
      <c r="H1269" s="19" t="s">
        <v>1358</v>
      </c>
    </row>
    <row r="1270" spans="1:8">
      <c r="A1270" s="19">
        <v>128</v>
      </c>
      <c r="B1270" s="19" t="s">
        <v>750</v>
      </c>
      <c r="C1270" s="19" t="s">
        <v>295</v>
      </c>
      <c r="D1270" s="19" t="s">
        <v>238</v>
      </c>
      <c r="E1270" s="19" t="s">
        <v>349</v>
      </c>
      <c r="F1270" s="19" t="s">
        <v>349</v>
      </c>
      <c r="G1270" s="19" t="s">
        <v>2036</v>
      </c>
      <c r="H1270" s="19" t="s">
        <v>1358</v>
      </c>
    </row>
    <row r="1271" spans="1:8">
      <c r="A1271" s="19">
        <v>128</v>
      </c>
      <c r="B1271" s="19" t="s">
        <v>750</v>
      </c>
      <c r="C1271" s="19" t="s">
        <v>295</v>
      </c>
      <c r="D1271" s="19" t="s">
        <v>256</v>
      </c>
      <c r="E1271" s="19" t="s">
        <v>299</v>
      </c>
      <c r="F1271" s="19" t="s">
        <v>299</v>
      </c>
      <c r="G1271" s="19" t="s">
        <v>2128</v>
      </c>
      <c r="H1271" s="19" t="s">
        <v>1358</v>
      </c>
    </row>
    <row r="1272" spans="1:8">
      <c r="A1272" s="19">
        <v>128</v>
      </c>
      <c r="B1272" s="19" t="s">
        <v>750</v>
      </c>
      <c r="C1272" s="19" t="s">
        <v>295</v>
      </c>
      <c r="D1272" s="19" t="s">
        <v>253</v>
      </c>
      <c r="E1272" s="19" t="s">
        <v>297</v>
      </c>
      <c r="F1272" s="19" t="s">
        <v>297</v>
      </c>
      <c r="G1272" s="19" t="s">
        <v>2129</v>
      </c>
      <c r="H1272" s="19" t="s">
        <v>1358</v>
      </c>
    </row>
    <row r="1273" spans="1:8">
      <c r="A1273" s="19">
        <v>128</v>
      </c>
      <c r="B1273" s="19" t="s">
        <v>750</v>
      </c>
      <c r="C1273" s="19" t="s">
        <v>295</v>
      </c>
      <c r="D1273" s="19" t="s">
        <v>914</v>
      </c>
      <c r="E1273" s="19" t="s">
        <v>301</v>
      </c>
      <c r="F1273" s="19" t="s">
        <v>301</v>
      </c>
      <c r="G1273" s="19" t="s">
        <v>2130</v>
      </c>
      <c r="H1273" s="19" t="s">
        <v>1358</v>
      </c>
    </row>
    <row r="1274" spans="1:8">
      <c r="A1274" s="19">
        <v>128</v>
      </c>
      <c r="B1274" s="19" t="s">
        <v>750</v>
      </c>
      <c r="C1274" s="19" t="s">
        <v>295</v>
      </c>
      <c r="D1274" s="19" t="s">
        <v>1377</v>
      </c>
      <c r="E1274" s="19">
        <v>40000</v>
      </c>
      <c r="F1274" s="19">
        <v>40000</v>
      </c>
      <c r="G1274" s="19" t="s">
        <v>2130</v>
      </c>
      <c r="H1274" s="19" t="s">
        <v>1358</v>
      </c>
    </row>
    <row r="1275" spans="1:8">
      <c r="A1275" s="19">
        <v>129</v>
      </c>
      <c r="B1275" s="19" t="s">
        <v>682</v>
      </c>
      <c r="C1275" s="19" t="s">
        <v>683</v>
      </c>
      <c r="D1275" s="19" t="s">
        <v>238</v>
      </c>
      <c r="E1275" s="19" t="s">
        <v>681</v>
      </c>
      <c r="F1275" s="19" t="s">
        <v>681</v>
      </c>
      <c r="G1275" s="19" t="s">
        <v>2008</v>
      </c>
      <c r="H1275" s="19" t="s">
        <v>1358</v>
      </c>
    </row>
    <row r="1276" spans="1:8">
      <c r="A1276" s="19">
        <v>129</v>
      </c>
      <c r="B1276" s="19" t="s">
        <v>682</v>
      </c>
      <c r="C1276" s="19" t="s">
        <v>683</v>
      </c>
      <c r="D1276" s="19" t="s">
        <v>255</v>
      </c>
      <c r="E1276" s="19">
        <v>2</v>
      </c>
      <c r="F1276" s="19">
        <v>2</v>
      </c>
      <c r="G1276" s="19" t="s">
        <v>2009</v>
      </c>
      <c r="H1276" s="19" t="s">
        <v>1358</v>
      </c>
    </row>
    <row r="1277" spans="1:8">
      <c r="A1277" s="19">
        <v>129</v>
      </c>
      <c r="B1277" s="19" t="s">
        <v>682</v>
      </c>
      <c r="C1277" s="19" t="s">
        <v>683</v>
      </c>
      <c r="D1277" s="19" t="s">
        <v>241</v>
      </c>
      <c r="E1277" s="19" t="s">
        <v>173</v>
      </c>
      <c r="F1277" s="19" t="s">
        <v>2010</v>
      </c>
      <c r="G1277" s="19" t="s">
        <v>2008</v>
      </c>
      <c r="H1277" s="19" t="s">
        <v>1358</v>
      </c>
    </row>
    <row r="1278" spans="1:8">
      <c r="A1278" s="19">
        <v>129</v>
      </c>
      <c r="B1278" s="19" t="s">
        <v>682</v>
      </c>
      <c r="C1278" s="19" t="s">
        <v>683</v>
      </c>
      <c r="D1278" s="19" t="s">
        <v>256</v>
      </c>
      <c r="E1278" s="19" t="s">
        <v>299</v>
      </c>
      <c r="F1278" s="19" t="s">
        <v>2010</v>
      </c>
      <c r="G1278" s="19" t="s">
        <v>2008</v>
      </c>
      <c r="H1278" s="19" t="s">
        <v>1358</v>
      </c>
    </row>
    <row r="1279" spans="1:8">
      <c r="A1279" s="19">
        <v>129</v>
      </c>
      <c r="B1279" s="19" t="s">
        <v>682</v>
      </c>
      <c r="C1279" s="19" t="s">
        <v>683</v>
      </c>
      <c r="D1279" s="19" t="s">
        <v>871</v>
      </c>
      <c r="E1279" s="19" t="s">
        <v>107</v>
      </c>
      <c r="F1279" s="19" t="s">
        <v>1569</v>
      </c>
      <c r="G1279" s="19" t="s">
        <v>2008</v>
      </c>
      <c r="H1279" s="19" t="s">
        <v>1358</v>
      </c>
    </row>
    <row r="1280" spans="1:8">
      <c r="A1280" s="19">
        <v>129</v>
      </c>
      <c r="B1280" s="19" t="s">
        <v>682</v>
      </c>
      <c r="C1280" s="19" t="s">
        <v>683</v>
      </c>
      <c r="D1280" s="19" t="s">
        <v>243</v>
      </c>
      <c r="E1280" s="19">
        <v>45</v>
      </c>
      <c r="F1280" s="19">
        <v>45</v>
      </c>
      <c r="G1280" s="19" t="s">
        <v>2008</v>
      </c>
      <c r="H1280" s="19" t="s">
        <v>1358</v>
      </c>
    </row>
    <row r="1281" spans="1:8">
      <c r="A1281" s="19">
        <v>129</v>
      </c>
      <c r="B1281" s="19" t="s">
        <v>682</v>
      </c>
      <c r="C1281" s="19" t="s">
        <v>683</v>
      </c>
      <c r="D1281" s="19" t="s">
        <v>244</v>
      </c>
      <c r="E1281" s="19">
        <v>139.1</v>
      </c>
      <c r="F1281" s="19">
        <v>139.1</v>
      </c>
      <c r="G1281" s="19" t="s">
        <v>2008</v>
      </c>
      <c r="H1281" s="19" t="s">
        <v>1358</v>
      </c>
    </row>
    <row r="1282" spans="1:8">
      <c r="A1282" s="19">
        <v>129</v>
      </c>
      <c r="B1282" s="19" t="s">
        <v>682</v>
      </c>
      <c r="C1282" s="19" t="s">
        <v>683</v>
      </c>
      <c r="D1282" s="19" t="s">
        <v>257</v>
      </c>
      <c r="E1282" s="19">
        <v>14.5</v>
      </c>
      <c r="F1282" s="19">
        <v>14.5</v>
      </c>
      <c r="G1282" s="19" t="s">
        <v>2008</v>
      </c>
      <c r="H1282" s="19" t="s">
        <v>1358</v>
      </c>
    </row>
    <row r="1283" spans="1:8">
      <c r="A1283" s="19">
        <v>129</v>
      </c>
      <c r="B1283" s="19" t="s">
        <v>682</v>
      </c>
      <c r="C1283" s="19" t="s">
        <v>683</v>
      </c>
      <c r="D1283" s="19" t="s">
        <v>1198</v>
      </c>
      <c r="E1283" s="19" t="s">
        <v>361</v>
      </c>
      <c r="F1283" s="19" t="s">
        <v>361</v>
      </c>
      <c r="G1283" s="19" t="s">
        <v>2008</v>
      </c>
      <c r="H1283" s="19" t="s">
        <v>1358</v>
      </c>
    </row>
    <row r="1284" spans="1:8">
      <c r="A1284" s="19">
        <v>129</v>
      </c>
      <c r="B1284" s="19" t="s">
        <v>682</v>
      </c>
      <c r="C1284" s="19" t="s">
        <v>683</v>
      </c>
      <c r="D1284" s="19" t="s">
        <v>1575</v>
      </c>
      <c r="E1284" s="19" t="s">
        <v>1576</v>
      </c>
      <c r="F1284" s="19" t="s">
        <v>1577</v>
      </c>
      <c r="G1284" s="19" t="s">
        <v>2008</v>
      </c>
      <c r="H1284" s="19" t="s">
        <v>1358</v>
      </c>
    </row>
    <row r="1285" spans="1:8">
      <c r="A1285" s="19">
        <v>129</v>
      </c>
      <c r="B1285" s="19" t="s">
        <v>682</v>
      </c>
      <c r="C1285" s="19" t="s">
        <v>683</v>
      </c>
      <c r="D1285" s="19" t="s">
        <v>253</v>
      </c>
      <c r="E1285" s="19" t="s">
        <v>297</v>
      </c>
      <c r="F1285" s="19" t="s">
        <v>1460</v>
      </c>
      <c r="G1285" s="19"/>
      <c r="H1285" s="60" t="s">
        <v>1360</v>
      </c>
    </row>
    <row r="1286" spans="1:8">
      <c r="A1286" s="19">
        <v>129</v>
      </c>
      <c r="B1286" s="19" t="s">
        <v>682</v>
      </c>
      <c r="C1286" s="19" t="s">
        <v>683</v>
      </c>
      <c r="D1286" s="19" t="s">
        <v>914</v>
      </c>
      <c r="E1286" s="19" t="s">
        <v>355</v>
      </c>
      <c r="F1286" s="19" t="s">
        <v>355</v>
      </c>
      <c r="G1286" s="19" t="s">
        <v>2131</v>
      </c>
      <c r="H1286" s="19" t="s">
        <v>1358</v>
      </c>
    </row>
    <row r="1287" spans="1:8">
      <c r="A1287" s="19">
        <v>129</v>
      </c>
      <c r="B1287" s="19" t="s">
        <v>682</v>
      </c>
      <c r="C1287" s="19" t="s">
        <v>683</v>
      </c>
      <c r="D1287" s="19" t="s">
        <v>1377</v>
      </c>
      <c r="E1287" s="19">
        <v>75000</v>
      </c>
      <c r="F1287" s="19">
        <v>75000</v>
      </c>
      <c r="G1287" s="19" t="s">
        <v>2131</v>
      </c>
      <c r="H1287" s="19" t="s">
        <v>1358</v>
      </c>
    </row>
    <row r="1288" spans="1:8">
      <c r="A1288" s="19">
        <v>130</v>
      </c>
      <c r="B1288" s="19" t="s">
        <v>682</v>
      </c>
      <c r="C1288" s="19" t="s">
        <v>555</v>
      </c>
      <c r="D1288" s="19" t="s">
        <v>238</v>
      </c>
      <c r="E1288" s="19" t="s">
        <v>613</v>
      </c>
      <c r="F1288" s="19" t="s">
        <v>613</v>
      </c>
      <c r="G1288" s="19" t="s">
        <v>2012</v>
      </c>
      <c r="H1288" s="19" t="s">
        <v>1358</v>
      </c>
    </row>
    <row r="1289" spans="1:8">
      <c r="A1289" s="19">
        <v>130</v>
      </c>
      <c r="B1289" s="19" t="s">
        <v>682</v>
      </c>
      <c r="C1289" s="19" t="s">
        <v>555</v>
      </c>
      <c r="D1289" s="19" t="s">
        <v>255</v>
      </c>
      <c r="E1289" s="19">
        <v>2</v>
      </c>
      <c r="F1289" s="19">
        <v>2</v>
      </c>
      <c r="G1289" s="19" t="s">
        <v>2013</v>
      </c>
      <c r="H1289" s="19" t="s">
        <v>1358</v>
      </c>
    </row>
    <row r="1290" spans="1:8">
      <c r="A1290" s="19">
        <v>130</v>
      </c>
      <c r="B1290" s="19" t="s">
        <v>682</v>
      </c>
      <c r="C1290" s="19" t="s">
        <v>555</v>
      </c>
      <c r="D1290" s="19" t="s">
        <v>256</v>
      </c>
      <c r="E1290" s="19" t="s">
        <v>299</v>
      </c>
      <c r="F1290" s="19" t="s">
        <v>1865</v>
      </c>
      <c r="G1290" s="19" t="s">
        <v>2012</v>
      </c>
      <c r="H1290" s="19" t="s">
        <v>1358</v>
      </c>
    </row>
    <row r="1291" spans="1:8">
      <c r="A1291" s="19">
        <v>130</v>
      </c>
      <c r="B1291" s="19" t="s">
        <v>682</v>
      </c>
      <c r="C1291" s="19" t="s">
        <v>555</v>
      </c>
      <c r="D1291" s="19" t="s">
        <v>871</v>
      </c>
      <c r="E1291" s="19" t="s">
        <v>70</v>
      </c>
      <c r="F1291" s="19" t="s">
        <v>1867</v>
      </c>
      <c r="G1291" s="19" t="s">
        <v>2012</v>
      </c>
      <c r="H1291" s="19" t="s">
        <v>1358</v>
      </c>
    </row>
    <row r="1292" spans="1:8">
      <c r="A1292" s="19">
        <v>130</v>
      </c>
      <c r="B1292" s="19" t="s">
        <v>682</v>
      </c>
      <c r="C1292" s="19" t="s">
        <v>555</v>
      </c>
      <c r="D1292" s="19" t="s">
        <v>243</v>
      </c>
      <c r="E1292" s="19">
        <v>53</v>
      </c>
      <c r="F1292" s="19">
        <v>53</v>
      </c>
      <c r="G1292" s="19" t="s">
        <v>2012</v>
      </c>
      <c r="H1292" s="19" t="s">
        <v>1358</v>
      </c>
    </row>
    <row r="1293" spans="1:8">
      <c r="A1293" s="19">
        <v>130</v>
      </c>
      <c r="B1293" s="19" t="s">
        <v>682</v>
      </c>
      <c r="C1293" s="19" t="s">
        <v>555</v>
      </c>
      <c r="D1293" s="19" t="s">
        <v>244</v>
      </c>
      <c r="E1293" s="19">
        <v>35.700000000000003</v>
      </c>
      <c r="F1293" s="19">
        <v>35.700000000000003</v>
      </c>
      <c r="G1293" s="19" t="s">
        <v>2012</v>
      </c>
      <c r="H1293" s="19" t="s">
        <v>1358</v>
      </c>
    </row>
    <row r="1294" spans="1:8">
      <c r="A1294" s="19">
        <v>130</v>
      </c>
      <c r="B1294" s="19" t="s">
        <v>682</v>
      </c>
      <c r="C1294" s="19" t="s">
        <v>555</v>
      </c>
      <c r="D1294" s="19" t="s">
        <v>257</v>
      </c>
      <c r="E1294" s="19">
        <v>2.9</v>
      </c>
      <c r="F1294" s="19">
        <v>2.9</v>
      </c>
      <c r="G1294" s="19" t="s">
        <v>2012</v>
      </c>
      <c r="H1294" s="19" t="s">
        <v>1358</v>
      </c>
    </row>
    <row r="1295" spans="1:8">
      <c r="A1295" s="19">
        <v>130</v>
      </c>
      <c r="B1295" s="19" t="s">
        <v>682</v>
      </c>
      <c r="C1295" s="19" t="s">
        <v>555</v>
      </c>
      <c r="D1295" s="19" t="s">
        <v>1198</v>
      </c>
      <c r="E1295" s="19" t="s">
        <v>305</v>
      </c>
      <c r="F1295" s="19" t="s">
        <v>1574</v>
      </c>
      <c r="G1295" s="19"/>
      <c r="H1295" s="60" t="s">
        <v>1360</v>
      </c>
    </row>
    <row r="1296" spans="1:8">
      <c r="A1296" s="19">
        <v>130</v>
      </c>
      <c r="B1296" s="19" t="s">
        <v>682</v>
      </c>
      <c r="C1296" s="19" t="s">
        <v>555</v>
      </c>
      <c r="D1296" s="19" t="s">
        <v>1575</v>
      </c>
      <c r="E1296" s="19" t="s">
        <v>1872</v>
      </c>
      <c r="F1296" s="19" t="s">
        <v>1873</v>
      </c>
      <c r="G1296" s="19" t="s">
        <v>2012</v>
      </c>
      <c r="H1296" s="19" t="s">
        <v>1358</v>
      </c>
    </row>
    <row r="1297" spans="1:8">
      <c r="A1297" s="19">
        <v>130</v>
      </c>
      <c r="B1297" s="19" t="s">
        <v>682</v>
      </c>
      <c r="C1297" s="19" t="s">
        <v>555</v>
      </c>
      <c r="D1297" s="19" t="s">
        <v>253</v>
      </c>
      <c r="E1297" s="19" t="s">
        <v>297</v>
      </c>
      <c r="F1297" s="19" t="s">
        <v>1460</v>
      </c>
      <c r="G1297" s="19"/>
      <c r="H1297" s="60" t="s">
        <v>1360</v>
      </c>
    </row>
    <row r="1298" spans="1:8">
      <c r="A1298" s="19">
        <v>130</v>
      </c>
      <c r="B1298" s="19" t="s">
        <v>682</v>
      </c>
      <c r="C1298" s="19" t="s">
        <v>555</v>
      </c>
      <c r="D1298" s="19" t="s">
        <v>914</v>
      </c>
      <c r="E1298" s="19" t="s">
        <v>355</v>
      </c>
      <c r="F1298" s="19" t="s">
        <v>355</v>
      </c>
      <c r="G1298" s="19" t="s">
        <v>2132</v>
      </c>
      <c r="H1298" s="19" t="s">
        <v>1358</v>
      </c>
    </row>
    <row r="1299" spans="1:8">
      <c r="A1299" s="19">
        <v>130</v>
      </c>
      <c r="B1299" s="19" t="s">
        <v>682</v>
      </c>
      <c r="C1299" s="19" t="s">
        <v>555</v>
      </c>
      <c r="D1299" s="19" t="s">
        <v>1377</v>
      </c>
      <c r="E1299" s="19">
        <v>10000</v>
      </c>
      <c r="F1299" s="19">
        <v>10000</v>
      </c>
      <c r="G1299" s="19" t="s">
        <v>2132</v>
      </c>
      <c r="H1299" s="19" t="s">
        <v>1358</v>
      </c>
    </row>
    <row r="1300" spans="1:8">
      <c r="A1300" s="19">
        <v>131</v>
      </c>
      <c r="B1300" s="19" t="s">
        <v>682</v>
      </c>
      <c r="C1300" s="19" t="s">
        <v>690</v>
      </c>
      <c r="D1300" s="19" t="s">
        <v>238</v>
      </c>
      <c r="E1300" s="19" t="s">
        <v>504</v>
      </c>
      <c r="F1300" s="19" t="s">
        <v>504</v>
      </c>
      <c r="G1300" s="19" t="s">
        <v>2015</v>
      </c>
      <c r="H1300" s="19" t="s">
        <v>1358</v>
      </c>
    </row>
    <row r="1301" spans="1:8">
      <c r="A1301" s="19">
        <v>131</v>
      </c>
      <c r="B1301" s="19" t="s">
        <v>682</v>
      </c>
      <c r="C1301" s="19" t="s">
        <v>690</v>
      </c>
      <c r="D1301" s="19" t="s">
        <v>255</v>
      </c>
      <c r="E1301" s="19">
        <v>1</v>
      </c>
      <c r="F1301" s="19">
        <v>1</v>
      </c>
      <c r="G1301" s="19" t="s">
        <v>2016</v>
      </c>
      <c r="H1301" s="19" t="s">
        <v>1358</v>
      </c>
    </row>
    <row r="1302" spans="1:8">
      <c r="A1302" s="19">
        <v>131</v>
      </c>
      <c r="B1302" s="19" t="s">
        <v>682</v>
      </c>
      <c r="C1302" s="19" t="s">
        <v>690</v>
      </c>
      <c r="D1302" s="19" t="s">
        <v>241</v>
      </c>
      <c r="E1302" s="19" t="s">
        <v>128</v>
      </c>
      <c r="F1302" s="19" t="s">
        <v>1567</v>
      </c>
      <c r="G1302" s="19" t="s">
        <v>2015</v>
      </c>
      <c r="H1302" s="19" t="s">
        <v>1358</v>
      </c>
    </row>
    <row r="1303" spans="1:8">
      <c r="A1303" s="19">
        <v>131</v>
      </c>
      <c r="B1303" s="19" t="s">
        <v>682</v>
      </c>
      <c r="C1303" s="19" t="s">
        <v>690</v>
      </c>
      <c r="D1303" s="19" t="s">
        <v>256</v>
      </c>
      <c r="E1303" s="19" t="s">
        <v>299</v>
      </c>
      <c r="F1303" s="19" t="s">
        <v>1567</v>
      </c>
      <c r="G1303" s="19" t="s">
        <v>2015</v>
      </c>
      <c r="H1303" s="19" t="s">
        <v>1358</v>
      </c>
    </row>
    <row r="1304" spans="1:8">
      <c r="A1304" s="19">
        <v>131</v>
      </c>
      <c r="B1304" s="19" t="s">
        <v>682</v>
      </c>
      <c r="C1304" s="19" t="s">
        <v>690</v>
      </c>
      <c r="D1304" s="19" t="s">
        <v>871</v>
      </c>
      <c r="E1304" s="19" t="s">
        <v>70</v>
      </c>
      <c r="F1304" s="19" t="s">
        <v>1867</v>
      </c>
      <c r="G1304" s="19" t="s">
        <v>2015</v>
      </c>
      <c r="H1304" s="19" t="s">
        <v>1358</v>
      </c>
    </row>
    <row r="1305" spans="1:8">
      <c r="A1305" s="19">
        <v>131</v>
      </c>
      <c r="B1305" s="19" t="s">
        <v>682</v>
      </c>
      <c r="C1305" s="19" t="s">
        <v>690</v>
      </c>
      <c r="D1305" s="19" t="s">
        <v>243</v>
      </c>
      <c r="E1305" s="19">
        <v>53</v>
      </c>
      <c r="F1305" s="19">
        <v>53</v>
      </c>
      <c r="G1305" s="19" t="s">
        <v>2015</v>
      </c>
      <c r="H1305" s="19" t="s">
        <v>1358</v>
      </c>
    </row>
    <row r="1306" spans="1:8">
      <c r="A1306" s="19">
        <v>131</v>
      </c>
      <c r="B1306" s="19" t="s">
        <v>682</v>
      </c>
      <c r="C1306" s="19" t="s">
        <v>690</v>
      </c>
      <c r="D1306" s="19" t="s">
        <v>244</v>
      </c>
      <c r="E1306" s="19">
        <v>122.3</v>
      </c>
      <c r="F1306" s="19">
        <v>122.3</v>
      </c>
      <c r="G1306" s="19" t="s">
        <v>2015</v>
      </c>
      <c r="H1306" s="19" t="s">
        <v>1358</v>
      </c>
    </row>
    <row r="1307" spans="1:8">
      <c r="A1307" s="19">
        <v>131</v>
      </c>
      <c r="B1307" s="19" t="s">
        <v>682</v>
      </c>
      <c r="C1307" s="19" t="s">
        <v>690</v>
      </c>
      <c r="D1307" s="19" t="s">
        <v>257</v>
      </c>
      <c r="E1307" s="19">
        <v>12</v>
      </c>
      <c r="F1307" s="19">
        <v>12</v>
      </c>
      <c r="G1307" s="19" t="s">
        <v>2015</v>
      </c>
      <c r="H1307" s="19" t="s">
        <v>1358</v>
      </c>
    </row>
    <row r="1308" spans="1:8">
      <c r="A1308" s="19">
        <v>131</v>
      </c>
      <c r="B1308" s="19" t="s">
        <v>682</v>
      </c>
      <c r="C1308" s="19" t="s">
        <v>690</v>
      </c>
      <c r="D1308" s="19" t="s">
        <v>1198</v>
      </c>
      <c r="E1308" s="19" t="s">
        <v>305</v>
      </c>
      <c r="F1308" s="19" t="s">
        <v>1574</v>
      </c>
      <c r="G1308" s="19"/>
      <c r="H1308" s="60" t="s">
        <v>1360</v>
      </c>
    </row>
    <row r="1309" spans="1:8">
      <c r="A1309" s="19">
        <v>131</v>
      </c>
      <c r="B1309" s="19" t="s">
        <v>682</v>
      </c>
      <c r="C1309" s="19" t="s">
        <v>690</v>
      </c>
      <c r="D1309" s="19" t="s">
        <v>1575</v>
      </c>
      <c r="E1309" s="19" t="s">
        <v>1576</v>
      </c>
      <c r="F1309" s="19" t="s">
        <v>1577</v>
      </c>
      <c r="G1309" s="19" t="s">
        <v>2015</v>
      </c>
      <c r="H1309" s="19" t="s">
        <v>1358</v>
      </c>
    </row>
    <row r="1310" spans="1:8">
      <c r="A1310" s="19">
        <v>131</v>
      </c>
      <c r="B1310" s="19" t="s">
        <v>682</v>
      </c>
      <c r="C1310" s="19" t="s">
        <v>690</v>
      </c>
      <c r="D1310" s="19" t="s">
        <v>253</v>
      </c>
      <c r="E1310" s="19" t="s">
        <v>297</v>
      </c>
      <c r="F1310" s="19" t="s">
        <v>1460</v>
      </c>
      <c r="G1310" s="19"/>
      <c r="H1310" s="60" t="s">
        <v>1360</v>
      </c>
    </row>
    <row r="1311" spans="1:8">
      <c r="A1311" s="19">
        <v>131</v>
      </c>
      <c r="B1311" s="19" t="s">
        <v>682</v>
      </c>
      <c r="C1311" s="19" t="s">
        <v>690</v>
      </c>
      <c r="D1311" s="19" t="s">
        <v>914</v>
      </c>
      <c r="E1311" s="19" t="s">
        <v>355</v>
      </c>
      <c r="F1311" s="19" t="s">
        <v>355</v>
      </c>
      <c r="G1311" s="19" t="s">
        <v>2133</v>
      </c>
      <c r="H1311" s="19" t="s">
        <v>1358</v>
      </c>
    </row>
    <row r="1312" spans="1:8">
      <c r="A1312" s="19">
        <v>131</v>
      </c>
      <c r="B1312" s="19" t="s">
        <v>682</v>
      </c>
      <c r="C1312" s="19" t="s">
        <v>690</v>
      </c>
      <c r="D1312" s="19" t="s">
        <v>1377</v>
      </c>
      <c r="E1312" s="19">
        <v>15000</v>
      </c>
      <c r="F1312" s="19">
        <v>15000</v>
      </c>
      <c r="G1312" s="19" t="s">
        <v>2133</v>
      </c>
      <c r="H1312" s="19" t="s">
        <v>1358</v>
      </c>
    </row>
    <row r="1313" spans="1:8">
      <c r="A1313" s="19">
        <v>132</v>
      </c>
      <c r="B1313" s="19" t="s">
        <v>682</v>
      </c>
      <c r="C1313" s="19" t="s">
        <v>693</v>
      </c>
      <c r="D1313" s="19" t="s">
        <v>238</v>
      </c>
      <c r="E1313" s="19" t="s">
        <v>500</v>
      </c>
      <c r="F1313" s="19" t="s">
        <v>500</v>
      </c>
      <c r="G1313" s="19" t="s">
        <v>2018</v>
      </c>
      <c r="H1313" s="19" t="s">
        <v>1358</v>
      </c>
    </row>
    <row r="1314" spans="1:8">
      <c r="A1314" s="19">
        <v>132</v>
      </c>
      <c r="B1314" s="19" t="s">
        <v>682</v>
      </c>
      <c r="C1314" s="19" t="s">
        <v>693</v>
      </c>
      <c r="D1314" s="19" t="s">
        <v>255</v>
      </c>
      <c r="E1314" s="19">
        <v>2</v>
      </c>
      <c r="F1314" s="19">
        <v>2</v>
      </c>
      <c r="G1314" s="19" t="s">
        <v>2019</v>
      </c>
      <c r="H1314" s="19" t="s">
        <v>1358</v>
      </c>
    </row>
    <row r="1315" spans="1:8">
      <c r="A1315" s="19">
        <v>132</v>
      </c>
      <c r="B1315" s="19" t="s">
        <v>682</v>
      </c>
      <c r="C1315" s="19" t="s">
        <v>693</v>
      </c>
      <c r="D1315" s="19" t="s">
        <v>241</v>
      </c>
      <c r="E1315" s="19" t="s">
        <v>128</v>
      </c>
      <c r="F1315" s="19" t="s">
        <v>1567</v>
      </c>
      <c r="G1315" s="19" t="s">
        <v>2018</v>
      </c>
      <c r="H1315" s="19" t="s">
        <v>1358</v>
      </c>
    </row>
    <row r="1316" spans="1:8">
      <c r="A1316" s="19">
        <v>132</v>
      </c>
      <c r="B1316" s="19" t="s">
        <v>682</v>
      </c>
      <c r="C1316" s="19" t="s">
        <v>693</v>
      </c>
      <c r="D1316" s="19" t="s">
        <v>256</v>
      </c>
      <c r="E1316" s="19" t="s">
        <v>299</v>
      </c>
      <c r="F1316" s="19" t="s">
        <v>1567</v>
      </c>
      <c r="G1316" s="19" t="s">
        <v>2018</v>
      </c>
      <c r="H1316" s="19" t="s">
        <v>1358</v>
      </c>
    </row>
    <row r="1317" spans="1:8">
      <c r="A1317" s="19">
        <v>132</v>
      </c>
      <c r="B1317" s="19" t="s">
        <v>682</v>
      </c>
      <c r="C1317" s="19" t="s">
        <v>693</v>
      </c>
      <c r="D1317" s="19" t="s">
        <v>871</v>
      </c>
      <c r="E1317" s="19" t="s">
        <v>70</v>
      </c>
      <c r="F1317" s="19" t="s">
        <v>1867</v>
      </c>
      <c r="G1317" s="19" t="s">
        <v>2018</v>
      </c>
      <c r="H1317" s="19" t="s">
        <v>1358</v>
      </c>
    </row>
    <row r="1318" spans="1:8">
      <c r="A1318" s="19">
        <v>132</v>
      </c>
      <c r="B1318" s="19" t="s">
        <v>682</v>
      </c>
      <c r="C1318" s="19" t="s">
        <v>693</v>
      </c>
      <c r="D1318" s="19" t="s">
        <v>243</v>
      </c>
      <c r="E1318" s="19">
        <v>31</v>
      </c>
      <c r="F1318" s="19">
        <v>31</v>
      </c>
      <c r="G1318" s="19" t="s">
        <v>2018</v>
      </c>
      <c r="H1318" s="19" t="s">
        <v>1358</v>
      </c>
    </row>
    <row r="1319" spans="1:8">
      <c r="A1319" s="19">
        <v>132</v>
      </c>
      <c r="B1319" s="19" t="s">
        <v>682</v>
      </c>
      <c r="C1319" s="19" t="s">
        <v>693</v>
      </c>
      <c r="D1319" s="19" t="s">
        <v>244</v>
      </c>
      <c r="E1319" s="19">
        <v>122</v>
      </c>
      <c r="F1319" s="19">
        <v>122</v>
      </c>
      <c r="G1319" s="19" t="s">
        <v>2018</v>
      </c>
      <c r="H1319" s="19" t="s">
        <v>1358</v>
      </c>
    </row>
    <row r="1320" spans="1:8">
      <c r="A1320" s="19">
        <v>132</v>
      </c>
      <c r="B1320" s="19" t="s">
        <v>682</v>
      </c>
      <c r="C1320" s="19" t="s">
        <v>693</v>
      </c>
      <c r="D1320" s="19" t="s">
        <v>257</v>
      </c>
      <c r="E1320" s="19">
        <v>13</v>
      </c>
      <c r="F1320" s="19">
        <v>13</v>
      </c>
      <c r="G1320" s="19" t="s">
        <v>2018</v>
      </c>
      <c r="H1320" s="19" t="s">
        <v>1358</v>
      </c>
    </row>
    <row r="1321" spans="1:8">
      <c r="A1321" s="19">
        <v>132</v>
      </c>
      <c r="B1321" s="19" t="s">
        <v>682</v>
      </c>
      <c r="C1321" s="19" t="s">
        <v>693</v>
      </c>
      <c r="D1321" s="19" t="s">
        <v>1198</v>
      </c>
      <c r="E1321" s="19" t="s">
        <v>305</v>
      </c>
      <c r="F1321" s="19" t="s">
        <v>1574</v>
      </c>
      <c r="G1321" s="19"/>
      <c r="H1321" s="60" t="s">
        <v>1360</v>
      </c>
    </row>
    <row r="1322" spans="1:8">
      <c r="A1322" s="19">
        <v>132</v>
      </c>
      <c r="B1322" s="19" t="s">
        <v>682</v>
      </c>
      <c r="C1322" s="19" t="s">
        <v>693</v>
      </c>
      <c r="D1322" s="19" t="s">
        <v>1575</v>
      </c>
      <c r="E1322" s="19" t="s">
        <v>1576</v>
      </c>
      <c r="F1322" s="19" t="s">
        <v>1577</v>
      </c>
      <c r="G1322" s="19" t="s">
        <v>2018</v>
      </c>
      <c r="H1322" s="19" t="s">
        <v>1358</v>
      </c>
    </row>
    <row r="1323" spans="1:8">
      <c r="A1323" s="19">
        <v>132</v>
      </c>
      <c r="B1323" s="19" t="s">
        <v>682</v>
      </c>
      <c r="C1323" s="19" t="s">
        <v>693</v>
      </c>
      <c r="D1323" s="19" t="s">
        <v>253</v>
      </c>
      <c r="E1323" s="19" t="s">
        <v>297</v>
      </c>
      <c r="F1323" s="19" t="s">
        <v>1460</v>
      </c>
      <c r="G1323" s="19"/>
      <c r="H1323" s="60" t="s">
        <v>1360</v>
      </c>
    </row>
    <row r="1324" spans="1:8">
      <c r="A1324" s="19">
        <v>132</v>
      </c>
      <c r="B1324" s="19" t="s">
        <v>682</v>
      </c>
      <c r="C1324" s="19" t="s">
        <v>693</v>
      </c>
      <c r="D1324" s="19" t="s">
        <v>914</v>
      </c>
      <c r="E1324" s="19" t="s">
        <v>355</v>
      </c>
      <c r="F1324" s="19" t="s">
        <v>355</v>
      </c>
      <c r="G1324" s="19" t="s">
        <v>2134</v>
      </c>
      <c r="H1324" s="19" t="s">
        <v>1358</v>
      </c>
    </row>
    <row r="1325" spans="1:8">
      <c r="A1325" s="19">
        <v>132</v>
      </c>
      <c r="B1325" s="19" t="s">
        <v>682</v>
      </c>
      <c r="C1325" s="19" t="s">
        <v>693</v>
      </c>
      <c r="D1325" s="19" t="s">
        <v>1377</v>
      </c>
      <c r="E1325" s="19">
        <v>12000</v>
      </c>
      <c r="F1325" s="19">
        <v>12000</v>
      </c>
      <c r="G1325" s="19" t="s">
        <v>2134</v>
      </c>
      <c r="H1325" s="19" t="s">
        <v>1358</v>
      </c>
    </row>
    <row r="1326" spans="1:8">
      <c r="A1326" s="19">
        <v>133</v>
      </c>
      <c r="B1326" s="19" t="s">
        <v>682</v>
      </c>
      <c r="C1326" s="19" t="s">
        <v>489</v>
      </c>
      <c r="D1326" s="19" t="s">
        <v>238</v>
      </c>
      <c r="E1326" s="19" t="s">
        <v>696</v>
      </c>
      <c r="F1326" s="19" t="s">
        <v>696</v>
      </c>
      <c r="G1326" s="19" t="s">
        <v>2021</v>
      </c>
      <c r="H1326" s="19" t="s">
        <v>1358</v>
      </c>
    </row>
    <row r="1327" spans="1:8">
      <c r="A1327" s="19">
        <v>133</v>
      </c>
      <c r="B1327" s="19" t="s">
        <v>682</v>
      </c>
      <c r="C1327" s="19" t="s">
        <v>489</v>
      </c>
      <c r="D1327" s="19" t="s">
        <v>255</v>
      </c>
      <c r="E1327" s="19">
        <v>2</v>
      </c>
      <c r="F1327" s="19">
        <v>2</v>
      </c>
      <c r="G1327" s="19" t="s">
        <v>2022</v>
      </c>
      <c r="H1327" s="19" t="s">
        <v>1358</v>
      </c>
    </row>
    <row r="1328" spans="1:8">
      <c r="A1328" s="19">
        <v>133</v>
      </c>
      <c r="B1328" s="19" t="s">
        <v>682</v>
      </c>
      <c r="C1328" s="19" t="s">
        <v>489</v>
      </c>
      <c r="D1328" s="19" t="s">
        <v>241</v>
      </c>
      <c r="E1328" s="19" t="s">
        <v>149</v>
      </c>
      <c r="F1328" s="19" t="s">
        <v>1612</v>
      </c>
      <c r="G1328" s="19" t="s">
        <v>2021</v>
      </c>
      <c r="H1328" s="19" t="s">
        <v>1358</v>
      </c>
    </row>
    <row r="1329" spans="1:8">
      <c r="A1329" s="19">
        <v>133</v>
      </c>
      <c r="B1329" s="19" t="s">
        <v>682</v>
      </c>
      <c r="C1329" s="19" t="s">
        <v>489</v>
      </c>
      <c r="D1329" s="19" t="s">
        <v>256</v>
      </c>
      <c r="E1329" s="19" t="s">
        <v>299</v>
      </c>
      <c r="F1329" s="19" t="s">
        <v>1612</v>
      </c>
      <c r="G1329" s="19" t="s">
        <v>2021</v>
      </c>
      <c r="H1329" s="19" t="s">
        <v>1358</v>
      </c>
    </row>
    <row r="1330" spans="1:8">
      <c r="A1330" s="19">
        <v>133</v>
      </c>
      <c r="B1330" s="19" t="s">
        <v>682</v>
      </c>
      <c r="C1330" s="19" t="s">
        <v>489</v>
      </c>
      <c r="D1330" s="19" t="s">
        <v>871</v>
      </c>
      <c r="E1330" s="19" t="s">
        <v>111</v>
      </c>
      <c r="F1330" s="19" t="s">
        <v>1603</v>
      </c>
      <c r="G1330" s="19" t="s">
        <v>2021</v>
      </c>
      <c r="H1330" s="19" t="s">
        <v>1358</v>
      </c>
    </row>
    <row r="1331" spans="1:8">
      <c r="A1331" s="19">
        <v>133</v>
      </c>
      <c r="B1331" s="19" t="s">
        <v>682</v>
      </c>
      <c r="C1331" s="19" t="s">
        <v>489</v>
      </c>
      <c r="D1331" s="19" t="s">
        <v>243</v>
      </c>
      <c r="E1331" s="19">
        <v>91</v>
      </c>
      <c r="F1331" s="19">
        <v>91</v>
      </c>
      <c r="G1331" s="19" t="s">
        <v>2021</v>
      </c>
      <c r="H1331" s="19" t="s">
        <v>1358</v>
      </c>
    </row>
    <row r="1332" spans="1:8">
      <c r="A1332" s="19">
        <v>133</v>
      </c>
      <c r="B1332" s="19" t="s">
        <v>682</v>
      </c>
      <c r="C1332" s="19" t="s">
        <v>489</v>
      </c>
      <c r="D1332" s="19" t="s">
        <v>244</v>
      </c>
      <c r="E1332" s="19">
        <v>650</v>
      </c>
      <c r="F1332" s="19">
        <v>650</v>
      </c>
      <c r="G1332" s="19" t="s">
        <v>2021</v>
      </c>
      <c r="H1332" s="19" t="s">
        <v>1358</v>
      </c>
    </row>
    <row r="1333" spans="1:8">
      <c r="A1333" s="19">
        <v>133</v>
      </c>
      <c r="B1333" s="19" t="s">
        <v>682</v>
      </c>
      <c r="C1333" s="19" t="s">
        <v>489</v>
      </c>
      <c r="D1333" s="19" t="s">
        <v>257</v>
      </c>
      <c r="E1333" s="19">
        <v>72.8</v>
      </c>
      <c r="F1333" s="19">
        <v>72.8</v>
      </c>
      <c r="G1333" s="19" t="s">
        <v>2021</v>
      </c>
      <c r="H1333" s="19" t="s">
        <v>1358</v>
      </c>
    </row>
    <row r="1334" spans="1:8">
      <c r="A1334" s="19">
        <v>133</v>
      </c>
      <c r="B1334" s="19" t="s">
        <v>682</v>
      </c>
      <c r="C1334" s="19" t="s">
        <v>489</v>
      </c>
      <c r="D1334" s="19" t="s">
        <v>1198</v>
      </c>
      <c r="E1334" s="19" t="s">
        <v>361</v>
      </c>
      <c r="F1334" s="19" t="s">
        <v>361</v>
      </c>
      <c r="G1334" s="19" t="s">
        <v>2021</v>
      </c>
      <c r="H1334" s="19" t="s">
        <v>1358</v>
      </c>
    </row>
    <row r="1335" spans="1:8">
      <c r="A1335" s="19">
        <v>133</v>
      </c>
      <c r="B1335" s="19" t="s">
        <v>682</v>
      </c>
      <c r="C1335" s="19" t="s">
        <v>489</v>
      </c>
      <c r="D1335" s="19" t="s">
        <v>1575</v>
      </c>
      <c r="E1335" s="19" t="s">
        <v>1576</v>
      </c>
      <c r="F1335" s="19" t="s">
        <v>1577</v>
      </c>
      <c r="G1335" s="19" t="s">
        <v>2021</v>
      </c>
      <c r="H1335" s="19" t="s">
        <v>1358</v>
      </c>
    </row>
    <row r="1336" spans="1:8">
      <c r="A1336" s="19">
        <v>133</v>
      </c>
      <c r="B1336" s="19" t="s">
        <v>682</v>
      </c>
      <c r="C1336" s="19" t="s">
        <v>489</v>
      </c>
      <c r="D1336" s="19" t="s">
        <v>253</v>
      </c>
      <c r="E1336" s="19" t="s">
        <v>297</v>
      </c>
      <c r="F1336" s="19" t="s">
        <v>1460</v>
      </c>
      <c r="G1336" s="19"/>
      <c r="H1336" s="60" t="s">
        <v>1360</v>
      </c>
    </row>
    <row r="1337" spans="1:8">
      <c r="A1337" s="19">
        <v>133</v>
      </c>
      <c r="B1337" s="19" t="s">
        <v>682</v>
      </c>
      <c r="C1337" s="19" t="s">
        <v>489</v>
      </c>
      <c r="D1337" s="19" t="s">
        <v>914</v>
      </c>
      <c r="E1337" s="19" t="s">
        <v>355</v>
      </c>
      <c r="F1337" s="19" t="s">
        <v>355</v>
      </c>
      <c r="G1337" s="19" t="s">
        <v>2135</v>
      </c>
      <c r="H1337" s="19" t="s">
        <v>1358</v>
      </c>
    </row>
    <row r="1338" spans="1:8">
      <c r="A1338" s="19">
        <v>133</v>
      </c>
      <c r="B1338" s="19" t="s">
        <v>682</v>
      </c>
      <c r="C1338" s="19" t="s">
        <v>489</v>
      </c>
      <c r="D1338" s="19" t="s">
        <v>1377</v>
      </c>
      <c r="E1338" s="19">
        <v>260000</v>
      </c>
      <c r="F1338" s="19">
        <v>260000</v>
      </c>
      <c r="G1338" s="19" t="s">
        <v>2135</v>
      </c>
      <c r="H1338" s="19" t="s">
        <v>1358</v>
      </c>
    </row>
    <row r="1339" spans="1:8">
      <c r="A1339" s="19">
        <v>134</v>
      </c>
      <c r="B1339" s="19" t="s">
        <v>682</v>
      </c>
      <c r="C1339" s="19" t="s">
        <v>493</v>
      </c>
      <c r="D1339" s="19" t="s">
        <v>238</v>
      </c>
      <c r="E1339" s="19" t="s">
        <v>481</v>
      </c>
      <c r="F1339" s="19" t="s">
        <v>481</v>
      </c>
      <c r="G1339" s="19" t="s">
        <v>2024</v>
      </c>
      <c r="H1339" s="19" t="s">
        <v>1358</v>
      </c>
    </row>
    <row r="1340" spans="1:8">
      <c r="A1340" s="19">
        <v>134</v>
      </c>
      <c r="B1340" s="19" t="s">
        <v>682</v>
      </c>
      <c r="C1340" s="19" t="s">
        <v>493</v>
      </c>
      <c r="D1340" s="19" t="s">
        <v>255</v>
      </c>
      <c r="E1340" s="19">
        <v>2</v>
      </c>
      <c r="F1340" s="19">
        <v>2</v>
      </c>
      <c r="G1340" s="19" t="s">
        <v>2025</v>
      </c>
      <c r="H1340" s="19" t="s">
        <v>1358</v>
      </c>
    </row>
    <row r="1341" spans="1:8">
      <c r="A1341" s="19">
        <v>134</v>
      </c>
      <c r="B1341" s="19" t="s">
        <v>682</v>
      </c>
      <c r="C1341" s="19" t="s">
        <v>493</v>
      </c>
      <c r="D1341" s="19" t="s">
        <v>256</v>
      </c>
      <c r="E1341" s="19" t="s">
        <v>485</v>
      </c>
      <c r="F1341" s="19" t="s">
        <v>1591</v>
      </c>
      <c r="G1341" s="19" t="s">
        <v>2024</v>
      </c>
      <c r="H1341" s="19" t="s">
        <v>1358</v>
      </c>
    </row>
    <row r="1342" spans="1:8">
      <c r="A1342" s="19">
        <v>134</v>
      </c>
      <c r="B1342" s="19" t="s">
        <v>682</v>
      </c>
      <c r="C1342" s="19" t="s">
        <v>493</v>
      </c>
      <c r="D1342" s="19" t="s">
        <v>871</v>
      </c>
      <c r="E1342" s="19" t="s">
        <v>107</v>
      </c>
      <c r="F1342" s="19" t="s">
        <v>1569</v>
      </c>
      <c r="G1342" s="19" t="s">
        <v>2024</v>
      </c>
      <c r="H1342" s="19" t="s">
        <v>1358</v>
      </c>
    </row>
    <row r="1343" spans="1:8">
      <c r="A1343" s="19">
        <v>134</v>
      </c>
      <c r="B1343" s="19" t="s">
        <v>682</v>
      </c>
      <c r="C1343" s="19" t="s">
        <v>493</v>
      </c>
      <c r="D1343" s="19" t="s">
        <v>243</v>
      </c>
      <c r="E1343" s="19">
        <v>5</v>
      </c>
      <c r="F1343" s="19">
        <v>5</v>
      </c>
      <c r="G1343" s="19" t="s">
        <v>2024</v>
      </c>
      <c r="H1343" s="19" t="s">
        <v>1358</v>
      </c>
    </row>
    <row r="1344" spans="1:8">
      <c r="A1344" s="19">
        <v>134</v>
      </c>
      <c r="B1344" s="19" t="s">
        <v>682</v>
      </c>
      <c r="C1344" s="19" t="s">
        <v>493</v>
      </c>
      <c r="D1344" s="19" t="s">
        <v>257</v>
      </c>
      <c r="E1344" s="19">
        <v>8</v>
      </c>
      <c r="F1344" s="19">
        <v>8</v>
      </c>
      <c r="G1344" s="19" t="s">
        <v>2024</v>
      </c>
      <c r="H1344" s="19" t="s">
        <v>1358</v>
      </c>
    </row>
    <row r="1345" spans="1:8">
      <c r="A1345" s="19">
        <v>134</v>
      </c>
      <c r="B1345" s="19" t="s">
        <v>682</v>
      </c>
      <c r="C1345" s="19" t="s">
        <v>493</v>
      </c>
      <c r="D1345" s="19" t="s">
        <v>1198</v>
      </c>
      <c r="E1345" s="19" t="s">
        <v>361</v>
      </c>
      <c r="F1345" s="19" t="s">
        <v>361</v>
      </c>
      <c r="G1345" s="19" t="s">
        <v>2024</v>
      </c>
      <c r="H1345" s="19" t="s">
        <v>1358</v>
      </c>
    </row>
    <row r="1346" spans="1:8">
      <c r="A1346" s="19">
        <v>134</v>
      </c>
      <c r="B1346" s="19" t="s">
        <v>682</v>
      </c>
      <c r="C1346" s="19" t="s">
        <v>493</v>
      </c>
      <c r="D1346" s="19" t="s">
        <v>1575</v>
      </c>
      <c r="E1346" s="19" t="s">
        <v>1596</v>
      </c>
      <c r="F1346" s="19" t="s">
        <v>1597</v>
      </c>
      <c r="G1346" s="19" t="s">
        <v>2024</v>
      </c>
      <c r="H1346" s="19" t="s">
        <v>1358</v>
      </c>
    </row>
    <row r="1347" spans="1:8">
      <c r="A1347" s="19">
        <v>134</v>
      </c>
      <c r="B1347" s="19" t="s">
        <v>682</v>
      </c>
      <c r="C1347" s="19" t="s">
        <v>493</v>
      </c>
      <c r="D1347" s="19" t="s">
        <v>253</v>
      </c>
      <c r="E1347" s="19" t="s">
        <v>297</v>
      </c>
      <c r="F1347" s="19" t="s">
        <v>1460</v>
      </c>
      <c r="G1347" s="19"/>
      <c r="H1347" s="60" t="s">
        <v>1360</v>
      </c>
    </row>
    <row r="1348" spans="1:8">
      <c r="A1348" s="19">
        <v>134</v>
      </c>
      <c r="B1348" s="19" t="s">
        <v>682</v>
      </c>
      <c r="C1348" s="19" t="s">
        <v>493</v>
      </c>
      <c r="D1348" s="19" t="s">
        <v>914</v>
      </c>
      <c r="E1348" s="19" t="s">
        <v>355</v>
      </c>
      <c r="F1348" s="19" t="s">
        <v>355</v>
      </c>
      <c r="G1348" s="19" t="s">
        <v>2136</v>
      </c>
      <c r="H1348" s="19" t="s">
        <v>1358</v>
      </c>
    </row>
    <row r="1349" spans="1:8">
      <c r="A1349" s="19">
        <v>134</v>
      </c>
      <c r="B1349" s="19" t="s">
        <v>682</v>
      </c>
      <c r="C1349" s="19" t="s">
        <v>493</v>
      </c>
      <c r="D1349" s="19" t="s">
        <v>1377</v>
      </c>
      <c r="E1349" s="19">
        <v>10000</v>
      </c>
      <c r="F1349" s="19">
        <v>10000</v>
      </c>
      <c r="G1349" s="19" t="s">
        <v>2136</v>
      </c>
      <c r="H1349" s="19" t="s">
        <v>1358</v>
      </c>
    </row>
    <row r="1350" spans="1:8">
      <c r="A1350" s="19">
        <v>135</v>
      </c>
      <c r="B1350" s="19" t="s">
        <v>682</v>
      </c>
      <c r="C1350" s="19" t="s">
        <v>703</v>
      </c>
      <c r="D1350" s="19" t="s">
        <v>238</v>
      </c>
      <c r="E1350" s="19" t="s">
        <v>702</v>
      </c>
      <c r="F1350" s="19" t="s">
        <v>702</v>
      </c>
      <c r="G1350" s="19" t="s">
        <v>2027</v>
      </c>
      <c r="H1350" s="19" t="s">
        <v>1358</v>
      </c>
    </row>
    <row r="1351" spans="1:8">
      <c r="A1351" s="19">
        <v>135</v>
      </c>
      <c r="B1351" s="19" t="s">
        <v>682</v>
      </c>
      <c r="C1351" s="19" t="s">
        <v>703</v>
      </c>
      <c r="D1351" s="19" t="s">
        <v>255</v>
      </c>
      <c r="E1351" s="19">
        <v>2</v>
      </c>
      <c r="F1351" s="19">
        <v>2</v>
      </c>
      <c r="G1351" s="19" t="s">
        <v>2028</v>
      </c>
      <c r="H1351" s="19" t="s">
        <v>1358</v>
      </c>
    </row>
    <row r="1352" spans="1:8">
      <c r="A1352" s="19">
        <v>135</v>
      </c>
      <c r="B1352" s="19" t="s">
        <v>682</v>
      </c>
      <c r="C1352" s="19" t="s">
        <v>703</v>
      </c>
      <c r="D1352" s="19" t="s">
        <v>241</v>
      </c>
      <c r="E1352" s="19" t="s">
        <v>128</v>
      </c>
      <c r="F1352" s="19" t="s">
        <v>1567</v>
      </c>
      <c r="G1352" s="19" t="s">
        <v>2027</v>
      </c>
      <c r="H1352" s="19" t="s">
        <v>1358</v>
      </c>
    </row>
    <row r="1353" spans="1:8">
      <c r="A1353" s="19">
        <v>135</v>
      </c>
      <c r="B1353" s="19" t="s">
        <v>682</v>
      </c>
      <c r="C1353" s="19" t="s">
        <v>703</v>
      </c>
      <c r="D1353" s="19" t="s">
        <v>256</v>
      </c>
      <c r="E1353" s="19" t="s">
        <v>299</v>
      </c>
      <c r="F1353" s="19" t="s">
        <v>1567</v>
      </c>
      <c r="G1353" s="19" t="s">
        <v>2027</v>
      </c>
      <c r="H1353" s="19" t="s">
        <v>1358</v>
      </c>
    </row>
    <row r="1354" spans="1:8">
      <c r="A1354" s="19">
        <v>135</v>
      </c>
      <c r="B1354" s="19" t="s">
        <v>682</v>
      </c>
      <c r="C1354" s="19" t="s">
        <v>703</v>
      </c>
      <c r="D1354" s="19" t="s">
        <v>871</v>
      </c>
      <c r="E1354" s="19" t="s">
        <v>111</v>
      </c>
      <c r="F1354" s="19" t="s">
        <v>1603</v>
      </c>
      <c r="G1354" s="19" t="s">
        <v>2027</v>
      </c>
      <c r="H1354" s="19" t="s">
        <v>1358</v>
      </c>
    </row>
    <row r="1355" spans="1:8">
      <c r="A1355" s="19">
        <v>135</v>
      </c>
      <c r="B1355" s="19" t="s">
        <v>682</v>
      </c>
      <c r="C1355" s="19" t="s">
        <v>703</v>
      </c>
      <c r="D1355" s="19" t="s">
        <v>243</v>
      </c>
      <c r="E1355" s="19">
        <v>15</v>
      </c>
      <c r="F1355" s="19">
        <v>15</v>
      </c>
      <c r="G1355" s="19" t="s">
        <v>2027</v>
      </c>
      <c r="H1355" s="19" t="s">
        <v>1358</v>
      </c>
    </row>
    <row r="1356" spans="1:8">
      <c r="A1356" s="19">
        <v>135</v>
      </c>
      <c r="B1356" s="19" t="s">
        <v>682</v>
      </c>
      <c r="C1356" s="19" t="s">
        <v>703</v>
      </c>
      <c r="D1356" s="19" t="s">
        <v>244</v>
      </c>
      <c r="E1356" s="19">
        <v>27</v>
      </c>
      <c r="F1356" s="19">
        <v>27</v>
      </c>
      <c r="G1356" s="19" t="s">
        <v>2027</v>
      </c>
      <c r="H1356" s="19" t="s">
        <v>1358</v>
      </c>
    </row>
    <row r="1357" spans="1:8">
      <c r="A1357" s="19">
        <v>135</v>
      </c>
      <c r="B1357" s="19" t="s">
        <v>682</v>
      </c>
      <c r="C1357" s="19" t="s">
        <v>703</v>
      </c>
      <c r="D1357" s="19" t="s">
        <v>257</v>
      </c>
      <c r="E1357" s="19">
        <v>3.2</v>
      </c>
      <c r="F1357" s="19">
        <v>3.2</v>
      </c>
      <c r="G1357" s="19" t="s">
        <v>2027</v>
      </c>
      <c r="H1357" s="19" t="s">
        <v>1358</v>
      </c>
    </row>
    <row r="1358" spans="1:8">
      <c r="A1358" s="19">
        <v>135</v>
      </c>
      <c r="B1358" s="19" t="s">
        <v>682</v>
      </c>
      <c r="C1358" s="19" t="s">
        <v>703</v>
      </c>
      <c r="D1358" s="19" t="s">
        <v>1198</v>
      </c>
      <c r="E1358" s="19" t="s">
        <v>305</v>
      </c>
      <c r="F1358" s="19" t="s">
        <v>1574</v>
      </c>
      <c r="G1358" s="19"/>
      <c r="H1358" s="60" t="s">
        <v>1360</v>
      </c>
    </row>
    <row r="1359" spans="1:8">
      <c r="A1359" s="19">
        <v>135</v>
      </c>
      <c r="B1359" s="19" t="s">
        <v>682</v>
      </c>
      <c r="C1359" s="19" t="s">
        <v>703</v>
      </c>
      <c r="D1359" s="19" t="s">
        <v>1575</v>
      </c>
      <c r="E1359" s="19" t="s">
        <v>1576</v>
      </c>
      <c r="F1359" s="19" t="s">
        <v>1577</v>
      </c>
      <c r="G1359" s="19" t="s">
        <v>2027</v>
      </c>
      <c r="H1359" s="19" t="s">
        <v>1358</v>
      </c>
    </row>
    <row r="1360" spans="1:8">
      <c r="A1360" s="19">
        <v>135</v>
      </c>
      <c r="B1360" s="19" t="s">
        <v>682</v>
      </c>
      <c r="C1360" s="19" t="s">
        <v>703</v>
      </c>
      <c r="D1360" s="19" t="s">
        <v>253</v>
      </c>
      <c r="E1360" s="19" t="s">
        <v>297</v>
      </c>
      <c r="F1360" s="19" t="s">
        <v>1460</v>
      </c>
      <c r="G1360" s="19"/>
      <c r="H1360" s="60" t="s">
        <v>1360</v>
      </c>
    </row>
    <row r="1361" spans="1:8">
      <c r="A1361" s="19">
        <v>135</v>
      </c>
      <c r="B1361" s="19" t="s">
        <v>682</v>
      </c>
      <c r="C1361" s="19" t="s">
        <v>703</v>
      </c>
      <c r="D1361" s="19" t="s">
        <v>914</v>
      </c>
      <c r="E1361" s="19" t="s">
        <v>355</v>
      </c>
      <c r="F1361" s="19" t="s">
        <v>355</v>
      </c>
      <c r="G1361" s="19" t="s">
        <v>2137</v>
      </c>
      <c r="H1361" s="19" t="s">
        <v>1358</v>
      </c>
    </row>
    <row r="1362" spans="1:8">
      <c r="A1362" s="19">
        <v>135</v>
      </c>
      <c r="B1362" s="19" t="s">
        <v>682</v>
      </c>
      <c r="C1362" s="19" t="s">
        <v>703</v>
      </c>
      <c r="D1362" s="19" t="s">
        <v>1377</v>
      </c>
      <c r="E1362" s="19">
        <v>35000</v>
      </c>
      <c r="F1362" s="19">
        <v>35000</v>
      </c>
      <c r="G1362" s="19" t="s">
        <v>2137</v>
      </c>
      <c r="H1362" s="19" t="s">
        <v>1358</v>
      </c>
    </row>
    <row r="1363" spans="1:8">
      <c r="A1363" s="19">
        <v>136</v>
      </c>
      <c r="B1363" s="19" t="s">
        <v>682</v>
      </c>
      <c r="C1363" s="19" t="s">
        <v>706</v>
      </c>
      <c r="D1363" s="19" t="s">
        <v>238</v>
      </c>
      <c r="E1363" s="19" t="s">
        <v>696</v>
      </c>
      <c r="F1363" s="19" t="s">
        <v>696</v>
      </c>
      <c r="G1363" s="19" t="s">
        <v>2030</v>
      </c>
      <c r="H1363" s="19" t="s">
        <v>1358</v>
      </c>
    </row>
    <row r="1364" spans="1:8">
      <c r="A1364" s="19">
        <v>136</v>
      </c>
      <c r="B1364" s="19" t="s">
        <v>682</v>
      </c>
      <c r="C1364" s="19" t="s">
        <v>706</v>
      </c>
      <c r="D1364" s="19" t="s">
        <v>255</v>
      </c>
      <c r="E1364" s="19">
        <v>3</v>
      </c>
      <c r="F1364" s="19">
        <v>3</v>
      </c>
      <c r="G1364" s="19" t="s">
        <v>2031</v>
      </c>
      <c r="H1364" s="19" t="s">
        <v>1358</v>
      </c>
    </row>
    <row r="1365" spans="1:8">
      <c r="A1365" s="19">
        <v>136</v>
      </c>
      <c r="B1365" s="19" t="s">
        <v>682</v>
      </c>
      <c r="C1365" s="19" t="s">
        <v>706</v>
      </c>
      <c r="D1365" s="19" t="s">
        <v>241</v>
      </c>
      <c r="E1365" s="19" t="s">
        <v>149</v>
      </c>
      <c r="F1365" s="19" t="s">
        <v>1612</v>
      </c>
      <c r="G1365" s="19" t="s">
        <v>2030</v>
      </c>
      <c r="H1365" s="19" t="s">
        <v>1358</v>
      </c>
    </row>
    <row r="1366" spans="1:8">
      <c r="A1366" s="19">
        <v>136</v>
      </c>
      <c r="B1366" s="19" t="s">
        <v>682</v>
      </c>
      <c r="C1366" s="19" t="s">
        <v>706</v>
      </c>
      <c r="D1366" s="19" t="s">
        <v>256</v>
      </c>
      <c r="E1366" s="19" t="s">
        <v>299</v>
      </c>
      <c r="F1366" s="19" t="s">
        <v>1612</v>
      </c>
      <c r="G1366" s="19" t="s">
        <v>2030</v>
      </c>
      <c r="H1366" s="19" t="s">
        <v>1358</v>
      </c>
    </row>
    <row r="1367" spans="1:8">
      <c r="A1367" s="19">
        <v>136</v>
      </c>
      <c r="B1367" s="19" t="s">
        <v>682</v>
      </c>
      <c r="C1367" s="19" t="s">
        <v>706</v>
      </c>
      <c r="D1367" s="19" t="s">
        <v>871</v>
      </c>
      <c r="E1367" s="19" t="s">
        <v>111</v>
      </c>
      <c r="F1367" s="19" t="s">
        <v>1603</v>
      </c>
      <c r="G1367" s="19" t="s">
        <v>2030</v>
      </c>
      <c r="H1367" s="19" t="s">
        <v>1358</v>
      </c>
    </row>
    <row r="1368" spans="1:8">
      <c r="A1368" s="19">
        <v>136</v>
      </c>
      <c r="B1368" s="19" t="s">
        <v>682</v>
      </c>
      <c r="C1368" s="19" t="s">
        <v>706</v>
      </c>
      <c r="D1368" s="19" t="s">
        <v>243</v>
      </c>
      <c r="E1368" s="19">
        <v>44</v>
      </c>
      <c r="F1368" s="19">
        <v>44</v>
      </c>
      <c r="G1368" s="19" t="s">
        <v>2030</v>
      </c>
      <c r="H1368" s="19" t="s">
        <v>1358</v>
      </c>
    </row>
    <row r="1369" spans="1:8">
      <c r="A1369" s="19">
        <v>136</v>
      </c>
      <c r="B1369" s="19" t="s">
        <v>682</v>
      </c>
      <c r="C1369" s="19" t="s">
        <v>706</v>
      </c>
      <c r="D1369" s="19" t="s">
        <v>244</v>
      </c>
      <c r="E1369" s="19">
        <v>385</v>
      </c>
      <c r="F1369" s="19">
        <v>385</v>
      </c>
      <c r="G1369" s="19" t="s">
        <v>2030</v>
      </c>
      <c r="H1369" s="19" t="s">
        <v>1358</v>
      </c>
    </row>
    <row r="1370" spans="1:8">
      <c r="A1370" s="19">
        <v>136</v>
      </c>
      <c r="B1370" s="19" t="s">
        <v>682</v>
      </c>
      <c r="C1370" s="19" t="s">
        <v>706</v>
      </c>
      <c r="D1370" s="19" t="s">
        <v>257</v>
      </c>
      <c r="E1370" s="19">
        <v>48.2</v>
      </c>
      <c r="F1370" s="19">
        <v>48.2</v>
      </c>
      <c r="G1370" s="19" t="s">
        <v>2030</v>
      </c>
      <c r="H1370" s="19" t="s">
        <v>1358</v>
      </c>
    </row>
    <row r="1371" spans="1:8">
      <c r="A1371" s="19">
        <v>136</v>
      </c>
      <c r="B1371" s="19" t="s">
        <v>682</v>
      </c>
      <c r="C1371" s="19" t="s">
        <v>706</v>
      </c>
      <c r="D1371" s="19" t="s">
        <v>1198</v>
      </c>
      <c r="E1371" s="19" t="s">
        <v>361</v>
      </c>
      <c r="F1371" s="19" t="s">
        <v>361</v>
      </c>
      <c r="G1371" s="19" t="s">
        <v>2030</v>
      </c>
      <c r="H1371" s="19" t="s">
        <v>1358</v>
      </c>
    </row>
    <row r="1372" spans="1:8">
      <c r="A1372" s="19">
        <v>136</v>
      </c>
      <c r="B1372" s="19" t="s">
        <v>682</v>
      </c>
      <c r="C1372" s="19" t="s">
        <v>706</v>
      </c>
      <c r="D1372" s="19" t="s">
        <v>1575</v>
      </c>
      <c r="E1372" s="19" t="s">
        <v>1576</v>
      </c>
      <c r="F1372" s="19" t="s">
        <v>1577</v>
      </c>
      <c r="G1372" s="19" t="s">
        <v>2030</v>
      </c>
      <c r="H1372" s="19" t="s">
        <v>1358</v>
      </c>
    </row>
    <row r="1373" spans="1:8">
      <c r="A1373" s="19">
        <v>136</v>
      </c>
      <c r="B1373" s="19" t="s">
        <v>682</v>
      </c>
      <c r="C1373" s="19" t="s">
        <v>706</v>
      </c>
      <c r="D1373" s="19" t="s">
        <v>253</v>
      </c>
      <c r="E1373" s="19" t="s">
        <v>297</v>
      </c>
      <c r="F1373" s="19" t="s">
        <v>1460</v>
      </c>
      <c r="G1373" s="19"/>
      <c r="H1373" s="60" t="s">
        <v>1360</v>
      </c>
    </row>
    <row r="1374" spans="1:8">
      <c r="A1374" s="19">
        <v>136</v>
      </c>
      <c r="B1374" s="19" t="s">
        <v>682</v>
      </c>
      <c r="C1374" s="19" t="s">
        <v>706</v>
      </c>
      <c r="D1374" s="19" t="s">
        <v>914</v>
      </c>
      <c r="E1374" s="19" t="s">
        <v>355</v>
      </c>
      <c r="F1374" s="19" t="s">
        <v>355</v>
      </c>
      <c r="G1374" s="19" t="s">
        <v>2138</v>
      </c>
      <c r="H1374" s="19" t="s">
        <v>1358</v>
      </c>
    </row>
    <row r="1375" spans="1:8">
      <c r="A1375" s="19">
        <v>136</v>
      </c>
      <c r="B1375" s="19" t="s">
        <v>682</v>
      </c>
      <c r="C1375" s="19" t="s">
        <v>706</v>
      </c>
      <c r="D1375" s="19" t="s">
        <v>1377</v>
      </c>
      <c r="E1375" s="19">
        <v>180000</v>
      </c>
      <c r="F1375" s="19">
        <v>180000</v>
      </c>
      <c r="G1375" s="19" t="s">
        <v>2138</v>
      </c>
      <c r="H1375" s="19" t="s">
        <v>1358</v>
      </c>
    </row>
    <row r="1376" spans="1:8">
      <c r="A1376" s="19">
        <v>137</v>
      </c>
      <c r="B1376" s="19" t="s">
        <v>682</v>
      </c>
      <c r="C1376" s="19" t="s">
        <v>501</v>
      </c>
      <c r="D1376" s="19" t="s">
        <v>238</v>
      </c>
      <c r="E1376" s="19" t="s">
        <v>508</v>
      </c>
      <c r="F1376" s="19" t="s">
        <v>508</v>
      </c>
      <c r="G1376" s="19" t="s">
        <v>2033</v>
      </c>
      <c r="H1376" s="19" t="s">
        <v>1358</v>
      </c>
    </row>
    <row r="1377" spans="1:8">
      <c r="A1377" s="19">
        <v>137</v>
      </c>
      <c r="B1377" s="19" t="s">
        <v>682</v>
      </c>
      <c r="C1377" s="19" t="s">
        <v>501</v>
      </c>
      <c r="D1377" s="19" t="s">
        <v>255</v>
      </c>
      <c r="E1377" s="19">
        <v>2</v>
      </c>
      <c r="F1377" s="19">
        <v>2</v>
      </c>
      <c r="G1377" s="19" t="s">
        <v>2034</v>
      </c>
      <c r="H1377" s="19" t="s">
        <v>1358</v>
      </c>
    </row>
    <row r="1378" spans="1:8">
      <c r="A1378" s="19">
        <v>137</v>
      </c>
      <c r="B1378" s="19" t="s">
        <v>682</v>
      </c>
      <c r="C1378" s="19" t="s">
        <v>501</v>
      </c>
      <c r="D1378" s="19" t="s">
        <v>241</v>
      </c>
      <c r="E1378" s="19" t="s">
        <v>128</v>
      </c>
      <c r="F1378" s="19" t="s">
        <v>1567</v>
      </c>
      <c r="G1378" s="19" t="s">
        <v>2033</v>
      </c>
      <c r="H1378" s="19" t="s">
        <v>1358</v>
      </c>
    </row>
    <row r="1379" spans="1:8">
      <c r="A1379" s="19">
        <v>137</v>
      </c>
      <c r="B1379" s="19" t="s">
        <v>682</v>
      </c>
      <c r="C1379" s="19" t="s">
        <v>501</v>
      </c>
      <c r="D1379" s="19" t="s">
        <v>256</v>
      </c>
      <c r="E1379" s="19" t="s">
        <v>299</v>
      </c>
      <c r="F1379" s="19" t="s">
        <v>1567</v>
      </c>
      <c r="G1379" s="19" t="s">
        <v>2033</v>
      </c>
      <c r="H1379" s="19" t="s">
        <v>1358</v>
      </c>
    </row>
    <row r="1380" spans="1:8">
      <c r="A1380" s="19">
        <v>137</v>
      </c>
      <c r="B1380" s="19" t="s">
        <v>682</v>
      </c>
      <c r="C1380" s="19" t="s">
        <v>501</v>
      </c>
      <c r="D1380" s="19" t="s">
        <v>871</v>
      </c>
      <c r="E1380" s="19" t="s">
        <v>86</v>
      </c>
      <c r="F1380" s="19" t="s">
        <v>1651</v>
      </c>
      <c r="G1380" s="19" t="s">
        <v>2033</v>
      </c>
      <c r="H1380" s="19" t="s">
        <v>1358</v>
      </c>
    </row>
    <row r="1381" spans="1:8">
      <c r="A1381" s="19">
        <v>137</v>
      </c>
      <c r="B1381" s="19" t="s">
        <v>682</v>
      </c>
      <c r="C1381" s="19" t="s">
        <v>501</v>
      </c>
      <c r="D1381" s="19" t="s">
        <v>243</v>
      </c>
      <c r="E1381" s="19">
        <v>10</v>
      </c>
      <c r="F1381" s="19">
        <v>10</v>
      </c>
      <c r="G1381" s="19" t="s">
        <v>2033</v>
      </c>
      <c r="H1381" s="19" t="s">
        <v>1358</v>
      </c>
    </row>
    <row r="1382" spans="1:8">
      <c r="A1382" s="19">
        <v>137</v>
      </c>
      <c r="B1382" s="19" t="s">
        <v>682</v>
      </c>
      <c r="C1382" s="19" t="s">
        <v>501</v>
      </c>
      <c r="D1382" s="19" t="s">
        <v>244</v>
      </c>
      <c r="E1382" s="19">
        <v>40</v>
      </c>
      <c r="F1382" s="19">
        <v>40</v>
      </c>
      <c r="G1382" s="19" t="s">
        <v>2033</v>
      </c>
      <c r="H1382" s="19" t="s">
        <v>1358</v>
      </c>
    </row>
    <row r="1383" spans="1:8">
      <c r="A1383" s="19">
        <v>137</v>
      </c>
      <c r="B1383" s="19" t="s">
        <v>682</v>
      </c>
      <c r="C1383" s="19" t="s">
        <v>501</v>
      </c>
      <c r="D1383" s="19" t="s">
        <v>257</v>
      </c>
      <c r="E1383" s="19">
        <v>6.8</v>
      </c>
      <c r="F1383" s="19">
        <v>6.8</v>
      </c>
      <c r="G1383" s="19" t="s">
        <v>2033</v>
      </c>
      <c r="H1383" s="19" t="s">
        <v>1358</v>
      </c>
    </row>
    <row r="1384" spans="1:8">
      <c r="A1384" s="19">
        <v>137</v>
      </c>
      <c r="B1384" s="19" t="s">
        <v>682</v>
      </c>
      <c r="C1384" s="19" t="s">
        <v>501</v>
      </c>
      <c r="D1384" s="19" t="s">
        <v>1198</v>
      </c>
      <c r="E1384" s="19" t="s">
        <v>305</v>
      </c>
      <c r="F1384" s="19" t="s">
        <v>1574</v>
      </c>
      <c r="G1384" s="19"/>
      <c r="H1384" s="60" t="s">
        <v>1360</v>
      </c>
    </row>
    <row r="1385" spans="1:8">
      <c r="A1385" s="19">
        <v>137</v>
      </c>
      <c r="B1385" s="19" t="s">
        <v>682</v>
      </c>
      <c r="C1385" s="19" t="s">
        <v>501</v>
      </c>
      <c r="D1385" s="19" t="s">
        <v>1575</v>
      </c>
      <c r="E1385" s="19" t="s">
        <v>1576</v>
      </c>
      <c r="F1385" s="19" t="s">
        <v>1577</v>
      </c>
      <c r="G1385" s="19" t="s">
        <v>2033</v>
      </c>
      <c r="H1385" s="19" t="s">
        <v>1358</v>
      </c>
    </row>
    <row r="1386" spans="1:8">
      <c r="A1386" s="19">
        <v>137</v>
      </c>
      <c r="B1386" s="19" t="s">
        <v>682</v>
      </c>
      <c r="C1386" s="19" t="s">
        <v>501</v>
      </c>
      <c r="D1386" s="19" t="s">
        <v>253</v>
      </c>
      <c r="E1386" s="19" t="s">
        <v>297</v>
      </c>
      <c r="F1386" s="19" t="s">
        <v>1460</v>
      </c>
      <c r="G1386" s="19"/>
      <c r="H1386" s="60" t="s">
        <v>1360</v>
      </c>
    </row>
    <row r="1387" spans="1:8">
      <c r="A1387" s="19">
        <v>137</v>
      </c>
      <c r="B1387" s="19" t="s">
        <v>682</v>
      </c>
      <c r="C1387" s="19" t="s">
        <v>501</v>
      </c>
      <c r="D1387" s="19" t="s">
        <v>914</v>
      </c>
      <c r="E1387" s="19" t="s">
        <v>355</v>
      </c>
      <c r="F1387" s="19" t="s">
        <v>355</v>
      </c>
      <c r="G1387" s="19" t="s">
        <v>2139</v>
      </c>
      <c r="H1387" s="19" t="s">
        <v>1358</v>
      </c>
    </row>
    <row r="1388" spans="1:8">
      <c r="A1388" s="19">
        <v>137</v>
      </c>
      <c r="B1388" s="19" t="s">
        <v>682</v>
      </c>
      <c r="C1388" s="19" t="s">
        <v>501</v>
      </c>
      <c r="D1388" s="19" t="s">
        <v>1377</v>
      </c>
      <c r="E1388" s="19">
        <v>15000</v>
      </c>
      <c r="F1388" s="19">
        <v>15000</v>
      </c>
      <c r="G1388" s="19" t="s">
        <v>2139</v>
      </c>
      <c r="H1388" s="19" t="s">
        <v>1358</v>
      </c>
    </row>
    <row r="1389" spans="1:8">
      <c r="A1389" s="19">
        <v>138</v>
      </c>
      <c r="B1389" s="19" t="s">
        <v>682</v>
      </c>
      <c r="C1389" s="19" t="s">
        <v>573</v>
      </c>
      <c r="D1389" s="19" t="s">
        <v>238</v>
      </c>
      <c r="E1389" s="19" t="s">
        <v>521</v>
      </c>
      <c r="F1389" s="19" t="s">
        <v>521</v>
      </c>
      <c r="G1389" s="19" t="s">
        <v>2036</v>
      </c>
      <c r="H1389" s="19" t="s">
        <v>1358</v>
      </c>
    </row>
    <row r="1390" spans="1:8">
      <c r="A1390" s="19">
        <v>138</v>
      </c>
      <c r="B1390" s="19" t="s">
        <v>682</v>
      </c>
      <c r="C1390" s="19" t="s">
        <v>573</v>
      </c>
      <c r="D1390" s="19" t="s">
        <v>255</v>
      </c>
      <c r="E1390" s="19">
        <v>2</v>
      </c>
      <c r="F1390" s="19">
        <v>2</v>
      </c>
      <c r="G1390" s="19" t="s">
        <v>2037</v>
      </c>
      <c r="H1390" s="19" t="s">
        <v>1358</v>
      </c>
    </row>
    <row r="1391" spans="1:8">
      <c r="A1391" s="19">
        <v>138</v>
      </c>
      <c r="B1391" s="19" t="s">
        <v>682</v>
      </c>
      <c r="C1391" s="19" t="s">
        <v>573</v>
      </c>
      <c r="D1391" s="19" t="s">
        <v>241</v>
      </c>
      <c r="E1391" s="19" t="s">
        <v>128</v>
      </c>
      <c r="F1391" s="19" t="s">
        <v>1567</v>
      </c>
      <c r="G1391" s="19" t="s">
        <v>2036</v>
      </c>
      <c r="H1391" s="19" t="s">
        <v>1358</v>
      </c>
    </row>
    <row r="1392" spans="1:8">
      <c r="A1392" s="19">
        <v>138</v>
      </c>
      <c r="B1392" s="19" t="s">
        <v>682</v>
      </c>
      <c r="C1392" s="19" t="s">
        <v>573</v>
      </c>
      <c r="D1392" s="19" t="s">
        <v>256</v>
      </c>
      <c r="E1392" s="19" t="s">
        <v>299</v>
      </c>
      <c r="F1392" s="19" t="s">
        <v>1567</v>
      </c>
      <c r="G1392" s="19" t="s">
        <v>2036</v>
      </c>
      <c r="H1392" s="19" t="s">
        <v>1358</v>
      </c>
    </row>
    <row r="1393" spans="1:8">
      <c r="A1393" s="19">
        <v>138</v>
      </c>
      <c r="B1393" s="19" t="s">
        <v>682</v>
      </c>
      <c r="C1393" s="19" t="s">
        <v>573</v>
      </c>
      <c r="D1393" s="19" t="s">
        <v>871</v>
      </c>
      <c r="E1393" s="19" t="s">
        <v>111</v>
      </c>
      <c r="F1393" s="19" t="s">
        <v>1603</v>
      </c>
      <c r="G1393" s="19" t="s">
        <v>2036</v>
      </c>
      <c r="H1393" s="19" t="s">
        <v>1358</v>
      </c>
    </row>
    <row r="1394" spans="1:8">
      <c r="A1394" s="19">
        <v>138</v>
      </c>
      <c r="B1394" s="19" t="s">
        <v>682</v>
      </c>
      <c r="C1394" s="19" t="s">
        <v>573</v>
      </c>
      <c r="D1394" s="19" t="s">
        <v>243</v>
      </c>
      <c r="E1394" s="19">
        <v>25</v>
      </c>
      <c r="F1394" s="19">
        <v>25</v>
      </c>
      <c r="G1394" s="19" t="s">
        <v>2036</v>
      </c>
      <c r="H1394" s="19" t="s">
        <v>1358</v>
      </c>
    </row>
    <row r="1395" spans="1:8">
      <c r="A1395" s="19">
        <v>138</v>
      </c>
      <c r="B1395" s="19" t="s">
        <v>682</v>
      </c>
      <c r="C1395" s="19" t="s">
        <v>573</v>
      </c>
      <c r="D1395" s="19" t="s">
        <v>244</v>
      </c>
      <c r="E1395" s="19">
        <v>55</v>
      </c>
      <c r="F1395" s="19">
        <v>55</v>
      </c>
      <c r="G1395" s="19" t="s">
        <v>2036</v>
      </c>
      <c r="H1395" s="19" t="s">
        <v>1358</v>
      </c>
    </row>
    <row r="1396" spans="1:8">
      <c r="A1396" s="19">
        <v>138</v>
      </c>
      <c r="B1396" s="19" t="s">
        <v>682</v>
      </c>
      <c r="C1396" s="19" t="s">
        <v>573</v>
      </c>
      <c r="D1396" s="19" t="s">
        <v>257</v>
      </c>
      <c r="E1396" s="19">
        <v>5</v>
      </c>
      <c r="F1396" s="19">
        <v>5</v>
      </c>
      <c r="G1396" s="19" t="s">
        <v>2036</v>
      </c>
      <c r="H1396" s="19" t="s">
        <v>1358</v>
      </c>
    </row>
    <row r="1397" spans="1:8">
      <c r="A1397" s="19">
        <v>138</v>
      </c>
      <c r="B1397" s="19" t="s">
        <v>682</v>
      </c>
      <c r="C1397" s="19" t="s">
        <v>573</v>
      </c>
      <c r="D1397" s="19" t="s">
        <v>1198</v>
      </c>
      <c r="E1397" s="19" t="s">
        <v>361</v>
      </c>
      <c r="F1397" s="19" t="s">
        <v>361</v>
      </c>
      <c r="G1397" s="19" t="s">
        <v>2036</v>
      </c>
      <c r="H1397" s="19" t="s">
        <v>1358</v>
      </c>
    </row>
    <row r="1398" spans="1:8">
      <c r="A1398" s="19">
        <v>138</v>
      </c>
      <c r="B1398" s="19" t="s">
        <v>682</v>
      </c>
      <c r="C1398" s="19" t="s">
        <v>573</v>
      </c>
      <c r="D1398" s="19" t="s">
        <v>1575</v>
      </c>
      <c r="E1398" s="19" t="s">
        <v>1576</v>
      </c>
      <c r="F1398" s="19" t="s">
        <v>1577</v>
      </c>
      <c r="G1398" s="19" t="s">
        <v>2036</v>
      </c>
      <c r="H1398" s="19" t="s">
        <v>1358</v>
      </c>
    </row>
    <row r="1399" spans="1:8">
      <c r="A1399" s="19">
        <v>138</v>
      </c>
      <c r="B1399" s="19" t="s">
        <v>682</v>
      </c>
      <c r="C1399" s="19" t="s">
        <v>573</v>
      </c>
      <c r="D1399" s="19" t="s">
        <v>253</v>
      </c>
      <c r="E1399" s="19" t="s">
        <v>297</v>
      </c>
      <c r="F1399" s="19" t="s">
        <v>1460</v>
      </c>
      <c r="G1399" s="19"/>
      <c r="H1399" s="60" t="s">
        <v>1360</v>
      </c>
    </row>
    <row r="1400" spans="1:8">
      <c r="A1400" s="19">
        <v>138</v>
      </c>
      <c r="B1400" s="19" t="s">
        <v>682</v>
      </c>
      <c r="C1400" s="19" t="s">
        <v>573</v>
      </c>
      <c r="D1400" s="19" t="s">
        <v>914</v>
      </c>
      <c r="E1400" s="19" t="s">
        <v>355</v>
      </c>
      <c r="F1400" s="19" t="s">
        <v>355</v>
      </c>
      <c r="G1400" s="19" t="s">
        <v>2140</v>
      </c>
      <c r="H1400" s="19" t="s">
        <v>1358</v>
      </c>
    </row>
    <row r="1401" spans="1:8">
      <c r="A1401" s="19">
        <v>138</v>
      </c>
      <c r="B1401" s="19" t="s">
        <v>682</v>
      </c>
      <c r="C1401" s="19" t="s">
        <v>573</v>
      </c>
      <c r="D1401" s="19" t="s">
        <v>1377</v>
      </c>
      <c r="E1401" s="19">
        <v>32000</v>
      </c>
      <c r="F1401" s="19">
        <v>32000</v>
      </c>
      <c r="G1401" s="19" t="s">
        <v>2140</v>
      </c>
      <c r="H1401" s="19" t="s">
        <v>1358</v>
      </c>
    </row>
    <row r="1402" spans="1:8">
      <c r="A1402" s="19">
        <v>139</v>
      </c>
      <c r="B1402" s="19" t="s">
        <v>682</v>
      </c>
      <c r="C1402" s="19" t="s">
        <v>576</v>
      </c>
      <c r="D1402" s="19" t="s">
        <v>238</v>
      </c>
      <c r="E1402" s="19" t="s">
        <v>713</v>
      </c>
      <c r="F1402" s="19" t="s">
        <v>713</v>
      </c>
      <c r="G1402" s="19" t="s">
        <v>2039</v>
      </c>
      <c r="H1402" s="19" t="s">
        <v>1358</v>
      </c>
    </row>
    <row r="1403" spans="1:8">
      <c r="A1403" s="19">
        <v>139</v>
      </c>
      <c r="B1403" s="19" t="s">
        <v>682</v>
      </c>
      <c r="C1403" s="19" t="s">
        <v>576</v>
      </c>
      <c r="D1403" s="19" t="s">
        <v>255</v>
      </c>
      <c r="E1403" s="19">
        <v>1</v>
      </c>
      <c r="F1403" s="19">
        <v>1</v>
      </c>
      <c r="G1403" s="19" t="s">
        <v>2040</v>
      </c>
      <c r="H1403" s="19" t="s">
        <v>1358</v>
      </c>
    </row>
    <row r="1404" spans="1:8">
      <c r="A1404" s="19">
        <v>139</v>
      </c>
      <c r="B1404" s="19" t="s">
        <v>682</v>
      </c>
      <c r="C1404" s="19" t="s">
        <v>576</v>
      </c>
      <c r="D1404" s="19" t="s">
        <v>241</v>
      </c>
      <c r="E1404" s="19" t="s">
        <v>167</v>
      </c>
      <c r="F1404" s="19" t="s">
        <v>1888</v>
      </c>
      <c r="G1404" s="19" t="s">
        <v>2039</v>
      </c>
      <c r="H1404" s="19" t="s">
        <v>1358</v>
      </c>
    </row>
    <row r="1405" spans="1:8">
      <c r="A1405" s="19">
        <v>139</v>
      </c>
      <c r="B1405" s="19" t="s">
        <v>682</v>
      </c>
      <c r="C1405" s="19" t="s">
        <v>576</v>
      </c>
      <c r="D1405" s="19" t="s">
        <v>256</v>
      </c>
      <c r="E1405" s="19" t="s">
        <v>299</v>
      </c>
      <c r="F1405" s="19" t="s">
        <v>1888</v>
      </c>
      <c r="G1405" s="19" t="s">
        <v>2039</v>
      </c>
      <c r="H1405" s="19" t="s">
        <v>1358</v>
      </c>
    </row>
    <row r="1406" spans="1:8">
      <c r="A1406" s="19">
        <v>139</v>
      </c>
      <c r="B1406" s="19" t="s">
        <v>682</v>
      </c>
      <c r="C1406" s="19" t="s">
        <v>576</v>
      </c>
      <c r="D1406" s="19" t="s">
        <v>871</v>
      </c>
      <c r="E1406" s="19" t="s">
        <v>86</v>
      </c>
      <c r="F1406" s="19" t="s">
        <v>1651</v>
      </c>
      <c r="G1406" s="19" t="s">
        <v>2039</v>
      </c>
      <c r="H1406" s="19" t="s">
        <v>1358</v>
      </c>
    </row>
    <row r="1407" spans="1:8">
      <c r="A1407" s="19">
        <v>139</v>
      </c>
      <c r="B1407" s="19" t="s">
        <v>682</v>
      </c>
      <c r="C1407" s="19" t="s">
        <v>576</v>
      </c>
      <c r="D1407" s="19" t="s">
        <v>243</v>
      </c>
      <c r="E1407" s="19">
        <v>5</v>
      </c>
      <c r="F1407" s="19">
        <v>5</v>
      </c>
      <c r="G1407" s="19" t="s">
        <v>2039</v>
      </c>
      <c r="H1407" s="19" t="s">
        <v>1358</v>
      </c>
    </row>
    <row r="1408" spans="1:8">
      <c r="A1408" s="19">
        <v>139</v>
      </c>
      <c r="B1408" s="19" t="s">
        <v>682</v>
      </c>
      <c r="C1408" s="19" t="s">
        <v>576</v>
      </c>
      <c r="D1408" s="19" t="s">
        <v>244</v>
      </c>
      <c r="E1408" s="19">
        <v>21.4</v>
      </c>
      <c r="F1408" s="19">
        <v>21.4</v>
      </c>
      <c r="G1408" s="19" t="s">
        <v>2039</v>
      </c>
      <c r="H1408" s="19" t="s">
        <v>1358</v>
      </c>
    </row>
    <row r="1409" spans="1:8">
      <c r="A1409" s="19">
        <v>139</v>
      </c>
      <c r="B1409" s="19" t="s">
        <v>682</v>
      </c>
      <c r="C1409" s="19" t="s">
        <v>576</v>
      </c>
      <c r="D1409" s="19" t="s">
        <v>257</v>
      </c>
      <c r="E1409" s="19">
        <v>2</v>
      </c>
      <c r="F1409" s="19">
        <v>2</v>
      </c>
      <c r="G1409" s="19" t="s">
        <v>2039</v>
      </c>
      <c r="H1409" s="19" t="s">
        <v>1358</v>
      </c>
    </row>
    <row r="1410" spans="1:8">
      <c r="A1410" s="19">
        <v>139</v>
      </c>
      <c r="B1410" s="19" t="s">
        <v>682</v>
      </c>
      <c r="C1410" s="19" t="s">
        <v>576</v>
      </c>
      <c r="D1410" s="19" t="s">
        <v>1198</v>
      </c>
      <c r="E1410" s="19" t="s">
        <v>305</v>
      </c>
      <c r="F1410" s="19" t="s">
        <v>1574</v>
      </c>
      <c r="G1410" s="19"/>
      <c r="H1410" s="60" t="s">
        <v>1360</v>
      </c>
    </row>
    <row r="1411" spans="1:8">
      <c r="A1411" s="19">
        <v>139</v>
      </c>
      <c r="B1411" s="19" t="s">
        <v>682</v>
      </c>
      <c r="C1411" s="19" t="s">
        <v>576</v>
      </c>
      <c r="D1411" s="19" t="s">
        <v>1575</v>
      </c>
      <c r="E1411" s="19" t="s">
        <v>1576</v>
      </c>
      <c r="F1411" s="19" t="s">
        <v>1577</v>
      </c>
      <c r="G1411" s="19" t="s">
        <v>2039</v>
      </c>
      <c r="H1411" s="19" t="s">
        <v>1358</v>
      </c>
    </row>
    <row r="1412" spans="1:8">
      <c r="A1412" s="19">
        <v>139</v>
      </c>
      <c r="B1412" s="19" t="s">
        <v>682</v>
      </c>
      <c r="C1412" s="19" t="s">
        <v>576</v>
      </c>
      <c r="D1412" s="19" t="s">
        <v>253</v>
      </c>
      <c r="E1412" s="19" t="s">
        <v>297</v>
      </c>
      <c r="F1412" s="19" t="s">
        <v>1460</v>
      </c>
      <c r="G1412" s="19"/>
      <c r="H1412" s="60" t="s">
        <v>1360</v>
      </c>
    </row>
    <row r="1413" spans="1:8">
      <c r="A1413" s="19">
        <v>139</v>
      </c>
      <c r="B1413" s="19" t="s">
        <v>682</v>
      </c>
      <c r="C1413" s="19" t="s">
        <v>576</v>
      </c>
      <c r="D1413" s="19" t="s">
        <v>914</v>
      </c>
      <c r="E1413" s="19" t="s">
        <v>355</v>
      </c>
      <c r="F1413" s="19" t="s">
        <v>355</v>
      </c>
      <c r="G1413" s="19" t="s">
        <v>2141</v>
      </c>
      <c r="H1413" s="19" t="s">
        <v>1358</v>
      </c>
    </row>
    <row r="1414" spans="1:8">
      <c r="A1414" s="19">
        <v>139</v>
      </c>
      <c r="B1414" s="19" t="s">
        <v>682</v>
      </c>
      <c r="C1414" s="19" t="s">
        <v>576</v>
      </c>
      <c r="D1414" s="19" t="s">
        <v>1377</v>
      </c>
      <c r="E1414" s="19">
        <v>15000</v>
      </c>
      <c r="F1414" s="19">
        <v>15000</v>
      </c>
      <c r="G1414" s="19" t="s">
        <v>2141</v>
      </c>
      <c r="H1414" s="19" t="s">
        <v>1358</v>
      </c>
    </row>
    <row r="1415" spans="1:8">
      <c r="A1415" s="19">
        <v>140</v>
      </c>
      <c r="B1415" s="19" t="s">
        <v>682</v>
      </c>
      <c r="C1415" s="19" t="s">
        <v>720</v>
      </c>
      <c r="D1415" s="19" t="s">
        <v>238</v>
      </c>
      <c r="E1415" s="19" t="s">
        <v>517</v>
      </c>
      <c r="F1415" s="19" t="s">
        <v>517</v>
      </c>
      <c r="G1415" s="19" t="s">
        <v>2045</v>
      </c>
      <c r="H1415" s="19" t="s">
        <v>1358</v>
      </c>
    </row>
    <row r="1416" spans="1:8">
      <c r="A1416" s="19">
        <v>140</v>
      </c>
      <c r="B1416" s="19" t="s">
        <v>682</v>
      </c>
      <c r="C1416" s="19" t="s">
        <v>720</v>
      </c>
      <c r="D1416" s="19" t="s">
        <v>255</v>
      </c>
      <c r="E1416" s="19">
        <v>2</v>
      </c>
      <c r="F1416" s="19">
        <v>2</v>
      </c>
      <c r="G1416" s="19" t="s">
        <v>2046</v>
      </c>
      <c r="H1416" s="19" t="s">
        <v>1358</v>
      </c>
    </row>
    <row r="1417" spans="1:8">
      <c r="A1417" s="19">
        <v>140</v>
      </c>
      <c r="B1417" s="19" t="s">
        <v>682</v>
      </c>
      <c r="C1417" s="19" t="s">
        <v>720</v>
      </c>
      <c r="D1417" s="19" t="s">
        <v>241</v>
      </c>
      <c r="E1417" s="19" t="s">
        <v>128</v>
      </c>
      <c r="F1417" s="19" t="s">
        <v>1567</v>
      </c>
      <c r="G1417" s="19" t="s">
        <v>2045</v>
      </c>
      <c r="H1417" s="19" t="s">
        <v>1358</v>
      </c>
    </row>
    <row r="1418" spans="1:8">
      <c r="A1418" s="19">
        <v>140</v>
      </c>
      <c r="B1418" s="19" t="s">
        <v>682</v>
      </c>
      <c r="C1418" s="19" t="s">
        <v>720</v>
      </c>
      <c r="D1418" s="19" t="s">
        <v>256</v>
      </c>
      <c r="E1418" s="19" t="s">
        <v>299</v>
      </c>
      <c r="F1418" s="19" t="s">
        <v>1567</v>
      </c>
      <c r="G1418" s="19" t="s">
        <v>2045</v>
      </c>
      <c r="H1418" s="19" t="s">
        <v>1358</v>
      </c>
    </row>
    <row r="1419" spans="1:8">
      <c r="A1419" s="19">
        <v>140</v>
      </c>
      <c r="B1419" s="19" t="s">
        <v>682</v>
      </c>
      <c r="C1419" s="19" t="s">
        <v>720</v>
      </c>
      <c r="D1419" s="19" t="s">
        <v>871</v>
      </c>
      <c r="E1419" s="19" t="s">
        <v>111</v>
      </c>
      <c r="F1419" s="19" t="s">
        <v>1603</v>
      </c>
      <c r="G1419" s="19" t="s">
        <v>2045</v>
      </c>
      <c r="H1419" s="19" t="s">
        <v>1358</v>
      </c>
    </row>
    <row r="1420" spans="1:8">
      <c r="A1420" s="19">
        <v>140</v>
      </c>
      <c r="B1420" s="19" t="s">
        <v>682</v>
      </c>
      <c r="C1420" s="19" t="s">
        <v>720</v>
      </c>
      <c r="D1420" s="19" t="s">
        <v>243</v>
      </c>
      <c r="E1420" s="19">
        <v>15</v>
      </c>
      <c r="F1420" s="19">
        <v>15</v>
      </c>
      <c r="G1420" s="19" t="s">
        <v>2045</v>
      </c>
      <c r="H1420" s="19" t="s">
        <v>1358</v>
      </c>
    </row>
    <row r="1421" spans="1:8">
      <c r="A1421" s="19">
        <v>140</v>
      </c>
      <c r="B1421" s="19" t="s">
        <v>682</v>
      </c>
      <c r="C1421" s="19" t="s">
        <v>720</v>
      </c>
      <c r="D1421" s="19" t="s">
        <v>244</v>
      </c>
      <c r="E1421" s="19">
        <v>50</v>
      </c>
      <c r="F1421" s="19">
        <v>50</v>
      </c>
      <c r="G1421" s="19" t="s">
        <v>2045</v>
      </c>
      <c r="H1421" s="19" t="s">
        <v>1358</v>
      </c>
    </row>
    <row r="1422" spans="1:8">
      <c r="A1422" s="19">
        <v>140</v>
      </c>
      <c r="B1422" s="19" t="s">
        <v>682</v>
      </c>
      <c r="C1422" s="19" t="s">
        <v>720</v>
      </c>
      <c r="D1422" s="19" t="s">
        <v>257</v>
      </c>
      <c r="E1422" s="19">
        <v>5.7</v>
      </c>
      <c r="F1422" s="19">
        <v>5.7</v>
      </c>
      <c r="G1422" s="19" t="s">
        <v>2045</v>
      </c>
      <c r="H1422" s="19" t="s">
        <v>1358</v>
      </c>
    </row>
    <row r="1423" spans="1:8">
      <c r="A1423" s="19">
        <v>140</v>
      </c>
      <c r="B1423" s="19" t="s">
        <v>682</v>
      </c>
      <c r="C1423" s="19" t="s">
        <v>720</v>
      </c>
      <c r="D1423" s="19" t="s">
        <v>1198</v>
      </c>
      <c r="E1423" s="19" t="s">
        <v>361</v>
      </c>
      <c r="F1423" s="19" t="s">
        <v>361</v>
      </c>
      <c r="G1423" s="19" t="s">
        <v>2045</v>
      </c>
      <c r="H1423" s="19" t="s">
        <v>1358</v>
      </c>
    </row>
    <row r="1424" spans="1:8">
      <c r="A1424" s="19">
        <v>140</v>
      </c>
      <c r="B1424" s="19" t="s">
        <v>682</v>
      </c>
      <c r="C1424" s="19" t="s">
        <v>720</v>
      </c>
      <c r="D1424" s="19" t="s">
        <v>1575</v>
      </c>
      <c r="E1424" s="19" t="s">
        <v>1576</v>
      </c>
      <c r="F1424" s="19" t="s">
        <v>1577</v>
      </c>
      <c r="G1424" s="19" t="s">
        <v>2045</v>
      </c>
      <c r="H1424" s="19" t="s">
        <v>1358</v>
      </c>
    </row>
    <row r="1425" spans="1:8">
      <c r="A1425" s="19">
        <v>140</v>
      </c>
      <c r="B1425" s="19" t="s">
        <v>682</v>
      </c>
      <c r="C1425" s="19" t="s">
        <v>720</v>
      </c>
      <c r="D1425" s="19" t="s">
        <v>253</v>
      </c>
      <c r="E1425" s="19" t="s">
        <v>297</v>
      </c>
      <c r="F1425" s="19" t="s">
        <v>1460</v>
      </c>
      <c r="G1425" s="19"/>
      <c r="H1425" s="60" t="s">
        <v>1360</v>
      </c>
    </row>
    <row r="1426" spans="1:8">
      <c r="A1426" s="19">
        <v>140</v>
      </c>
      <c r="B1426" s="19" t="s">
        <v>682</v>
      </c>
      <c r="C1426" s="19" t="s">
        <v>720</v>
      </c>
      <c r="D1426" s="19" t="s">
        <v>914</v>
      </c>
      <c r="E1426" s="19" t="s">
        <v>355</v>
      </c>
      <c r="F1426" s="19" t="s">
        <v>355</v>
      </c>
      <c r="G1426" s="19" t="s">
        <v>2142</v>
      </c>
      <c r="H1426" s="19" t="s">
        <v>1358</v>
      </c>
    </row>
    <row r="1427" spans="1:8">
      <c r="A1427" s="19">
        <v>140</v>
      </c>
      <c r="B1427" s="19" t="s">
        <v>682</v>
      </c>
      <c r="C1427" s="19" t="s">
        <v>720</v>
      </c>
      <c r="D1427" s="19" t="s">
        <v>1377</v>
      </c>
      <c r="E1427" s="19">
        <v>15000</v>
      </c>
      <c r="F1427" s="19">
        <v>15000</v>
      </c>
      <c r="G1427" s="19" t="s">
        <v>2142</v>
      </c>
      <c r="H1427" s="19" t="s">
        <v>1358</v>
      </c>
    </row>
    <row r="1428" spans="1:8">
      <c r="A1428" s="19">
        <v>141</v>
      </c>
      <c r="B1428" s="19" t="s">
        <v>682</v>
      </c>
      <c r="C1428" s="19" t="s">
        <v>724</v>
      </c>
      <c r="D1428" s="19" t="s">
        <v>238</v>
      </c>
      <c r="E1428" s="19" t="s">
        <v>723</v>
      </c>
      <c r="F1428" s="19" t="s">
        <v>723</v>
      </c>
      <c r="G1428" s="19" t="s">
        <v>2048</v>
      </c>
      <c r="H1428" s="19" t="s">
        <v>1358</v>
      </c>
    </row>
    <row r="1429" spans="1:8">
      <c r="A1429" s="19">
        <v>141</v>
      </c>
      <c r="B1429" s="19" t="s">
        <v>682</v>
      </c>
      <c r="C1429" s="19" t="s">
        <v>724</v>
      </c>
      <c r="D1429" s="19" t="s">
        <v>255</v>
      </c>
      <c r="E1429" s="19">
        <v>2</v>
      </c>
      <c r="F1429" s="19">
        <v>2</v>
      </c>
      <c r="G1429" s="19" t="s">
        <v>2049</v>
      </c>
      <c r="H1429" s="19" t="s">
        <v>1358</v>
      </c>
    </row>
    <row r="1430" spans="1:8">
      <c r="A1430" s="19">
        <v>141</v>
      </c>
      <c r="B1430" s="19" t="s">
        <v>682</v>
      </c>
      <c r="C1430" s="19" t="s">
        <v>724</v>
      </c>
      <c r="D1430" s="19" t="s">
        <v>241</v>
      </c>
      <c r="E1430" s="19" t="s">
        <v>128</v>
      </c>
      <c r="F1430" s="19" t="s">
        <v>1567</v>
      </c>
      <c r="G1430" s="19" t="s">
        <v>2048</v>
      </c>
      <c r="H1430" s="19" t="s">
        <v>1358</v>
      </c>
    </row>
    <row r="1431" spans="1:8">
      <c r="A1431" s="19">
        <v>141</v>
      </c>
      <c r="B1431" s="19" t="s">
        <v>682</v>
      </c>
      <c r="C1431" s="19" t="s">
        <v>724</v>
      </c>
      <c r="D1431" s="19" t="s">
        <v>256</v>
      </c>
      <c r="E1431" s="19" t="s">
        <v>299</v>
      </c>
      <c r="F1431" s="19" t="s">
        <v>1567</v>
      </c>
      <c r="G1431" s="19" t="s">
        <v>2048</v>
      </c>
      <c r="H1431" s="19" t="s">
        <v>1358</v>
      </c>
    </row>
    <row r="1432" spans="1:8">
      <c r="A1432" s="19">
        <v>141</v>
      </c>
      <c r="B1432" s="19" t="s">
        <v>682</v>
      </c>
      <c r="C1432" s="19" t="s">
        <v>724</v>
      </c>
      <c r="D1432" s="19" t="s">
        <v>871</v>
      </c>
      <c r="E1432" s="19" t="s">
        <v>86</v>
      </c>
      <c r="F1432" s="19" t="s">
        <v>1651</v>
      </c>
      <c r="G1432" s="19" t="s">
        <v>2048</v>
      </c>
      <c r="H1432" s="19" t="s">
        <v>1358</v>
      </c>
    </row>
    <row r="1433" spans="1:8">
      <c r="A1433" s="19">
        <v>141</v>
      </c>
      <c r="B1433" s="19" t="s">
        <v>682</v>
      </c>
      <c r="C1433" s="19" t="s">
        <v>724</v>
      </c>
      <c r="D1433" s="19" t="s">
        <v>243</v>
      </c>
      <c r="E1433" s="19">
        <v>15</v>
      </c>
      <c r="F1433" s="19">
        <v>15</v>
      </c>
      <c r="G1433" s="19" t="s">
        <v>2048</v>
      </c>
      <c r="H1433" s="19" t="s">
        <v>1358</v>
      </c>
    </row>
    <row r="1434" spans="1:8">
      <c r="A1434" s="19">
        <v>141</v>
      </c>
      <c r="B1434" s="19" t="s">
        <v>682</v>
      </c>
      <c r="C1434" s="19" t="s">
        <v>724</v>
      </c>
      <c r="D1434" s="19" t="s">
        <v>244</v>
      </c>
      <c r="E1434" s="19">
        <v>20</v>
      </c>
      <c r="F1434" s="19">
        <v>20</v>
      </c>
      <c r="G1434" s="19" t="s">
        <v>2048</v>
      </c>
      <c r="H1434" s="19" t="s">
        <v>1358</v>
      </c>
    </row>
    <row r="1435" spans="1:8">
      <c r="A1435" s="19">
        <v>141</v>
      </c>
      <c r="B1435" s="19" t="s">
        <v>682</v>
      </c>
      <c r="C1435" s="19" t="s">
        <v>724</v>
      </c>
      <c r="D1435" s="19" t="s">
        <v>257</v>
      </c>
      <c r="E1435" s="19">
        <v>2.5</v>
      </c>
      <c r="F1435" s="19">
        <v>2.5</v>
      </c>
      <c r="G1435" s="19" t="s">
        <v>2048</v>
      </c>
      <c r="H1435" s="19" t="s">
        <v>1358</v>
      </c>
    </row>
    <row r="1436" spans="1:8">
      <c r="A1436" s="19">
        <v>141</v>
      </c>
      <c r="B1436" s="19" t="s">
        <v>682</v>
      </c>
      <c r="C1436" s="19" t="s">
        <v>724</v>
      </c>
      <c r="D1436" s="19" t="s">
        <v>1198</v>
      </c>
      <c r="E1436" s="19" t="s">
        <v>305</v>
      </c>
      <c r="F1436" s="19" t="s">
        <v>1574</v>
      </c>
      <c r="G1436" s="19"/>
      <c r="H1436" s="60" t="s">
        <v>1360</v>
      </c>
    </row>
    <row r="1437" spans="1:8">
      <c r="A1437" s="19">
        <v>141</v>
      </c>
      <c r="B1437" s="19" t="s">
        <v>682</v>
      </c>
      <c r="C1437" s="19" t="s">
        <v>724</v>
      </c>
      <c r="D1437" s="19" t="s">
        <v>1575</v>
      </c>
      <c r="E1437" s="19" t="s">
        <v>1576</v>
      </c>
      <c r="F1437" s="19" t="s">
        <v>1577</v>
      </c>
      <c r="G1437" s="19" t="s">
        <v>2048</v>
      </c>
      <c r="H1437" s="19" t="s">
        <v>1358</v>
      </c>
    </row>
    <row r="1438" spans="1:8">
      <c r="A1438" s="19">
        <v>141</v>
      </c>
      <c r="B1438" s="19" t="s">
        <v>682</v>
      </c>
      <c r="C1438" s="19" t="s">
        <v>724</v>
      </c>
      <c r="D1438" s="19" t="s">
        <v>253</v>
      </c>
      <c r="E1438" s="19" t="s">
        <v>297</v>
      </c>
      <c r="F1438" s="19" t="s">
        <v>1460</v>
      </c>
      <c r="G1438" s="19"/>
      <c r="H1438" s="60" t="s">
        <v>1360</v>
      </c>
    </row>
    <row r="1439" spans="1:8">
      <c r="A1439" s="19">
        <v>141</v>
      </c>
      <c r="B1439" s="19" t="s">
        <v>682</v>
      </c>
      <c r="C1439" s="19" t="s">
        <v>724</v>
      </c>
      <c r="D1439" s="19" t="s">
        <v>914</v>
      </c>
      <c r="E1439" s="19" t="s">
        <v>355</v>
      </c>
      <c r="F1439" s="19" t="s">
        <v>355</v>
      </c>
      <c r="G1439" s="19" t="s">
        <v>2143</v>
      </c>
      <c r="H1439" s="19" t="s">
        <v>1358</v>
      </c>
    </row>
    <row r="1440" spans="1:8">
      <c r="A1440" s="19">
        <v>141</v>
      </c>
      <c r="B1440" s="19" t="s">
        <v>682</v>
      </c>
      <c r="C1440" s="19" t="s">
        <v>724</v>
      </c>
      <c r="D1440" s="19" t="s">
        <v>1377</v>
      </c>
      <c r="E1440" s="19">
        <v>15000</v>
      </c>
      <c r="F1440" s="19">
        <v>15000</v>
      </c>
      <c r="G1440" s="19" t="s">
        <v>2143</v>
      </c>
      <c r="H1440" s="19" t="s">
        <v>1358</v>
      </c>
    </row>
    <row r="1441" spans="1:8">
      <c r="A1441" s="19">
        <v>142</v>
      </c>
      <c r="B1441" s="19" t="s">
        <v>682</v>
      </c>
      <c r="C1441" s="19" t="s">
        <v>727</v>
      </c>
      <c r="D1441" s="19" t="s">
        <v>238</v>
      </c>
      <c r="E1441" s="19" t="s">
        <v>627</v>
      </c>
      <c r="F1441" s="19" t="s">
        <v>627</v>
      </c>
      <c r="G1441" s="19" t="s">
        <v>2051</v>
      </c>
      <c r="H1441" s="19" t="s">
        <v>1358</v>
      </c>
    </row>
    <row r="1442" spans="1:8">
      <c r="A1442" s="19">
        <v>142</v>
      </c>
      <c r="B1442" s="19" t="s">
        <v>682</v>
      </c>
      <c r="C1442" s="19" t="s">
        <v>727</v>
      </c>
      <c r="D1442" s="19" t="s">
        <v>255</v>
      </c>
      <c r="E1442" s="19">
        <v>1</v>
      </c>
      <c r="F1442" s="19">
        <v>1</v>
      </c>
      <c r="G1442" s="19" t="s">
        <v>2052</v>
      </c>
      <c r="H1442" s="19" t="s">
        <v>1358</v>
      </c>
    </row>
    <row r="1443" spans="1:8">
      <c r="A1443" s="19">
        <v>142</v>
      </c>
      <c r="B1443" s="19" t="s">
        <v>682</v>
      </c>
      <c r="C1443" s="19" t="s">
        <v>727</v>
      </c>
      <c r="D1443" s="19" t="s">
        <v>256</v>
      </c>
      <c r="E1443" s="19" t="s">
        <v>299</v>
      </c>
      <c r="F1443" s="19" t="s">
        <v>1865</v>
      </c>
      <c r="G1443" s="19" t="s">
        <v>2051</v>
      </c>
      <c r="H1443" s="19" t="s">
        <v>1358</v>
      </c>
    </row>
    <row r="1444" spans="1:8">
      <c r="A1444" s="19">
        <v>142</v>
      </c>
      <c r="B1444" s="19" t="s">
        <v>682</v>
      </c>
      <c r="C1444" s="19" t="s">
        <v>727</v>
      </c>
      <c r="D1444" s="19" t="s">
        <v>871</v>
      </c>
      <c r="E1444" s="19" t="s">
        <v>74</v>
      </c>
      <c r="F1444" s="19" t="s">
        <v>1899</v>
      </c>
      <c r="G1444" s="19" t="s">
        <v>2051</v>
      </c>
      <c r="H1444" s="19" t="s">
        <v>1358</v>
      </c>
    </row>
    <row r="1445" spans="1:8">
      <c r="A1445" s="19">
        <v>142</v>
      </c>
      <c r="B1445" s="19" t="s">
        <v>682</v>
      </c>
      <c r="C1445" s="19" t="s">
        <v>727</v>
      </c>
      <c r="D1445" s="19" t="s">
        <v>243</v>
      </c>
      <c r="E1445" s="19">
        <v>10</v>
      </c>
      <c r="F1445" s="19">
        <v>10</v>
      </c>
      <c r="G1445" s="19" t="s">
        <v>2051</v>
      </c>
      <c r="H1445" s="19" t="s">
        <v>1358</v>
      </c>
    </row>
    <row r="1446" spans="1:8">
      <c r="A1446" s="19">
        <v>142</v>
      </c>
      <c r="B1446" s="19" t="s">
        <v>682</v>
      </c>
      <c r="C1446" s="19" t="s">
        <v>727</v>
      </c>
      <c r="D1446" s="19" t="s">
        <v>244</v>
      </c>
      <c r="E1446" s="19">
        <v>21</v>
      </c>
      <c r="F1446" s="19">
        <v>21</v>
      </c>
      <c r="G1446" s="19" t="s">
        <v>2051</v>
      </c>
      <c r="H1446" s="19" t="s">
        <v>1358</v>
      </c>
    </row>
    <row r="1447" spans="1:8">
      <c r="A1447" s="19">
        <v>142</v>
      </c>
      <c r="B1447" s="19" t="s">
        <v>682</v>
      </c>
      <c r="C1447" s="19" t="s">
        <v>727</v>
      </c>
      <c r="D1447" s="19" t="s">
        <v>257</v>
      </c>
      <c r="E1447" s="19">
        <v>2</v>
      </c>
      <c r="F1447" s="19">
        <v>2</v>
      </c>
      <c r="G1447" s="19" t="s">
        <v>2051</v>
      </c>
      <c r="H1447" s="19" t="s">
        <v>1358</v>
      </c>
    </row>
    <row r="1448" spans="1:8">
      <c r="A1448" s="19">
        <v>142</v>
      </c>
      <c r="B1448" s="19" t="s">
        <v>682</v>
      </c>
      <c r="C1448" s="19" t="s">
        <v>727</v>
      </c>
      <c r="D1448" s="19" t="s">
        <v>1198</v>
      </c>
      <c r="E1448" s="19" t="s">
        <v>305</v>
      </c>
      <c r="F1448" s="19" t="s">
        <v>1574</v>
      </c>
      <c r="G1448" s="19"/>
      <c r="H1448" s="60" t="s">
        <v>1360</v>
      </c>
    </row>
    <row r="1449" spans="1:8">
      <c r="A1449" s="19">
        <v>142</v>
      </c>
      <c r="B1449" s="19" t="s">
        <v>682</v>
      </c>
      <c r="C1449" s="19" t="s">
        <v>727</v>
      </c>
      <c r="D1449" s="19" t="s">
        <v>1575</v>
      </c>
      <c r="E1449" s="19" t="s">
        <v>1872</v>
      </c>
      <c r="F1449" s="19" t="s">
        <v>1873</v>
      </c>
      <c r="G1449" s="19" t="s">
        <v>2051</v>
      </c>
      <c r="H1449" s="19" t="s">
        <v>1358</v>
      </c>
    </row>
    <row r="1450" spans="1:8">
      <c r="A1450" s="19">
        <v>142</v>
      </c>
      <c r="B1450" s="19" t="s">
        <v>682</v>
      </c>
      <c r="C1450" s="19" t="s">
        <v>727</v>
      </c>
      <c r="D1450" s="19" t="s">
        <v>253</v>
      </c>
      <c r="E1450" s="19" t="s">
        <v>297</v>
      </c>
      <c r="F1450" s="19" t="s">
        <v>1460</v>
      </c>
      <c r="G1450" s="19"/>
      <c r="H1450" s="60" t="s">
        <v>1360</v>
      </c>
    </row>
    <row r="1451" spans="1:8">
      <c r="A1451" s="19">
        <v>142</v>
      </c>
      <c r="B1451" s="19" t="s">
        <v>682</v>
      </c>
      <c r="C1451" s="19" t="s">
        <v>727</v>
      </c>
      <c r="D1451" s="19" t="s">
        <v>914</v>
      </c>
      <c r="E1451" s="19" t="s">
        <v>355</v>
      </c>
      <c r="F1451" s="19" t="s">
        <v>355</v>
      </c>
      <c r="G1451" s="19" t="s">
        <v>2144</v>
      </c>
      <c r="H1451" s="19" t="s">
        <v>1358</v>
      </c>
    </row>
    <row r="1452" spans="1:8">
      <c r="A1452" s="19">
        <v>142</v>
      </c>
      <c r="B1452" s="19" t="s">
        <v>682</v>
      </c>
      <c r="C1452" s="19" t="s">
        <v>727</v>
      </c>
      <c r="D1452" s="19" t="s">
        <v>1377</v>
      </c>
      <c r="E1452" s="19">
        <v>10000</v>
      </c>
      <c r="F1452" s="19">
        <v>10000</v>
      </c>
      <c r="G1452" s="19" t="s">
        <v>2144</v>
      </c>
      <c r="H1452" s="19" t="s">
        <v>1358</v>
      </c>
    </row>
    <row r="1453" spans="1:8">
      <c r="A1453" s="19">
        <v>143</v>
      </c>
      <c r="B1453" s="19" t="s">
        <v>682</v>
      </c>
      <c r="C1453" s="19" t="s">
        <v>730</v>
      </c>
      <c r="D1453" s="19" t="s">
        <v>238</v>
      </c>
      <c r="E1453" s="19" t="s">
        <v>649</v>
      </c>
      <c r="F1453" s="19" t="s">
        <v>649</v>
      </c>
      <c r="G1453" s="19" t="s">
        <v>2054</v>
      </c>
      <c r="H1453" s="19" t="s">
        <v>1358</v>
      </c>
    </row>
    <row r="1454" spans="1:8">
      <c r="A1454" s="19">
        <v>143</v>
      </c>
      <c r="B1454" s="19" t="s">
        <v>682</v>
      </c>
      <c r="C1454" s="19" t="s">
        <v>730</v>
      </c>
      <c r="D1454" s="19" t="s">
        <v>255</v>
      </c>
      <c r="E1454" s="19">
        <v>1</v>
      </c>
      <c r="F1454" s="19">
        <v>1</v>
      </c>
      <c r="G1454" s="19" t="s">
        <v>2055</v>
      </c>
      <c r="H1454" s="19" t="s">
        <v>1358</v>
      </c>
    </row>
    <row r="1455" spans="1:8">
      <c r="A1455" s="19">
        <v>143</v>
      </c>
      <c r="B1455" s="19" t="s">
        <v>682</v>
      </c>
      <c r="C1455" s="19" t="s">
        <v>730</v>
      </c>
      <c r="D1455" s="19" t="s">
        <v>256</v>
      </c>
      <c r="E1455" s="19" t="s">
        <v>299</v>
      </c>
      <c r="F1455" s="19" t="s">
        <v>1865</v>
      </c>
      <c r="G1455" s="19" t="s">
        <v>2054</v>
      </c>
      <c r="H1455" s="19" t="s">
        <v>1358</v>
      </c>
    </row>
    <row r="1456" spans="1:8">
      <c r="A1456" s="19">
        <v>143</v>
      </c>
      <c r="B1456" s="19" t="s">
        <v>682</v>
      </c>
      <c r="C1456" s="19" t="s">
        <v>730</v>
      </c>
      <c r="D1456" s="19" t="s">
        <v>871</v>
      </c>
      <c r="E1456" s="19" t="s">
        <v>70</v>
      </c>
      <c r="F1456" s="19" t="s">
        <v>1867</v>
      </c>
      <c r="G1456" s="19" t="s">
        <v>2054</v>
      </c>
      <c r="H1456" s="19" t="s">
        <v>1358</v>
      </c>
    </row>
    <row r="1457" spans="1:8">
      <c r="A1457" s="19">
        <v>143</v>
      </c>
      <c r="B1457" s="19" t="s">
        <v>682</v>
      </c>
      <c r="C1457" s="19" t="s">
        <v>730</v>
      </c>
      <c r="D1457" s="19" t="s">
        <v>243</v>
      </c>
      <c r="E1457" s="19">
        <v>33</v>
      </c>
      <c r="F1457" s="19">
        <v>33</v>
      </c>
      <c r="G1457" s="19" t="s">
        <v>2054</v>
      </c>
      <c r="H1457" s="19" t="s">
        <v>1358</v>
      </c>
    </row>
    <row r="1458" spans="1:8">
      <c r="A1458" s="19">
        <v>143</v>
      </c>
      <c r="B1458" s="19" t="s">
        <v>682</v>
      </c>
      <c r="C1458" s="19" t="s">
        <v>730</v>
      </c>
      <c r="D1458" s="19" t="s">
        <v>244</v>
      </c>
      <c r="E1458" s="19">
        <v>31</v>
      </c>
      <c r="F1458" s="19">
        <v>31</v>
      </c>
      <c r="G1458" s="19" t="s">
        <v>2054</v>
      </c>
      <c r="H1458" s="19" t="s">
        <v>1358</v>
      </c>
    </row>
    <row r="1459" spans="1:8">
      <c r="A1459" s="19">
        <v>143</v>
      </c>
      <c r="B1459" s="19" t="s">
        <v>682</v>
      </c>
      <c r="C1459" s="19" t="s">
        <v>730</v>
      </c>
      <c r="D1459" s="19" t="s">
        <v>257</v>
      </c>
      <c r="E1459" s="19">
        <v>2.9</v>
      </c>
      <c r="F1459" s="19">
        <v>2.9</v>
      </c>
      <c r="G1459" s="19" t="s">
        <v>2054</v>
      </c>
      <c r="H1459" s="19" t="s">
        <v>1358</v>
      </c>
    </row>
    <row r="1460" spans="1:8">
      <c r="A1460" s="19">
        <v>143</v>
      </c>
      <c r="B1460" s="19" t="s">
        <v>682</v>
      </c>
      <c r="C1460" s="19" t="s">
        <v>730</v>
      </c>
      <c r="D1460" s="19" t="s">
        <v>1198</v>
      </c>
      <c r="E1460" s="19" t="s">
        <v>305</v>
      </c>
      <c r="F1460" s="19" t="s">
        <v>1574</v>
      </c>
      <c r="G1460" s="19"/>
      <c r="H1460" s="60" t="s">
        <v>1360</v>
      </c>
    </row>
    <row r="1461" spans="1:8">
      <c r="A1461" s="19">
        <v>143</v>
      </c>
      <c r="B1461" s="19" t="s">
        <v>682</v>
      </c>
      <c r="C1461" s="19" t="s">
        <v>730</v>
      </c>
      <c r="D1461" s="19" t="s">
        <v>1575</v>
      </c>
      <c r="E1461" s="19" t="s">
        <v>1872</v>
      </c>
      <c r="F1461" s="19" t="s">
        <v>1873</v>
      </c>
      <c r="G1461" s="19" t="s">
        <v>2054</v>
      </c>
      <c r="H1461" s="19" t="s">
        <v>1358</v>
      </c>
    </row>
    <row r="1462" spans="1:8">
      <c r="A1462" s="19">
        <v>143</v>
      </c>
      <c r="B1462" s="19" t="s">
        <v>682</v>
      </c>
      <c r="C1462" s="19" t="s">
        <v>730</v>
      </c>
      <c r="D1462" s="19" t="s">
        <v>253</v>
      </c>
      <c r="E1462" s="19" t="s">
        <v>297</v>
      </c>
      <c r="F1462" s="19" t="s">
        <v>1460</v>
      </c>
      <c r="G1462" s="19"/>
      <c r="H1462" s="60" t="s">
        <v>1360</v>
      </c>
    </row>
    <row r="1463" spans="1:8">
      <c r="A1463" s="19">
        <v>143</v>
      </c>
      <c r="B1463" s="19" t="s">
        <v>682</v>
      </c>
      <c r="C1463" s="19" t="s">
        <v>730</v>
      </c>
      <c r="D1463" s="19" t="s">
        <v>914</v>
      </c>
      <c r="E1463" s="19" t="s">
        <v>355</v>
      </c>
      <c r="F1463" s="19" t="s">
        <v>355</v>
      </c>
      <c r="G1463" s="19" t="s">
        <v>2145</v>
      </c>
      <c r="H1463" s="19" t="s">
        <v>1358</v>
      </c>
    </row>
    <row r="1464" spans="1:8">
      <c r="A1464" s="19">
        <v>143</v>
      </c>
      <c r="B1464" s="19" t="s">
        <v>682</v>
      </c>
      <c r="C1464" s="19" t="s">
        <v>730</v>
      </c>
      <c r="D1464" s="19" t="s">
        <v>1377</v>
      </c>
      <c r="E1464" s="19">
        <v>6500</v>
      </c>
      <c r="F1464" s="19">
        <v>6500</v>
      </c>
      <c r="G1464" s="19" t="s">
        <v>2145</v>
      </c>
      <c r="H1464" s="19" t="s">
        <v>1358</v>
      </c>
    </row>
    <row r="1465" spans="1:8">
      <c r="A1465" s="19">
        <v>144</v>
      </c>
      <c r="B1465" s="19" t="s">
        <v>682</v>
      </c>
      <c r="C1465" s="19" t="s">
        <v>733</v>
      </c>
      <c r="D1465" s="19" t="s">
        <v>238</v>
      </c>
      <c r="E1465" s="19" t="s">
        <v>635</v>
      </c>
      <c r="F1465" s="19" t="s">
        <v>635</v>
      </c>
      <c r="G1465" s="19" t="s">
        <v>2057</v>
      </c>
      <c r="H1465" s="19" t="s">
        <v>1358</v>
      </c>
    </row>
    <row r="1466" spans="1:8">
      <c r="A1466" s="19">
        <v>144</v>
      </c>
      <c r="B1466" s="19" t="s">
        <v>682</v>
      </c>
      <c r="C1466" s="19" t="s">
        <v>733</v>
      </c>
      <c r="D1466" s="19" t="s">
        <v>255</v>
      </c>
      <c r="E1466" s="19">
        <v>1</v>
      </c>
      <c r="F1466" s="19">
        <v>1</v>
      </c>
      <c r="G1466" s="19" t="s">
        <v>2058</v>
      </c>
      <c r="H1466" s="19" t="s">
        <v>1358</v>
      </c>
    </row>
    <row r="1467" spans="1:8">
      <c r="A1467" s="19">
        <v>144</v>
      </c>
      <c r="B1467" s="19" t="s">
        <v>682</v>
      </c>
      <c r="C1467" s="19" t="s">
        <v>733</v>
      </c>
      <c r="D1467" s="19" t="s">
        <v>241</v>
      </c>
      <c r="E1467" s="19" t="s">
        <v>182</v>
      </c>
      <c r="F1467" s="19" t="s">
        <v>1917</v>
      </c>
      <c r="G1467" s="19" t="s">
        <v>2057</v>
      </c>
      <c r="H1467" s="19" t="s">
        <v>1358</v>
      </c>
    </row>
    <row r="1468" spans="1:8">
      <c r="A1468" s="19">
        <v>144</v>
      </c>
      <c r="B1468" s="19" t="s">
        <v>682</v>
      </c>
      <c r="C1468" s="19" t="s">
        <v>733</v>
      </c>
      <c r="D1468" s="19" t="s">
        <v>256</v>
      </c>
      <c r="E1468" s="19" t="s">
        <v>299</v>
      </c>
      <c r="F1468" s="19" t="s">
        <v>1917</v>
      </c>
      <c r="G1468" s="19" t="s">
        <v>2057</v>
      </c>
      <c r="H1468" s="19" t="s">
        <v>1358</v>
      </c>
    </row>
    <row r="1469" spans="1:8">
      <c r="A1469" s="19">
        <v>144</v>
      </c>
      <c r="B1469" s="19" t="s">
        <v>682</v>
      </c>
      <c r="C1469" s="19" t="s">
        <v>733</v>
      </c>
      <c r="D1469" s="19" t="s">
        <v>871</v>
      </c>
      <c r="E1469" s="19" t="s">
        <v>70</v>
      </c>
      <c r="F1469" s="19" t="s">
        <v>1867</v>
      </c>
      <c r="G1469" s="19" t="s">
        <v>2057</v>
      </c>
      <c r="H1469" s="19" t="s">
        <v>1358</v>
      </c>
    </row>
    <row r="1470" spans="1:8">
      <c r="A1470" s="19">
        <v>144</v>
      </c>
      <c r="B1470" s="19" t="s">
        <v>682</v>
      </c>
      <c r="C1470" s="19" t="s">
        <v>733</v>
      </c>
      <c r="D1470" s="19" t="s">
        <v>243</v>
      </c>
      <c r="E1470" s="19">
        <v>825</v>
      </c>
      <c r="F1470" s="19">
        <v>825</v>
      </c>
      <c r="G1470" s="19" t="s">
        <v>2057</v>
      </c>
      <c r="H1470" s="19" t="s">
        <v>1358</v>
      </c>
    </row>
    <row r="1471" spans="1:8">
      <c r="A1471" s="19">
        <v>144</v>
      </c>
      <c r="B1471" s="19" t="s">
        <v>682</v>
      </c>
      <c r="C1471" s="19" t="s">
        <v>733</v>
      </c>
      <c r="D1471" s="19" t="s">
        <v>244</v>
      </c>
      <c r="E1471" s="19">
        <v>107</v>
      </c>
      <c r="F1471" s="19">
        <v>107</v>
      </c>
      <c r="G1471" s="19" t="s">
        <v>2057</v>
      </c>
      <c r="H1471" s="19" t="s">
        <v>1358</v>
      </c>
    </row>
    <row r="1472" spans="1:8">
      <c r="A1472" s="19">
        <v>144</v>
      </c>
      <c r="B1472" s="19" t="s">
        <v>682</v>
      </c>
      <c r="C1472" s="19" t="s">
        <v>733</v>
      </c>
      <c r="D1472" s="19" t="s">
        <v>257</v>
      </c>
      <c r="E1472" s="19">
        <v>11.3</v>
      </c>
      <c r="F1472" s="19">
        <v>11.3</v>
      </c>
      <c r="G1472" s="19" t="s">
        <v>2057</v>
      </c>
      <c r="H1472" s="19" t="s">
        <v>1358</v>
      </c>
    </row>
    <row r="1473" spans="1:8">
      <c r="A1473" s="19">
        <v>144</v>
      </c>
      <c r="B1473" s="19" t="s">
        <v>682</v>
      </c>
      <c r="C1473" s="19" t="s">
        <v>733</v>
      </c>
      <c r="D1473" s="19" t="s">
        <v>1198</v>
      </c>
      <c r="E1473" s="19" t="s">
        <v>305</v>
      </c>
      <c r="F1473" s="19" t="s">
        <v>1574</v>
      </c>
      <c r="G1473" s="19"/>
      <c r="H1473" s="60" t="s">
        <v>1360</v>
      </c>
    </row>
    <row r="1474" spans="1:8">
      <c r="A1474" s="19">
        <v>144</v>
      </c>
      <c r="B1474" s="19" t="s">
        <v>682</v>
      </c>
      <c r="C1474" s="19" t="s">
        <v>733</v>
      </c>
      <c r="D1474" s="19" t="s">
        <v>1575</v>
      </c>
      <c r="E1474" s="19" t="s">
        <v>1923</v>
      </c>
      <c r="F1474" s="19" t="s">
        <v>1924</v>
      </c>
      <c r="G1474" s="19" t="s">
        <v>2057</v>
      </c>
      <c r="H1474" s="19" t="s">
        <v>1358</v>
      </c>
    </row>
    <row r="1475" spans="1:8">
      <c r="A1475" s="19">
        <v>144</v>
      </c>
      <c r="B1475" s="19" t="s">
        <v>682</v>
      </c>
      <c r="C1475" s="19" t="s">
        <v>733</v>
      </c>
      <c r="D1475" s="19" t="s">
        <v>253</v>
      </c>
      <c r="E1475" s="19" t="s">
        <v>297</v>
      </c>
      <c r="F1475" s="19" t="s">
        <v>1546</v>
      </c>
      <c r="G1475" s="19" t="s">
        <v>238</v>
      </c>
      <c r="H1475" s="19" t="s">
        <v>1358</v>
      </c>
    </row>
    <row r="1476" spans="1:8">
      <c r="A1476" s="19">
        <v>144</v>
      </c>
      <c r="B1476" s="19" t="s">
        <v>682</v>
      </c>
      <c r="C1476" s="19" t="s">
        <v>733</v>
      </c>
      <c r="D1476" s="19" t="s">
        <v>914</v>
      </c>
      <c r="E1476" s="19" t="s">
        <v>355</v>
      </c>
      <c r="F1476" s="19" t="s">
        <v>355</v>
      </c>
      <c r="G1476" s="19" t="s">
        <v>2146</v>
      </c>
      <c r="H1476" s="19" t="s">
        <v>1358</v>
      </c>
    </row>
    <row r="1477" spans="1:8">
      <c r="A1477" s="19">
        <v>144</v>
      </c>
      <c r="B1477" s="19" t="s">
        <v>682</v>
      </c>
      <c r="C1477" s="19" t="s">
        <v>733</v>
      </c>
      <c r="D1477" s="19" t="s">
        <v>1377</v>
      </c>
      <c r="E1477" s="19">
        <v>80000</v>
      </c>
      <c r="F1477" s="19">
        <v>80000</v>
      </c>
      <c r="G1477" s="19" t="s">
        <v>2146</v>
      </c>
      <c r="H1477" s="19" t="s">
        <v>1358</v>
      </c>
    </row>
    <row r="1478" spans="1:8">
      <c r="A1478" s="19">
        <v>145</v>
      </c>
      <c r="B1478" s="19" t="s">
        <v>682</v>
      </c>
      <c r="C1478" s="19" t="s">
        <v>737</v>
      </c>
      <c r="D1478" s="19" t="s">
        <v>238</v>
      </c>
      <c r="E1478" s="19" t="s">
        <v>641</v>
      </c>
      <c r="F1478" s="19" t="s">
        <v>641</v>
      </c>
      <c r="G1478" s="19" t="s">
        <v>2060</v>
      </c>
      <c r="H1478" s="19" t="s">
        <v>1358</v>
      </c>
    </row>
    <row r="1479" spans="1:8">
      <c r="A1479" s="19">
        <v>145</v>
      </c>
      <c r="B1479" s="19" t="s">
        <v>682</v>
      </c>
      <c r="C1479" s="19" t="s">
        <v>737</v>
      </c>
      <c r="D1479" s="19" t="s">
        <v>255</v>
      </c>
      <c r="E1479" s="19">
        <v>1</v>
      </c>
      <c r="F1479" s="19">
        <v>1</v>
      </c>
      <c r="G1479" s="19" t="s">
        <v>2061</v>
      </c>
      <c r="H1479" s="19" t="s">
        <v>1358</v>
      </c>
    </row>
    <row r="1480" spans="1:8">
      <c r="A1480" s="19">
        <v>145</v>
      </c>
      <c r="B1480" s="19" t="s">
        <v>682</v>
      </c>
      <c r="C1480" s="19" t="s">
        <v>737</v>
      </c>
      <c r="D1480" s="19" t="s">
        <v>241</v>
      </c>
      <c r="E1480" s="19" t="s">
        <v>182</v>
      </c>
      <c r="F1480" s="19" t="s">
        <v>1917</v>
      </c>
      <c r="G1480" s="19" t="s">
        <v>2060</v>
      </c>
      <c r="H1480" s="19" t="s">
        <v>1358</v>
      </c>
    </row>
    <row r="1481" spans="1:8">
      <c r="A1481" s="19">
        <v>145</v>
      </c>
      <c r="B1481" s="19" t="s">
        <v>682</v>
      </c>
      <c r="C1481" s="19" t="s">
        <v>737</v>
      </c>
      <c r="D1481" s="19" t="s">
        <v>256</v>
      </c>
      <c r="E1481" s="19" t="s">
        <v>299</v>
      </c>
      <c r="F1481" s="19" t="s">
        <v>1917</v>
      </c>
      <c r="G1481" s="19" t="s">
        <v>2060</v>
      </c>
      <c r="H1481" s="19" t="s">
        <v>1358</v>
      </c>
    </row>
    <row r="1482" spans="1:8">
      <c r="A1482" s="19">
        <v>145</v>
      </c>
      <c r="B1482" s="19" t="s">
        <v>682</v>
      </c>
      <c r="C1482" s="19" t="s">
        <v>737</v>
      </c>
      <c r="D1482" s="19" t="s">
        <v>871</v>
      </c>
      <c r="E1482" s="19" t="s">
        <v>70</v>
      </c>
      <c r="F1482" s="19" t="s">
        <v>1867</v>
      </c>
      <c r="G1482" s="19" t="s">
        <v>2060</v>
      </c>
      <c r="H1482" s="19" t="s">
        <v>1358</v>
      </c>
    </row>
    <row r="1483" spans="1:8">
      <c r="A1483" s="19">
        <v>145</v>
      </c>
      <c r="B1483" s="19" t="s">
        <v>682</v>
      </c>
      <c r="C1483" s="19" t="s">
        <v>737</v>
      </c>
      <c r="D1483" s="19" t="s">
        <v>243</v>
      </c>
      <c r="E1483" s="19">
        <v>825</v>
      </c>
      <c r="F1483" s="19">
        <v>825</v>
      </c>
      <c r="G1483" s="19" t="s">
        <v>2060</v>
      </c>
      <c r="H1483" s="19" t="s">
        <v>1358</v>
      </c>
    </row>
    <row r="1484" spans="1:8">
      <c r="A1484" s="19">
        <v>145</v>
      </c>
      <c r="B1484" s="19" t="s">
        <v>682</v>
      </c>
      <c r="C1484" s="19" t="s">
        <v>737</v>
      </c>
      <c r="D1484" s="19" t="s">
        <v>244</v>
      </c>
      <c r="E1484" s="19">
        <v>107</v>
      </c>
      <c r="F1484" s="19">
        <v>107</v>
      </c>
      <c r="G1484" s="19" t="s">
        <v>2060</v>
      </c>
      <c r="H1484" s="19" t="s">
        <v>1358</v>
      </c>
    </row>
    <row r="1485" spans="1:8">
      <c r="A1485" s="19">
        <v>145</v>
      </c>
      <c r="B1485" s="19" t="s">
        <v>682</v>
      </c>
      <c r="C1485" s="19" t="s">
        <v>737</v>
      </c>
      <c r="D1485" s="19" t="s">
        <v>257</v>
      </c>
      <c r="E1485" s="19">
        <v>11.3</v>
      </c>
      <c r="F1485" s="19">
        <v>11.3</v>
      </c>
      <c r="G1485" s="19" t="s">
        <v>2060</v>
      </c>
      <c r="H1485" s="19" t="s">
        <v>1358</v>
      </c>
    </row>
    <row r="1486" spans="1:8">
      <c r="A1486" s="19">
        <v>145</v>
      </c>
      <c r="B1486" s="19" t="s">
        <v>682</v>
      </c>
      <c r="C1486" s="19" t="s">
        <v>737</v>
      </c>
      <c r="D1486" s="19" t="s">
        <v>1198</v>
      </c>
      <c r="E1486" s="19" t="s">
        <v>305</v>
      </c>
      <c r="F1486" s="19" t="s">
        <v>1574</v>
      </c>
      <c r="G1486" s="19"/>
      <c r="H1486" s="60" t="s">
        <v>1360</v>
      </c>
    </row>
    <row r="1487" spans="1:8">
      <c r="A1487" s="19">
        <v>145</v>
      </c>
      <c r="B1487" s="19" t="s">
        <v>682</v>
      </c>
      <c r="C1487" s="19" t="s">
        <v>737</v>
      </c>
      <c r="D1487" s="19" t="s">
        <v>1575</v>
      </c>
      <c r="E1487" s="19" t="s">
        <v>1923</v>
      </c>
      <c r="F1487" s="19" t="s">
        <v>1924</v>
      </c>
      <c r="G1487" s="19" t="s">
        <v>2060</v>
      </c>
      <c r="H1487" s="19" t="s">
        <v>1358</v>
      </c>
    </row>
    <row r="1488" spans="1:8">
      <c r="A1488" s="19">
        <v>145</v>
      </c>
      <c r="B1488" s="19" t="s">
        <v>682</v>
      </c>
      <c r="C1488" s="19" t="s">
        <v>737</v>
      </c>
      <c r="D1488" s="19" t="s">
        <v>253</v>
      </c>
      <c r="E1488" s="19" t="s">
        <v>452</v>
      </c>
      <c r="F1488" s="19" t="s">
        <v>1551</v>
      </c>
      <c r="G1488" s="19" t="s">
        <v>238</v>
      </c>
      <c r="H1488" s="19" t="s">
        <v>1358</v>
      </c>
    </row>
    <row r="1489" spans="1:8">
      <c r="A1489" s="19">
        <v>145</v>
      </c>
      <c r="B1489" s="19" t="s">
        <v>682</v>
      </c>
      <c r="C1489" s="19" t="s">
        <v>737</v>
      </c>
      <c r="D1489" s="19" t="s">
        <v>914</v>
      </c>
      <c r="E1489" s="19" t="s">
        <v>355</v>
      </c>
      <c r="F1489" s="19" t="s">
        <v>355</v>
      </c>
      <c r="G1489" s="19" t="s">
        <v>2147</v>
      </c>
      <c r="H1489" s="19" t="s">
        <v>1358</v>
      </c>
    </row>
    <row r="1490" spans="1:8">
      <c r="A1490" s="19">
        <v>145</v>
      </c>
      <c r="B1490" s="19" t="s">
        <v>682</v>
      </c>
      <c r="C1490" s="19" t="s">
        <v>737</v>
      </c>
      <c r="D1490" s="19" t="s">
        <v>1377</v>
      </c>
      <c r="E1490" s="19">
        <v>100000</v>
      </c>
      <c r="F1490" s="19">
        <v>100000</v>
      </c>
      <c r="G1490" s="19" t="s">
        <v>2147</v>
      </c>
      <c r="H1490" s="19" t="s">
        <v>1358</v>
      </c>
    </row>
    <row r="1491" spans="1:8">
      <c r="A1491" s="19">
        <v>146</v>
      </c>
      <c r="B1491" s="19" t="s">
        <v>682</v>
      </c>
      <c r="C1491" s="19" t="s">
        <v>740</v>
      </c>
      <c r="D1491" s="19" t="s">
        <v>238</v>
      </c>
      <c r="E1491" s="19" t="s">
        <v>645</v>
      </c>
      <c r="F1491" s="19" t="s">
        <v>645</v>
      </c>
      <c r="G1491" s="19" t="s">
        <v>2063</v>
      </c>
      <c r="H1491" s="19" t="s">
        <v>1358</v>
      </c>
    </row>
    <row r="1492" spans="1:8">
      <c r="A1492" s="19">
        <v>146</v>
      </c>
      <c r="B1492" s="19" t="s">
        <v>682</v>
      </c>
      <c r="C1492" s="19" t="s">
        <v>740</v>
      </c>
      <c r="D1492" s="19" t="s">
        <v>255</v>
      </c>
      <c r="E1492" s="19">
        <v>2</v>
      </c>
      <c r="F1492" s="19">
        <v>2</v>
      </c>
      <c r="G1492" s="19" t="s">
        <v>2064</v>
      </c>
      <c r="H1492" s="19" t="s">
        <v>1358</v>
      </c>
    </row>
    <row r="1493" spans="1:8">
      <c r="A1493" s="19">
        <v>146</v>
      </c>
      <c r="B1493" s="19" t="s">
        <v>682</v>
      </c>
      <c r="C1493" s="19" t="s">
        <v>740</v>
      </c>
      <c r="D1493" s="19" t="s">
        <v>241</v>
      </c>
      <c r="E1493" s="19" t="s">
        <v>179</v>
      </c>
      <c r="F1493" s="19" t="s">
        <v>1938</v>
      </c>
      <c r="G1493" s="19" t="s">
        <v>2063</v>
      </c>
      <c r="H1493" s="19" t="s">
        <v>1358</v>
      </c>
    </row>
    <row r="1494" spans="1:8">
      <c r="A1494" s="19">
        <v>146</v>
      </c>
      <c r="B1494" s="19" t="s">
        <v>682</v>
      </c>
      <c r="C1494" s="19" t="s">
        <v>740</v>
      </c>
      <c r="D1494" s="19" t="s">
        <v>256</v>
      </c>
      <c r="E1494" s="19" t="s">
        <v>299</v>
      </c>
      <c r="F1494" s="19" t="s">
        <v>1938</v>
      </c>
      <c r="G1494" s="19" t="s">
        <v>2063</v>
      </c>
      <c r="H1494" s="19" t="s">
        <v>1358</v>
      </c>
    </row>
    <row r="1495" spans="1:8">
      <c r="A1495" s="19">
        <v>146</v>
      </c>
      <c r="B1495" s="19" t="s">
        <v>682</v>
      </c>
      <c r="C1495" s="19" t="s">
        <v>740</v>
      </c>
      <c r="D1495" s="19" t="s">
        <v>871</v>
      </c>
      <c r="E1495" s="19" t="s">
        <v>70</v>
      </c>
      <c r="F1495" s="19" t="s">
        <v>1867</v>
      </c>
      <c r="G1495" s="19" t="s">
        <v>2063</v>
      </c>
      <c r="H1495" s="19" t="s">
        <v>1358</v>
      </c>
    </row>
    <row r="1496" spans="1:8">
      <c r="A1496" s="19">
        <v>146</v>
      </c>
      <c r="B1496" s="19" t="s">
        <v>682</v>
      </c>
      <c r="C1496" s="19" t="s">
        <v>740</v>
      </c>
      <c r="D1496" s="19" t="s">
        <v>243</v>
      </c>
      <c r="E1496" s="19">
        <v>16.5</v>
      </c>
      <c r="F1496" s="19">
        <v>16.5</v>
      </c>
      <c r="G1496" s="19" t="s">
        <v>2063</v>
      </c>
      <c r="H1496" s="19" t="s">
        <v>1358</v>
      </c>
    </row>
    <row r="1497" spans="1:8">
      <c r="A1497" s="19">
        <v>146</v>
      </c>
      <c r="B1497" s="19" t="s">
        <v>682</v>
      </c>
      <c r="C1497" s="19" t="s">
        <v>740</v>
      </c>
      <c r="D1497" s="19" t="s">
        <v>244</v>
      </c>
      <c r="E1497" s="19">
        <v>107</v>
      </c>
      <c r="F1497" s="19">
        <v>107</v>
      </c>
      <c r="G1497" s="19" t="s">
        <v>2063</v>
      </c>
      <c r="H1497" s="19" t="s">
        <v>1358</v>
      </c>
    </row>
    <row r="1498" spans="1:8">
      <c r="A1498" s="19">
        <v>146</v>
      </c>
      <c r="B1498" s="19" t="s">
        <v>682</v>
      </c>
      <c r="C1498" s="19" t="s">
        <v>740</v>
      </c>
      <c r="D1498" s="19" t="s">
        <v>257</v>
      </c>
      <c r="E1498" s="19">
        <v>11.3</v>
      </c>
      <c r="F1498" s="19">
        <v>11.3</v>
      </c>
      <c r="G1498" s="19" t="s">
        <v>2063</v>
      </c>
      <c r="H1498" s="19" t="s">
        <v>1358</v>
      </c>
    </row>
    <row r="1499" spans="1:8">
      <c r="A1499" s="19">
        <v>146</v>
      </c>
      <c r="B1499" s="19" t="s">
        <v>682</v>
      </c>
      <c r="C1499" s="19" t="s">
        <v>740</v>
      </c>
      <c r="D1499" s="19" t="s">
        <v>1198</v>
      </c>
      <c r="E1499" s="19" t="s">
        <v>305</v>
      </c>
      <c r="F1499" s="19" t="s">
        <v>1574</v>
      </c>
      <c r="G1499" s="19"/>
      <c r="H1499" s="60" t="s">
        <v>1360</v>
      </c>
    </row>
    <row r="1500" spans="1:8">
      <c r="A1500" s="19">
        <v>146</v>
      </c>
      <c r="B1500" s="19" t="s">
        <v>682</v>
      </c>
      <c r="C1500" s="19" t="s">
        <v>740</v>
      </c>
      <c r="D1500" s="19" t="s">
        <v>1575</v>
      </c>
      <c r="E1500" s="19" t="s">
        <v>1923</v>
      </c>
      <c r="F1500" s="19" t="s">
        <v>1924</v>
      </c>
      <c r="G1500" s="19" t="s">
        <v>2063</v>
      </c>
      <c r="H1500" s="19" t="s">
        <v>1358</v>
      </c>
    </row>
    <row r="1501" spans="1:8">
      <c r="A1501" s="19">
        <v>146</v>
      </c>
      <c r="B1501" s="19" t="s">
        <v>682</v>
      </c>
      <c r="C1501" s="19" t="s">
        <v>740</v>
      </c>
      <c r="D1501" s="19" t="s">
        <v>253</v>
      </c>
      <c r="E1501" s="19" t="s">
        <v>297</v>
      </c>
      <c r="F1501" s="19" t="s">
        <v>1460</v>
      </c>
      <c r="G1501" s="19"/>
      <c r="H1501" s="60" t="s">
        <v>1360</v>
      </c>
    </row>
    <row r="1502" spans="1:8">
      <c r="A1502" s="19">
        <v>146</v>
      </c>
      <c r="B1502" s="19" t="s">
        <v>682</v>
      </c>
      <c r="C1502" s="19" t="s">
        <v>740</v>
      </c>
      <c r="D1502" s="19" t="s">
        <v>914</v>
      </c>
      <c r="E1502" s="19" t="s">
        <v>355</v>
      </c>
      <c r="F1502" s="19" t="s">
        <v>355</v>
      </c>
      <c r="G1502" s="19" t="s">
        <v>2148</v>
      </c>
      <c r="H1502" s="19" t="s">
        <v>1358</v>
      </c>
    </row>
    <row r="1503" spans="1:8">
      <c r="A1503" s="19">
        <v>146</v>
      </c>
      <c r="B1503" s="19" t="s">
        <v>682</v>
      </c>
      <c r="C1503" s="19" t="s">
        <v>740</v>
      </c>
      <c r="D1503" s="19" t="s">
        <v>1377</v>
      </c>
      <c r="E1503" s="19">
        <v>15000</v>
      </c>
      <c r="F1503" s="19">
        <v>15000</v>
      </c>
      <c r="G1503" s="19" t="s">
        <v>2148</v>
      </c>
      <c r="H1503" s="19" t="s">
        <v>1358</v>
      </c>
    </row>
  </sheetData>
  <autoFilter ref="A11:H1503" xr:uid="{00000000-0009-0000-0000-00000B000000}"/>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95"/>
  <sheetViews>
    <sheetView showGridLines="0" zoomScaleNormal="100" workbookViewId="0"/>
  </sheetViews>
  <sheetFormatPr defaultColWidth="8.7109375" defaultRowHeight="15"/>
  <cols>
    <col min="1" max="1" width="14" customWidth="1"/>
    <col min="2" max="2" width="40" customWidth="1"/>
    <col min="3" max="3" width="110" customWidth="1"/>
  </cols>
  <sheetData>
    <row r="1" spans="1:3" ht="18">
      <c r="A1" s="10" t="s">
        <v>2149</v>
      </c>
    </row>
    <row r="2" spans="1:3">
      <c r="A2" s="11"/>
    </row>
    <row r="4" spans="1:3">
      <c r="A4" s="61" t="s">
        <v>122</v>
      </c>
      <c r="B4" s="61" t="s">
        <v>2150</v>
      </c>
      <c r="C4" s="61" t="s">
        <v>2151</v>
      </c>
    </row>
    <row r="5" spans="1:3">
      <c r="A5" s="12" t="s">
        <v>2152</v>
      </c>
      <c r="B5" s="12" t="s">
        <v>2153</v>
      </c>
      <c r="C5" s="12" t="s">
        <v>2154</v>
      </c>
    </row>
    <row r="6" spans="1:3">
      <c r="A6" s="12" t="s">
        <v>2155</v>
      </c>
      <c r="B6" s="12" t="s">
        <v>2156</v>
      </c>
      <c r="C6" s="12" t="s">
        <v>2157</v>
      </c>
    </row>
    <row r="7" spans="1:3">
      <c r="A7" s="12" t="s">
        <v>2155</v>
      </c>
      <c r="B7" s="12" t="s">
        <v>2158</v>
      </c>
      <c r="C7" s="12" t="s">
        <v>2159</v>
      </c>
    </row>
    <row r="8" spans="1:3">
      <c r="A8" s="12" t="s">
        <v>2160</v>
      </c>
      <c r="B8" s="12" t="s">
        <v>2161</v>
      </c>
      <c r="C8" s="12" t="s">
        <v>2162</v>
      </c>
    </row>
    <row r="9" spans="1:3">
      <c r="A9" s="12" t="s">
        <v>2160</v>
      </c>
      <c r="B9" s="12" t="s">
        <v>871</v>
      </c>
      <c r="C9" s="12" t="s">
        <v>2163</v>
      </c>
    </row>
    <row r="10" spans="1:3">
      <c r="A10" s="12" t="s">
        <v>2160</v>
      </c>
      <c r="B10" s="12" t="s">
        <v>2164</v>
      </c>
      <c r="C10" s="12" t="s">
        <v>2165</v>
      </c>
    </row>
    <row r="11" spans="1:3">
      <c r="A11" s="12" t="s">
        <v>2160</v>
      </c>
      <c r="B11" s="12" t="s">
        <v>2166</v>
      </c>
      <c r="C11" s="12" t="s">
        <v>2167</v>
      </c>
    </row>
    <row r="12" spans="1:3">
      <c r="A12" s="12" t="s">
        <v>2160</v>
      </c>
      <c r="B12" s="12" t="s">
        <v>2168</v>
      </c>
      <c r="C12" s="12" t="s">
        <v>2169</v>
      </c>
    </row>
    <row r="13" spans="1:3" ht="24">
      <c r="A13" s="12" t="s">
        <v>2160</v>
      </c>
      <c r="B13" s="12" t="s">
        <v>2170</v>
      </c>
      <c r="C13" s="12" t="s">
        <v>2171</v>
      </c>
    </row>
    <row r="14" spans="1:3">
      <c r="A14" s="12" t="s">
        <v>2160</v>
      </c>
      <c r="B14" s="12" t="s">
        <v>193</v>
      </c>
      <c r="C14" s="12" t="s">
        <v>2172</v>
      </c>
    </row>
    <row r="15" spans="1:3">
      <c r="A15" s="12" t="s">
        <v>2173</v>
      </c>
      <c r="B15" s="12" t="s">
        <v>2174</v>
      </c>
      <c r="C15" s="12" t="s">
        <v>2175</v>
      </c>
    </row>
    <row r="16" spans="1:3">
      <c r="A16" s="12" t="s">
        <v>2176</v>
      </c>
      <c r="B16" s="12" t="s">
        <v>2177</v>
      </c>
      <c r="C16" s="12" t="s">
        <v>2178</v>
      </c>
    </row>
    <row r="17" spans="1:3">
      <c r="A17" s="12" t="s">
        <v>2173</v>
      </c>
      <c r="B17" s="12" t="s">
        <v>2179</v>
      </c>
      <c r="C17" s="12" t="s">
        <v>2180</v>
      </c>
    </row>
    <row r="18" spans="1:3">
      <c r="A18" s="12" t="s">
        <v>2181</v>
      </c>
      <c r="B18" s="12" t="s">
        <v>2182</v>
      </c>
      <c r="C18" s="12" t="s">
        <v>2183</v>
      </c>
    </row>
    <row r="19" spans="1:3" ht="24">
      <c r="A19" s="12" t="s">
        <v>2184</v>
      </c>
      <c r="B19" s="12" t="s">
        <v>2185</v>
      </c>
      <c r="C19" s="12" t="s">
        <v>2186</v>
      </c>
    </row>
    <row r="20" spans="1:3">
      <c r="A20" s="12" t="s">
        <v>2176</v>
      </c>
      <c r="B20" s="12" t="s">
        <v>2187</v>
      </c>
      <c r="C20" s="12" t="s">
        <v>2188</v>
      </c>
    </row>
    <row r="21" spans="1:3">
      <c r="A21" s="12" t="s">
        <v>1327</v>
      </c>
      <c r="B21" s="12" t="s">
        <v>2189</v>
      </c>
      <c r="C21" s="12" t="s">
        <v>2190</v>
      </c>
    </row>
    <row r="22" spans="1:3" ht="24">
      <c r="A22" s="12" t="s">
        <v>2184</v>
      </c>
      <c r="B22" s="12" t="s">
        <v>2191</v>
      </c>
      <c r="C22" s="12" t="s">
        <v>2192</v>
      </c>
    </row>
    <row r="23" spans="1:3" ht="24">
      <c r="A23" s="12" t="s">
        <v>2176</v>
      </c>
      <c r="B23" s="12" t="s">
        <v>2193</v>
      </c>
      <c r="C23" s="12" t="s">
        <v>2194</v>
      </c>
    </row>
    <row r="24" spans="1:3">
      <c r="A24" s="12" t="s">
        <v>2176</v>
      </c>
      <c r="B24" s="12" t="s">
        <v>2195</v>
      </c>
      <c r="C24" s="12" t="s">
        <v>2196</v>
      </c>
    </row>
    <row r="25" spans="1:3">
      <c r="A25" s="12" t="s">
        <v>2176</v>
      </c>
      <c r="B25" s="12" t="s">
        <v>2197</v>
      </c>
      <c r="C25" s="12" t="s">
        <v>2198</v>
      </c>
    </row>
    <row r="26" spans="1:3" ht="24">
      <c r="A26" s="12" t="s">
        <v>2176</v>
      </c>
      <c r="B26" s="12" t="s">
        <v>2199</v>
      </c>
      <c r="C26" s="12" t="s">
        <v>2200</v>
      </c>
    </row>
    <row r="27" spans="1:3">
      <c r="A27" s="12" t="s">
        <v>2184</v>
      </c>
      <c r="B27" s="12" t="s">
        <v>2201</v>
      </c>
      <c r="C27" s="12" t="s">
        <v>2202</v>
      </c>
    </row>
    <row r="28" spans="1:3">
      <c r="A28" s="12" t="s">
        <v>2184</v>
      </c>
      <c r="B28" s="12" t="s">
        <v>2203</v>
      </c>
      <c r="C28" s="12" t="s">
        <v>2204</v>
      </c>
    </row>
    <row r="29" spans="1:3">
      <c r="A29" s="12" t="s">
        <v>1327</v>
      </c>
      <c r="B29" s="12" t="s">
        <v>2205</v>
      </c>
      <c r="C29" s="12" t="s">
        <v>2206</v>
      </c>
    </row>
    <row r="30" spans="1:3">
      <c r="A30" s="12" t="s">
        <v>1327</v>
      </c>
      <c r="B30" s="12" t="s">
        <v>2207</v>
      </c>
      <c r="C30" s="12" t="s">
        <v>2208</v>
      </c>
    </row>
    <row r="31" spans="1:3">
      <c r="A31" s="12" t="s">
        <v>2184</v>
      </c>
      <c r="B31" s="12" t="s">
        <v>2209</v>
      </c>
      <c r="C31" s="12" t="s">
        <v>2210</v>
      </c>
    </row>
    <row r="32" spans="1:3" ht="24">
      <c r="A32" s="12" t="s">
        <v>2176</v>
      </c>
      <c r="B32" s="12" t="s">
        <v>2211</v>
      </c>
      <c r="C32" s="12" t="s">
        <v>2212</v>
      </c>
    </row>
    <row r="33" spans="1:3">
      <c r="A33" s="12" t="s">
        <v>2176</v>
      </c>
      <c r="B33" s="12" t="s">
        <v>2213</v>
      </c>
      <c r="C33" s="12" t="s">
        <v>2196</v>
      </c>
    </row>
    <row r="34" spans="1:3">
      <c r="A34" s="12" t="s">
        <v>2173</v>
      </c>
      <c r="B34" s="12" t="s">
        <v>2214</v>
      </c>
      <c r="C34" s="12" t="s">
        <v>2215</v>
      </c>
    </row>
    <row r="35" spans="1:3" ht="24">
      <c r="A35" s="12" t="s">
        <v>2184</v>
      </c>
      <c r="B35" s="12" t="s">
        <v>2216</v>
      </c>
      <c r="C35" s="12" t="s">
        <v>2217</v>
      </c>
    </row>
    <row r="36" spans="1:3">
      <c r="A36" s="12" t="s">
        <v>2173</v>
      </c>
      <c r="B36" s="12" t="s">
        <v>2218</v>
      </c>
      <c r="C36" s="12" t="s">
        <v>2219</v>
      </c>
    </row>
    <row r="37" spans="1:3">
      <c r="A37" s="12" t="s">
        <v>1327</v>
      </c>
      <c r="B37" s="12" t="s">
        <v>2220</v>
      </c>
      <c r="C37" s="12" t="s">
        <v>2221</v>
      </c>
    </row>
    <row r="38" spans="1:3" ht="24">
      <c r="A38" s="12" t="s">
        <v>2222</v>
      </c>
      <c r="B38" s="12" t="s">
        <v>2153</v>
      </c>
      <c r="C38" s="12" t="s">
        <v>2223</v>
      </c>
    </row>
    <row r="39" spans="1:3" ht="48">
      <c r="A39" s="12" t="s">
        <v>2224</v>
      </c>
      <c r="B39" s="12" t="s">
        <v>2225</v>
      </c>
      <c r="C39" s="12" t="s">
        <v>2226</v>
      </c>
    </row>
    <row r="40" spans="1:3" ht="24">
      <c r="A40" s="12" t="s">
        <v>2227</v>
      </c>
      <c r="B40" s="12" t="s">
        <v>2228</v>
      </c>
      <c r="C40" s="12" t="s">
        <v>2229</v>
      </c>
    </row>
    <row r="41" spans="1:3">
      <c r="A41" s="12" t="s">
        <v>2230</v>
      </c>
      <c r="B41" s="12" t="s">
        <v>238</v>
      </c>
      <c r="C41" s="12" t="s">
        <v>2231</v>
      </c>
    </row>
    <row r="42" spans="1:3">
      <c r="A42" s="12" t="s">
        <v>2230</v>
      </c>
      <c r="B42" s="12" t="s">
        <v>2232</v>
      </c>
      <c r="C42" s="12" t="s">
        <v>2233</v>
      </c>
    </row>
    <row r="43" spans="1:3">
      <c r="A43" s="12" t="s">
        <v>2230</v>
      </c>
      <c r="B43" s="12" t="s">
        <v>241</v>
      </c>
      <c r="C43" s="12" t="s">
        <v>2234</v>
      </c>
    </row>
    <row r="44" spans="1:3">
      <c r="A44" s="12" t="s">
        <v>2230</v>
      </c>
      <c r="B44" s="12" t="s">
        <v>2235</v>
      </c>
      <c r="C44" s="12" t="s">
        <v>2236</v>
      </c>
    </row>
    <row r="45" spans="1:3" ht="24">
      <c r="A45" s="12" t="s">
        <v>2237</v>
      </c>
      <c r="B45" s="12" t="s">
        <v>2238</v>
      </c>
      <c r="C45" s="12" t="s">
        <v>2239</v>
      </c>
    </row>
    <row r="46" spans="1:3">
      <c r="A46" s="12" t="s">
        <v>2240</v>
      </c>
      <c r="B46" s="12" t="s">
        <v>2241</v>
      </c>
      <c r="C46" s="12" t="s">
        <v>2242</v>
      </c>
    </row>
    <row r="47" spans="1:3">
      <c r="A47" s="12" t="s">
        <v>2243</v>
      </c>
      <c r="B47" s="12" t="s">
        <v>2244</v>
      </c>
      <c r="C47" s="12" t="s">
        <v>2245</v>
      </c>
    </row>
    <row r="48" spans="1:3">
      <c r="A48" s="12" t="s">
        <v>2246</v>
      </c>
      <c r="B48" s="12" t="s">
        <v>2247</v>
      </c>
      <c r="C48" s="12" t="s">
        <v>2248</v>
      </c>
    </row>
    <row r="49" spans="1:3">
      <c r="A49" s="12" t="s">
        <v>2249</v>
      </c>
      <c r="B49" s="12" t="s">
        <v>2250</v>
      </c>
      <c r="C49" s="12" t="s">
        <v>2251</v>
      </c>
    </row>
    <row r="50" spans="1:3">
      <c r="A50" s="12" t="s">
        <v>2252</v>
      </c>
      <c r="B50" s="12" t="s">
        <v>2253</v>
      </c>
      <c r="C50" s="12" t="s">
        <v>2254</v>
      </c>
    </row>
    <row r="51" spans="1:3">
      <c r="A51" s="12" t="s">
        <v>2252</v>
      </c>
      <c r="B51" s="12" t="s">
        <v>2255</v>
      </c>
      <c r="C51" s="12" t="s">
        <v>2256</v>
      </c>
    </row>
    <row r="52" spans="1:3">
      <c r="A52" s="12" t="s">
        <v>2252</v>
      </c>
      <c r="B52" s="12" t="s">
        <v>2257</v>
      </c>
      <c r="C52" s="12" t="s">
        <v>2258</v>
      </c>
    </row>
    <row r="53" spans="1:3">
      <c r="A53" s="12" t="s">
        <v>2252</v>
      </c>
      <c r="B53" s="12" t="s">
        <v>2259</v>
      </c>
      <c r="C53" s="12" t="s">
        <v>2256</v>
      </c>
    </row>
    <row r="54" spans="1:3">
      <c r="A54" s="12" t="s">
        <v>2252</v>
      </c>
      <c r="B54" s="12" t="s">
        <v>2260</v>
      </c>
      <c r="C54" s="12" t="s">
        <v>2258</v>
      </c>
    </row>
    <row r="55" spans="1:3">
      <c r="A55" s="12" t="s">
        <v>2252</v>
      </c>
      <c r="B55" s="12" t="s">
        <v>2261</v>
      </c>
      <c r="C55" s="12" t="s">
        <v>2262</v>
      </c>
    </row>
    <row r="56" spans="1:3">
      <c r="A56" s="12" t="s">
        <v>2252</v>
      </c>
      <c r="B56" s="12" t="s">
        <v>2263</v>
      </c>
      <c r="C56" s="12" t="s">
        <v>2264</v>
      </c>
    </row>
    <row r="57" spans="1:3">
      <c r="A57" s="12" t="s">
        <v>2252</v>
      </c>
      <c r="B57" s="12" t="s">
        <v>2265</v>
      </c>
      <c r="C57" s="12" t="s">
        <v>2266</v>
      </c>
    </row>
    <row r="58" spans="1:3">
      <c r="A58" s="12" t="s">
        <v>2252</v>
      </c>
      <c r="B58" s="12" t="s">
        <v>2267</v>
      </c>
      <c r="C58" s="12" t="s">
        <v>2266</v>
      </c>
    </row>
    <row r="59" spans="1:3">
      <c r="A59" s="12" t="s">
        <v>2252</v>
      </c>
      <c r="B59" s="12" t="s">
        <v>2268</v>
      </c>
      <c r="C59" s="12" t="s">
        <v>2266</v>
      </c>
    </row>
    <row r="60" spans="1:3">
      <c r="A60" s="12" t="s">
        <v>2252</v>
      </c>
      <c r="B60" s="12" t="s">
        <v>2269</v>
      </c>
      <c r="C60" s="12" t="s">
        <v>2266</v>
      </c>
    </row>
    <row r="61" spans="1:3">
      <c r="A61" s="12" t="s">
        <v>2252</v>
      </c>
      <c r="B61" s="12" t="s">
        <v>2270</v>
      </c>
      <c r="C61" s="12" t="s">
        <v>2266</v>
      </c>
    </row>
    <row r="62" spans="1:3">
      <c r="A62" s="12" t="s">
        <v>2252</v>
      </c>
      <c r="B62" s="12" t="s">
        <v>2271</v>
      </c>
      <c r="C62" s="12" t="s">
        <v>2266</v>
      </c>
    </row>
    <row r="63" spans="1:3">
      <c r="A63" s="12" t="s">
        <v>2252</v>
      </c>
      <c r="B63" s="12" t="s">
        <v>2272</v>
      </c>
      <c r="C63" s="12" t="s">
        <v>2266</v>
      </c>
    </row>
    <row r="64" spans="1:3">
      <c r="A64" s="12" t="s">
        <v>2252</v>
      </c>
      <c r="B64" s="12" t="s">
        <v>2273</v>
      </c>
      <c r="C64" s="12" t="s">
        <v>2266</v>
      </c>
    </row>
    <row r="65" spans="1:3">
      <c r="A65" s="12" t="s">
        <v>2252</v>
      </c>
      <c r="B65" s="12" t="s">
        <v>2274</v>
      </c>
      <c r="C65" s="12" t="s">
        <v>2266</v>
      </c>
    </row>
    <row r="66" spans="1:3">
      <c r="A66" s="12" t="s">
        <v>2252</v>
      </c>
      <c r="B66" s="12" t="s">
        <v>2275</v>
      </c>
      <c r="C66" s="12" t="s">
        <v>2266</v>
      </c>
    </row>
    <row r="67" spans="1:3">
      <c r="A67" s="12" t="s">
        <v>2252</v>
      </c>
      <c r="B67" s="12" t="s">
        <v>2276</v>
      </c>
      <c r="C67" s="12" t="s">
        <v>2266</v>
      </c>
    </row>
    <row r="68" spans="1:3">
      <c r="A68" s="12" t="s">
        <v>2252</v>
      </c>
      <c r="B68" s="12" t="s">
        <v>2277</v>
      </c>
      <c r="C68" s="12" t="s">
        <v>2278</v>
      </c>
    </row>
    <row r="69" spans="1:3">
      <c r="A69" s="12" t="s">
        <v>2252</v>
      </c>
      <c r="B69" s="12" t="s">
        <v>2279</v>
      </c>
      <c r="C69" s="12" t="s">
        <v>2266</v>
      </c>
    </row>
    <row r="70" spans="1:3">
      <c r="A70" s="12" t="s">
        <v>2252</v>
      </c>
      <c r="B70" s="12" t="s">
        <v>2280</v>
      </c>
      <c r="C70" s="12" t="s">
        <v>2266</v>
      </c>
    </row>
    <row r="71" spans="1:3">
      <c r="A71" s="12" t="s">
        <v>2252</v>
      </c>
      <c r="B71" s="12" t="s">
        <v>2281</v>
      </c>
      <c r="C71" s="12" t="s">
        <v>2266</v>
      </c>
    </row>
    <row r="72" spans="1:3">
      <c r="A72" s="12" t="s">
        <v>2252</v>
      </c>
      <c r="B72" s="12" t="s">
        <v>2282</v>
      </c>
      <c r="C72" s="12" t="s">
        <v>2266</v>
      </c>
    </row>
    <row r="73" spans="1:3">
      <c r="A73" s="12" t="s">
        <v>2252</v>
      </c>
      <c r="B73" s="12" t="s">
        <v>2283</v>
      </c>
      <c r="C73" s="12" t="s">
        <v>2266</v>
      </c>
    </row>
    <row r="74" spans="1:3">
      <c r="A74" s="12" t="s">
        <v>2252</v>
      </c>
      <c r="B74" s="12" t="s">
        <v>2284</v>
      </c>
      <c r="C74" s="12" t="s">
        <v>2266</v>
      </c>
    </row>
    <row r="75" spans="1:3">
      <c r="A75" s="12" t="s">
        <v>2252</v>
      </c>
      <c r="B75" s="12" t="s">
        <v>2285</v>
      </c>
      <c r="C75" s="12" t="s">
        <v>2266</v>
      </c>
    </row>
    <row r="76" spans="1:3">
      <c r="A76" s="12" t="s">
        <v>2252</v>
      </c>
      <c r="B76" s="12" t="s">
        <v>2286</v>
      </c>
      <c r="C76" s="12" t="s">
        <v>2287</v>
      </c>
    </row>
    <row r="77" spans="1:3">
      <c r="A77" s="12" t="s">
        <v>2252</v>
      </c>
      <c r="B77" s="12" t="s">
        <v>2288</v>
      </c>
      <c r="C77" s="12" t="s">
        <v>2266</v>
      </c>
    </row>
    <row r="78" spans="1:3">
      <c r="A78" s="12" t="s">
        <v>2252</v>
      </c>
      <c r="B78" s="12" t="s">
        <v>2289</v>
      </c>
      <c r="C78" s="12" t="s">
        <v>2266</v>
      </c>
    </row>
    <row r="79" spans="1:3">
      <c r="A79" s="12" t="s">
        <v>2252</v>
      </c>
      <c r="B79" s="12" t="s">
        <v>2290</v>
      </c>
      <c r="C79" s="12" t="s">
        <v>2256</v>
      </c>
    </row>
    <row r="80" spans="1:3">
      <c r="A80" s="12" t="s">
        <v>2252</v>
      </c>
      <c r="B80" s="12" t="s">
        <v>2291</v>
      </c>
      <c r="C80" s="12" t="s">
        <v>2266</v>
      </c>
    </row>
    <row r="81" spans="1:3">
      <c r="A81" s="12" t="s">
        <v>2252</v>
      </c>
      <c r="B81" s="12" t="s">
        <v>2292</v>
      </c>
      <c r="C81" s="12" t="s">
        <v>2266</v>
      </c>
    </row>
    <row r="82" spans="1:3">
      <c r="A82" s="12" t="s">
        <v>2252</v>
      </c>
      <c r="B82" s="12" t="s">
        <v>2293</v>
      </c>
      <c r="C82" s="12" t="s">
        <v>2266</v>
      </c>
    </row>
    <row r="83" spans="1:3">
      <c r="A83" s="12" t="s">
        <v>2252</v>
      </c>
      <c r="B83" s="12" t="s">
        <v>2294</v>
      </c>
      <c r="C83" s="12" t="s">
        <v>2266</v>
      </c>
    </row>
    <row r="84" spans="1:3">
      <c r="A84" s="12" t="s">
        <v>2252</v>
      </c>
      <c r="B84" s="12" t="s">
        <v>2295</v>
      </c>
      <c r="C84" s="12" t="s">
        <v>2266</v>
      </c>
    </row>
    <row r="85" spans="1:3">
      <c r="A85" s="12" t="s">
        <v>2252</v>
      </c>
      <c r="B85" s="12" t="s">
        <v>2296</v>
      </c>
      <c r="C85" s="12" t="s">
        <v>2266</v>
      </c>
    </row>
    <row r="86" spans="1:3">
      <c r="A86" s="12" t="s">
        <v>2252</v>
      </c>
      <c r="B86" s="12" t="s">
        <v>2297</v>
      </c>
      <c r="C86" s="12" t="s">
        <v>2298</v>
      </c>
    </row>
    <row r="87" spans="1:3">
      <c r="A87" s="12" t="s">
        <v>2252</v>
      </c>
      <c r="B87" s="12" t="s">
        <v>2299</v>
      </c>
      <c r="C87" s="12" t="s">
        <v>2300</v>
      </c>
    </row>
    <row r="88" spans="1:3">
      <c r="A88" s="12" t="s">
        <v>2252</v>
      </c>
      <c r="B88" s="12" t="s">
        <v>2301</v>
      </c>
      <c r="C88" s="12" t="s">
        <v>2287</v>
      </c>
    </row>
    <row r="89" spans="1:3">
      <c r="A89" s="12" t="s">
        <v>2252</v>
      </c>
      <c r="B89" s="12" t="s">
        <v>2302</v>
      </c>
      <c r="C89" s="12" t="s">
        <v>2258</v>
      </c>
    </row>
    <row r="90" spans="1:3">
      <c r="A90" s="12" t="s">
        <v>2252</v>
      </c>
      <c r="B90" s="12" t="s">
        <v>2303</v>
      </c>
      <c r="C90" s="12" t="s">
        <v>2287</v>
      </c>
    </row>
    <row r="91" spans="1:3">
      <c r="A91" s="12" t="s">
        <v>2252</v>
      </c>
      <c r="B91" s="12" t="s">
        <v>2304</v>
      </c>
      <c r="C91" s="12" t="s">
        <v>2258</v>
      </c>
    </row>
    <row r="92" spans="1:3">
      <c r="A92" s="12" t="s">
        <v>2252</v>
      </c>
      <c r="B92" s="12" t="s">
        <v>2305</v>
      </c>
      <c r="C92" s="12" t="s">
        <v>2306</v>
      </c>
    </row>
    <row r="93" spans="1:3">
      <c r="A93" s="12" t="s">
        <v>2252</v>
      </c>
      <c r="B93" s="12" t="s">
        <v>2307</v>
      </c>
      <c r="C93" s="12" t="s">
        <v>2258</v>
      </c>
    </row>
    <row r="94" spans="1:3">
      <c r="A94" s="12" t="s">
        <v>2252</v>
      </c>
      <c r="B94" s="12" t="s">
        <v>2308</v>
      </c>
      <c r="C94" s="12" t="s">
        <v>2287</v>
      </c>
    </row>
    <row r="95" spans="1:3">
      <c r="A95" s="12" t="s">
        <v>2252</v>
      </c>
      <c r="B95" s="12" t="s">
        <v>2309</v>
      </c>
      <c r="C95" s="12" t="s">
        <v>2258</v>
      </c>
    </row>
    <row r="96" spans="1:3">
      <c r="A96" s="12" t="s">
        <v>2252</v>
      </c>
      <c r="B96" s="12" t="s">
        <v>2310</v>
      </c>
      <c r="C96" s="12" t="s">
        <v>2298</v>
      </c>
    </row>
    <row r="97" spans="1:3">
      <c r="A97" s="12" t="s">
        <v>2252</v>
      </c>
      <c r="B97" s="12" t="s">
        <v>2311</v>
      </c>
      <c r="C97" s="12" t="s">
        <v>2300</v>
      </c>
    </row>
    <row r="98" spans="1:3">
      <c r="A98" s="12" t="s">
        <v>2252</v>
      </c>
      <c r="B98" s="12" t="s">
        <v>2312</v>
      </c>
      <c r="C98" s="12" t="s">
        <v>2287</v>
      </c>
    </row>
    <row r="99" spans="1:3">
      <c r="A99" s="12" t="s">
        <v>2252</v>
      </c>
      <c r="B99" s="12" t="s">
        <v>2313</v>
      </c>
      <c r="C99" s="12" t="s">
        <v>2258</v>
      </c>
    </row>
    <row r="100" spans="1:3">
      <c r="A100" s="12" t="s">
        <v>2252</v>
      </c>
      <c r="B100" s="12" t="s">
        <v>2314</v>
      </c>
      <c r="C100" s="12" t="s">
        <v>2287</v>
      </c>
    </row>
    <row r="101" spans="1:3">
      <c r="A101" s="12" t="s">
        <v>2252</v>
      </c>
      <c r="B101" s="12" t="s">
        <v>2315</v>
      </c>
      <c r="C101" s="12" t="s">
        <v>2258</v>
      </c>
    </row>
    <row r="102" spans="1:3">
      <c r="A102" s="12" t="s">
        <v>2252</v>
      </c>
      <c r="B102" s="12" t="s">
        <v>2316</v>
      </c>
      <c r="C102" s="12" t="s">
        <v>2306</v>
      </c>
    </row>
    <row r="103" spans="1:3">
      <c r="A103" s="12" t="s">
        <v>2252</v>
      </c>
      <c r="B103" s="12" t="s">
        <v>2317</v>
      </c>
      <c r="C103" s="12" t="s">
        <v>2258</v>
      </c>
    </row>
    <row r="104" spans="1:3">
      <c r="A104" s="12" t="s">
        <v>2252</v>
      </c>
      <c r="B104" s="12" t="s">
        <v>2318</v>
      </c>
      <c r="C104" s="12" t="s">
        <v>2287</v>
      </c>
    </row>
    <row r="105" spans="1:3">
      <c r="A105" s="12" t="s">
        <v>2252</v>
      </c>
      <c r="B105" s="12" t="s">
        <v>2319</v>
      </c>
      <c r="C105" s="12" t="s">
        <v>2258</v>
      </c>
    </row>
    <row r="106" spans="1:3">
      <c r="A106" s="12" t="s">
        <v>2252</v>
      </c>
      <c r="B106" s="12" t="s">
        <v>2320</v>
      </c>
      <c r="C106" s="12" t="s">
        <v>2321</v>
      </c>
    </row>
    <row r="107" spans="1:3">
      <c r="A107" s="12" t="s">
        <v>2252</v>
      </c>
      <c r="B107" s="12" t="s">
        <v>2322</v>
      </c>
      <c r="C107" s="12" t="s">
        <v>2321</v>
      </c>
    </row>
    <row r="108" spans="1:3">
      <c r="A108" s="12" t="s">
        <v>2252</v>
      </c>
      <c r="B108" s="12" t="s">
        <v>2323</v>
      </c>
      <c r="C108" s="12" t="s">
        <v>2324</v>
      </c>
    </row>
    <row r="109" spans="1:3">
      <c r="A109" s="12" t="s">
        <v>2252</v>
      </c>
      <c r="B109" s="12" t="s">
        <v>2325</v>
      </c>
      <c r="C109" s="12" t="s">
        <v>2256</v>
      </c>
    </row>
    <row r="110" spans="1:3">
      <c r="A110" s="12" t="s">
        <v>2252</v>
      </c>
      <c r="B110" s="12" t="s">
        <v>2326</v>
      </c>
      <c r="C110" s="12" t="s">
        <v>2321</v>
      </c>
    </row>
    <row r="111" spans="1:3">
      <c r="A111" s="12" t="s">
        <v>2252</v>
      </c>
      <c r="B111" s="12" t="s">
        <v>2327</v>
      </c>
      <c r="C111" s="12" t="s">
        <v>2324</v>
      </c>
    </row>
    <row r="112" spans="1:3">
      <c r="A112" s="12" t="s">
        <v>2252</v>
      </c>
      <c r="B112" s="12" t="s">
        <v>2328</v>
      </c>
      <c r="C112" s="12" t="s">
        <v>2329</v>
      </c>
    </row>
    <row r="113" spans="1:3">
      <c r="A113" s="12" t="s">
        <v>2252</v>
      </c>
      <c r="B113" s="12" t="s">
        <v>2330</v>
      </c>
      <c r="C113" s="12" t="s">
        <v>2329</v>
      </c>
    </row>
    <row r="114" spans="1:3">
      <c r="A114" s="12" t="s">
        <v>2252</v>
      </c>
      <c r="B114" s="12" t="s">
        <v>2331</v>
      </c>
      <c r="C114" s="12" t="s">
        <v>2332</v>
      </c>
    </row>
    <row r="115" spans="1:3">
      <c r="A115" s="12" t="s">
        <v>2252</v>
      </c>
      <c r="B115" s="12" t="s">
        <v>2333</v>
      </c>
      <c r="C115" s="12" t="s">
        <v>2321</v>
      </c>
    </row>
    <row r="116" spans="1:3">
      <c r="A116" s="12" t="s">
        <v>2252</v>
      </c>
      <c r="B116" s="12" t="s">
        <v>2334</v>
      </c>
      <c r="C116" s="12" t="s">
        <v>2321</v>
      </c>
    </row>
    <row r="117" spans="1:3">
      <c r="A117" s="12" t="s">
        <v>2252</v>
      </c>
      <c r="B117" s="12" t="s">
        <v>2335</v>
      </c>
      <c r="C117" s="12" t="s">
        <v>2321</v>
      </c>
    </row>
    <row r="118" spans="1:3">
      <c r="A118" s="12" t="s">
        <v>2252</v>
      </c>
      <c r="B118" s="12" t="s">
        <v>2336</v>
      </c>
      <c r="C118" s="12" t="s">
        <v>2321</v>
      </c>
    </row>
    <row r="119" spans="1:3">
      <c r="A119" s="12" t="s">
        <v>2252</v>
      </c>
      <c r="B119" s="12" t="s">
        <v>2337</v>
      </c>
      <c r="C119" s="12" t="s">
        <v>2321</v>
      </c>
    </row>
    <row r="120" spans="1:3">
      <c r="A120" s="12" t="s">
        <v>2252</v>
      </c>
      <c r="B120" s="12" t="s">
        <v>2338</v>
      </c>
      <c r="C120" s="12" t="s">
        <v>2278</v>
      </c>
    </row>
    <row r="121" spans="1:3">
      <c r="A121" s="12" t="s">
        <v>2252</v>
      </c>
      <c r="B121" s="12" t="s">
        <v>2339</v>
      </c>
      <c r="C121" s="12" t="s">
        <v>2266</v>
      </c>
    </row>
    <row r="122" spans="1:3">
      <c r="A122" s="12" t="s">
        <v>2252</v>
      </c>
      <c r="B122" s="12" t="s">
        <v>2340</v>
      </c>
      <c r="C122" s="12" t="s">
        <v>2258</v>
      </c>
    </row>
    <row r="123" spans="1:3">
      <c r="A123" s="12" t="s">
        <v>2252</v>
      </c>
      <c r="B123" s="12" t="s">
        <v>2341</v>
      </c>
      <c r="C123" s="12" t="s">
        <v>2342</v>
      </c>
    </row>
    <row r="124" spans="1:3">
      <c r="A124" s="12" t="s">
        <v>2252</v>
      </c>
      <c r="B124" s="12" t="s">
        <v>2343</v>
      </c>
      <c r="C124" s="12" t="s">
        <v>2266</v>
      </c>
    </row>
    <row r="125" spans="1:3">
      <c r="A125" s="12" t="s">
        <v>2252</v>
      </c>
      <c r="B125" s="12" t="s">
        <v>2344</v>
      </c>
      <c r="C125" s="12" t="s">
        <v>2258</v>
      </c>
    </row>
    <row r="126" spans="1:3">
      <c r="A126" s="12" t="s">
        <v>2252</v>
      </c>
      <c r="B126" s="12" t="s">
        <v>2345</v>
      </c>
      <c r="C126" s="12" t="s">
        <v>2321</v>
      </c>
    </row>
    <row r="127" spans="1:3">
      <c r="A127" s="12" t="s">
        <v>2252</v>
      </c>
      <c r="B127" s="12" t="s">
        <v>2346</v>
      </c>
      <c r="C127" s="12" t="s">
        <v>2287</v>
      </c>
    </row>
    <row r="128" spans="1:3">
      <c r="A128" s="12" t="s">
        <v>2252</v>
      </c>
      <c r="B128" s="12" t="s">
        <v>2347</v>
      </c>
      <c r="C128" s="12" t="s">
        <v>2258</v>
      </c>
    </row>
    <row r="129" spans="1:3">
      <c r="A129" s="12" t="s">
        <v>2252</v>
      </c>
      <c r="B129" s="12" t="s">
        <v>2348</v>
      </c>
      <c r="C129" s="12" t="s">
        <v>2324</v>
      </c>
    </row>
    <row r="130" spans="1:3">
      <c r="A130" s="12" t="s">
        <v>2252</v>
      </c>
      <c r="B130" s="12" t="s">
        <v>2349</v>
      </c>
      <c r="C130" s="12" t="s">
        <v>2287</v>
      </c>
    </row>
    <row r="131" spans="1:3">
      <c r="A131" s="12" t="s">
        <v>2252</v>
      </c>
      <c r="B131" s="12" t="s">
        <v>2350</v>
      </c>
      <c r="C131" s="12" t="s">
        <v>2258</v>
      </c>
    </row>
    <row r="132" spans="1:3">
      <c r="A132" s="12" t="s">
        <v>2252</v>
      </c>
      <c r="B132" s="12" t="s">
        <v>2351</v>
      </c>
      <c r="C132" s="12" t="s">
        <v>2306</v>
      </c>
    </row>
    <row r="133" spans="1:3">
      <c r="A133" s="12" t="s">
        <v>2252</v>
      </c>
      <c r="B133" s="12" t="s">
        <v>2352</v>
      </c>
      <c r="C133" s="12" t="s">
        <v>2256</v>
      </c>
    </row>
    <row r="134" spans="1:3">
      <c r="A134" s="12" t="s">
        <v>2252</v>
      </c>
      <c r="B134" s="12" t="s">
        <v>2353</v>
      </c>
      <c r="C134" s="12" t="s">
        <v>2321</v>
      </c>
    </row>
    <row r="135" spans="1:3">
      <c r="A135" s="12" t="s">
        <v>2252</v>
      </c>
      <c r="B135" s="12" t="s">
        <v>2354</v>
      </c>
      <c r="C135" s="12" t="s">
        <v>2321</v>
      </c>
    </row>
    <row r="136" spans="1:3">
      <c r="A136" s="12" t="s">
        <v>2252</v>
      </c>
      <c r="B136" s="12" t="s">
        <v>2355</v>
      </c>
      <c r="C136" s="12" t="s">
        <v>2278</v>
      </c>
    </row>
    <row r="137" spans="1:3">
      <c r="A137" s="12" t="s">
        <v>2252</v>
      </c>
      <c r="B137" s="12" t="s">
        <v>2356</v>
      </c>
      <c r="C137" s="12" t="s">
        <v>2266</v>
      </c>
    </row>
    <row r="138" spans="1:3">
      <c r="A138" s="12" t="s">
        <v>2252</v>
      </c>
      <c r="B138" s="12" t="s">
        <v>2357</v>
      </c>
      <c r="C138" s="12" t="s">
        <v>2258</v>
      </c>
    </row>
    <row r="139" spans="1:3">
      <c r="A139" s="12" t="s">
        <v>2252</v>
      </c>
      <c r="B139" s="12" t="s">
        <v>2358</v>
      </c>
      <c r="C139" s="12" t="s">
        <v>2278</v>
      </c>
    </row>
    <row r="140" spans="1:3">
      <c r="A140" s="12" t="s">
        <v>2252</v>
      </c>
      <c r="B140" s="12" t="s">
        <v>2359</v>
      </c>
      <c r="C140" s="12" t="s">
        <v>2266</v>
      </c>
    </row>
    <row r="141" spans="1:3">
      <c r="A141" s="12" t="s">
        <v>2252</v>
      </c>
      <c r="B141" s="12" t="s">
        <v>2360</v>
      </c>
      <c r="C141" s="12" t="s">
        <v>2258</v>
      </c>
    </row>
    <row r="142" spans="1:3">
      <c r="A142" s="12" t="s">
        <v>2252</v>
      </c>
      <c r="B142" s="12" t="s">
        <v>2361</v>
      </c>
      <c r="C142" s="12" t="s">
        <v>2254</v>
      </c>
    </row>
    <row r="143" spans="1:3">
      <c r="A143" s="12" t="s">
        <v>2252</v>
      </c>
      <c r="B143" s="12" t="s">
        <v>2362</v>
      </c>
      <c r="C143" s="12" t="s">
        <v>2256</v>
      </c>
    </row>
    <row r="144" spans="1:3">
      <c r="A144" s="12" t="s">
        <v>2252</v>
      </c>
      <c r="B144" s="12" t="s">
        <v>2363</v>
      </c>
      <c r="C144" s="12" t="s">
        <v>2258</v>
      </c>
    </row>
    <row r="145" spans="1:3">
      <c r="A145" s="12" t="s">
        <v>2252</v>
      </c>
      <c r="B145" s="12" t="s">
        <v>2364</v>
      </c>
      <c r="C145" s="12" t="s">
        <v>2256</v>
      </c>
    </row>
    <row r="146" spans="1:3">
      <c r="A146" s="12" t="s">
        <v>2252</v>
      </c>
      <c r="B146" s="12" t="s">
        <v>2365</v>
      </c>
      <c r="C146" s="12" t="s">
        <v>2258</v>
      </c>
    </row>
    <row r="147" spans="1:3">
      <c r="A147" s="12" t="s">
        <v>2252</v>
      </c>
      <c r="B147" s="12" t="s">
        <v>2366</v>
      </c>
      <c r="C147" s="12" t="s">
        <v>2262</v>
      </c>
    </row>
    <row r="148" spans="1:3">
      <c r="A148" s="12" t="s">
        <v>2252</v>
      </c>
      <c r="B148" s="12" t="s">
        <v>2367</v>
      </c>
      <c r="C148" s="12" t="s">
        <v>2264</v>
      </c>
    </row>
    <row r="149" spans="1:3">
      <c r="A149" s="12" t="s">
        <v>2252</v>
      </c>
      <c r="B149" s="12" t="s">
        <v>2368</v>
      </c>
      <c r="C149" s="12" t="s">
        <v>2321</v>
      </c>
    </row>
    <row r="150" spans="1:3">
      <c r="A150" s="12" t="s">
        <v>2252</v>
      </c>
      <c r="B150" s="12" t="s">
        <v>2369</v>
      </c>
      <c r="C150" s="12" t="s">
        <v>2287</v>
      </c>
    </row>
    <row r="151" spans="1:3">
      <c r="A151" s="12" t="s">
        <v>2252</v>
      </c>
      <c r="B151" s="12" t="s">
        <v>2370</v>
      </c>
      <c r="C151" s="12" t="s">
        <v>2258</v>
      </c>
    </row>
    <row r="152" spans="1:3">
      <c r="A152" s="12" t="s">
        <v>2252</v>
      </c>
      <c r="B152" s="12" t="s">
        <v>2371</v>
      </c>
      <c r="C152" s="12" t="s">
        <v>2324</v>
      </c>
    </row>
    <row r="153" spans="1:3">
      <c r="A153" s="12" t="s">
        <v>2252</v>
      </c>
      <c r="B153" s="12" t="s">
        <v>2372</v>
      </c>
      <c r="C153" s="12" t="s">
        <v>2306</v>
      </c>
    </row>
    <row r="154" spans="1:3">
      <c r="A154" s="12" t="s">
        <v>2252</v>
      </c>
      <c r="B154" s="12" t="s">
        <v>2373</v>
      </c>
      <c r="C154" s="12" t="s">
        <v>2256</v>
      </c>
    </row>
    <row r="155" spans="1:3">
      <c r="A155" s="12" t="s">
        <v>2252</v>
      </c>
      <c r="B155" s="12" t="s">
        <v>2374</v>
      </c>
      <c r="C155" s="12" t="s">
        <v>2321</v>
      </c>
    </row>
    <row r="156" spans="1:3">
      <c r="A156" s="12" t="s">
        <v>2252</v>
      </c>
      <c r="B156" s="12" t="s">
        <v>2375</v>
      </c>
      <c r="C156" s="12" t="s">
        <v>2321</v>
      </c>
    </row>
    <row r="157" spans="1:3">
      <c r="A157" s="12" t="s">
        <v>2252</v>
      </c>
      <c r="B157" s="12" t="s">
        <v>2376</v>
      </c>
      <c r="C157" s="12" t="s">
        <v>2377</v>
      </c>
    </row>
    <row r="158" spans="1:3">
      <c r="A158" s="12" t="s">
        <v>2252</v>
      </c>
      <c r="B158" s="12" t="s">
        <v>2378</v>
      </c>
      <c r="C158" s="12" t="s">
        <v>2379</v>
      </c>
    </row>
    <row r="159" spans="1:3">
      <c r="A159" s="12" t="s">
        <v>2252</v>
      </c>
      <c r="B159" s="12" t="s">
        <v>2380</v>
      </c>
      <c r="C159" s="12" t="s">
        <v>2381</v>
      </c>
    </row>
    <row r="160" spans="1:3">
      <c r="A160" s="12" t="s">
        <v>2252</v>
      </c>
      <c r="B160" s="12" t="s">
        <v>2382</v>
      </c>
      <c r="C160" s="12" t="s">
        <v>2383</v>
      </c>
    </row>
    <row r="161" spans="1:3">
      <c r="A161" s="12" t="s">
        <v>2252</v>
      </c>
      <c r="B161" s="12" t="s">
        <v>2384</v>
      </c>
      <c r="C161" s="12" t="s">
        <v>2385</v>
      </c>
    </row>
    <row r="162" spans="1:3">
      <c r="A162" s="12" t="s">
        <v>2252</v>
      </c>
      <c r="B162" s="12" t="s">
        <v>2386</v>
      </c>
      <c r="C162" s="12" t="s">
        <v>2387</v>
      </c>
    </row>
    <row r="163" spans="1:3">
      <c r="A163" s="12" t="s">
        <v>2252</v>
      </c>
      <c r="B163" s="12" t="s">
        <v>2388</v>
      </c>
      <c r="C163" s="12" t="s">
        <v>2389</v>
      </c>
    </row>
    <row r="164" spans="1:3">
      <c r="A164" s="12" t="s">
        <v>2252</v>
      </c>
      <c r="B164" s="12" t="s">
        <v>2390</v>
      </c>
      <c r="C164" s="12" t="s">
        <v>2391</v>
      </c>
    </row>
    <row r="165" spans="1:3">
      <c r="A165" s="12" t="s">
        <v>2252</v>
      </c>
      <c r="B165" s="12" t="s">
        <v>2392</v>
      </c>
      <c r="C165" s="12" t="s">
        <v>2393</v>
      </c>
    </row>
    <row r="166" spans="1:3">
      <c r="A166" s="12" t="s">
        <v>2252</v>
      </c>
      <c r="B166" s="12" t="s">
        <v>2394</v>
      </c>
      <c r="C166" s="12" t="s">
        <v>2395</v>
      </c>
    </row>
    <row r="167" spans="1:3">
      <c r="A167" s="12" t="s">
        <v>2252</v>
      </c>
      <c r="B167" s="12" t="s">
        <v>2396</v>
      </c>
      <c r="C167" s="12" t="s">
        <v>2397</v>
      </c>
    </row>
    <row r="168" spans="1:3">
      <c r="A168" s="12" t="s">
        <v>2252</v>
      </c>
      <c r="B168" s="12" t="s">
        <v>2398</v>
      </c>
      <c r="C168" s="12" t="s">
        <v>2399</v>
      </c>
    </row>
    <row r="169" spans="1:3">
      <c r="A169" s="12" t="s">
        <v>2252</v>
      </c>
      <c r="B169" s="12" t="s">
        <v>2400</v>
      </c>
      <c r="C169" s="12" t="s">
        <v>2401</v>
      </c>
    </row>
    <row r="170" spans="1:3">
      <c r="A170" s="12" t="s">
        <v>2252</v>
      </c>
      <c r="B170" s="12" t="s">
        <v>2402</v>
      </c>
      <c r="C170" s="12" t="s">
        <v>2403</v>
      </c>
    </row>
    <row r="171" spans="1:3">
      <c r="A171" s="12" t="s">
        <v>2252</v>
      </c>
      <c r="B171" s="12" t="s">
        <v>2404</v>
      </c>
      <c r="C171" s="12" t="s">
        <v>2405</v>
      </c>
    </row>
    <row r="172" spans="1:3">
      <c r="A172" s="12" t="s">
        <v>2252</v>
      </c>
      <c r="B172" s="12" t="s">
        <v>2406</v>
      </c>
      <c r="C172" s="12" t="s">
        <v>2407</v>
      </c>
    </row>
    <row r="173" spans="1:3">
      <c r="A173" s="12" t="s">
        <v>2252</v>
      </c>
      <c r="B173" s="12" t="s">
        <v>2408</v>
      </c>
      <c r="C173" s="12" t="s">
        <v>2407</v>
      </c>
    </row>
    <row r="174" spans="1:3">
      <c r="A174" s="12" t="s">
        <v>2252</v>
      </c>
      <c r="B174" s="12" t="s">
        <v>2409</v>
      </c>
      <c r="C174" s="12" t="s">
        <v>2407</v>
      </c>
    </row>
    <row r="175" spans="1:3">
      <c r="A175" s="12" t="s">
        <v>2252</v>
      </c>
      <c r="B175" s="12" t="s">
        <v>2410</v>
      </c>
      <c r="C175" s="12" t="s">
        <v>2411</v>
      </c>
    </row>
    <row r="176" spans="1:3">
      <c r="A176" s="12" t="s">
        <v>2252</v>
      </c>
      <c r="B176" s="12" t="s">
        <v>2412</v>
      </c>
      <c r="C176" s="12" t="s">
        <v>2407</v>
      </c>
    </row>
    <row r="177" spans="1:3">
      <c r="A177" s="12" t="s">
        <v>2252</v>
      </c>
      <c r="B177" s="12" t="s">
        <v>2413</v>
      </c>
      <c r="C177" s="12" t="s">
        <v>2407</v>
      </c>
    </row>
    <row r="178" spans="1:3">
      <c r="A178" s="12" t="s">
        <v>2252</v>
      </c>
      <c r="B178" s="12" t="s">
        <v>2414</v>
      </c>
      <c r="C178" s="12" t="s">
        <v>2407</v>
      </c>
    </row>
    <row r="179" spans="1:3">
      <c r="A179" s="12" t="s">
        <v>2252</v>
      </c>
      <c r="B179" s="12" t="s">
        <v>2415</v>
      </c>
      <c r="C179" s="12" t="s">
        <v>2407</v>
      </c>
    </row>
    <row r="180" spans="1:3">
      <c r="A180" s="12" t="s">
        <v>2252</v>
      </c>
      <c r="B180" s="12" t="s">
        <v>2416</v>
      </c>
      <c r="C180" s="12" t="s">
        <v>2411</v>
      </c>
    </row>
    <row r="181" spans="1:3">
      <c r="A181" s="12" t="s">
        <v>2252</v>
      </c>
      <c r="B181" s="12" t="s">
        <v>2417</v>
      </c>
      <c r="C181" s="12" t="s">
        <v>2407</v>
      </c>
    </row>
    <row r="182" spans="1:3">
      <c r="A182" s="12" t="s">
        <v>2252</v>
      </c>
      <c r="B182" s="12" t="s">
        <v>2418</v>
      </c>
      <c r="C182" s="12" t="s">
        <v>2419</v>
      </c>
    </row>
    <row r="183" spans="1:3">
      <c r="A183" s="12" t="s">
        <v>2252</v>
      </c>
      <c r="B183" s="12" t="s">
        <v>2420</v>
      </c>
      <c r="C183" s="12" t="s">
        <v>2421</v>
      </c>
    </row>
    <row r="184" spans="1:3">
      <c r="A184" s="12" t="s">
        <v>2252</v>
      </c>
      <c r="B184" s="12" t="s">
        <v>2422</v>
      </c>
      <c r="C184" s="12" t="s">
        <v>2377</v>
      </c>
    </row>
    <row r="185" spans="1:3">
      <c r="A185" s="12" t="s">
        <v>2252</v>
      </c>
      <c r="B185" s="12" t="s">
        <v>2423</v>
      </c>
      <c r="C185" s="12" t="s">
        <v>2424</v>
      </c>
    </row>
    <row r="186" spans="1:3">
      <c r="A186" s="12" t="s">
        <v>2252</v>
      </c>
      <c r="B186" s="12" t="s">
        <v>2425</v>
      </c>
      <c r="C186" s="12" t="s">
        <v>2426</v>
      </c>
    </row>
    <row r="187" spans="1:3">
      <c r="A187" s="12" t="s">
        <v>2252</v>
      </c>
      <c r="B187" s="12" t="s">
        <v>2427</v>
      </c>
      <c r="C187" s="12" t="s">
        <v>2385</v>
      </c>
    </row>
    <row r="188" spans="1:3">
      <c r="A188" s="12" t="s">
        <v>2252</v>
      </c>
      <c r="B188" s="12" t="s">
        <v>2428</v>
      </c>
      <c r="C188" s="12" t="s">
        <v>2387</v>
      </c>
    </row>
    <row r="189" spans="1:3">
      <c r="A189" s="12" t="s">
        <v>2252</v>
      </c>
      <c r="B189" s="12" t="s">
        <v>2429</v>
      </c>
      <c r="C189" s="12" t="s">
        <v>2430</v>
      </c>
    </row>
    <row r="190" spans="1:3">
      <c r="A190" s="12" t="s">
        <v>2252</v>
      </c>
      <c r="B190" s="12" t="s">
        <v>2431</v>
      </c>
      <c r="C190" s="12" t="s">
        <v>2432</v>
      </c>
    </row>
    <row r="191" spans="1:3">
      <c r="A191" s="12" t="s">
        <v>2252</v>
      </c>
      <c r="B191" s="12" t="s">
        <v>2433</v>
      </c>
      <c r="C191" s="12" t="s">
        <v>2393</v>
      </c>
    </row>
    <row r="192" spans="1:3">
      <c r="A192" s="12" t="s">
        <v>2252</v>
      </c>
      <c r="B192" s="12" t="s">
        <v>2434</v>
      </c>
      <c r="C192" s="12" t="s">
        <v>2395</v>
      </c>
    </row>
    <row r="193" spans="1:3">
      <c r="A193" s="12" t="s">
        <v>2252</v>
      </c>
      <c r="B193" s="12" t="s">
        <v>2435</v>
      </c>
      <c r="C193" s="12" t="s">
        <v>2397</v>
      </c>
    </row>
    <row r="194" spans="1:3">
      <c r="A194" s="12" t="s">
        <v>2252</v>
      </c>
      <c r="B194" s="12" t="s">
        <v>2436</v>
      </c>
      <c r="C194" s="12" t="s">
        <v>2399</v>
      </c>
    </row>
    <row r="195" spans="1:3">
      <c r="A195" s="12" t="s">
        <v>2252</v>
      </c>
      <c r="B195" s="12" t="s">
        <v>2437</v>
      </c>
      <c r="C195" s="12" t="s">
        <v>2438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Guide</vt:lpstr>
      <vt:lpstr>Executive Dashboard</vt:lpstr>
      <vt:lpstr>Master Database</vt:lpstr>
      <vt:lpstr>Estimator</vt:lpstr>
      <vt:lpstr>Search</vt:lpstr>
      <vt:lpstr>Vendor_Quotes</vt:lpstr>
      <vt:lpstr>Vendor_Register</vt:lpstr>
      <vt:lpstr>Factors_ROT</vt:lpstr>
      <vt:lpstr>Lookup_Codes</vt:lpstr>
      <vt:lpstr>Escalation_Index</vt:lpstr>
      <vt:lpstr>Assumptions &amp; FX Reference</vt:lpstr>
      <vt:lpstr>Verification_Log</vt:lpstr>
      <vt:lpstr>Change_Log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Mehdi</cp:lastModifiedBy>
  <cp:revision>0</cp:revision>
  <dcterms:created xsi:type="dcterms:W3CDTF">2026-10-12T19:20:25Z</dcterms:created>
  <dcterms:modified xsi:type="dcterms:W3CDTF">2026-10-12T21:33:36Z</dcterms:modified>
  <dc:language>en-US</dc:language>
</cp:coreProperties>
</file>